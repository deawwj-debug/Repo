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drawings/drawing6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drawings/drawing7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drawings/drawing8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drawings/drawing9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drawings/drawing10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drawings/drawing11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drawings/drawing12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drawings/drawing13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drawings/drawing14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drawings/drawing1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drawings/drawing16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17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9024\Desktop\APP\"/>
    </mc:Choice>
  </mc:AlternateContent>
  <xr:revisionPtr revIDLastSave="0" documentId="13_ncr:1_{4258BEAD-028B-4FC2-A87D-AB59B6FDC5A2}" xr6:coauthVersionLast="36" xr6:coauthVersionMax="36" xr10:uidLastSave="{00000000-0000-0000-0000-000000000000}"/>
  <bookViews>
    <workbookView xWindow="0" yWindow="0" windowWidth="28800" windowHeight="11685" tabRatio="921" firstSheet="4" activeTab="9" xr2:uid="{C5ABE22B-D64A-4DF0-AC17-5782F071F25A}"/>
  </bookViews>
  <sheets>
    <sheet name="สรุป 1 ธค 68" sheetId="20" r:id="rId1"/>
    <sheet name="กวว." sheetId="19" r:id="rId2"/>
    <sheet name="กฟจ นฐ" sheetId="1" r:id="rId3"/>
    <sheet name="กฟส นครชัยศรี" sheetId="11" r:id="rId4"/>
    <sheet name="กฟส กำแพงแสน" sheetId="10" r:id="rId5"/>
    <sheet name="กฟส สามพราน" sheetId="6" r:id="rId6"/>
    <sheet name="กฟส บางเลน" sheetId="14" r:id="rId7"/>
    <sheet name="กฟส พุทธมณฑล" sheetId="18" r:id="rId8"/>
    <sheet name="กฟจ สค" sheetId="4" r:id="rId9"/>
    <sheet name="กฟส อ้อมน้อย" sheetId="9" r:id="rId10"/>
    <sheet name="กฟส กระทุ่มแบน" sheetId="8" r:id="rId11"/>
    <sheet name="กฟส สมุทรสาคร 2" sheetId="16" r:id="rId12"/>
    <sheet name="กฟส โคกขาม" sheetId="17" r:id="rId13"/>
    <sheet name="กฟจ กจ" sheetId="3" r:id="rId14"/>
    <sheet name="กฟส บ่อพลอย" sheetId="13" r:id="rId15"/>
    <sheet name="กฟส ท่ามะกา" sheetId="15" r:id="rId16"/>
    <sheet name="กฟจ สพ" sheetId="2" r:id="rId17"/>
    <sheet name="กฟอ อู่ทอง" sheetId="7" r:id="rId18"/>
    <sheet name="กฟส เดิมบาง" sheetId="12" r:id="rId19"/>
  </sheets>
  <definedNames>
    <definedName name="_xlnm._FilterDatabase" localSheetId="2" hidden="1">'กฟจ นฐ'!$A$2:$J$219</definedName>
    <definedName name="_xlnm._FilterDatabase" localSheetId="4" hidden="1">'กฟส กำแพงแสน'!$A$2:$H$2</definedName>
    <definedName name="_xlnm._FilterDatabase" localSheetId="1" hidden="1">กวว.!$A$1:$O$2606</definedName>
    <definedName name="_xlnm.Print_Area" localSheetId="0">'สรุป 1 ธค 68'!$A$1:$AB$30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4" i="20" l="1"/>
  <c r="X33" i="20"/>
  <c r="X32" i="20"/>
  <c r="X31" i="20"/>
  <c r="X30" i="20"/>
  <c r="X29" i="20"/>
  <c r="X28" i="20"/>
  <c r="X27" i="20"/>
  <c r="X26" i="20"/>
  <c r="X25" i="20"/>
  <c r="X24" i="20"/>
  <c r="X23" i="20"/>
  <c r="X22" i="20"/>
  <c r="X21" i="20"/>
  <c r="Y21" i="20" l="1"/>
  <c r="Y31" i="20"/>
  <c r="Y33" i="20"/>
  <c r="Y29" i="20"/>
  <c r="Y24" i="20"/>
  <c r="Y28" i="20"/>
  <c r="Y25" i="20"/>
  <c r="Y26" i="20"/>
  <c r="Y30" i="20"/>
  <c r="Y34" i="20"/>
  <c r="Y32" i="20"/>
  <c r="Y27" i="20"/>
  <c r="Y23" i="20"/>
  <c r="Y22" i="20"/>
  <c r="M14" i="19"/>
  <c r="M30" i="20" s="1"/>
  <c r="M13" i="19"/>
  <c r="L30" i="20" s="1"/>
  <c r="M12" i="19"/>
  <c r="K30" i="20" s="1"/>
  <c r="M11" i="19"/>
  <c r="J30" i="20" s="1"/>
  <c r="M10" i="19"/>
  <c r="I30" i="20" s="1"/>
  <c r="M9" i="19"/>
  <c r="H30" i="20" s="1"/>
  <c r="M8" i="19"/>
  <c r="G30" i="20" s="1"/>
  <c r="M7" i="19"/>
  <c r="F30" i="20" s="1"/>
  <c r="M6" i="19"/>
  <c r="E30" i="20" s="1"/>
  <c r="M5" i="19"/>
  <c r="D30" i="20" s="1"/>
  <c r="M4" i="19"/>
  <c r="C30" i="20" s="1"/>
  <c r="M3" i="19"/>
  <c r="B30" i="20" s="1"/>
  <c r="M2" i="19"/>
  <c r="N30" i="20" l="1"/>
  <c r="M9" i="1"/>
  <c r="H3" i="20" s="1"/>
  <c r="O30" i="20" l="1"/>
  <c r="P30" i="20" s="1"/>
  <c r="M14" i="1"/>
  <c r="L3" i="20" s="1"/>
  <c r="M13" i="1"/>
  <c r="K3" i="20" s="1"/>
  <c r="M12" i="1"/>
  <c r="J3" i="20" s="1"/>
  <c r="M11" i="1"/>
  <c r="I3" i="20" s="1"/>
  <c r="M10" i="1"/>
  <c r="M8" i="1"/>
  <c r="G3" i="20" s="1"/>
  <c r="M7" i="1"/>
  <c r="F3" i="20" s="1"/>
  <c r="M6" i="1"/>
  <c r="E3" i="20" s="1"/>
  <c r="M5" i="1"/>
  <c r="D3" i="20" s="1"/>
  <c r="M4" i="1"/>
  <c r="C3" i="20" s="1"/>
  <c r="M3" i="1"/>
  <c r="B3" i="20" s="1"/>
  <c r="M3" i="20" l="1"/>
  <c r="M14" i="12" l="1"/>
  <c r="L25" i="20" s="1"/>
  <c r="M13" i="12"/>
  <c r="K25" i="20" s="1"/>
  <c r="M12" i="12"/>
  <c r="J25" i="20" s="1"/>
  <c r="M11" i="12"/>
  <c r="I25" i="20" s="1"/>
  <c r="M10" i="12"/>
  <c r="M9" i="12"/>
  <c r="H25" i="20" s="1"/>
  <c r="M8" i="12"/>
  <c r="G25" i="20" s="1"/>
  <c r="M7" i="12"/>
  <c r="F25" i="20" s="1"/>
  <c r="M6" i="12"/>
  <c r="E25" i="20" s="1"/>
  <c r="M5" i="12"/>
  <c r="D25" i="20" s="1"/>
  <c r="M4" i="12"/>
  <c r="C25" i="20" s="1"/>
  <c r="M3" i="12"/>
  <c r="B25" i="20" s="1"/>
  <c r="M2" i="12"/>
  <c r="M14" i="7"/>
  <c r="L24" i="20" s="1"/>
  <c r="M13" i="7"/>
  <c r="K24" i="20" s="1"/>
  <c r="M12" i="7"/>
  <c r="J24" i="20" s="1"/>
  <c r="M11" i="7"/>
  <c r="I24" i="20" s="1"/>
  <c r="M10" i="7"/>
  <c r="M9" i="7"/>
  <c r="H24" i="20" s="1"/>
  <c r="M8" i="7"/>
  <c r="G24" i="20" s="1"/>
  <c r="M7" i="7"/>
  <c r="F24" i="20" s="1"/>
  <c r="M6" i="7"/>
  <c r="E24" i="20" s="1"/>
  <c r="M5" i="7"/>
  <c r="D24" i="20" s="1"/>
  <c r="M4" i="7"/>
  <c r="C24" i="20" s="1"/>
  <c r="M3" i="7"/>
  <c r="B24" i="20" s="1"/>
  <c r="M2" i="7"/>
  <c r="M14" i="2"/>
  <c r="L23" i="20" s="1"/>
  <c r="M13" i="2"/>
  <c r="K23" i="20" s="1"/>
  <c r="M12" i="2"/>
  <c r="J23" i="20" s="1"/>
  <c r="M11" i="2"/>
  <c r="I23" i="20" s="1"/>
  <c r="I26" i="20" s="1"/>
  <c r="M10" i="2"/>
  <c r="M9" i="2"/>
  <c r="H23" i="20" s="1"/>
  <c r="M8" i="2"/>
  <c r="G23" i="20" s="1"/>
  <c r="M7" i="2"/>
  <c r="F23" i="20" s="1"/>
  <c r="M6" i="2"/>
  <c r="E23" i="20" s="1"/>
  <c r="M5" i="2"/>
  <c r="D23" i="20" s="1"/>
  <c r="D26" i="20" s="1"/>
  <c r="M4" i="2"/>
  <c r="C23" i="20" s="1"/>
  <c r="M3" i="2"/>
  <c r="B23" i="20" s="1"/>
  <c r="M2" i="2"/>
  <c r="M14" i="15"/>
  <c r="L20" i="20" s="1"/>
  <c r="M13" i="15"/>
  <c r="K20" i="20" s="1"/>
  <c r="M12" i="15"/>
  <c r="J20" i="20" s="1"/>
  <c r="M11" i="15"/>
  <c r="I20" i="20" s="1"/>
  <c r="M10" i="15"/>
  <c r="M9" i="15"/>
  <c r="H20" i="20" s="1"/>
  <c r="M8" i="15"/>
  <c r="G20" i="20" s="1"/>
  <c r="M7" i="15"/>
  <c r="F20" i="20" s="1"/>
  <c r="M6" i="15"/>
  <c r="E20" i="20" s="1"/>
  <c r="M5" i="15"/>
  <c r="D20" i="20" s="1"/>
  <c r="M4" i="15"/>
  <c r="C20" i="20" s="1"/>
  <c r="M3" i="15"/>
  <c r="B20" i="20" s="1"/>
  <c r="M2" i="15"/>
  <c r="M14" i="13"/>
  <c r="L19" i="20" s="1"/>
  <c r="M13" i="13"/>
  <c r="K19" i="20" s="1"/>
  <c r="M12" i="13"/>
  <c r="J19" i="20" s="1"/>
  <c r="M11" i="13"/>
  <c r="I19" i="20" s="1"/>
  <c r="M10" i="13"/>
  <c r="M9" i="13"/>
  <c r="H19" i="20" s="1"/>
  <c r="M8" i="13"/>
  <c r="G19" i="20" s="1"/>
  <c r="M7" i="13"/>
  <c r="F19" i="20" s="1"/>
  <c r="M6" i="13"/>
  <c r="E19" i="20" s="1"/>
  <c r="M5" i="13"/>
  <c r="D19" i="20" s="1"/>
  <c r="M4" i="13"/>
  <c r="C19" i="20" s="1"/>
  <c r="M3" i="13"/>
  <c r="B19" i="20" s="1"/>
  <c r="M2" i="13"/>
  <c r="M14" i="3"/>
  <c r="L18" i="20" s="1"/>
  <c r="M13" i="3"/>
  <c r="K18" i="20" s="1"/>
  <c r="K21" i="20" s="1"/>
  <c r="M12" i="3"/>
  <c r="J18" i="20" s="1"/>
  <c r="M11" i="3"/>
  <c r="I18" i="20" s="1"/>
  <c r="M10" i="3"/>
  <c r="M9" i="3"/>
  <c r="H18" i="20" s="1"/>
  <c r="M8" i="3"/>
  <c r="G18" i="20" s="1"/>
  <c r="M7" i="3"/>
  <c r="F18" i="20" s="1"/>
  <c r="M6" i="3"/>
  <c r="E18" i="20" s="1"/>
  <c r="M5" i="3"/>
  <c r="D18" i="20" s="1"/>
  <c r="D21" i="20" s="1"/>
  <c r="M4" i="3"/>
  <c r="C18" i="20" s="1"/>
  <c r="C21" i="20" s="1"/>
  <c r="M3" i="3"/>
  <c r="B18" i="20" s="1"/>
  <c r="M2" i="3"/>
  <c r="M14" i="17"/>
  <c r="L15" i="20" s="1"/>
  <c r="M13" i="17"/>
  <c r="K15" i="20" s="1"/>
  <c r="M12" i="17"/>
  <c r="J15" i="20" s="1"/>
  <c r="M11" i="17"/>
  <c r="I15" i="20" s="1"/>
  <c r="M10" i="17"/>
  <c r="M9" i="17"/>
  <c r="H15" i="20" s="1"/>
  <c r="M8" i="17"/>
  <c r="G15" i="20" s="1"/>
  <c r="M7" i="17"/>
  <c r="F15" i="20" s="1"/>
  <c r="M6" i="17"/>
  <c r="E15" i="20" s="1"/>
  <c r="M5" i="17"/>
  <c r="D15" i="20" s="1"/>
  <c r="M4" i="17"/>
  <c r="C15" i="20" s="1"/>
  <c r="M3" i="17"/>
  <c r="B15" i="20" s="1"/>
  <c r="M2" i="17"/>
  <c r="M14" i="16"/>
  <c r="L14" i="20" s="1"/>
  <c r="M13" i="16"/>
  <c r="K14" i="20" s="1"/>
  <c r="M12" i="16"/>
  <c r="J14" i="20" s="1"/>
  <c r="M11" i="16"/>
  <c r="I14" i="20" s="1"/>
  <c r="M10" i="16"/>
  <c r="M9" i="16"/>
  <c r="H14" i="20" s="1"/>
  <c r="M8" i="16"/>
  <c r="G14" i="20" s="1"/>
  <c r="M7" i="16"/>
  <c r="F14" i="20" s="1"/>
  <c r="M6" i="16"/>
  <c r="E14" i="20" s="1"/>
  <c r="M5" i="16"/>
  <c r="D14" i="20" s="1"/>
  <c r="M4" i="16"/>
  <c r="C14" i="20" s="1"/>
  <c r="M3" i="16"/>
  <c r="B14" i="20" s="1"/>
  <c r="M2" i="16"/>
  <c r="M14" i="8"/>
  <c r="L13" i="20" s="1"/>
  <c r="M13" i="8"/>
  <c r="K13" i="20" s="1"/>
  <c r="M12" i="8"/>
  <c r="J13" i="20" s="1"/>
  <c r="M11" i="8"/>
  <c r="I13" i="20" s="1"/>
  <c r="M10" i="8"/>
  <c r="M9" i="8"/>
  <c r="H13" i="20" s="1"/>
  <c r="M8" i="8"/>
  <c r="G13" i="20" s="1"/>
  <c r="M7" i="8"/>
  <c r="F13" i="20" s="1"/>
  <c r="M6" i="8"/>
  <c r="E13" i="20" s="1"/>
  <c r="M5" i="8"/>
  <c r="D13" i="20" s="1"/>
  <c r="M4" i="8"/>
  <c r="C13" i="20" s="1"/>
  <c r="M3" i="8"/>
  <c r="B13" i="20" s="1"/>
  <c r="M2" i="8"/>
  <c r="M14" i="9"/>
  <c r="L12" i="20" s="1"/>
  <c r="M13" i="9"/>
  <c r="K12" i="20" s="1"/>
  <c r="M12" i="9"/>
  <c r="J12" i="20" s="1"/>
  <c r="M11" i="9"/>
  <c r="I12" i="20" s="1"/>
  <c r="M10" i="9"/>
  <c r="M9" i="9"/>
  <c r="H12" i="20" s="1"/>
  <c r="M8" i="9"/>
  <c r="G12" i="20" s="1"/>
  <c r="M7" i="9"/>
  <c r="F12" i="20" s="1"/>
  <c r="M6" i="9"/>
  <c r="E12" i="20" s="1"/>
  <c r="M5" i="9"/>
  <c r="D12" i="20" s="1"/>
  <c r="M4" i="9"/>
  <c r="C12" i="20" s="1"/>
  <c r="M3" i="9"/>
  <c r="B12" i="20" s="1"/>
  <c r="M2" i="9"/>
  <c r="M14" i="4"/>
  <c r="L11" i="20" s="1"/>
  <c r="M13" i="4"/>
  <c r="K11" i="20" s="1"/>
  <c r="M12" i="4"/>
  <c r="J11" i="20" s="1"/>
  <c r="J16" i="20" s="1"/>
  <c r="M11" i="4"/>
  <c r="I11" i="20" s="1"/>
  <c r="M10" i="4"/>
  <c r="M9" i="4"/>
  <c r="H11" i="20" s="1"/>
  <c r="M8" i="4"/>
  <c r="G11" i="20" s="1"/>
  <c r="M7" i="4"/>
  <c r="F11" i="20" s="1"/>
  <c r="M6" i="4"/>
  <c r="E11" i="20" s="1"/>
  <c r="M5" i="4"/>
  <c r="D11" i="20" s="1"/>
  <c r="M4" i="4"/>
  <c r="C11" i="20" s="1"/>
  <c r="M3" i="4"/>
  <c r="B11" i="20" s="1"/>
  <c r="M2" i="4"/>
  <c r="M14" i="18"/>
  <c r="L8" i="20" s="1"/>
  <c r="M13" i="18"/>
  <c r="K8" i="20" s="1"/>
  <c r="M12" i="18"/>
  <c r="J8" i="20" s="1"/>
  <c r="M11" i="18"/>
  <c r="I8" i="20" s="1"/>
  <c r="M10" i="18"/>
  <c r="M9" i="18"/>
  <c r="H8" i="20" s="1"/>
  <c r="M8" i="18"/>
  <c r="G8" i="20" s="1"/>
  <c r="M7" i="18"/>
  <c r="F8" i="20" s="1"/>
  <c r="M6" i="18"/>
  <c r="E8" i="20" s="1"/>
  <c r="M5" i="18"/>
  <c r="D8" i="20" s="1"/>
  <c r="M4" i="18"/>
  <c r="C8" i="20" s="1"/>
  <c r="M3" i="18"/>
  <c r="B8" i="20" s="1"/>
  <c r="M2" i="18"/>
  <c r="M14" i="14"/>
  <c r="L7" i="20" s="1"/>
  <c r="M13" i="14"/>
  <c r="K7" i="20" s="1"/>
  <c r="M12" i="14"/>
  <c r="J7" i="20" s="1"/>
  <c r="M11" i="14"/>
  <c r="I7" i="20" s="1"/>
  <c r="M10" i="14"/>
  <c r="M9" i="14"/>
  <c r="H7" i="20" s="1"/>
  <c r="M8" i="14"/>
  <c r="G7" i="20" s="1"/>
  <c r="M7" i="14"/>
  <c r="F7" i="20" s="1"/>
  <c r="M6" i="14"/>
  <c r="E7" i="20" s="1"/>
  <c r="M5" i="14"/>
  <c r="D7" i="20" s="1"/>
  <c r="M4" i="14"/>
  <c r="C7" i="20" s="1"/>
  <c r="M3" i="14"/>
  <c r="B7" i="20" s="1"/>
  <c r="M2" i="14"/>
  <c r="M14" i="6"/>
  <c r="L6" i="20" s="1"/>
  <c r="M13" i="6"/>
  <c r="K6" i="20" s="1"/>
  <c r="M12" i="6"/>
  <c r="J6" i="20" s="1"/>
  <c r="M11" i="6"/>
  <c r="I6" i="20" s="1"/>
  <c r="M10" i="6"/>
  <c r="M9" i="6"/>
  <c r="H6" i="20" s="1"/>
  <c r="M8" i="6"/>
  <c r="G6" i="20" s="1"/>
  <c r="M7" i="6"/>
  <c r="F6" i="20" s="1"/>
  <c r="M6" i="6"/>
  <c r="E6" i="20" s="1"/>
  <c r="M5" i="6"/>
  <c r="D6" i="20" s="1"/>
  <c r="M4" i="6"/>
  <c r="C6" i="20" s="1"/>
  <c r="M3" i="6"/>
  <c r="B6" i="20" s="1"/>
  <c r="M2" i="6"/>
  <c r="M14" i="10"/>
  <c r="L5" i="20" s="1"/>
  <c r="M13" i="10"/>
  <c r="K5" i="20" s="1"/>
  <c r="M12" i="10"/>
  <c r="J5" i="20" s="1"/>
  <c r="M11" i="10"/>
  <c r="I5" i="20" s="1"/>
  <c r="M10" i="10"/>
  <c r="M9" i="10"/>
  <c r="H5" i="20" s="1"/>
  <c r="M8" i="10"/>
  <c r="G5" i="20" s="1"/>
  <c r="M7" i="10"/>
  <c r="F5" i="20" s="1"/>
  <c r="M6" i="10"/>
  <c r="E5" i="20" s="1"/>
  <c r="M5" i="10"/>
  <c r="D5" i="20" s="1"/>
  <c r="M4" i="10"/>
  <c r="C5" i="20" s="1"/>
  <c r="M3" i="10"/>
  <c r="B5" i="20" s="1"/>
  <c r="M2" i="10"/>
  <c r="M14" i="11"/>
  <c r="L4" i="20" s="1"/>
  <c r="M13" i="11"/>
  <c r="K4" i="20" s="1"/>
  <c r="M12" i="11"/>
  <c r="J4" i="20" s="1"/>
  <c r="M11" i="11"/>
  <c r="I4" i="20" s="1"/>
  <c r="M10" i="11"/>
  <c r="M9" i="11"/>
  <c r="H4" i="20" s="1"/>
  <c r="M8" i="11"/>
  <c r="G4" i="20" s="1"/>
  <c r="M7" i="11"/>
  <c r="F4" i="20" s="1"/>
  <c r="M6" i="11"/>
  <c r="E4" i="20" s="1"/>
  <c r="M5" i="11"/>
  <c r="D4" i="20" s="1"/>
  <c r="M4" i="11"/>
  <c r="C4" i="20" s="1"/>
  <c r="M3" i="11"/>
  <c r="B4" i="20" s="1"/>
  <c r="M2" i="11"/>
  <c r="H16" i="20" l="1"/>
  <c r="G21" i="20"/>
  <c r="J21" i="20"/>
  <c r="H26" i="20"/>
  <c r="K26" i="20"/>
  <c r="M7" i="20"/>
  <c r="K16" i="20"/>
  <c r="I9" i="20"/>
  <c r="H21" i="20"/>
  <c r="M20" i="20"/>
  <c r="I21" i="20"/>
  <c r="L26" i="20"/>
  <c r="L21" i="20"/>
  <c r="J26" i="20"/>
  <c r="M25" i="20"/>
  <c r="F26" i="20"/>
  <c r="E26" i="20"/>
  <c r="C26" i="20"/>
  <c r="G26" i="20"/>
  <c r="M24" i="20"/>
  <c r="B26" i="20"/>
  <c r="M23" i="20"/>
  <c r="F21" i="20"/>
  <c r="M19" i="20"/>
  <c r="E21" i="20"/>
  <c r="B21" i="20"/>
  <c r="M18" i="20"/>
  <c r="M15" i="20"/>
  <c r="M14" i="20"/>
  <c r="L16" i="20"/>
  <c r="G16" i="20"/>
  <c r="M13" i="20"/>
  <c r="I16" i="20"/>
  <c r="M12" i="20"/>
  <c r="E16" i="20"/>
  <c r="D16" i="20"/>
  <c r="F16" i="20"/>
  <c r="C16" i="20"/>
  <c r="B16" i="20"/>
  <c r="M11" i="20"/>
  <c r="L9" i="20"/>
  <c r="M8" i="20"/>
  <c r="F9" i="20"/>
  <c r="J9" i="20"/>
  <c r="D9" i="20"/>
  <c r="H9" i="20"/>
  <c r="K9" i="20"/>
  <c r="M6" i="20"/>
  <c r="E9" i="20"/>
  <c r="C9" i="20"/>
  <c r="C28" i="20" s="1"/>
  <c r="G9" i="20"/>
  <c r="G28" i="20" s="1"/>
  <c r="M5" i="20"/>
  <c r="M4" i="20"/>
  <c r="B9" i="20"/>
  <c r="M2" i="1"/>
  <c r="K28" i="20" l="1"/>
  <c r="H28" i="20"/>
  <c r="I28" i="20"/>
  <c r="M21" i="20"/>
  <c r="J28" i="20"/>
  <c r="M26" i="20"/>
  <c r="L28" i="20"/>
  <c r="N16" i="20"/>
  <c r="E28" i="20"/>
  <c r="D28" i="20"/>
  <c r="F28" i="20"/>
  <c r="M16" i="20"/>
  <c r="N9" i="20"/>
  <c r="B28" i="20"/>
  <c r="M9" i="20"/>
  <c r="M28" i="20" l="1"/>
</calcChain>
</file>

<file path=xl/sharedStrings.xml><?xml version="1.0" encoding="utf-8"?>
<sst xmlns="http://schemas.openxmlformats.org/spreadsheetml/2006/main" count="33672" uniqueCount="8148">
  <si>
    <t>เลขที่คำขอ</t>
  </si>
  <si>
    <t>หมายเลข CA</t>
  </si>
  <si>
    <t>ชื่อผู้ใช้ไฟฟ้า</t>
  </si>
  <si>
    <t>วันที่ยื่นคำขอ</t>
  </si>
  <si>
    <t>กำลังการผลิต (kW)</t>
  </si>
  <si>
    <t>วันที่ชำระเงิน</t>
  </si>
  <si>
    <t>สถานะคำขอ</t>
  </si>
  <si>
    <t>พื้นที่ กฟฟ.</t>
  </si>
  <si>
    <t>PPIM18500BAD</t>
  </si>
  <si>
    <t>น.ส.ณัฏฐยา โพธิพีรนันท์</t>
  </si>
  <si>
    <t>-</t>
  </si>
  <si>
    <t>รอตรวจสอบแบบคำขอ</t>
  </si>
  <si>
    <t>กฟจ.นครปฐม</t>
  </si>
  <si>
    <t>PPIM18500B94</t>
  </si>
  <si>
    <t>นางสาวนพรัตน์ ทองกำเหนิด</t>
  </si>
  <si>
    <t>PPIM18500B7E</t>
  </si>
  <si>
    <t>น.ส.มยุลา ขันธสุวรรณ</t>
  </si>
  <si>
    <t>PPIM18500B78</t>
  </si>
  <si>
    <t>นางเฉลิมวงษ์ บรรจงจิตร์</t>
  </si>
  <si>
    <t>PPIM18500AAF</t>
  </si>
  <si>
    <t>นาย อรรถพล บุญมี</t>
  </si>
  <si>
    <t>PPIM1850097B</t>
  </si>
  <si>
    <t>นาย อภิชาติ เพชรนุ้ย</t>
  </si>
  <si>
    <t>PPIM1850092C</t>
  </si>
  <si>
    <t>พรภวิษย์ บุญศรีเมือง</t>
  </si>
  <si>
    <t>PPIM185006BC</t>
  </si>
  <si>
    <t>นางทองล้วน สาวทรัพย์</t>
  </si>
  <si>
    <t>PPIM185002C4</t>
  </si>
  <si>
    <t>นายวิชัย งามศิริจิตร</t>
  </si>
  <si>
    <t>PPIM185001D1</t>
  </si>
  <si>
    <t>นายสาธิต ชุมนุสนธิ์</t>
  </si>
  <si>
    <t>PPIM18500B80</t>
  </si>
  <si>
    <t>นายสันติ นิลดี</t>
  </si>
  <si>
    <t>กฟจ.สุพรรณบุรี</t>
  </si>
  <si>
    <t>PPIM185007F3</t>
  </si>
  <si>
    <t>นายสุเทพ พงษ์ไทย</t>
  </si>
  <si>
    <t>PPIM185005A9</t>
  </si>
  <si>
    <t>สุจิรา ศรีสวัสดิ์</t>
  </si>
  <si>
    <t>PPIM18500AEF</t>
  </si>
  <si>
    <t>พรพิมล ยุบลบัณฑิตกุล</t>
  </si>
  <si>
    <t>กฟอ.ท่าม่วง</t>
  </si>
  <si>
    <t>PPIM18500A89</t>
  </si>
  <si>
    <t>นายอนุชา วรหาญ</t>
  </si>
  <si>
    <t>กฟจ.กาญจนบุรี</t>
  </si>
  <si>
    <t>PPIM18500A4B</t>
  </si>
  <si>
    <t>นายสมใจ มาโนช</t>
  </si>
  <si>
    <t>กฟอ.ทองผาภูมิ</t>
  </si>
  <si>
    <t>PPIM18500A44</t>
  </si>
  <si>
    <t>นางทิพวรรณ สายรักษ์</t>
  </si>
  <si>
    <t>PPIM18500A14</t>
  </si>
  <si>
    <t>นายสุรพล ทองอนันต์</t>
  </si>
  <si>
    <t>PPIM185009BF</t>
  </si>
  <si>
    <t>นายทนง เซียวสุรัตน์</t>
  </si>
  <si>
    <t>กฟต.ลาดหญ้า</t>
  </si>
  <si>
    <t>PPIM185006C7</t>
  </si>
  <si>
    <t>พ.ต.อำพร พุ่มอ่อน</t>
  </si>
  <si>
    <t>PPIM185006C0</t>
  </si>
  <si>
    <t>นายอานันท์ สบายยิ่ง</t>
  </si>
  <si>
    <t>PPIM1850062D</t>
  </si>
  <si>
    <t>บริษัท เคที.อัลติเมท จำกัด</t>
  </si>
  <si>
    <t>PPIM18500569</t>
  </si>
  <si>
    <t>PPIM18500555</t>
  </si>
  <si>
    <t>ธีระวุฒิ สุดเอียด</t>
  </si>
  <si>
    <t>PPIM185004F1</t>
  </si>
  <si>
    <t>บริษัท โทรคมนาคมแห่งชาติ จำกัด (มหาชน) กาญจนบุรี</t>
  </si>
  <si>
    <t>PPIM1850041D</t>
  </si>
  <si>
    <t>นายธัญพิสิษฐ์ ศิริดำรงค์</t>
  </si>
  <si>
    <t>PPIM185002E9</t>
  </si>
  <si>
    <t>นาย ณัฐพล ศรีรงค์ทอง</t>
  </si>
  <si>
    <t>PPIM18500C22</t>
  </si>
  <si>
    <t>นางสาว ประภา ทวีศิริเวทย์</t>
  </si>
  <si>
    <t>กฟจ.สมุทรสาคร</t>
  </si>
  <si>
    <t>PPIM18500B42</t>
  </si>
  <si>
    <t>บริษัท ปิยะมิตร มอเตอร์ จำกัด</t>
  </si>
  <si>
    <t>PPIM18500AF0</t>
  </si>
  <si>
    <t>บริษัท ไพร์ม พลัส แอสเซ็ท จำกัด</t>
  </si>
  <si>
    <t>กฟส.ต.บางน้ำจืด</t>
  </si>
  <si>
    <t>PPIM18500A96</t>
  </si>
  <si>
    <t>บริษัท สี่มิตรมหาชัย จำกัด</t>
  </si>
  <si>
    <t>PPIM18500A02</t>
  </si>
  <si>
    <t>นาย ณัฐพงษ์ โฉมศุภางค์</t>
  </si>
  <si>
    <t>PPIM185009D8</t>
  </si>
  <si>
    <t>บริษัท กรุงเทพบ้านและที่ดิน จำกัด (มหาชน)</t>
  </si>
  <si>
    <t>PPIM18500980</t>
  </si>
  <si>
    <t>นาย เชวงศักดิ์ ปราโมทย์สิริ</t>
  </si>
  <si>
    <t>PPIM1850063C</t>
  </si>
  <si>
    <t>นาย ไชยา สันติสถิตพงศ์</t>
  </si>
  <si>
    <t>PPIM1850063B</t>
  </si>
  <si>
    <t>นายธเนศ รุ่งทองคำกุล</t>
  </si>
  <si>
    <t>PPIM185004C3</t>
  </si>
  <si>
    <t>นายธนัท วงษ์ชูแก้ว</t>
  </si>
  <si>
    <t>PPIM1850040A</t>
  </si>
  <si>
    <t>นางวิภารัตน์ สุภนานัย</t>
  </si>
  <si>
    <t>PPIM185003FA</t>
  </si>
  <si>
    <t>นางไอยวริญ รื่นโต</t>
  </si>
  <si>
    <t>PPIM185003E0</t>
  </si>
  <si>
    <t>นาย ศิวณัชฐกุล ไชยศร</t>
  </si>
  <si>
    <t>PPIM185003A0</t>
  </si>
  <si>
    <t>นาย คริษฐ์ ทศนุต</t>
  </si>
  <si>
    <t>PPIM185002F3</t>
  </si>
  <si>
    <t>นางสาว ดลฤดี รวยฟูพันธ์</t>
  </si>
  <si>
    <t>PPIM185002E6</t>
  </si>
  <si>
    <t>นางสาว วริศรา ไชยยันบูรณ์</t>
  </si>
  <si>
    <t>PPIM185002D0</t>
  </si>
  <si>
    <t>นาย ปัญญา ลิมปนะเศรษฐ์</t>
  </si>
  <si>
    <t>PPIM18500289</t>
  </si>
  <si>
    <t>นางสาว ลาวัลย์ ตรีอินทอง</t>
  </si>
  <si>
    <t>PPIM18500271</t>
  </si>
  <si>
    <t>PPIM1850022E</t>
  </si>
  <si>
    <t>นาง ศิริขวัญ จันธิวงค์</t>
  </si>
  <si>
    <t>PPIM185007C6</t>
  </si>
  <si>
    <t>นางสาวจุฑาทิพย์ ติยะวัชรพงศ์</t>
  </si>
  <si>
    <t>กฟอ.สามพราน</t>
  </si>
  <si>
    <t>PPIM185007C5</t>
  </si>
  <si>
    <t>นางเตือนจิตต์ แซ่เล้า</t>
  </si>
  <si>
    <t>PPIM18500394</t>
  </si>
  <si>
    <t>นางสุภัสรา อยู่สุข</t>
  </si>
  <si>
    <t>PPIM18500BCC</t>
  </si>
  <si>
    <t>สำนักงานสาธรณสุขอำเภอสองพี่น้อง</t>
  </si>
  <si>
    <t>กฟอ.สองพี่น้อง</t>
  </si>
  <si>
    <t>PPIM18500B7A</t>
  </si>
  <si>
    <t>บริษัท อู่ทอง พลังงาน จำกัด</t>
  </si>
  <si>
    <t>กฟอ.อู่ทอง</t>
  </si>
  <si>
    <t>PPIM18500A6C</t>
  </si>
  <si>
    <t>นายวิชัย สิทธิเกรียงไกร</t>
  </si>
  <si>
    <t>กฟต.สวนแตง</t>
  </si>
  <si>
    <t>PPIM18500A51</t>
  </si>
  <si>
    <t>นางสาวนันทา กิจพาณิชย์เจริญ</t>
  </si>
  <si>
    <t>กฟต.ทุ่งคอก</t>
  </si>
  <si>
    <t>PPIM18500A17</t>
  </si>
  <si>
    <t>นายอาทิตย์ พุ่มบุญฤทธิ์</t>
  </si>
  <si>
    <t>PPIM18500A08</t>
  </si>
  <si>
    <t>นางวันเพ็ญ กิตติพงศ์พัฒน์</t>
  </si>
  <si>
    <t>PPIM18500556</t>
  </si>
  <si>
    <t>น.ส.สกุณา ฉันทดิลก</t>
  </si>
  <si>
    <t>PPIM18500A94</t>
  </si>
  <si>
    <t>นาง นราทิพย์ รู้ทวีผล</t>
  </si>
  <si>
    <t>กฟอ.กระทุ่มแบน</t>
  </si>
  <si>
    <t>PPIM185009CF</t>
  </si>
  <si>
    <t>นายอรุณ มาพิทักษ์</t>
  </si>
  <si>
    <t>PPIM18500729</t>
  </si>
  <si>
    <t>นาย อรุณ มาพิทักษ์</t>
  </si>
  <si>
    <t>PPIM185003DE</t>
  </si>
  <si>
    <t>นางสาวจันทร์เพ็ญ แซ่เอี๊ยว</t>
  </si>
  <si>
    <t>PPIM18500C32</t>
  </si>
  <si>
    <t>บริษัทฮอนด้าอ้อมน้อยเซลล์แอนด์เซอร์วิสจำกัด</t>
  </si>
  <si>
    <t>กฟฟ.อ้อมน้อย</t>
  </si>
  <si>
    <t>PPIM18500BF8</t>
  </si>
  <si>
    <t>บริษัท ปตท. น้ำมันและการค้าปลีก จำกัด (มหาชน) (สาขาพุทธมณฑล สาย 5)</t>
  </si>
  <si>
    <t>PPIM18500B46</t>
  </si>
  <si>
    <t>นายกิตติ ช้างมิ่ง</t>
  </si>
  <si>
    <t>PPIM1850064E</t>
  </si>
  <si>
    <t>นางสาวตติยา อาจรี</t>
  </si>
  <si>
    <t>PPIM18500288</t>
  </si>
  <si>
    <t>นางสาวปณิชา วิเวชภูวนนท์</t>
  </si>
  <si>
    <t>PPIM185001BC</t>
  </si>
  <si>
    <t>นาง สำรวย สุรการค้า</t>
  </si>
  <si>
    <t>PPIM185001B8</t>
  </si>
  <si>
    <t>น.ส.ศิริพร กงประดิษฐ์</t>
  </si>
  <si>
    <t>PPIM18500BE7</t>
  </si>
  <si>
    <t>พรชัย จานิมิตร</t>
  </si>
  <si>
    <t>กฟอ.กำแพงแสน</t>
  </si>
  <si>
    <t>PPIM18500B60</t>
  </si>
  <si>
    <t>นางสาว ตรีสุคนธ์ ทองชัยเดช</t>
  </si>
  <si>
    <t>กฟอ.นครชัยศรี</t>
  </si>
  <si>
    <t>PPIM18500AFD</t>
  </si>
  <si>
    <t>นายสกนต์ อยู่พะเนียด</t>
  </si>
  <si>
    <t>นางประจิน มุกดาหาร</t>
  </si>
  <si>
    <t>PPIM18500133</t>
  </si>
  <si>
    <t>นางสำรวง สุขชื่นชม</t>
  </si>
  <si>
    <t>PPIM18500BE1</t>
  </si>
  <si>
    <t>นายศรีทัย แก้วชมเชย</t>
  </si>
  <si>
    <t>กฟต.บางหลวง</t>
  </si>
  <si>
    <t>PPIM18500BE0</t>
  </si>
  <si>
    <t>PPIM18500A1F</t>
  </si>
  <si>
    <t>นายธวัชชัย แก้วฉลวย</t>
  </si>
  <si>
    <t>กฟอ.บางเลน</t>
  </si>
  <si>
    <t>นางสาว พูลสวัสดิ์ สิงห์ดง</t>
  </si>
  <si>
    <t>ยกเลิก</t>
  </si>
  <si>
    <t>PPIM18500B08</t>
  </si>
  <si>
    <t>บริษัท ไพโรจน์-แสงทอง จำกัด</t>
  </si>
  <si>
    <t>PPIM185002D2</t>
  </si>
  <si>
    <t>ธีระศักดิ์ พรพงศธร</t>
  </si>
  <si>
    <t>กฟฟ.ท่าเรือ</t>
  </si>
  <si>
    <t>PPIM18500449</t>
  </si>
  <si>
    <t>นายประสิทธิ์ ธรรมเกษตรศรี</t>
  </si>
  <si>
    <t>กฟจ.สมุทรสาคร 2</t>
  </si>
  <si>
    <t>PPIM1850011B</t>
  </si>
  <si>
    <t>นาง วราภรณ์ อิงพงษ์พันธ์</t>
  </si>
  <si>
    <t>รอชำระเงิน</t>
  </si>
  <si>
    <t>PPIM18500CA6</t>
  </si>
  <si>
    <t>นาย รังษี ธนศิริพร</t>
  </si>
  <si>
    <t>กฟต.โคกขาม</t>
  </si>
  <si>
    <t>PPIM18500249</t>
  </si>
  <si>
    <t>นางชวนชื่น วาดวารี</t>
  </si>
  <si>
    <t>PPIM18500047</t>
  </si>
  <si>
    <t>ห้างหุ้นส่วนจำกัดพระมาโปรด</t>
  </si>
  <si>
    <t>PPIM18500BCD</t>
  </si>
  <si>
    <t>นาย อำนวย เนียมพูลทอง</t>
  </si>
  <si>
    <t>กฟอ.พุทธมณฑล</t>
  </si>
  <si>
    <t>PPIM185009A4</t>
  </si>
  <si>
    <t>อำนวย เนียมพูลทอง</t>
  </si>
  <si>
    <t>PPIM18500817</t>
  </si>
  <si>
    <t>นางสาว ศิริยุพา โชยจอหอ</t>
  </si>
  <si>
    <t>PPIM18500814</t>
  </si>
  <si>
    <t>ว่าที่ ร้อยตรี ภัคพล ปัญญาวุฒโฒ</t>
  </si>
  <si>
    <t>PPIM18500671</t>
  </si>
  <si>
    <t>นาง กัญพร เทพพิทักษ์</t>
  </si>
  <si>
    <t>PPIM18500364</t>
  </si>
  <si>
    <t>นางสาว จุไรรัตน์ สง่าอารีย์กูล</t>
  </si>
  <si>
    <t>PPIM18500360</t>
  </si>
  <si>
    <t>นาย สะอาด แสงเหลา</t>
  </si>
  <si>
    <t>นายสุธาร ศรีสุข</t>
  </si>
  <si>
    <t>รวม</t>
  </si>
  <si>
    <t>ราย</t>
  </si>
  <si>
    <t>บริษัท ซีพี ออลล์ จำกัด (มหาชน)</t>
  </si>
  <si>
    <t>บริษัท เชลล์แห่งประเทศไทย จำกัด</t>
  </si>
  <si>
    <t>บริษัท เบซ ยูส โคลส (ประเทศไทย)จำกัด</t>
  </si>
  <si>
    <t>บริษัท ช.เคมีไทย จำกัด</t>
  </si>
  <si>
    <t>สำนักงานสาธารณสุขอำเภอทองผาภูมิ</t>
  </si>
  <si>
    <t>โรงพยาบาลทองผาภูมิ</t>
  </si>
  <si>
    <t>นายสิทธิชัย เนตรประดิษฐ์</t>
  </si>
  <si>
    <t>กวว.</t>
  </si>
  <si>
    <t>กฟส.นครชัยศรี</t>
  </si>
  <si>
    <t>กฟส กำแพงแสน</t>
  </si>
  <si>
    <t>กฟส สามพราน</t>
  </si>
  <si>
    <t>กฟส บางเลน</t>
  </si>
  <si>
    <t>กฟส พุทธมณฑล</t>
  </si>
  <si>
    <t>กฟส.อ้อมน้อย</t>
  </si>
  <si>
    <t>กฟส.กระทุ่มแบน</t>
  </si>
  <si>
    <t>กฟส.สมุทรสาคร 2</t>
  </si>
  <si>
    <t>กฟส.โคกขาม</t>
  </si>
  <si>
    <t>กฟส.บ่อพลอย</t>
  </si>
  <si>
    <t>กฟส.ท่ามะกา</t>
  </si>
  <si>
    <t>กฟอ.เดิมบาง</t>
  </si>
  <si>
    <t>รอผู้ยื่นคำขอส่งเอกสารแก้ไข</t>
  </si>
  <si>
    <t>เชื่อมต่อเรียบร้อยแล้ว</t>
  </si>
  <si>
    <t>PPIM185007E7</t>
  </si>
  <si>
    <t>นายพรภวิษย์ บุญศรีเรือง</t>
  </si>
  <si>
    <t>PPIM185000F3</t>
  </si>
  <si>
    <t>PPIM185009F8</t>
  </si>
  <si>
    <t>นายมณฑล แวววับ</t>
  </si>
  <si>
    <t>PPIM185001AA</t>
  </si>
  <si>
    <t>นายมณฑล แววับ</t>
  </si>
  <si>
    <t>PPIM1850003B</t>
  </si>
  <si>
    <t>นาย กิติพงษ์ กิจเจริญ</t>
  </si>
  <si>
    <t>PPIM185001ED</t>
  </si>
  <si>
    <t>บริษัทเซ็นทรัลพัฒนา เรซซิเด้นซ์ จำกัด</t>
  </si>
  <si>
    <t>PPIM185001BD</t>
  </si>
  <si>
    <t>นาย ธนาวุธ เสรีสมนึก</t>
  </si>
  <si>
    <t>PPIM18500003</t>
  </si>
  <si>
    <t>นาย ณัฐสิฏฐ์ สุวรรณศิริพร</t>
  </si>
  <si>
    <t>PPIM18500171</t>
  </si>
  <si>
    <t>นางลำพึง อาภาวิวัฒน์กุล</t>
  </si>
  <si>
    <t>PPIM185000AF</t>
  </si>
  <si>
    <t>นาง ธนันณัฏฐ์ พูลเพิ่ม</t>
  </si>
  <si>
    <t>นาย วิรัช ชาญพานิชย์</t>
  </si>
  <si>
    <t>บริษัท ปตท. น้ำมันและการค้าปลีก จำกัด (มหาชน)</t>
  </si>
  <si>
    <t>รอตรวจสอบเอกสาร</t>
  </si>
  <si>
    <t>รอแจ้งแก้ไขเอกสาร</t>
  </si>
  <si>
    <t>รอแจ้งค่าใช้จ่าย</t>
  </si>
  <si>
    <t>รอชำระค่าใช้จ่าย</t>
  </si>
  <si>
    <t>แจ้งแก้ไขเอกสารแล้วเสร็จ</t>
  </si>
  <si>
    <t>บริษัทแก้ไขเอกสารแล้วเสร็จ</t>
  </si>
  <si>
    <t>รอแก้ไขหลังทดสอบ First Sync</t>
  </si>
  <si>
    <t>รอทดสอบ Relay</t>
  </si>
  <si>
    <t>รอนัดทดสอบ First Sync</t>
  </si>
  <si>
    <t>รอใบอนุญาต</t>
  </si>
  <si>
    <t>รอเปลี่ยนมิเตอร์กันถอย</t>
  </si>
  <si>
    <t>รอรายงานการติดตั้ง</t>
  </si>
  <si>
    <t>วันที่ยื่นแก้ไขคำขอ</t>
  </si>
  <si>
    <t>PPIM18500CF3</t>
  </si>
  <si>
    <t>บริษัท ไทยแลนด์ ออโต เซลส์ จำกัด</t>
  </si>
  <si>
    <t>PPIM18500F2F</t>
  </si>
  <si>
    <t>นาง นลินภัสร์ คชกิจจารักษ์</t>
  </si>
  <si>
    <t>PPIM18500F95</t>
  </si>
  <si>
    <t>นายภาษภูมิ พุทธไพศาล</t>
  </si>
  <si>
    <t>PPIM18500CF2</t>
  </si>
  <si>
    <t>นางสมจิตร ศรีเพ็ง</t>
  </si>
  <si>
    <t>PPIM18500DD0</t>
  </si>
  <si>
    <t>นางสาว ธัญญานุช ทองยอดพันธ์</t>
  </si>
  <si>
    <t>PPIM18500F86</t>
  </si>
  <si>
    <t>PPIM18500CDF</t>
  </si>
  <si>
    <t>บริษัท เคพีเอส คาเฟ่จำกัด</t>
  </si>
  <si>
    <t>PPIM18500E7A</t>
  </si>
  <si>
    <t>บริษัท เคพีเอส คาเฟ่ จำกัด</t>
  </si>
  <si>
    <t>PPIM18500EF3</t>
  </si>
  <si>
    <t>น.ส.กนก แจ่มเจริญ</t>
  </si>
  <si>
    <t>PPIM18500FC8</t>
  </si>
  <si>
    <t>รอ อนุมัติ</t>
  </si>
  <si>
    <t>PPIM18500E13</t>
  </si>
  <si>
    <t>นายศิริพงศ์ รักษาพงศ์</t>
  </si>
  <si>
    <t>PPIM18500CFF</t>
  </si>
  <si>
    <t>น.ส.เปรมจิต จันทราธรกุล</t>
  </si>
  <si>
    <t>PPIM18500D08</t>
  </si>
  <si>
    <t>PPIM18500D73</t>
  </si>
  <si>
    <t>PPIM18500D87</t>
  </si>
  <si>
    <t>นายวิเชยร บำเรอรักษ์</t>
  </si>
  <si>
    <t>PPIM18500D8D</t>
  </si>
  <si>
    <t>นายพีระ แซ่โค้ว</t>
  </si>
  <si>
    <t>PPIM18500DFE</t>
  </si>
  <si>
    <t>PPIM18500E2A</t>
  </si>
  <si>
    <t>PPIM18500E64</t>
  </si>
  <si>
    <t>กุลยา หมดจด</t>
  </si>
  <si>
    <t>PPIM18500EA5</t>
  </si>
  <si>
    <t>PPIM18500EEA</t>
  </si>
  <si>
    <t>นายวินัย จันทร์โชติ</t>
  </si>
  <si>
    <t>PPIM18500F60</t>
  </si>
  <si>
    <t>นาย อมร พรหมเภสัชสกุล</t>
  </si>
  <si>
    <t>PPIM18500DD3</t>
  </si>
  <si>
    <t>บริษัท ฮอนด้าอ้อมน้อย เซลล์ แอนด์ เซอร์วิส จำกัด</t>
  </si>
  <si>
    <t>PPIM18500EB8</t>
  </si>
  <si>
    <t>นางสาว ทราย สีนวล</t>
  </si>
  <si>
    <t>PPIM18500F04</t>
  </si>
  <si>
    <t>นางวิสสุตา เเตงสอาด</t>
  </si>
  <si>
    <t>PPIM18500F87</t>
  </si>
  <si>
    <t>นาวาโทหญิงจุฑารัตน์ นิ่มนวล</t>
  </si>
  <si>
    <t>PPIM18500E3E</t>
  </si>
  <si>
    <t>นายสายันต์ รื่นรวย</t>
  </si>
  <si>
    <t>PPIM18500DD1</t>
  </si>
  <si>
    <t>PPIM18500DFB</t>
  </si>
  <si>
    <t>นายรังษี ธนศืรืพร</t>
  </si>
  <si>
    <t>PPIM18500DFC</t>
  </si>
  <si>
    <t>นายรังษี ธนศิริพร</t>
  </si>
  <si>
    <t>PPIM18500DDD</t>
  </si>
  <si>
    <t>นาง ชวนชื่น วาดวารี</t>
  </si>
  <si>
    <t>PPIM18500EF4</t>
  </si>
  <si>
    <t>นาย ประวิทย์ สายทอง</t>
  </si>
  <si>
    <t>PPIM18500FCA</t>
  </si>
  <si>
    <t>อรทัยรัตน์ หุ่นเจริญ</t>
  </si>
  <si>
    <t>PPIM18500DFD</t>
  </si>
  <si>
    <t>PPIM18500E20</t>
  </si>
  <si>
    <t>บริษัท ซี แอนด์ พี ศิลาดล จำกัด</t>
  </si>
  <si>
    <t>PPIM18500DFF</t>
  </si>
  <si>
    <t>PPIM18500E39</t>
  </si>
  <si>
    <t>PPIM18500E8E</t>
  </si>
  <si>
    <t>PPIM18500F26</t>
  </si>
  <si>
    <t>บริษัท พีดับบลิวเอส คลินิก จำกัด</t>
  </si>
  <si>
    <t>PPIM185010C7</t>
  </si>
  <si>
    <t>น.ส.จิตระวี ขุนทอง</t>
  </si>
  <si>
    <t>PPIM185010E4</t>
  </si>
  <si>
    <t>บริษัท อินเตอร์เวชภัณฑ์ จำกัด</t>
  </si>
  <si>
    <t>PPIM1850111F</t>
  </si>
  <si>
    <t>อรรถพล บุญมี</t>
  </si>
  <si>
    <t>PPIM18501001</t>
  </si>
  <si>
    <t>นางแซ่เล็ก เลาศรีรัตนชัย</t>
  </si>
  <si>
    <t>PPIM185010C3</t>
  </si>
  <si>
    <t>นาย พลภัทร วัฒนพงษ์</t>
  </si>
  <si>
    <t>PPIM1850108F</t>
  </si>
  <si>
    <t>PPIM185010AD</t>
  </si>
  <si>
    <t>นางพรทิพย์ พงศ์สถาพร</t>
  </si>
  <si>
    <t>PPIM185010D8</t>
  </si>
  <si>
    <t>นางสาวศันสนีย์ สุขปาน</t>
  </si>
  <si>
    <t>กฟย.กาหลง</t>
  </si>
  <si>
    <t>PPIM185010E7</t>
  </si>
  <si>
    <t>PPIM1850110D</t>
  </si>
  <si>
    <t>นาย รุ่งนที กอบกิจวัฒนากูล</t>
  </si>
  <si>
    <t>PPIM18501019</t>
  </si>
  <si>
    <t>นาย ธนาภพ เสือสกุล</t>
  </si>
  <si>
    <t>(รวม รอ หผ / อก / ผจก อนุมัติ ด้วย)</t>
  </si>
  <si>
    <t>รวม กฟฟ</t>
  </si>
  <si>
    <t>สถานะผู้ยี่นขอขนานไฟกับ PEA บนระบบ PPIM ของ กฟฟ. จุดรวมงาน (กรณีไม่เกิน 20 kW)  (ราย)</t>
  </si>
  <si>
    <t>PPIM185011CE</t>
  </si>
  <si>
    <t>นายถวัลย์ พบลาภ</t>
  </si>
  <si>
    <t>PPIM18501311</t>
  </si>
  <si>
    <t>นายสมหวัง ฤทธิ์ณรงค์</t>
  </si>
  <si>
    <t>PPIM18501328</t>
  </si>
  <si>
    <t>นายโยธิน ชาวนาวิก</t>
  </si>
  <si>
    <t>PPIM18501367</t>
  </si>
  <si>
    <t>PPIM18501436</t>
  </si>
  <si>
    <t>PPIM18501437</t>
  </si>
  <si>
    <t>นายจิรภัทร มากบุญงาม</t>
  </si>
  <si>
    <t>PPIM18501382</t>
  </si>
  <si>
    <t>นาย ไตร ปริปุณณานนท์</t>
  </si>
  <si>
    <t>PPIM1850129E</t>
  </si>
  <si>
    <t>บริษัท วัสดุภัณฑ์คอนกรีต จำกัด</t>
  </si>
  <si>
    <t>PPIM18501312</t>
  </si>
  <si>
    <t>นายอธิพร กอวัฒนา</t>
  </si>
  <si>
    <t>PPIM185013C9</t>
  </si>
  <si>
    <t>นายชุมพล บุนนาค</t>
  </si>
  <si>
    <t>PPIM18501300</t>
  </si>
  <si>
    <t>วีรวรรณ ภูษณะพงษ์</t>
  </si>
  <si>
    <t>PPIM185013FA</t>
  </si>
  <si>
    <t>นาง บาหยัน สุพรรณมี</t>
  </si>
  <si>
    <t>PPIM18501203</t>
  </si>
  <si>
    <t>PPIM185013A3</t>
  </si>
  <si>
    <t>นายวิเชียร บำเรอรักษ์</t>
  </si>
  <si>
    <t>PPIM1850145D</t>
  </si>
  <si>
    <t>น.ส. ทิพวัลย์ วิชัยดิษฐ์</t>
  </si>
  <si>
    <t>PPIM185012F3</t>
  </si>
  <si>
    <t>นาย สุรชัย ทรัพย์ธนบูรณ์</t>
  </si>
  <si>
    <t>PPIM18501316</t>
  </si>
  <si>
    <t>นายปิยะพัฒน์ ตุลยากำจาย</t>
  </si>
  <si>
    <t>PPIM18501360</t>
  </si>
  <si>
    <t>บริษัท ฮอนด้าอ้อมน้อยเซลล์แอนด์เซอร์วิส จำกัด</t>
  </si>
  <si>
    <t>PPIM18501393</t>
  </si>
  <si>
    <t>PPIM18501458</t>
  </si>
  <si>
    <t>บริษัท เพชรเกษม 99 จำกัด</t>
  </si>
  <si>
    <t>PPIM1850149C</t>
  </si>
  <si>
    <t>PPIM185012B7</t>
  </si>
  <si>
    <t>นางสาว สุวิตา พฤกษอาภรณ์</t>
  </si>
  <si>
    <t>PPIM185012BF</t>
  </si>
  <si>
    <t>นางสาว นภาพร ตันฑุลานิ</t>
  </si>
  <si>
    <t>PPIM18501386</t>
  </si>
  <si>
    <t>นาย วิมล ขุนชำนิ</t>
  </si>
  <si>
    <t>PPIM185011D2</t>
  </si>
  <si>
    <t>นางธิดารัตน์ กีเลน</t>
  </si>
  <si>
    <t>กฟอ.ท่ามะกา</t>
  </si>
  <si>
    <t>PPIM18501320</t>
  </si>
  <si>
    <t>นายปรีดา ซิบเข</t>
  </si>
  <si>
    <t>PPIM18500004</t>
  </si>
  <si>
    <t>คุณ พสิษฐ์ ศรีวิไลเจริญ</t>
  </si>
  <si>
    <t>กฟอ.ดอนเจดีย์</t>
  </si>
  <si>
    <t>PPIM18500038</t>
  </si>
  <si>
    <t>นาง กนกนภา โกเล็ทส์</t>
  </si>
  <si>
    <t>PPIM1850003D</t>
  </si>
  <si>
    <t>นายชาติชาย การะเวก</t>
  </si>
  <si>
    <t>กฟอ.ศรีประจันต์</t>
  </si>
  <si>
    <t>PPIM185004E3</t>
  </si>
  <si>
    <t>วัดโพธิ์ลังกา</t>
  </si>
  <si>
    <t>กฟอ.บางปลาม้า</t>
  </si>
  <si>
    <t>PPIM185009F6</t>
  </si>
  <si>
    <t>ชาติชาย การะเวก</t>
  </si>
  <si>
    <t>PPIM18500A1E</t>
  </si>
  <si>
    <t>PPIM18500D10</t>
  </si>
  <si>
    <t>นางโรจนา สังขะไชย</t>
  </si>
  <si>
    <t>PPIM18500EA4</t>
  </si>
  <si>
    <t>PPIM18501028</t>
  </si>
  <si>
    <t>นาย พสิษฐ์ ศรีวิไลเจริญ</t>
  </si>
  <si>
    <t>PPIM185010E8</t>
  </si>
  <si>
    <t>นางสาว วรลักษณ์ ยุทธศักดิ์</t>
  </si>
  <si>
    <t>กฟอ.สามชุก</t>
  </si>
  <si>
    <t>PPIM1850113D</t>
  </si>
  <si>
    <t>วัดสัปรสเทส</t>
  </si>
  <si>
    <t>PPIM185011CC</t>
  </si>
  <si>
    <t>นางสาวเลิศลักษณ์ เพชรนรชาติ</t>
  </si>
  <si>
    <t>PPIM185012C1</t>
  </si>
  <si>
    <t>ห้างหุ้นส่วนจำกัด แม่สายบัว ฟู้ดแอนด์เบเกอรี่ 2018</t>
  </si>
  <si>
    <t>PPIM185014CB</t>
  </si>
  <si>
    <t>นายพิศิษฐ ศุภมัสดุอังกูร</t>
  </si>
  <si>
    <t>PPIM18501546</t>
  </si>
  <si>
    <t>PPIM185015D7</t>
  </si>
  <si>
    <t>นายเจริญชัย คล้ายทวน</t>
  </si>
  <si>
    <t>PPIM18501759</t>
  </si>
  <si>
    <t>สิริชัย นับดี</t>
  </si>
  <si>
    <t>PPIM18501835</t>
  </si>
  <si>
    <t>นาย บุญเตี้ยง มั่นคง</t>
  </si>
  <si>
    <t>PPIM18501866</t>
  </si>
  <si>
    <t>PPIM185018EE</t>
  </si>
  <si>
    <t>น.ส.เซาะไน้ แซ่ลี้</t>
  </si>
  <si>
    <t>PPIM18501A1C</t>
  </si>
  <si>
    <t>นายวิเชษฐ์ โรจนสุกาญจน</t>
  </si>
  <si>
    <t>PPIM18501A27</t>
  </si>
  <si>
    <t>นาย เสวย แก้วสมบูรณ์</t>
  </si>
  <si>
    <t>PPIM18501A2F</t>
  </si>
  <si>
    <t>นายนันทวัช พุทธคุณรักษา</t>
  </si>
  <si>
    <t>PPIM185015F8</t>
  </si>
  <si>
    <t>น.ส.ขนิษฐา บุษบา</t>
  </si>
  <si>
    <t>PPIM18501AB6</t>
  </si>
  <si>
    <t>นายศักรพงศ์ วุฒาพาณิชย์</t>
  </si>
  <si>
    <t>PPIM18501981</t>
  </si>
  <si>
    <t>นาง นันทิศา ชาติชาญชัย</t>
  </si>
  <si>
    <t>PPIM18501B47</t>
  </si>
  <si>
    <t>PPIM18501602</t>
  </si>
  <si>
    <t>นาย พิพัฒน์ ศิริชัย</t>
  </si>
  <si>
    <t>PPIM185016E0</t>
  </si>
  <si>
    <t>PPIM185016EA</t>
  </si>
  <si>
    <t>บริษัท เอสพี-วัน เมทัลชีท เทรดดิ้ง จำกัด</t>
  </si>
  <si>
    <t>PPIM18501758</t>
  </si>
  <si>
    <t>นันทิศา ชาติชาญชัย</t>
  </si>
  <si>
    <t>PPIM185018F0</t>
  </si>
  <si>
    <t>PPIM1850194C</t>
  </si>
  <si>
    <t>PPIM185019BB</t>
  </si>
  <si>
    <t>นายชนิต เหล่าขจรบุญ</t>
  </si>
  <si>
    <t>PPIM1850199F</t>
  </si>
  <si>
    <t>PPIM18501A88</t>
  </si>
  <si>
    <t>นายกุลชัย วิรุฬห์ภูติ</t>
  </si>
  <si>
    <t>PPIM18501A8B</t>
  </si>
  <si>
    <t>PPIM18501B33</t>
  </si>
  <si>
    <t>นายศิษฎี ศรคุปต์</t>
  </si>
  <si>
    <t>PPIM18501806</t>
  </si>
  <si>
    <t>นางสาวโสรยา งามไพลิน</t>
  </si>
  <si>
    <t>PPIM18501880</t>
  </si>
  <si>
    <t>ประพล แซ่เเต้</t>
  </si>
  <si>
    <t>PPIM185016D5</t>
  </si>
  <si>
    <t>นายโกวิท ห่วงเนาวกุล</t>
  </si>
  <si>
    <t>PPIM18501B5C</t>
  </si>
  <si>
    <t>PPIM185011EE</t>
  </si>
  <si>
    <t>PPIM185015E5</t>
  </si>
  <si>
    <t>PPIM185016CD</t>
  </si>
  <si>
    <t>PPIM18501744</t>
  </si>
  <si>
    <t>นายพณสรรค์ กิจสวัสดิ์</t>
  </si>
  <si>
    <t>PPIM185017E6</t>
  </si>
  <si>
    <t>นางกฤตพร สังข์รักษา</t>
  </si>
  <si>
    <t>PPIM18501A6B</t>
  </si>
  <si>
    <t>PPIM1850151F</t>
  </si>
  <si>
    <t>PPIM18501761</t>
  </si>
  <si>
    <t>นางสาว อรยุภา ทิพยานนท์</t>
  </si>
  <si>
    <t>PPIM18500FD5</t>
  </si>
  <si>
    <t>PPIM1850123E</t>
  </si>
  <si>
    <t>PPIM185012CA</t>
  </si>
  <si>
    <t>นางสาวชุติมา ศรีสันติเวศน์</t>
  </si>
  <si>
    <t>PPIM18501509</t>
  </si>
  <si>
    <t>นายวิสุทธิ์ แย้มเกษร</t>
  </si>
  <si>
    <t>PPIM185015DC</t>
  </si>
  <si>
    <t>PPIM18501764</t>
  </si>
  <si>
    <t>น.ส. ศิรินทรา จงพิพัฒนสุข</t>
  </si>
  <si>
    <t>PPIM18501972</t>
  </si>
  <si>
    <t>บริษัท จตุนภัส จำกัด</t>
  </si>
  <si>
    <t>PPIM18501975</t>
  </si>
  <si>
    <t>บริษัท ปาร์ตี้เตมัส จำกัด</t>
  </si>
  <si>
    <t>PPIM18501AC0</t>
  </si>
  <si>
    <t>นาย ศิวรุจน์ ศรีสำโรง</t>
  </si>
  <si>
    <t>PPIM185016A2</t>
  </si>
  <si>
    <t>บริษัท เทพกระจ่างพร จำกัด</t>
  </si>
  <si>
    <t>PPIM18501630</t>
  </si>
  <si>
    <t>นางน้ำทิพย์ พงศ์สถาพร</t>
  </si>
  <si>
    <t>PPIM18501808</t>
  </si>
  <si>
    <t>นางดวงกมล วีระทิพย์วงศ์</t>
  </si>
  <si>
    <t>PPIM18501697</t>
  </si>
  <si>
    <t>นาย เสริมศักดิ์ มหิทธิวาณิชชา</t>
  </si>
  <si>
    <t>PPIM185016B3</t>
  </si>
  <si>
    <t>นายอมร พรหมเภสัชสกุล</t>
  </si>
  <si>
    <t>PPIM18501A2D</t>
  </si>
  <si>
    <t>บริษัท ฮาร์เวย์ ซัคเซสฟูล แอนด์ ลักกี้ เรียลเอสเตท จำกัด</t>
  </si>
  <si>
    <t>PPIM18501AFE</t>
  </si>
  <si>
    <t>นายอำนาจ จันทร์รุญ</t>
  </si>
  <si>
    <t>PPIM18501B11</t>
  </si>
  <si>
    <t>บริษัท รีเฟอร์ อินเตอร์เนชั่นแนล ซีเอ จำกัด</t>
  </si>
  <si>
    <t>PPIM185015B4</t>
  </si>
  <si>
    <t>นายองอาจ อารีรัตนเวช</t>
  </si>
  <si>
    <t>PPIM185016EC</t>
  </si>
  <si>
    <t>นางสาวนุสรา เย็นสถิตย์</t>
  </si>
  <si>
    <t>PPIM1850173C</t>
  </si>
  <si>
    <t>บริษัท เอ็น.ซี.เฮ้าส์ซิ่ง จำกัด (มหาชน)</t>
  </si>
  <si>
    <t>PPIM185017E7</t>
  </si>
  <si>
    <t>PPIM18501893</t>
  </si>
  <si>
    <t>PPIM1850194F</t>
  </si>
  <si>
    <t>PPIM185019BA</t>
  </si>
  <si>
    <t>นาง จุฑารัตน์ นิ่มนวล</t>
  </si>
  <si>
    <t>PPIM18501A47</t>
  </si>
  <si>
    <t>น.ส. กมลลักษณ์ เพ็ญปฐม</t>
  </si>
  <si>
    <t>PPIM1850185C</t>
  </si>
  <si>
    <t>นางรำพึง มีน้อย</t>
  </si>
  <si>
    <t>PPIM18501889</t>
  </si>
  <si>
    <t>PPIM185018CB</t>
  </si>
  <si>
    <t>PPIM1850198E</t>
  </si>
  <si>
    <t>บริษัท ซิตี้ไลอ้อนสตีม จำกัด</t>
  </si>
  <si>
    <t>PPIM18501A4C</t>
  </si>
  <si>
    <t>นาย มาโนช สว่างโรจน์</t>
  </si>
  <si>
    <t>PPIM18501A7B</t>
  </si>
  <si>
    <t>นางสาวกัญญาภัค ฉ่ำอาลัย</t>
  </si>
  <si>
    <t>PPIM185017B0</t>
  </si>
  <si>
    <t>ณัฏฐ์สิณี โปรเทียรณ์</t>
  </si>
  <si>
    <t>PPIM18501873</t>
  </si>
  <si>
    <t>นายธัญญ์นิธิ รู้ขายวงศ์เจริญ</t>
  </si>
  <si>
    <t>PPIM185018DE</t>
  </si>
  <si>
    <t>นางสาว จิดาภา อุ้ยศิริพร</t>
  </si>
  <si>
    <t>PPIM18501930</t>
  </si>
  <si>
    <t>บจก.พีพี โฟรเซ่น ฟู๊ดส์ จำกัด</t>
  </si>
  <si>
    <t>PPIM18501B51</t>
  </si>
  <si>
    <t>นายประสิทธิ์ชัย มณฑา</t>
  </si>
  <si>
    <t>PPIM18501768</t>
  </si>
  <si>
    <t>PPIM1850199C</t>
  </si>
  <si>
    <t>บริษัท วงค์เจริญ วัสดุภัณฑ์เเละก่อสร้าง จำกัด</t>
  </si>
  <si>
    <t>กฟบ.ตลาดสำรอง</t>
  </si>
  <si>
    <t>PPIM18501560</t>
  </si>
  <si>
    <t>นางอัมพร สุขเจริญ</t>
  </si>
  <si>
    <t>กฟอ.เลาขวัญ</t>
  </si>
  <si>
    <t>PPIM185017FA</t>
  </si>
  <si>
    <t>นาย พิทวัส สังขมณี</t>
  </si>
  <si>
    <t>กฟอ.หนองปรือ</t>
  </si>
  <si>
    <t>PPIM18501863</t>
  </si>
  <si>
    <t>PPIM18501876</t>
  </si>
  <si>
    <t>นาย ปรีดา ซิบเข</t>
  </si>
  <si>
    <t>PPIM185019F7</t>
  </si>
  <si>
    <t>นายอาทิตย์ ปุญสิริ</t>
  </si>
  <si>
    <t>PPIM18501667</t>
  </si>
  <si>
    <t>นายสันติ ชาติพิศาล</t>
  </si>
  <si>
    <t>PPIM18501677</t>
  </si>
  <si>
    <t>PPIM18501B18</t>
  </si>
  <si>
    <t>นายแดง พิมพ์น้อย</t>
  </si>
  <si>
    <t>PPIM18501B36</t>
  </si>
  <si>
    <t>PPIM185014EC</t>
  </si>
  <si>
    <t>นางพิมพ์วิไล ไชยศักดิ์ภากาศ</t>
  </si>
  <si>
    <t>PPIM185015F7</t>
  </si>
  <si>
    <t>วิสูตร มูลใย</t>
  </si>
  <si>
    <t>PPIM18501620</t>
  </si>
  <si>
    <t>ชาตรี แก้วสุทธิพล</t>
  </si>
  <si>
    <t>PPIM18501765</t>
  </si>
  <si>
    <t>นายวิภาส แตงโสภา</t>
  </si>
  <si>
    <t>PPIM18501769</t>
  </si>
  <si>
    <t>PPIM185017BD</t>
  </si>
  <si>
    <t>นางสาวสิวินีย์ เต็มวิริยะนุกูล</t>
  </si>
  <si>
    <t>PPIM18501859</t>
  </si>
  <si>
    <t>นายบุญส่ง เภาเสน</t>
  </si>
  <si>
    <t>PPIM185018E3</t>
  </si>
  <si>
    <t>น.ส.ศิริกาญจน์ แซ่ฉิน</t>
  </si>
  <si>
    <t>PPIM18501901</t>
  </si>
  <si>
    <t>PPIM18501949</t>
  </si>
  <si>
    <t>นายเชาว์ เสาวลักษณ์</t>
  </si>
  <si>
    <t>PPIM18501A20</t>
  </si>
  <si>
    <t>นางจงจิตร บูรณะกนก</t>
  </si>
  <si>
    <t>PPIM18501A4F</t>
  </si>
  <si>
    <t>นางกาญจนา ไพศาลภาณุมาศ</t>
  </si>
  <si>
    <t>PPIM18501A98</t>
  </si>
  <si>
    <t>สำนักงานสาธารณสุขอำเภอดอนเจดีย์</t>
  </si>
  <si>
    <t>PPIM18501AB3</t>
  </si>
  <si>
    <t>ชำนาญ อินทร์ใจเอื้อ</t>
  </si>
  <si>
    <t>PPIM18501619</t>
  </si>
  <si>
    <t>นายสุเมธ กิจธนานุกูล</t>
  </si>
  <si>
    <t>PPIM18501886</t>
  </si>
  <si>
    <t>นาง กนกรัตน์ กลิ่นขจร</t>
  </si>
  <si>
    <t>PPIM185019B4</t>
  </si>
  <si>
    <t>นางสาวสมพร ขำเรือง</t>
  </si>
  <si>
    <t>PPIM18501B48</t>
  </si>
  <si>
    <t>นางสายพิน ชำนาญค้า</t>
  </si>
  <si>
    <t>PPIM18501BBE</t>
  </si>
  <si>
    <t>สุบิน ชิ้นประเสริฐ</t>
  </si>
  <si>
    <t>PPIM18501C39</t>
  </si>
  <si>
    <t>PPIM18501D69</t>
  </si>
  <si>
    <t>PPIM18501DD8</t>
  </si>
  <si>
    <t>นาย พิศิษฐ ศุภมัสดุอังกูร</t>
  </si>
  <si>
    <t>PPIM18501E95</t>
  </si>
  <si>
    <t>บริษัท เฮง เฮง ลิสซิ่ง จำกัด</t>
  </si>
  <si>
    <t>PPIM18501BC3</t>
  </si>
  <si>
    <t>บริษัท พีแอล โค่ย</t>
  </si>
  <si>
    <t>PPIM18501BF6</t>
  </si>
  <si>
    <t>น.ส.ธัญญานุช ทองยอดพันธ์</t>
  </si>
  <si>
    <t>PPIM18501C59</t>
  </si>
  <si>
    <t>PPIM18501E20</t>
  </si>
  <si>
    <t>นาย สิทธิพงษ์ ศิริสถิตย์</t>
  </si>
  <si>
    <t>PPIM18501CE0</t>
  </si>
  <si>
    <t>นาย กมลพัฒน์ จิระพันธ์ทิพย์</t>
  </si>
  <si>
    <t>PPIM18501D0C</t>
  </si>
  <si>
    <t>นายเฉลิมพร บุญขุนยัง</t>
  </si>
  <si>
    <t>PPIM18501D3F</t>
  </si>
  <si>
    <t>นาง รุจิรัตน์ ซิ้มเจริญ</t>
  </si>
  <si>
    <t>PPIM18501DDE</t>
  </si>
  <si>
    <t>PPIM18501E4C</t>
  </si>
  <si>
    <t>บริษัท เอสซอม จำกัด</t>
  </si>
  <si>
    <t>PPIM18501ECF</t>
  </si>
  <si>
    <t>PPIM18501C06</t>
  </si>
  <si>
    <t>บริษัท พีพีพี ออโต้ช็อป จำกัด</t>
  </si>
  <si>
    <t>PPIM18501C3C</t>
  </si>
  <si>
    <t>นางสาว ณัฐวี ดีเสมอ</t>
  </si>
  <si>
    <t>PPIM18501C43</t>
  </si>
  <si>
    <t>PPIM18501C4B</t>
  </si>
  <si>
    <t>นาย ประวิทย์ มณีสัมพันธ์</t>
  </si>
  <si>
    <t>PPIM18501C7B</t>
  </si>
  <si>
    <t>นายวุฒิชัย สุไพรศรี</t>
  </si>
  <si>
    <t>PPIM18501C8F</t>
  </si>
  <si>
    <t>บจก.เด่นชัยการเคหะและที่ดิน</t>
  </si>
  <si>
    <t>PPIM18501C92</t>
  </si>
  <si>
    <t>PPIM18501CA1</t>
  </si>
  <si>
    <t>บริษัท สยาม ซิตี้ เคมิคอลส์ จำกัด</t>
  </si>
  <si>
    <t>PPIM18501B8C</t>
  </si>
  <si>
    <t>นาง ศรุดา ขำสวัสดิ์</t>
  </si>
  <si>
    <t>PPIM18501C28</t>
  </si>
  <si>
    <t>นายอนุลาภ เลิศชาญชัยกุล</t>
  </si>
  <si>
    <t>PPIM18501C53</t>
  </si>
  <si>
    <t>นางสาวชุติกาญจน์ สุวรรณรัตน์</t>
  </si>
  <si>
    <t>PPIM18501C76</t>
  </si>
  <si>
    <t>PPIM18501BDF</t>
  </si>
  <si>
    <t>PPIM18501CE3</t>
  </si>
  <si>
    <t>PPIM18501CF0</t>
  </si>
  <si>
    <t>PPIM18501D05</t>
  </si>
  <si>
    <t>นางสาว สลิสา กุลกาญจนาวรรณ</t>
  </si>
  <si>
    <t>PPIM18501E90</t>
  </si>
  <si>
    <t>PPIM18501EEA</t>
  </si>
  <si>
    <t>PPIM18501DB2</t>
  </si>
  <si>
    <t>นายธมลพรรณ นิลทองคำ</t>
  </si>
  <si>
    <t>PPIM18501E9E</t>
  </si>
  <si>
    <t>นายปัญญา ฟักทองพันธ์</t>
  </si>
  <si>
    <t>PPIM18501D28</t>
  </si>
  <si>
    <t>นายไชยา ปิ่นแก้ว</t>
  </si>
  <si>
    <t>PPIM18501B82</t>
  </si>
  <si>
    <t>นายพิศักดิ์ ปิยะมาวดี</t>
  </si>
  <si>
    <t>PPIM18501BA3</t>
  </si>
  <si>
    <t>PPIM18501BD5</t>
  </si>
  <si>
    <t>PPIM18501EB6</t>
  </si>
  <si>
    <t>นายนพคุณ เตชะเพิ่มผล</t>
  </si>
  <si>
    <t>PPIM18501BCD</t>
  </si>
  <si>
    <t>PPIM18501CD7</t>
  </si>
  <si>
    <t>นายธนัชธีธัช อภิญวัฒนานนท์</t>
  </si>
  <si>
    <t>PPIM18501ED6</t>
  </si>
  <si>
    <t>สำนักงานทางหลวงที่ 12 สุพรรณบุรี</t>
  </si>
  <si>
    <t>PPIM18501D54</t>
  </si>
  <si>
    <t>นายรัตนะ ลิ้มจิตสมบรูณ์</t>
  </si>
  <si>
    <t>PPIM18501E2B</t>
  </si>
  <si>
    <t>นางสาวณัฐรินีย์ คล้ายมาลา</t>
  </si>
  <si>
    <t>PPIM18502034</t>
  </si>
  <si>
    <t>PPIM18502085</t>
  </si>
  <si>
    <t>น.ส.พุฒนันท์ วรโชติวริทธิ์ธร</t>
  </si>
  <si>
    <t>PPIM185020AA</t>
  </si>
  <si>
    <t>สมพร เหมือนประเสริฐ</t>
  </si>
  <si>
    <t>PPIM18501F40</t>
  </si>
  <si>
    <t>บริษัท กลุ่ม 15 จำกัด</t>
  </si>
  <si>
    <t>PPIM1850225F</t>
  </si>
  <si>
    <t>นาง ใหม่ ธรรมรักษา</t>
  </si>
  <si>
    <t>PPIM18501EF8</t>
  </si>
  <si>
    <t>นายนนทรัตน์ หอมศรีประเสริฐ</t>
  </si>
  <si>
    <t>PPIM185021EA</t>
  </si>
  <si>
    <t>ธนาคารออมสิน</t>
  </si>
  <si>
    <t>PPIM185022C7</t>
  </si>
  <si>
    <t>นางใหม่ ธรรมรักษา</t>
  </si>
  <si>
    <t>PPIM18501FB1</t>
  </si>
  <si>
    <t>บริษัท พีแอล โค่ย จำกัด</t>
  </si>
  <si>
    <t>PPIM18501FE1</t>
  </si>
  <si>
    <t>บริษัท วินเทค อะโกร จำกัด</t>
  </si>
  <si>
    <t>PPIM18501FF3</t>
  </si>
  <si>
    <t>PPIM18502038</t>
  </si>
  <si>
    <t>นายกลุชัย วิรุฬห์ภูติ5</t>
  </si>
  <si>
    <t>PPIM185020BD</t>
  </si>
  <si>
    <t>นายเดชาธร วงศ์สวรรค์</t>
  </si>
  <si>
    <t>PPIM18502129</t>
  </si>
  <si>
    <t>นาง รติกร เศรษฐพิทยากุล</t>
  </si>
  <si>
    <t>PPIM18502207</t>
  </si>
  <si>
    <t>PPIM185020A5</t>
  </si>
  <si>
    <t>นาวาอากาศเอกหญิง รัชนี ทองมี</t>
  </si>
  <si>
    <t>PPIM18502198</t>
  </si>
  <si>
    <t>PPIM185021DA</t>
  </si>
  <si>
    <t>PPIM18502149</t>
  </si>
  <si>
    <t>PPIM185021E3</t>
  </si>
  <si>
    <t>PPIM18502077</t>
  </si>
  <si>
    <t>บริษัท ทองไทย เอ็นจิเนียริ่ง (1992) จำกัด</t>
  </si>
  <si>
    <t>PPIM185020DD</t>
  </si>
  <si>
    <t>นายสมศักดิ์ สมกุล</t>
  </si>
  <si>
    <t>PPIM185021CB</t>
  </si>
  <si>
    <t>PPIM185021A1</t>
  </si>
  <si>
    <t>นางจรัญญา เขตต์ชลธาร</t>
  </si>
  <si>
    <t>PPIM1850222C</t>
  </si>
  <si>
    <t>ว่าที่ ร.ต.ภัคพล ปัญญาวุฒโฒ</t>
  </si>
  <si>
    <t>PPIM18501F96</t>
  </si>
  <si>
    <t>บริษัท ม้าทอง เทรดดิ้ง จำกัด</t>
  </si>
  <si>
    <t>PPIM18501FB6</t>
  </si>
  <si>
    <t>นางสาววันเพ็ญ กันสุวิโรว</t>
  </si>
  <si>
    <t>PPIM18501FBC</t>
  </si>
  <si>
    <t>นางสาว เปรมพรรณ พงษ์ธนาคม</t>
  </si>
  <si>
    <t>PPIM18501FCB</t>
  </si>
  <si>
    <t>ชัชชฏา เลิศลบธาตรี</t>
  </si>
  <si>
    <t>PPIM18502144</t>
  </si>
  <si>
    <t>นางพวงเพ็ชร อยู่ประพัฒน์</t>
  </si>
  <si>
    <t>PPIM185021F9</t>
  </si>
  <si>
    <t>บริษัท ฟู้ด เทค แฟคตอรี่ จำกัด</t>
  </si>
  <si>
    <t>PPIM18502299</t>
  </si>
  <si>
    <t>PPIM18502050</t>
  </si>
  <si>
    <t>สลิสา กุลกาญจนาวรรณ</t>
  </si>
  <si>
    <t>PPIM18502134</t>
  </si>
  <si>
    <t>นาย อนุลาภ เลิศชาญชัยกุล</t>
  </si>
  <si>
    <t>PPIM18501EF5</t>
  </si>
  <si>
    <t>PPIM18501FFC</t>
  </si>
  <si>
    <t>PPIM18502075</t>
  </si>
  <si>
    <t>PPIM185020B7</t>
  </si>
  <si>
    <t>PPIM185021C7</t>
  </si>
  <si>
    <t>นาย มานะศักดิ์ สุวรรณสาม</t>
  </si>
  <si>
    <t>PPIM18502234</t>
  </si>
  <si>
    <t>PPIM1850201D</t>
  </si>
  <si>
    <t>PPIM18501FCF</t>
  </si>
  <si>
    <t>นางยุพา ศักดิ์ศิลปอุดม</t>
  </si>
  <si>
    <t>PPIM18501FD2</t>
  </si>
  <si>
    <t>PPIM18502015</t>
  </si>
  <si>
    <t>นายสุระเกียรติ ลิปิวัฒนาการ</t>
  </si>
  <si>
    <t>PPIM18502240</t>
  </si>
  <si>
    <t>นางสาว พิจิตรา เคี่ยมสมุทร</t>
  </si>
  <si>
    <t>กฟต.คลองตัน</t>
  </si>
  <si>
    <t>PPIM1850202C</t>
  </si>
  <si>
    <t>ห้างหุ้นส่วนจำกัด พิบูลพงษ์</t>
  </si>
  <si>
    <t>PPIM18502130</t>
  </si>
  <si>
    <t>นาง ณัฏฐ์สินี โปรเทียรณ์</t>
  </si>
  <si>
    <t>PPIM18501F34</t>
  </si>
  <si>
    <t>นางสาว อนัญญา แสงทอง</t>
  </si>
  <si>
    <t>PPIM18501F92</t>
  </si>
  <si>
    <t>นาง มัลลิกา สพประสงค์</t>
  </si>
  <si>
    <t>PPIM18502168</t>
  </si>
  <si>
    <t>บริษัท แอล เอ็ม ครอปซายน์ จำกัด</t>
  </si>
  <si>
    <t>PPIM185021EC</t>
  </si>
  <si>
    <t>PPIM18502215</t>
  </si>
  <si>
    <t>น.ส.คำนึง เฟื่องฟุ้ง</t>
  </si>
  <si>
    <t>กฟอ.ด่านมะขามเตี้ย</t>
  </si>
  <si>
    <t>PPIM1850221A</t>
  </si>
  <si>
    <t>PPIM18502222</t>
  </si>
  <si>
    <t>นางสาวสิรินญา ธัญญาวุฒิเลิศ</t>
  </si>
  <si>
    <t>กฟอ.ไทรโยค</t>
  </si>
  <si>
    <t>PPIM18502099</t>
  </si>
  <si>
    <t>นาย สมนึก จีมานุษย์</t>
  </si>
  <si>
    <t>กฟอ.บ่อพลอย</t>
  </si>
  <si>
    <t>PPIM1850209C</t>
  </si>
  <si>
    <t>นาย ทนงค์ มาลัย</t>
  </si>
  <si>
    <t>PPIM1850217B</t>
  </si>
  <si>
    <t>บริษัท อินเตอร์โซล่า โซลูชั่น จำกัด</t>
  </si>
  <si>
    <t>PPIM18502287</t>
  </si>
  <si>
    <t>นาย บรรดาศักดิ์ อินทร์ทอง</t>
  </si>
  <si>
    <t>PPIM1850228B</t>
  </si>
  <si>
    <t>นาย ธเนศ สาลีรักษ์</t>
  </si>
  <si>
    <t>PPIM1850228D</t>
  </si>
  <si>
    <t>นาย ณัฐวุฒิ บริรักษ์ปฐมวี</t>
  </si>
  <si>
    <t>PPIM18501F36</t>
  </si>
  <si>
    <t>นางนฤมล พงษ์ไทย</t>
  </si>
  <si>
    <t>PPIM1850203B</t>
  </si>
  <si>
    <t>นาย สุทธิ โภควรรณวิทย์</t>
  </si>
  <si>
    <t>PPIM18502072</t>
  </si>
  <si>
    <t>สำนักงานสาธารณสุขอำเภอศรีประจันต์</t>
  </si>
  <si>
    <t>PPIM1850207F</t>
  </si>
  <si>
    <t>PPIM18502096</t>
  </si>
  <si>
    <t>นาย พิทักษ์ นุชนาฏ</t>
  </si>
  <si>
    <t>PPIM185020D7</t>
  </si>
  <si>
    <t>นายมานพ อิทธิสาร</t>
  </si>
  <si>
    <t>PPIM185022AC</t>
  </si>
  <si>
    <t>PPIM185022AE</t>
  </si>
  <si>
    <t>PPIM18502018</t>
  </si>
  <si>
    <t>นายอัครวัฒน์ สุญาณวานิชากุล</t>
  </si>
  <si>
    <t>PPIM18502293</t>
  </si>
  <si>
    <t>นาย วิเชียร เหลืองวัฒนวิไล</t>
  </si>
  <si>
    <t>PPIM185023B2</t>
  </si>
  <si>
    <t>นางสาวสมคิด ทรัพย์เล็ก</t>
  </si>
  <si>
    <t>PPIM185024E0</t>
  </si>
  <si>
    <t>นายกิตติศักดิ์ เสือกลิ่น</t>
  </si>
  <si>
    <t>PPIM18502604</t>
  </si>
  <si>
    <t>นาย อำนวย จันทร์เจริญกิจ</t>
  </si>
  <si>
    <t>PPIM18502678</t>
  </si>
  <si>
    <t>PPIM185023FB</t>
  </si>
  <si>
    <t>PPIM1850248D</t>
  </si>
  <si>
    <t>นายประพันธ์ อำพันโรจนานันท์</t>
  </si>
  <si>
    <t>PPIM1850291D</t>
  </si>
  <si>
    <t>บริษัท ทรู มูฟ เอช ยูนิเวอร์แซล คอมมิวนิเคชั่น จำกัด</t>
  </si>
  <si>
    <t>PPIM1850238C</t>
  </si>
  <si>
    <t>PPIM18502A96</t>
  </si>
  <si>
    <t>PPIM1850242B</t>
  </si>
  <si>
    <t>PPIM185024AE</t>
  </si>
  <si>
    <t>นางนันทิศา ชาติชาญชัย</t>
  </si>
  <si>
    <t>PPIM18502587</t>
  </si>
  <si>
    <t>PPIM18502609</t>
  </si>
  <si>
    <t>นาย พาท มีชำนาญ</t>
  </si>
  <si>
    <t>PPIM185027DC</t>
  </si>
  <si>
    <t>PPIM185028BD</t>
  </si>
  <si>
    <t>นายอินทร์จันทร์ บุราพันธ์</t>
  </si>
  <si>
    <t>PPIM18502998</t>
  </si>
  <si>
    <t>PPIM185029C2</t>
  </si>
  <si>
    <t>พีระ นนพิจิตร</t>
  </si>
  <si>
    <t>PPIM18502A82</t>
  </si>
  <si>
    <t>นายสมชาติ พรรณพัฒน์</t>
  </si>
  <si>
    <t>PPIM18502920</t>
  </si>
  <si>
    <t>PPIM1850232E</t>
  </si>
  <si>
    <t>PPIM18502484</t>
  </si>
  <si>
    <t>นายไพฑูลย์ หงษา</t>
  </si>
  <si>
    <t>PPIM18502512</t>
  </si>
  <si>
    <t>นางสาวชมพูนุท ทองม่วง</t>
  </si>
  <si>
    <t>PPIM1850260A</t>
  </si>
  <si>
    <t>บุศรา กรรณรัตนสูตร</t>
  </si>
  <si>
    <t>PPIM1850271D</t>
  </si>
  <si>
    <t>กิตติพงษ์ เชาวนวิรัตน์</t>
  </si>
  <si>
    <t>PPIM185028F5</t>
  </si>
  <si>
    <t>นางเตือนจิตต์ แช่เล้า</t>
  </si>
  <si>
    <t>PPIM18502814</t>
  </si>
  <si>
    <t>นายพลิศวร์ รัตนสวัสดิ์</t>
  </si>
  <si>
    <t>PPIM185028DB</t>
  </si>
  <si>
    <t>นางจุฑารัตน์ เสนาคำ</t>
  </si>
  <si>
    <t>PPIM18502958</t>
  </si>
  <si>
    <t>นาย ไพฑูลย์ หงษา</t>
  </si>
  <si>
    <t>PPIM18502962</t>
  </si>
  <si>
    <t>สมฤดี เนื้อนิ่ม</t>
  </si>
  <si>
    <t>PPIM185029CF</t>
  </si>
  <si>
    <t>บริษัท ตลาดสดฟาร์มสมบูรณ์ จำกัด</t>
  </si>
  <si>
    <t>PPIM18502A79</t>
  </si>
  <si>
    <t>นาง ศิริพรรณ จันธนะตระกูล</t>
  </si>
  <si>
    <t>PPIM18502670</t>
  </si>
  <si>
    <t>PPIM1850278E</t>
  </si>
  <si>
    <t>นายจีระศักดิ์ น้อยพันธุ์</t>
  </si>
  <si>
    <t>PPIM1850281D</t>
  </si>
  <si>
    <t>นางปุณญพร เทียมสุชาติ</t>
  </si>
  <si>
    <t>PPIM1850295C</t>
  </si>
  <si>
    <t>นายชัยนรินท์ ธนาสถิตย์วงษ์</t>
  </si>
  <si>
    <t>PPIM1850295D</t>
  </si>
  <si>
    <t>PPIM185024A0</t>
  </si>
  <si>
    <t>รพีพงศ์ คำวิลัย</t>
  </si>
  <si>
    <t>PPIM1850278F</t>
  </si>
  <si>
    <t>นายสมศักดิ์ ปิ่นภู่</t>
  </si>
  <si>
    <t>PPIM18502486</t>
  </si>
  <si>
    <t>นาย พรอุดม ลือสุขประเสริฐ</t>
  </si>
  <si>
    <t>PPIM185025B6</t>
  </si>
  <si>
    <t>บริษัท ไจแอนท์ เพาเวอร์ เทคโนโลยี จำกัด</t>
  </si>
  <si>
    <t>PPIM185025C2</t>
  </si>
  <si>
    <t>นาย ศตวรรษ ไตรยศักดา</t>
  </si>
  <si>
    <t>PPIM18502603</t>
  </si>
  <si>
    <t>บริษัท อินฟินิตี้ทูลส์เวิล์ด จำกัด</t>
  </si>
  <si>
    <t>PPIM18502662</t>
  </si>
  <si>
    <t>นาย ธีรยุทธ ศิริพิสิฐศักดิ์</t>
  </si>
  <si>
    <t>PPIM18502752</t>
  </si>
  <si>
    <t>PPIM185027FA</t>
  </si>
  <si>
    <t>นาย คริษฐ์ ฑศนุต</t>
  </si>
  <si>
    <t>PPIM18502931</t>
  </si>
  <si>
    <t>นางดวงแข สว่างไสว</t>
  </si>
  <si>
    <t>PPIM185029D1</t>
  </si>
  <si>
    <t>วงศกร วิพัฒนานันทกุล</t>
  </si>
  <si>
    <t>PPIM185029EA</t>
  </si>
  <si>
    <t>PPIM18502311</t>
  </si>
  <si>
    <t>บริษัท นำคนต่างด้าวมาทำงานในประเทศ โอเชี่ยนสยามเเอดวานซ์ จำกัด</t>
  </si>
  <si>
    <t>PPIM185023A0</t>
  </si>
  <si>
    <t>นายปกรณ์ หลินศุวนนท์</t>
  </si>
  <si>
    <t>PPIM18502435</t>
  </si>
  <si>
    <t>PPIM185025C4</t>
  </si>
  <si>
    <t>กรุณา จองวรรณศิริ</t>
  </si>
  <si>
    <t>PPIM185026CD</t>
  </si>
  <si>
    <t>นางศรุดา ขำสวัสดิ์</t>
  </si>
  <si>
    <t>PPIM18502728</t>
  </si>
  <si>
    <t>PPIM1850286C</t>
  </si>
  <si>
    <t>PPIM18502874</t>
  </si>
  <si>
    <t>PPIM185028AC</t>
  </si>
  <si>
    <t>PPIM185029BB</t>
  </si>
  <si>
    <t>บริษัท พงศกร กู๊ดคาร์ จำกัด</t>
  </si>
  <si>
    <t>PPIM18502A07</t>
  </si>
  <si>
    <t>PPIM18502A29</t>
  </si>
  <si>
    <t>PPIM18502A77</t>
  </si>
  <si>
    <t>บริษัท แอล.ไอ.เอ็ม.เอ็นจิเนียริ่ง จำกัด</t>
  </si>
  <si>
    <t>PPIM18502551</t>
  </si>
  <si>
    <t>PPIM18502592</t>
  </si>
  <si>
    <t>บริษัท พูนสิน คอนกรีต จำกัด</t>
  </si>
  <si>
    <t>PPIM18502957</t>
  </si>
  <si>
    <t>นาย อภิศักดิ์ อาภาแจ่มจรัส</t>
  </si>
  <si>
    <t>PPIM18502A8F</t>
  </si>
  <si>
    <t>PPIM18502562</t>
  </si>
  <si>
    <t>PPIM18502925</t>
  </si>
  <si>
    <t>PPIM1850237E</t>
  </si>
  <si>
    <t>นาย กฤษ จันทร์ขำ</t>
  </si>
  <si>
    <t>PPIM18502636</t>
  </si>
  <si>
    <t>ห้างหุ้นส่วนจำกัด พระมาโปรด</t>
  </si>
  <si>
    <t>PPIM1850265B</t>
  </si>
  <si>
    <t>นาย สมโชค ธาวนพงษ์</t>
  </si>
  <si>
    <t>PPIM18502A10</t>
  </si>
  <si>
    <t>กิจรุ่งเรืองวู๊ด</t>
  </si>
  <si>
    <t>PPIM18502A17</t>
  </si>
  <si>
    <t>สํานักงานสาธารณสุขจังหวัดสมุทรสาคร</t>
  </si>
  <si>
    <t>PPIM18502A45</t>
  </si>
  <si>
    <t>นางสาวธารีรัตน์ ลิ้มประเสริฐ</t>
  </si>
  <si>
    <t>PPIM18502A92</t>
  </si>
  <si>
    <t>รุ่งทิวา สุวรรณดิษฐ</t>
  </si>
  <si>
    <t>PPIM18502382</t>
  </si>
  <si>
    <t>นายนพคุณ เขียวมีชัย</t>
  </si>
  <si>
    <t>PPIM1850247B</t>
  </si>
  <si>
    <t>ที่ทำการปกครองอำเภอไทรโยค</t>
  </si>
  <si>
    <t>PPIM185025AF</t>
  </si>
  <si>
    <t>สำนักงานสาธารณสุข อำเภอทองผาภูมิ</t>
  </si>
  <si>
    <t>PPIM18502621</t>
  </si>
  <si>
    <t>นาง สุจิตต์ ศรีแดนจันทร์</t>
  </si>
  <si>
    <t>PPIM1850262C</t>
  </si>
  <si>
    <t>ที่ทำการปกครองอำเภอศรีสวัสดิ์</t>
  </si>
  <si>
    <t>กฟอ.ศรีสวัสดิ์</t>
  </si>
  <si>
    <t>PPIM18502733</t>
  </si>
  <si>
    <t>นางนารี โมสิกะ</t>
  </si>
  <si>
    <t>PPIM185026B3</t>
  </si>
  <si>
    <t>บริษัท ทรู มูฟ เอช ยูนิเวอร์แซลคอมมิวนิเคชั่น จำกัด</t>
  </si>
  <si>
    <t>PPIM185026BA</t>
  </si>
  <si>
    <t>PPIM185026BC</t>
  </si>
  <si>
    <t>PPIM185026BE</t>
  </si>
  <si>
    <t>PPIM185028E2</t>
  </si>
  <si>
    <t>นาง สุจิตต์ ศีลแดนจันทร์</t>
  </si>
  <si>
    <t>PPIM185028F3</t>
  </si>
  <si>
    <t>PPIM18502914</t>
  </si>
  <si>
    <t>PPIM18502580</t>
  </si>
  <si>
    <t>นาย ชัยวิชิต แซ่ฉั่ว</t>
  </si>
  <si>
    <t>PPIM1850259E</t>
  </si>
  <si>
    <t>PPIM185025A1</t>
  </si>
  <si>
    <t>บริษัท พลอยรุ่งกิจวัสดุภัณฑ์ จำกัด</t>
  </si>
  <si>
    <t>PPIM185025EF</t>
  </si>
  <si>
    <t>นายประกิต เกียรติกวินวงศ์</t>
  </si>
  <si>
    <t>PPIM18502808</t>
  </si>
  <si>
    <t>น.ส.ลัดดาวัลย์ ปีสิงห์</t>
  </si>
  <si>
    <t>PPIM18502A1F</t>
  </si>
  <si>
    <t>นายบุญช่วย พลเสน</t>
  </si>
  <si>
    <t>PPIM18502A7C</t>
  </si>
  <si>
    <t>องค์การบริหารส่วนตำบลหลุมรัง</t>
  </si>
  <si>
    <t>PPIM1850243A</t>
  </si>
  <si>
    <t>PPIM18502638</t>
  </si>
  <si>
    <t>วัดเขาสะพายแร้ง</t>
  </si>
  <si>
    <t>PPIM1850264F</t>
  </si>
  <si>
    <t>วัดดอนขมิ้น</t>
  </si>
  <si>
    <t>PPIM1850265C</t>
  </si>
  <si>
    <t>บริษัท เอ็ม เจ เอส อินเตอร์เนชั่นแนล จำกัด</t>
  </si>
  <si>
    <t>PPIM185026B9</t>
  </si>
  <si>
    <t>PPIM185026BF</t>
  </si>
  <si>
    <t>PPIM185026E5</t>
  </si>
  <si>
    <t>PPIM185026E6</t>
  </si>
  <si>
    <t>PPIM185024C0</t>
  </si>
  <si>
    <t>นางวราภัสร์ ธนเกียรติภากรณ์</t>
  </si>
  <si>
    <t>PPIM185024C1</t>
  </si>
  <si>
    <t>นางรุ่งทิพย์ สาธุพันธุ์</t>
  </si>
  <si>
    <t>PPIM185024C6</t>
  </si>
  <si>
    <t>นางวารี วงษ์พรม</t>
  </si>
  <si>
    <t>PPIM18502528</t>
  </si>
  <si>
    <t>สำนักงานเทศบาลตำบลดอนเจดีย์</t>
  </si>
  <si>
    <t>PPIM18502529</t>
  </si>
  <si>
    <t>ศูนย์พัฒนาเด็กสังกัดเทศบาลตำลบดอนเจดีย์</t>
  </si>
  <si>
    <t>PPIM18502614</t>
  </si>
  <si>
    <t>ที่ทำการปกครองอำเภอเมืองสุพรรณบุรี</t>
  </si>
  <si>
    <t>PPIM185026E9</t>
  </si>
  <si>
    <t>PPIM185026EB</t>
  </si>
  <si>
    <t>PPIM185026ED</t>
  </si>
  <si>
    <t>PPIM185026F0</t>
  </si>
  <si>
    <t>PPIM1850288A</t>
  </si>
  <si>
    <t>นาย สนม ศุภผ่องศรี</t>
  </si>
  <si>
    <t>PPIM1850293E</t>
  </si>
  <si>
    <t>นายประภัสสร ผลวงษ์</t>
  </si>
  <si>
    <t>PPIM185029A3</t>
  </si>
  <si>
    <t>นางจิรพรรณ ขำพงษ์ไผ่</t>
  </si>
  <si>
    <t>PPIM185029E5</t>
  </si>
  <si>
    <t>นายถวัลย์ ศรีวิบูลย์</t>
  </si>
  <si>
    <t>PPIM18502372</t>
  </si>
  <si>
    <t>นาย ปราโมทย์ ภู่เหมา</t>
  </si>
  <si>
    <t>PPIM18502374</t>
  </si>
  <si>
    <t>น.ส. ปิยะนุช โพธิสาร</t>
  </si>
  <si>
    <t>PPIM18502377</t>
  </si>
  <si>
    <t>น.ส. รัสมี ภู่เหมา</t>
  </si>
  <si>
    <t>PPIM185023DC</t>
  </si>
  <si>
    <t>PPIM18502421</t>
  </si>
  <si>
    <t>PPIM185028BC</t>
  </si>
  <si>
    <t>นางสาว พราว เมฆสัมพันธ์</t>
  </si>
  <si>
    <t>PPIM18502947</t>
  </si>
  <si>
    <t>องค์การบริหารส่วนตำบลบ้านกุ่ม</t>
  </si>
  <si>
    <t>PPIM185029CD</t>
  </si>
  <si>
    <t>น.ส.อรวรา ชิดชมนาท</t>
  </si>
  <si>
    <t>PPIM185029CE</t>
  </si>
  <si>
    <t>PPIM18502B54</t>
  </si>
  <si>
    <t>นาย ธรัฐพงษ์ รัตรสาร</t>
  </si>
  <si>
    <t>PPIM18502AF6</t>
  </si>
  <si>
    <t>นายสมจิตร พัตพงษ์</t>
  </si>
  <si>
    <t>PPIM18502C5D</t>
  </si>
  <si>
    <t>นายโกมล ทับทอง</t>
  </si>
  <si>
    <t>PPIM18502CE7</t>
  </si>
  <si>
    <t>นายสุรชาญ เศวตสุทธิพันธ์</t>
  </si>
  <si>
    <t>PPIM18502D08</t>
  </si>
  <si>
    <t>PPIM18502F25</t>
  </si>
  <si>
    <t>PPIM18502F31</t>
  </si>
  <si>
    <t>นายพีรพัทธ์ จิตราวิริยะกุล</t>
  </si>
  <si>
    <t>PPIM18502AC6</t>
  </si>
  <si>
    <t>PPIM18502B3B</t>
  </si>
  <si>
    <t>กุลชัย วิรุฬห์ภูติ</t>
  </si>
  <si>
    <t>PPIM18502B4F</t>
  </si>
  <si>
    <t>PPIM18502CA1</t>
  </si>
  <si>
    <t>นายพันธ์ศักดิ์ จันทร์ชู</t>
  </si>
  <si>
    <t>PPIM18502CF5</t>
  </si>
  <si>
    <t>นางสาวดวงดาว แสงสาด</t>
  </si>
  <si>
    <t>PPIM18502AF0</t>
  </si>
  <si>
    <t>บริษัท.โตฟู โออิชิ ฟู้ดส์โปรดัคท์ จำกัด</t>
  </si>
  <si>
    <t>PPIM18502AF1</t>
  </si>
  <si>
    <t>บริษัท แด๊บโก้ อินเตอร์เทรด จำกัด</t>
  </si>
  <si>
    <t>PPIM18502BD8</t>
  </si>
  <si>
    <t>น.ส. อภิรดี โพธิ์ถนอม</t>
  </si>
  <si>
    <t>PPIM18502D09</t>
  </si>
  <si>
    <t>นางสาวอำไพ ไทยสาครพันธ์</t>
  </si>
  <si>
    <t>PPIM18502D71</t>
  </si>
  <si>
    <t>นางสาวศรีกมล เเก้วศรีทัศน์</t>
  </si>
  <si>
    <t>PPIM18502B64</t>
  </si>
  <si>
    <t>นาง ภิญญาพัชญ์ พิพัฒน์ทนาการ</t>
  </si>
  <si>
    <t>PPIM18502E28</t>
  </si>
  <si>
    <t>นาย มงคล ตรีศิริพิศาล</t>
  </si>
  <si>
    <t>PPIM18502E6B</t>
  </si>
  <si>
    <t>PPIM18502E91</t>
  </si>
  <si>
    <t>นาย เดชา ชุณหเจริญ</t>
  </si>
  <si>
    <t>PPIM18502F9C</t>
  </si>
  <si>
    <t>อภิรดี โพธิ์ถนอม</t>
  </si>
  <si>
    <t>PPIM18502FD3</t>
  </si>
  <si>
    <t>บริษัท วี 45 กรุ๊ป จำกัด</t>
  </si>
  <si>
    <t>PPIM18502F6B</t>
  </si>
  <si>
    <t>เพชรพลอย อัครวัฒนวาณิช</t>
  </si>
  <si>
    <t>PPIM18502C64</t>
  </si>
  <si>
    <t>นายสุรชัย สินธพมหันต์</t>
  </si>
  <si>
    <t>PPIM18502C77</t>
  </si>
  <si>
    <t>น.ส.นงลักษณ์ พิริยไพรวงศ์</t>
  </si>
  <si>
    <t>PPIM18502CCC</t>
  </si>
  <si>
    <t>นางสาวธิดารัตน์ ทิพยรัตน์</t>
  </si>
  <si>
    <t>PPIM18502CE8</t>
  </si>
  <si>
    <t>นางสาวศิรินทรา จงพิพัฒนสุข</t>
  </si>
  <si>
    <t>PPIM18502D6A</t>
  </si>
  <si>
    <t>นายฐิติพันธ์ จันทร์หอม</t>
  </si>
  <si>
    <t>PPIM18502DE4</t>
  </si>
  <si>
    <t>นายสมชาย สว่างเเสนสุข</t>
  </si>
  <si>
    <t>PPIM18502B9D</t>
  </si>
  <si>
    <t>บริษัท มหาชัย ร่วมใจพัฒนา จำกัด</t>
  </si>
  <si>
    <t>PPIM18502BF9</t>
  </si>
  <si>
    <t>นายขุนทอง ฝาชัยภูมิ</t>
  </si>
  <si>
    <t>PPIM18502DC0</t>
  </si>
  <si>
    <t>นางสาวณัฐปาณี สายสุด</t>
  </si>
  <si>
    <t>PPIM18502E56</t>
  </si>
  <si>
    <t>บริษัท เอ็มเค โพลีเอสเตอร์เรซิ่น จำกัด</t>
  </si>
  <si>
    <t>PPIM18502E58</t>
  </si>
  <si>
    <t>PPIM18502E95</t>
  </si>
  <si>
    <t>นาย มนัส วงษ์ขันเมือง</t>
  </si>
  <si>
    <t>PPIM18502EC9</t>
  </si>
  <si>
    <t>บริษัท ดี-แลนด์ กรุ๊ป จำกัด</t>
  </si>
  <si>
    <t>PPIM18502F5F</t>
  </si>
  <si>
    <t>สรศักย์ สรัลพัศกร</t>
  </si>
  <si>
    <t>PPIM18502FCC</t>
  </si>
  <si>
    <t>นางสาวศิริลักษณ์ มณีประเสริฐ</t>
  </si>
  <si>
    <t>PPIM18502B2E</t>
  </si>
  <si>
    <t>บริษัท ปตท. น้ำมันและการค้าปลีก จำกัด (มหาชน) สาขา พุทธมณฑลสาย 5</t>
  </si>
  <si>
    <t>PPIM18502CA7</t>
  </si>
  <si>
    <t>นางกนกพร เทาศรีดี</t>
  </si>
  <si>
    <t>PPIM18502DE2</t>
  </si>
  <si>
    <t>PPIM18502E0C</t>
  </si>
  <si>
    <t>PPIM1850300B</t>
  </si>
  <si>
    <t>PPIM18502B83</t>
  </si>
  <si>
    <t>PPIM18502FD8</t>
  </si>
  <si>
    <t>น.ส. ธิดา วิมานวิจิตรศิลป์</t>
  </si>
  <si>
    <t>PPIM18502B1D</t>
  </si>
  <si>
    <t>ศาวงษ์ จุ้ยเจริญ</t>
  </si>
  <si>
    <t>PPIM18502E6E</t>
  </si>
  <si>
    <t>นาย วิโรจน์ แซ่ซื้อ</t>
  </si>
  <si>
    <t>PPIM18502E71</t>
  </si>
  <si>
    <t>นาย วัชรพงค์ ม่วงสวนขวัญ</t>
  </si>
  <si>
    <t>PPIM18502B18</t>
  </si>
  <si>
    <t>ธีรยุทธ ใจสุข</t>
  </si>
  <si>
    <t>PPIM18502BE5</t>
  </si>
  <si>
    <t>ที่ทำการปกครองอำเภอด่านมะขามเตี้ย</t>
  </si>
  <si>
    <t>PPIM18502C06</t>
  </si>
  <si>
    <t>PPIM18502D0F</t>
  </si>
  <si>
    <t>นางสาวเนาวรัตน์ จันทร์สวัสดิ์</t>
  </si>
  <si>
    <t>PPIM18502D28</t>
  </si>
  <si>
    <t>ที่ว่าการอำเภอพนมทวน</t>
  </si>
  <si>
    <t>กฟอ.พนมทวน</t>
  </si>
  <si>
    <t>PPIM18502E86</t>
  </si>
  <si>
    <t>นางรัตนา พฤกษการัณย์</t>
  </si>
  <si>
    <t>PPIM18502ECC</t>
  </si>
  <si>
    <t>นายวิชัย เกศวยุธ</t>
  </si>
  <si>
    <t>PPIM18502C0D</t>
  </si>
  <si>
    <t>ธนาคารเกียรตินาคินภัทร จำกัด (มหาชน)</t>
  </si>
  <si>
    <t>PPIM18502F8D</t>
  </si>
  <si>
    <t>PPIM18502FEE</t>
  </si>
  <si>
    <t>PPIM18502AC1</t>
  </si>
  <si>
    <t>นายสุขเกษม ว่องเจริญพร</t>
  </si>
  <si>
    <t>PPIM18502C1B</t>
  </si>
  <si>
    <t>PPIM18502D42</t>
  </si>
  <si>
    <t>นายกุสุมา เเม้นจิต</t>
  </si>
  <si>
    <t>PPIM18502B7D</t>
  </si>
  <si>
    <t>PPIM18502B49</t>
  </si>
  <si>
    <t>นายวินิตร์ กล้าหาญ</t>
  </si>
  <si>
    <t>PPIM18502BDB</t>
  </si>
  <si>
    <t>นายธีรศักดิ์ พิพัฒน์นรเศรษฐ์</t>
  </si>
  <si>
    <t>PPIM18502D75</t>
  </si>
  <si>
    <t>โรงเรียนวัดลาดน้ำขาว</t>
  </si>
  <si>
    <t>PPIM18502E37</t>
  </si>
  <si>
    <t>นางงามนุช อนุกูลวัฒนา</t>
  </si>
  <si>
    <t>PPIM18502E70</t>
  </si>
  <si>
    <t>นาง คนึง ชูพรหม</t>
  </si>
  <si>
    <t>PPIM18502E75</t>
  </si>
  <si>
    <t>นางสาว นพรัตน์ ชาวบ้านซ่อง</t>
  </si>
  <si>
    <t>PPIM18502BEE</t>
  </si>
  <si>
    <t>ที่ทำการปกครองอำเภอดอนเจดีย์</t>
  </si>
  <si>
    <t>PPIM18502CF7</t>
  </si>
  <si>
    <t>ที่ทำการปกครองอำเภอศรีประจันต์</t>
  </si>
  <si>
    <t>PPIM18502EAE</t>
  </si>
  <si>
    <t>นายมนต์ชัย มีนิล</t>
  </si>
  <si>
    <t>PPIM18502BC9</t>
  </si>
  <si>
    <t>ที่ทำการปกครองอำเภอสองพี่น้อง</t>
  </si>
  <si>
    <t>PPIM18502C6F</t>
  </si>
  <si>
    <t>นางบุญเรือน เดชาวิชิตเลิศ</t>
  </si>
  <si>
    <t>PPIM18502C7A</t>
  </si>
  <si>
    <t>นาง วาสนา ผิวเกลี้ยง</t>
  </si>
  <si>
    <t>PPIM18502C9A</t>
  </si>
  <si>
    <t>นายธีระ ศิรินาวี</t>
  </si>
  <si>
    <t>PPIM18502D29</t>
  </si>
  <si>
    <t>นายทวิชชัย นุ่นมะลังก์</t>
  </si>
  <si>
    <t>PPIM18502D63</t>
  </si>
  <si>
    <t>ว่าที่ ร.ต.หญิง ดวงพร สังขวรรณะ</t>
  </si>
  <si>
    <t>PPIM18502D91</t>
  </si>
  <si>
    <t>PPIM18503050</t>
  </si>
  <si>
    <t>นางกรองแก้ว จินดามรกฎ</t>
  </si>
  <si>
    <t>PPIM185030F9</t>
  </si>
  <si>
    <t>นางสาวทัศนวรรณ ศูนย์กลาง</t>
  </si>
  <si>
    <t>PPIM1850314B</t>
  </si>
  <si>
    <t>นางสาวสาธินีย์ จีรุวัฒนาภรณ์</t>
  </si>
  <si>
    <t>PPIM18503230</t>
  </si>
  <si>
    <t>PPIM185032B6</t>
  </si>
  <si>
    <t>PPIM185032DA</t>
  </si>
  <si>
    <t>นาง วิลาสินี สะสมทรัพย์</t>
  </si>
  <si>
    <t>PPIM18503382</t>
  </si>
  <si>
    <t>นายโสภณ จันทร์รังษี</t>
  </si>
  <si>
    <t>PPIM1850314E</t>
  </si>
  <si>
    <t>PPIM1850311A</t>
  </si>
  <si>
    <t>PPIM1850303C</t>
  </si>
  <si>
    <t>น.ต.พันธ์ศักดิ์ จันทรชู</t>
  </si>
  <si>
    <t>PPIM185030EB</t>
  </si>
  <si>
    <t>PPIM185030F4</t>
  </si>
  <si>
    <t>นางดวงดาว แสงสาด</t>
  </si>
  <si>
    <t>PPIM1850312B</t>
  </si>
  <si>
    <t>วัดสระมงคล</t>
  </si>
  <si>
    <t>PPIM18503131</t>
  </si>
  <si>
    <t>นายศุภเทพ ศรีสันต์</t>
  </si>
  <si>
    <t>PPIM185030A9</t>
  </si>
  <si>
    <t>บริษัท ชนะสุ พร๊อพเพอร์ตี๊ จำกัด</t>
  </si>
  <si>
    <t>PPIM185030ED</t>
  </si>
  <si>
    <t>นางสาวอภิรดี โพธิ์ถนอม</t>
  </si>
  <si>
    <t>PPIM18503119</t>
  </si>
  <si>
    <t>นาย สมคิด พาละแพน</t>
  </si>
  <si>
    <t>PPIM1850319C</t>
  </si>
  <si>
    <t>PPIM185031F4</t>
  </si>
  <si>
    <t>นายพรเทพ แสงบุญลือ</t>
  </si>
  <si>
    <t>PPIM18503255</t>
  </si>
  <si>
    <t>PPIM18503207</t>
  </si>
  <si>
    <t>นายประวุฒิ จิบโคกหวาย</t>
  </si>
  <si>
    <t>PPIM1850320A</t>
  </si>
  <si>
    <t>นายยศวริศ จิบโคกหวาย</t>
  </si>
  <si>
    <t>PPIM1850334A</t>
  </si>
  <si>
    <t>PPIM18503359</t>
  </si>
  <si>
    <t>นาย พลิศวร์ รัตนสวัสดิ์</t>
  </si>
  <si>
    <t>PPIM1850335E</t>
  </si>
  <si>
    <t>นายสมคิด พาละแพน</t>
  </si>
  <si>
    <t>PPIM18503085</t>
  </si>
  <si>
    <t>PPIM185032D6</t>
  </si>
  <si>
    <t>นาง กฤตพร สังข์รักษา</t>
  </si>
  <si>
    <t>PPIM1850339E</t>
  </si>
  <si>
    <t>นาย ณรงค์ศักดิ์ ค้าธัญญมงคล</t>
  </si>
  <si>
    <t>PPIM18503043</t>
  </si>
  <si>
    <t>PPIM185030CC</t>
  </si>
  <si>
    <t>ชลันธร สว่างแจ่ม</t>
  </si>
  <si>
    <t>PPIM18503145</t>
  </si>
  <si>
    <t>บริษัท ยูไนเต็ด โฮมส์ จำกัด</t>
  </si>
  <si>
    <t>PPIM18503184</t>
  </si>
  <si>
    <t>PPIM185031F3</t>
  </si>
  <si>
    <t>PPIM185031FD</t>
  </si>
  <si>
    <t>ไอยวริญ รื่นโต</t>
  </si>
  <si>
    <t>PPIM18503311</t>
  </si>
  <si>
    <t>นางทิพย์สุดา สัตย์ประกอบ</t>
  </si>
  <si>
    <t>PPIM18503375</t>
  </si>
  <si>
    <t>นายกิตติวัฒน์ เมษะสิทธิวิทย์</t>
  </si>
  <si>
    <t>PPIM185033A1</t>
  </si>
  <si>
    <t>บริษัท ปะการัง เซรามิค ซัพพลาย จำกัด</t>
  </si>
  <si>
    <t>PPIM185033C2</t>
  </si>
  <si>
    <t>PPIM1850302A</t>
  </si>
  <si>
    <t>PPIM1850303F</t>
  </si>
  <si>
    <t>บริษัท ซวงหงส์ จำกัด</t>
  </si>
  <si>
    <t>PPIM1850318F</t>
  </si>
  <si>
    <t>บริษัท เมก้า เซฟเวอร์ เอ็นจิเนียริ่ง แอนด์ ซัพพลาย จำกัด</t>
  </si>
  <si>
    <t>PPIM185031D9</t>
  </si>
  <si>
    <t>นางสาววัธนี ฉิมณรงค์</t>
  </si>
  <si>
    <t>PPIM185031E4</t>
  </si>
  <si>
    <t>นาย ธณัท กุลกาญจนาวรรณ</t>
  </si>
  <si>
    <t>PPIM1850331D</t>
  </si>
  <si>
    <t>PPIM1850334F</t>
  </si>
  <si>
    <t>สุรชัย ทรัพย์ชนบูรณ์</t>
  </si>
  <si>
    <t>PPIM185030BD</t>
  </si>
  <si>
    <t>นายแสน แสนอินเฮียง</t>
  </si>
  <si>
    <t>PPIM185030AE</t>
  </si>
  <si>
    <t>นายศักดา รัตนไพบูลย์</t>
  </si>
  <si>
    <t>PPIM18503165</t>
  </si>
  <si>
    <t>นางอัมพวรรณ วิมลเจริญสุข</t>
  </si>
  <si>
    <t>PPIM185031E5</t>
  </si>
  <si>
    <t>นายศิวกร จตุชัยธนากุล</t>
  </si>
  <si>
    <t>PPIM185033C9</t>
  </si>
  <si>
    <t>นายสถาพร พัวพันธ์</t>
  </si>
  <si>
    <t>PPIM185030AF</t>
  </si>
  <si>
    <t>ที่ว่าการอำเภอไทรโยค</t>
  </si>
  <si>
    <t>PPIM1850325C</t>
  </si>
  <si>
    <t>นางสาวรัสรินทร์ ปราชญ์สิตไชยกุล</t>
  </si>
  <si>
    <t>PPIM185033A7</t>
  </si>
  <si>
    <t>นางสาว ภคพร จงเจริญ</t>
  </si>
  <si>
    <t>PPIM18503291</t>
  </si>
  <si>
    <t>นาย โชคชัย วิจิตธำรงศักดิ์</t>
  </si>
  <si>
    <t>PPIM1850334B</t>
  </si>
  <si>
    <t>นาง รำพึง บุญขุนยัง</t>
  </si>
  <si>
    <t>PPIM1850316A</t>
  </si>
  <si>
    <t>นายชาตรี แก้วขวัญ</t>
  </si>
  <si>
    <t>PPIM185033C6</t>
  </si>
  <si>
    <t>PPIM18503036</t>
  </si>
  <si>
    <t>นางสาว กุสุมา เเม้นจิต</t>
  </si>
  <si>
    <t>PPIM185030D2</t>
  </si>
  <si>
    <t>PPIM18503236</t>
  </si>
  <si>
    <t>PPIM1850310D</t>
  </si>
  <si>
    <t>นายนิคม ช่างเกวียนดี</t>
  </si>
  <si>
    <t>PPIM1850322E</t>
  </si>
  <si>
    <t>PPIM18503240</t>
  </si>
  <si>
    <t>ที่ว่าการอำเภอเมืองสุพรรณบุรี</t>
  </si>
  <si>
    <t>PPIM185032F0</t>
  </si>
  <si>
    <t>เทศบาลตำบลท้าวอู่ทอง</t>
  </si>
  <si>
    <t>PPIM18503479</t>
  </si>
  <si>
    <t>นางสุปัญญา แสนชมภู</t>
  </si>
  <si>
    <t>PPIM185033F2</t>
  </si>
  <si>
    <t>นายวุฒสิษฏ์ เเก้วไกรเพชร์</t>
  </si>
  <si>
    <t>PPIM1850340E</t>
  </si>
  <si>
    <t>วัดสระกะเทียม</t>
  </si>
  <si>
    <t>PPIM185035A1</t>
  </si>
  <si>
    <t>PPIM185035FC</t>
  </si>
  <si>
    <t>นางอุ้ยจู้ สมบัติพูนผล</t>
  </si>
  <si>
    <t>PPIM18503518</t>
  </si>
  <si>
    <t>นายเจษฎา เดชสกุลฤทธิ์</t>
  </si>
  <si>
    <t>PPIM185034A5</t>
  </si>
  <si>
    <t>PPIM1850350C</t>
  </si>
  <si>
    <t>นางสาว เพียงทิพย์ ลาโภดม</t>
  </si>
  <si>
    <t>PPIM18503483</t>
  </si>
  <si>
    <t>PPIM18503857</t>
  </si>
  <si>
    <t>นายโฆษิต สาตนุรักษ์</t>
  </si>
  <si>
    <t>PPIM1850385A</t>
  </si>
  <si>
    <t>นายเริงชาย ธนะเกียรติไกร</t>
  </si>
  <si>
    <t>PPIM1850342C</t>
  </si>
  <si>
    <t>PPIM185034DB</t>
  </si>
  <si>
    <t>PPIM185034F1</t>
  </si>
  <si>
    <t>PPIM18503503</t>
  </si>
  <si>
    <t>PPIM18503821</t>
  </si>
  <si>
    <t>PPIM18503870</t>
  </si>
  <si>
    <t>PPIM185034AD</t>
  </si>
  <si>
    <t>ประวีร์รัชย์ ศรีตรัย</t>
  </si>
  <si>
    <t>PPIM185033CD</t>
  </si>
  <si>
    <t>PPIM1850350B</t>
  </si>
  <si>
    <t>นาง พัชราภรณ์ บางชมภู</t>
  </si>
  <si>
    <t>PPIM1850363B</t>
  </si>
  <si>
    <t>PPIM185036FD</t>
  </si>
  <si>
    <t>อิสระ บุญยัง</t>
  </si>
  <si>
    <t>PPIM185033D2</t>
  </si>
  <si>
    <t>PPIM1850347D</t>
  </si>
  <si>
    <t>นางสาว สุรณา ชัยวรพร</t>
  </si>
  <si>
    <t>PPIM185034C4</t>
  </si>
  <si>
    <t>PPIM1850357D</t>
  </si>
  <si>
    <t>บริษัท โอเค อิงค์เจ็ท จำกัด</t>
  </si>
  <si>
    <t>PPIM18503585</t>
  </si>
  <si>
    <t>PPIM185035A9</t>
  </si>
  <si>
    <t>PPIM185035EA</t>
  </si>
  <si>
    <t>PPIM18503632</t>
  </si>
  <si>
    <t>PPIM18503633</t>
  </si>
  <si>
    <t>PPIM18503669</t>
  </si>
  <si>
    <t>PPIM1850372B</t>
  </si>
  <si>
    <t>PPIM18503741</t>
  </si>
  <si>
    <t>PPIM185037D1</t>
  </si>
  <si>
    <t>นางวัชรินทร์ จงศิริโรจน์กุล</t>
  </si>
  <si>
    <t>PPIM185037F5</t>
  </si>
  <si>
    <t>PPIM18503850</t>
  </si>
  <si>
    <t>นายวรพงษ์ ฐิติมนตระกูล</t>
  </si>
  <si>
    <t>PPIM18503874</t>
  </si>
  <si>
    <t>PPIM185033D0</t>
  </si>
  <si>
    <t>PPIM18503486</t>
  </si>
  <si>
    <t>PPIM18503558</t>
  </si>
  <si>
    <t>บริษัท ไฮ ปั๊ม จำกัด</t>
  </si>
  <si>
    <t>PPIM185034BC</t>
  </si>
  <si>
    <t>กัษมี อัครเมธีกุล</t>
  </si>
  <si>
    <t>PPIM185037BF</t>
  </si>
  <si>
    <t>บริษัท ปิโตรเลียมไทยคอร์ปอเรชั่น จำกัด</t>
  </si>
  <si>
    <t>PPIM1850341D</t>
  </si>
  <si>
    <t>นายอิทธิพล ตันดิลก</t>
  </si>
  <si>
    <t>PPIM18503668</t>
  </si>
  <si>
    <t>นางกัญญ์วรัทย์ ศิริสังข์ไชย</t>
  </si>
  <si>
    <t>PPIM18503506</t>
  </si>
  <si>
    <t>นายสมเกียรติ ภูมิชัยสุวรรณ์</t>
  </si>
  <si>
    <t>PPIM18503443</t>
  </si>
  <si>
    <t>PPIM185034AF</t>
  </si>
  <si>
    <t>นาย เสรี เศรษฐกร</t>
  </si>
  <si>
    <t>PPIM18503520</t>
  </si>
  <si>
    <t>PPIM18503594</t>
  </si>
  <si>
    <t>นางสาว น้ำทิพย์ หนูนันท์</t>
  </si>
  <si>
    <t>PPIM18503597</t>
  </si>
  <si>
    <t>สุวิชช์ โพธิ์ทอง</t>
  </si>
  <si>
    <t>PPIM185035B0</t>
  </si>
  <si>
    <t>นางสาว ศิริรัตน์ สุภาพ</t>
  </si>
  <si>
    <t>PPIM18503548</t>
  </si>
  <si>
    <t>สำนักงานเทศบาลตำบลหนองตากยา</t>
  </si>
  <si>
    <t>PPIM185035B3</t>
  </si>
  <si>
    <t>ที่ทำการปกครองอำเภอพนมทวน (ที่ว่าการอำเภอพนมทวน)</t>
  </si>
  <si>
    <t>PPIM185035FA</t>
  </si>
  <si>
    <t>นาย อานนท์ นนทารักษ์</t>
  </si>
  <si>
    <t>PPIM18503695</t>
  </si>
  <si>
    <t>PPIM18503707</t>
  </si>
  <si>
    <t>นางสาว รุ่งนภา เซี่ยงเห็น</t>
  </si>
  <si>
    <t>PPIM18503762</t>
  </si>
  <si>
    <t>สหกรณ์การเกษตรด่านมะขามเตี้ย จำกัด</t>
  </si>
  <si>
    <t>PPIM18503528</t>
  </si>
  <si>
    <t>นาง จีระวรรณ พงษ์วิทยภานุ</t>
  </si>
  <si>
    <t>PPIM1850377F</t>
  </si>
  <si>
    <t>นายเทพชัย มากกลิ่น</t>
  </si>
  <si>
    <t>PPIM185034FF</t>
  </si>
  <si>
    <t>นาวสาว ชลกนก คงศิริ</t>
  </si>
  <si>
    <t>PPIM185035A4</t>
  </si>
  <si>
    <t>ที่ว่าการอำเภอศรีสวัสดิ์</t>
  </si>
  <si>
    <t>PPIM185035FF</t>
  </si>
  <si>
    <t>นาย วรชัย จันทร์สุรินทร์</t>
  </si>
  <si>
    <t>กฟอ.ห้วยกระเจา</t>
  </si>
  <si>
    <t>PPIM18503852</t>
  </si>
  <si>
    <t>PPIM18503445</t>
  </si>
  <si>
    <t>PPIM18503739</t>
  </si>
  <si>
    <t>นาย มงคล กิตติศักดิ์</t>
  </si>
  <si>
    <t>PPIM18503766</t>
  </si>
  <si>
    <t>น.ส.ลดาวัลย์ อรุณขจรศักดิ์</t>
  </si>
  <si>
    <t>PPIM1850385B</t>
  </si>
  <si>
    <t>นายมนัส โลหะวิทยวิกรานต์</t>
  </si>
  <si>
    <t>PPIM1850355B</t>
  </si>
  <si>
    <t>นายโสภาค เหมือนเงิน</t>
  </si>
  <si>
    <t>PPIM18503422</t>
  </si>
  <si>
    <t>นางมาธิณี ไดแอล</t>
  </si>
  <si>
    <t>PPIM185035AC</t>
  </si>
  <si>
    <t>บริษัท ศรีธงชัย ครีเอท จำกัด</t>
  </si>
  <si>
    <t>PPIM18503AAC</t>
  </si>
  <si>
    <t>บริษัท ซีพี ออลล์ จำกัด (มหาชน) สาขา PTTOR ธรรมศาลา</t>
  </si>
  <si>
    <t>PPIM18503ABC</t>
  </si>
  <si>
    <t>บริษัท ปตท. น้ำมันและการค้าปลีก จำกัด (มหาชน) สาขา ธรรมศาลา</t>
  </si>
  <si>
    <t>PPIM18503ACE</t>
  </si>
  <si>
    <t>นายบัญชา ลิ้มประเสริฐยิ่ง</t>
  </si>
  <si>
    <t>PPIM18503B24</t>
  </si>
  <si>
    <t>นายเศรษฐศักดิ์ ทับทอง</t>
  </si>
  <si>
    <t>PPIM18503B82</t>
  </si>
  <si>
    <t>พล.ต.วิชา ทัศยาพันธุ์</t>
  </si>
  <si>
    <t>PPIM18503B1C</t>
  </si>
  <si>
    <t>พงศกร กู๊ดคาร์ จำกัด</t>
  </si>
  <si>
    <t>PPIM18503C05</t>
  </si>
  <si>
    <t>น.ส.นิสากร กระแจเหิน</t>
  </si>
  <si>
    <t>PPIM185039F8</t>
  </si>
  <si>
    <t>นางธรรมรัตน์ ประเสริฐมรรก</t>
  </si>
  <si>
    <t>PPIM18503A26</t>
  </si>
  <si>
    <t>นายธวัช พานทอง</t>
  </si>
  <si>
    <t>PPIM18503A8C</t>
  </si>
  <si>
    <t>สาธารณสุข อำเภอสามพราน</t>
  </si>
  <si>
    <t>PPIM18503ADD</t>
  </si>
  <si>
    <t>นางเยาวลักษณ์ โสตถิพันธุ์</t>
  </si>
  <si>
    <t>PPIM18503AEE</t>
  </si>
  <si>
    <t>PPIM18503B08</t>
  </si>
  <si>
    <t>นายพัฒนะ แต้มคงคา</t>
  </si>
  <si>
    <t>PPIM18503B3F</t>
  </si>
  <si>
    <t>นาย วีรวัฒน์ ชะวาเขียว</t>
  </si>
  <si>
    <t>PPIM1850397F</t>
  </si>
  <si>
    <t>PPIM18503B8A</t>
  </si>
  <si>
    <t>PPIM18503BB3</t>
  </si>
  <si>
    <t>นางสุรัตน์ ไชยพันธุ์</t>
  </si>
  <si>
    <t>PPIM18503A0C</t>
  </si>
  <si>
    <t>นาย สม อัศวรุ่งฤกษ์</t>
  </si>
  <si>
    <t>PPIM18503BDD</t>
  </si>
  <si>
    <t>นาย ณัฐพงศ์ ทรัพย์เย็น</t>
  </si>
  <si>
    <t>PPIM185038B2</t>
  </si>
  <si>
    <t>บริษัทเมก้า เซฟเวอร์ แอนด์ ซัพพลาย จำกัด</t>
  </si>
  <si>
    <t>PPIM18503923</t>
  </si>
  <si>
    <t>นางสาว สุรัสวดี ฤากิจ</t>
  </si>
  <si>
    <t>PPIM185039A1</t>
  </si>
  <si>
    <t>PPIM185039C1</t>
  </si>
  <si>
    <t>นางสาวกมลชนก ปั้นย้อย</t>
  </si>
  <si>
    <t>PPIM185039E4</t>
  </si>
  <si>
    <t>น.ส.ชุติกาญจน์ สุวรรณรัตน์</t>
  </si>
  <si>
    <t>PPIM185039EC</t>
  </si>
  <si>
    <t>PPIM18503A4F</t>
  </si>
  <si>
    <t>PPIM18503A5B</t>
  </si>
  <si>
    <t>PPIM18503AA1</t>
  </si>
  <si>
    <t>นาย วรพงษ์ ฐิติมนตระกูล</t>
  </si>
  <si>
    <t>PPIM18503AAA</t>
  </si>
  <si>
    <t>นางศิวริน อาจสว่าง</t>
  </si>
  <si>
    <t>PPIM18503ACD</t>
  </si>
  <si>
    <t>PPIM18503B3E</t>
  </si>
  <si>
    <t>PPIM18503B6A</t>
  </si>
  <si>
    <t>PPIM18503BAF</t>
  </si>
  <si>
    <t>สุรัสวดี ฤากิจ</t>
  </si>
  <si>
    <t>PPIM18503C16</t>
  </si>
  <si>
    <t>PPIM185039E9</t>
  </si>
  <si>
    <t>นางสมพิศ นักรบ</t>
  </si>
  <si>
    <t>PPIM18503A1D</t>
  </si>
  <si>
    <t>นางสาวกฤติยาภรณ์ พิมพ์สวัสดิ์</t>
  </si>
  <si>
    <t>PPIM185038D1</t>
  </si>
  <si>
    <t>นางปราณี รอดคง</t>
  </si>
  <si>
    <t>PPIM185038F1</t>
  </si>
  <si>
    <t>นางวันวิสาข์ มาศิริ</t>
  </si>
  <si>
    <t>PPIM1850390E</t>
  </si>
  <si>
    <t>นางกรกนก จันทร์ศิริยานันท์</t>
  </si>
  <si>
    <t>PPIM18503B19</t>
  </si>
  <si>
    <t>นางชลธิชา พัฒนพิฑูรย์</t>
  </si>
  <si>
    <t>PPIM1850387E</t>
  </si>
  <si>
    <t>นางจุฬารัตน์ ตาระการ</t>
  </si>
  <si>
    <t>PPIM185038B0</t>
  </si>
  <si>
    <t>บริษัท วิลล่า ลา ฟลอร่า จำกัด</t>
  </si>
  <si>
    <t>PPIM18503990</t>
  </si>
  <si>
    <t>บริษัท เอราวัณ ฮ็อป อินน์ จำกัด</t>
  </si>
  <si>
    <t>PPIM185039A9</t>
  </si>
  <si>
    <t>นาง จรูญลักษณ์ พลอยเพ็ชร์</t>
  </si>
  <si>
    <t>PPIM185039AD</t>
  </si>
  <si>
    <t>บริษัท ทวีทรัพย์อนันต์ จำกัด</t>
  </si>
  <si>
    <t>PPIM185039F3</t>
  </si>
  <si>
    <t>ห้างหุ้นส่วนจำกัด พินิจ วิศวภัณฑ์</t>
  </si>
  <si>
    <t>PPIM1850387F</t>
  </si>
  <si>
    <t>PPIM18503AAF</t>
  </si>
  <si>
    <t>ที่ว่าการอำเภอห้วยกระเจา</t>
  </si>
  <si>
    <t>PPIM18503AB2</t>
  </si>
  <si>
    <t>ที่ว่าการอำเภอเมืองกาญจนบุรี</t>
  </si>
  <si>
    <t>PPIM18503B51</t>
  </si>
  <si>
    <t>บริษัท เอ็มพี.สตีล(2019) จำกัด</t>
  </si>
  <si>
    <t>PPIM18503900</t>
  </si>
  <si>
    <t>นางอุไร คุณานันทกุล</t>
  </si>
  <si>
    <t>PPIM18503C14</t>
  </si>
  <si>
    <t>นาย ชนกานต์ แก้วอยู่</t>
  </si>
  <si>
    <t>PPIM18503C22</t>
  </si>
  <si>
    <t>ที่ทำการปกครองอำเภอท่าม่วง</t>
  </si>
  <si>
    <t>PPIM18503BE1</t>
  </si>
  <si>
    <t>นายชากร จิตดำรงขันติ</t>
  </si>
  <si>
    <t>PPIM18503B4F</t>
  </si>
  <si>
    <t>PPIM18503BF3</t>
  </si>
  <si>
    <t>นายธีระศักดิ์ พรพงศธร</t>
  </si>
  <si>
    <t>PPIM18503C0C</t>
  </si>
  <si>
    <t>นาย ภาคภูมิ สามพรานไพบูลย์</t>
  </si>
  <si>
    <t>PPIM18503887</t>
  </si>
  <si>
    <t>บริษัทปิโตรเลียมไทยคอร์ปอเรชั่น จำกัด</t>
  </si>
  <si>
    <t>PPIM185038C1</t>
  </si>
  <si>
    <t>นางสาวมัฏฐภัสสร เปิ่นศรีรักษ์</t>
  </si>
  <si>
    <t>PPIM18503937</t>
  </si>
  <si>
    <t>ที่ว่าการอำเภอศรีประจันต์</t>
  </si>
  <si>
    <t>PPIM185039DE</t>
  </si>
  <si>
    <t>นางกฤษฎิ์นิชา นุชนารถ</t>
  </si>
  <si>
    <t>PPIM18503B10</t>
  </si>
  <si>
    <t>อัมพร โอบชนธีร์</t>
  </si>
  <si>
    <t>PPIM18503B13</t>
  </si>
  <si>
    <t>นายศิพนนท์ สนทิศปัญญา</t>
  </si>
  <si>
    <t>PPIM18503B86</t>
  </si>
  <si>
    <t>PPIM18503BB0</t>
  </si>
  <si>
    <t>นายไพโรจน์ สวัสดิยากร</t>
  </si>
  <si>
    <t>PPIM18503BED</t>
  </si>
  <si>
    <t>บริษัท ซีพี ออลล์ จำกัด (มหาชน) สาขา OR Space สุพรรณบุรี</t>
  </si>
  <si>
    <t>PPIM18503A8D</t>
  </si>
  <si>
    <t>PPIM18503D7D</t>
  </si>
  <si>
    <t>นายสมชาย ลือเวศย์วณิช</t>
  </si>
  <si>
    <t>PPIM18503DB9</t>
  </si>
  <si>
    <t>นางสุพิชาณัฐ จารุศิริพิพัฒน์</t>
  </si>
  <si>
    <t>PPIM18503DCB</t>
  </si>
  <si>
    <t>บริษัท บางจาก คอร์ปอเรชั่น จำกัด (มหาชน) สาขาเพชรเกษม ขาเข้า กม.61 เมือง, นครปฐม</t>
  </si>
  <si>
    <t>PPIM18503DE7</t>
  </si>
  <si>
    <t>หจก. เค.พี.ลีฟวิ่ง โฮม</t>
  </si>
  <si>
    <t>PPIM18503E7E</t>
  </si>
  <si>
    <t>PPIM18503F25</t>
  </si>
  <si>
    <t>นางสมถวิล สร้อยทอง</t>
  </si>
  <si>
    <t>PPIM18503F52</t>
  </si>
  <si>
    <t>PPIM18503EF4</t>
  </si>
  <si>
    <t>นายอภิชาติ เพชรนุ้ย</t>
  </si>
  <si>
    <t>PPIM185040F2</t>
  </si>
  <si>
    <t>บริษัท ธนาคารกรุงไทย จำกัด (มหาชน)</t>
  </si>
  <si>
    <t>PPIM18504126</t>
  </si>
  <si>
    <t>PPIM1850418A</t>
  </si>
  <si>
    <t>นางสาวดาน้อย คีตลักษณ์</t>
  </si>
  <si>
    <t>PPIM18504190</t>
  </si>
  <si>
    <t>นาง บัวลัย วัฒนเถมิน</t>
  </si>
  <si>
    <t>PPIM185041B9</t>
  </si>
  <si>
    <t>นาย สมชาย เพียรพัฒน์กุล</t>
  </si>
  <si>
    <t>PPIM185042D3</t>
  </si>
  <si>
    <t>ดาลัด พิสุทธิวงษ์</t>
  </si>
  <si>
    <t>PPIM18503C54</t>
  </si>
  <si>
    <t>สำนักงานเทศบาลตำบลห้วยพลู</t>
  </si>
  <si>
    <t>PPIM18503E8F</t>
  </si>
  <si>
    <t>PPIM18503F74</t>
  </si>
  <si>
    <t>ชนัชรัดดา สุทธาธะระ</t>
  </si>
  <si>
    <t>PPIM18503F79</t>
  </si>
  <si>
    <t>นายอินจันทร์ บุราพันธ์</t>
  </si>
  <si>
    <t>PPIM18504037</t>
  </si>
  <si>
    <t>นาย สุเมธ เวชวิบูลย์</t>
  </si>
  <si>
    <t>PPIM185040AE</t>
  </si>
  <si>
    <t>ที่ว่าการอำเภอนครชัยศรี</t>
  </si>
  <si>
    <t>PPIM185042E4</t>
  </si>
  <si>
    <t>บริษัท เชส เอ็นเตอร์ไพรส์ (สยาม) จำกัด</t>
  </si>
  <si>
    <t>PPIM18504407</t>
  </si>
  <si>
    <t>นายคเชนทร์ ปรีชา</t>
  </si>
  <si>
    <t>PPIM18503CCA</t>
  </si>
  <si>
    <t>PPIM18503E73</t>
  </si>
  <si>
    <t>นางสาวศิริวรรณ พึ่งประชา</t>
  </si>
  <si>
    <t>PPIM18503E82</t>
  </si>
  <si>
    <t>บริษัท ทรู มูฟ เอช ยูนิเวอร์แซล คอมมิวนิเคชั่นจำกัด</t>
  </si>
  <si>
    <t>PPIM18503FCE</t>
  </si>
  <si>
    <t>PPIM18504038</t>
  </si>
  <si>
    <t>น.ส.ชลลดา พันธุ์โพธิ์</t>
  </si>
  <si>
    <t>PPIM185040A4</t>
  </si>
  <si>
    <t>PPIM185041D7</t>
  </si>
  <si>
    <t>ธนาคารออมสิน สาขากำแพงแสน</t>
  </si>
  <si>
    <t>PPIM185042B8</t>
  </si>
  <si>
    <t>นาย เสริม มีผิวหอม</t>
  </si>
  <si>
    <t>PPIM1850433F</t>
  </si>
  <si>
    <t>บริษัท ดี.ดี อินฟราสตรัคเจอร์ จำกัด</t>
  </si>
  <si>
    <t>PPIM185043D7</t>
  </si>
  <si>
    <t>ที่ว่าการอำเภอกำแพงแสน</t>
  </si>
  <si>
    <t>PPIM18503C8B</t>
  </si>
  <si>
    <t>PPIM18503D4A</t>
  </si>
  <si>
    <t>สำนักงานสาธารณสุขอำเภอสามพราน</t>
  </si>
  <si>
    <t>PPIM18503E58</t>
  </si>
  <si>
    <t>PPIM18503FF7</t>
  </si>
  <si>
    <t>ชลอ พุฒเจริญ</t>
  </si>
  <si>
    <t>PPIM18504093</t>
  </si>
  <si>
    <t>PPIM185040D0</t>
  </si>
  <si>
    <t>PPIM18504137</t>
  </si>
  <si>
    <t>PPIM18504147</t>
  </si>
  <si>
    <t>PPIM1850415F</t>
  </si>
  <si>
    <t>นางศิริพรรณ จันธนะตระกูล</t>
  </si>
  <si>
    <t>PPIM1850416F</t>
  </si>
  <si>
    <t>PPIM18504287</t>
  </si>
  <si>
    <t>PPIM18504290</t>
  </si>
  <si>
    <t>นาง นฤมล สิริชื่นสุวรรณ</t>
  </si>
  <si>
    <t>PPIM185042A2</t>
  </si>
  <si>
    <t>PPIM1850430A</t>
  </si>
  <si>
    <t>PPIM1850437E</t>
  </si>
  <si>
    <t>น.ส.ธัญญรัศม์ โชตศิริพัชรกุล</t>
  </si>
  <si>
    <t>PPIM18504398</t>
  </si>
  <si>
    <t>PPIM185043AA</t>
  </si>
  <si>
    <t>นางเยาวลักษณ์ เสียงเจริญ</t>
  </si>
  <si>
    <t>PPIM185043BB</t>
  </si>
  <si>
    <t>PPIM18503E93</t>
  </si>
  <si>
    <t>PPIM1850401E</t>
  </si>
  <si>
    <t>โรงเรียนวัดลำพญา</t>
  </si>
  <si>
    <t>PPIM18504022</t>
  </si>
  <si>
    <t>โรงเรียนบางปลา (เมธีจุลารักษ์)</t>
  </si>
  <si>
    <t>PPIM18503E33</t>
  </si>
  <si>
    <t>นาย สุธีระพันธ์ วันไชยธนวงศ์</t>
  </si>
  <si>
    <t>PPIM18503EF6</t>
  </si>
  <si>
    <t>วิพุธ พากเพียร</t>
  </si>
  <si>
    <t>PPIM185040BF</t>
  </si>
  <si>
    <t>มหาวิทยาลัยมหิดล</t>
  </si>
  <si>
    <t>PPIM185042EC</t>
  </si>
  <si>
    <t>นาง นภาวรรณ วัฒนสกุลเกียรติ</t>
  </si>
  <si>
    <t>PPIM18504307</t>
  </si>
  <si>
    <t>PPIM185043DC</t>
  </si>
  <si>
    <t>ที่ทำการปกครองอำเภอพุทธมณฑล</t>
  </si>
  <si>
    <t>PPIM18503DFE</t>
  </si>
  <si>
    <t>นฤมล สุขวจีคล่อง</t>
  </si>
  <si>
    <t>PPIM18503E6B</t>
  </si>
  <si>
    <t>นาย เวสารัช วัชกะพงษ์</t>
  </si>
  <si>
    <t>PPIM18503EBA</t>
  </si>
  <si>
    <t>น.ส. อภิญญาวดี จันทร์ทอน</t>
  </si>
  <si>
    <t>PPIM18504024</t>
  </si>
  <si>
    <t>นายธีรยุทธ ศิริพิสิฐศักดิ์</t>
  </si>
  <si>
    <t>PPIM18504134</t>
  </si>
  <si>
    <t>PPIM185041E7</t>
  </si>
  <si>
    <t>PPIM18504298</t>
  </si>
  <si>
    <t>สันติ ฉั่วซิ้มมงคลกุล</t>
  </si>
  <si>
    <t>PPIM185042CA</t>
  </si>
  <si>
    <t>บริษัท เคมลิ้งค์ จำกัด</t>
  </si>
  <si>
    <t>PPIM18504336</t>
  </si>
  <si>
    <t>อำพล เพ็ชร์พิรุณ</t>
  </si>
  <si>
    <t>PPIM18503C2D</t>
  </si>
  <si>
    <t>PPIM18503C4B</t>
  </si>
  <si>
    <t>PPIM18503D57</t>
  </si>
  <si>
    <t>ศิวริน อาจสว่าง</t>
  </si>
  <si>
    <t>PPIM18503D7B</t>
  </si>
  <si>
    <t>PPIM18503DD7</t>
  </si>
  <si>
    <t>นางสาวตวงเพชร เร่งประเสริฐ</t>
  </si>
  <si>
    <t>PPIM18503DEF</t>
  </si>
  <si>
    <t>PPIM18503E0C</t>
  </si>
  <si>
    <t>PPIM18503E75</t>
  </si>
  <si>
    <t>PPIM18503E94</t>
  </si>
  <si>
    <t>PPIM18503EF7</t>
  </si>
  <si>
    <t>PPIM18503F22</t>
  </si>
  <si>
    <t>PPIM18503F37</t>
  </si>
  <si>
    <t>PPIM18503F45</t>
  </si>
  <si>
    <t>นางสาวสุรัสวดี ฤากิจ</t>
  </si>
  <si>
    <t>PPIM18503F47</t>
  </si>
  <si>
    <t>PPIM18503F80</t>
  </si>
  <si>
    <t>PPIM18504007</t>
  </si>
  <si>
    <t>PPIM185042D6</t>
  </si>
  <si>
    <t>PPIM1850430F</t>
  </si>
  <si>
    <t>PPIM1850431B</t>
  </si>
  <si>
    <t>นางสุดารัตน์ พงศ์เนตรวิไล</t>
  </si>
  <si>
    <t>PPIM185043E7</t>
  </si>
  <si>
    <t>PPIM18504424</t>
  </si>
  <si>
    <t>PPIM1850442F</t>
  </si>
  <si>
    <t>บริษัท เจ.เอ็น.ทรานสอส (ประเทศไทย) จำกัด</t>
  </si>
  <si>
    <t>PPIM18504449</t>
  </si>
  <si>
    <t>PPIM1850447F</t>
  </si>
  <si>
    <t>น.ส.สุรัสวดี ฤากิจ</t>
  </si>
  <si>
    <t>PPIM18504006</t>
  </si>
  <si>
    <t>โรงเรียนสัดสุวรรณรัตนาราม</t>
  </si>
  <si>
    <t>PPIM1850405B</t>
  </si>
  <si>
    <t>บุญลือ คงสกุล</t>
  </si>
  <si>
    <t>PPIM1850438C</t>
  </si>
  <si>
    <t>PPIM18504471</t>
  </si>
  <si>
    <t>บริษัท ซีเอสเอส พาณิช จำกัด</t>
  </si>
  <si>
    <t>PPIM18503C48</t>
  </si>
  <si>
    <t>นางภรทิพย์ ลือสุขประเสริฐ</t>
  </si>
  <si>
    <t>PPIM18503E6A</t>
  </si>
  <si>
    <t>PPIM1850411F</t>
  </si>
  <si>
    <t>PPIM185041DE</t>
  </si>
  <si>
    <t>PPIM18504485</t>
  </si>
  <si>
    <t>บริษัท ส.ศรีสุข 789 จำกัด</t>
  </si>
  <si>
    <t>PPIM185044A6</t>
  </si>
  <si>
    <t>เทศบาลตำบลบางหญ้าแพรก</t>
  </si>
  <si>
    <t>PPIM18503CCC</t>
  </si>
  <si>
    <t>น.ส. ระพีพรรณ ตันธนะชัย</t>
  </si>
  <si>
    <t>PPIM18503CD1</t>
  </si>
  <si>
    <t>นายนิพนธ์ แม้นทิม</t>
  </si>
  <si>
    <t>PPIM18503D54</t>
  </si>
  <si>
    <t>PPIM18503D7A</t>
  </si>
  <si>
    <t>หจก.พินิจ วิศวภัณฑ์ 1994</t>
  </si>
  <si>
    <t>PPIM18503C3A</t>
  </si>
  <si>
    <t>บริษัท ปตท.น้ำมันและการค้าปลีก จำกัด (มหาชน)</t>
  </si>
  <si>
    <t>PPIM18503C43</t>
  </si>
  <si>
    <t>บริษัท ซีพี ออลล์ จำกัด(มหาชน)</t>
  </si>
  <si>
    <t>PPIM18503D76</t>
  </si>
  <si>
    <t>PPIM18503D55</t>
  </si>
  <si>
    <t>PPIM18503DDB</t>
  </si>
  <si>
    <t>PPIM18503CF4</t>
  </si>
  <si>
    <t>องค์การบริหารส่วนตำบลพังตรุ</t>
  </si>
  <si>
    <t>PPIM18503E16</t>
  </si>
  <si>
    <t>นายจงรัก รวมสุข</t>
  </si>
  <si>
    <t>PPIM18503E8B</t>
  </si>
  <si>
    <t>หม่อง ทองนุ่ม</t>
  </si>
  <si>
    <t>PPIM18503E64</t>
  </si>
  <si>
    <t>PPIM18503EE7</t>
  </si>
  <si>
    <t>ที่ว่าการอำเภอท่าม่วง</t>
  </si>
  <si>
    <t>PPIM18504044</t>
  </si>
  <si>
    <t>นางสาวหทัยชนก บุญเกิด</t>
  </si>
  <si>
    <t>PPIM185040D6</t>
  </si>
  <si>
    <t>PPIM185040E2</t>
  </si>
  <si>
    <t>ประปาบ้านวังปลาหมู(วัดพุทธกาญจนมุนี)</t>
  </si>
  <si>
    <t>PPIM185040F5</t>
  </si>
  <si>
    <t>PPIM1850410D</t>
  </si>
  <si>
    <t>บริษัท โทรคมนาคมแห่งชาติ จำกัด (มหาชน)</t>
  </si>
  <si>
    <t>PPIM18504125</t>
  </si>
  <si>
    <t>นางจำนงค์ รัตสุข</t>
  </si>
  <si>
    <t>PPIM18504180</t>
  </si>
  <si>
    <t>PPIM18504324</t>
  </si>
  <si>
    <t>ที่ว่าการอำเภอด่านมะขามเตี้ย</t>
  </si>
  <si>
    <t>PPIM1850436B</t>
  </si>
  <si>
    <t>PPIM1850436E</t>
  </si>
  <si>
    <t>PPIM1850433E</t>
  </si>
  <si>
    <t>PPIM185043A3</t>
  </si>
  <si>
    <t>PPIM185043D8</t>
  </si>
  <si>
    <t>นางจุฬารัตน์ ตาระกา</t>
  </si>
  <si>
    <t>PPIM1850441B</t>
  </si>
  <si>
    <t>PPIM18504431</t>
  </si>
  <si>
    <t>นายศราวุธ แซ่ลิ้ม</t>
  </si>
  <si>
    <t>PPIM18504457</t>
  </si>
  <si>
    <t>PPIM185044A8</t>
  </si>
  <si>
    <t>PPIM185044A9</t>
  </si>
  <si>
    <t>PPIM1850437C</t>
  </si>
  <si>
    <t>นายจรูญพันธ์ สุนทรพจน์</t>
  </si>
  <si>
    <t>PPIM1850448E</t>
  </si>
  <si>
    <t>PPIM18503F93</t>
  </si>
  <si>
    <t>นาย วีรภัทร ประสพธรรม</t>
  </si>
  <si>
    <t>PPIM18504245</t>
  </si>
  <si>
    <t>นางจำเนียร สามสาย</t>
  </si>
  <si>
    <t>PPIM1850428E</t>
  </si>
  <si>
    <t>PPIM18503DA0</t>
  </si>
  <si>
    <t>ที่ว่าการอำเภอหนองปรือ</t>
  </si>
  <si>
    <t>PPIM18503C75</t>
  </si>
  <si>
    <t>PPIM18503EF2</t>
  </si>
  <si>
    <t>PPIM185040B4</t>
  </si>
  <si>
    <t>PPIM18503F9B</t>
  </si>
  <si>
    <t>PPIM185041CA</t>
  </si>
  <si>
    <t>นายสมปอง ผุสดี</t>
  </si>
  <si>
    <t>PPIM18504151</t>
  </si>
  <si>
    <t>นางสาว ประทุม เนตรพรม</t>
  </si>
  <si>
    <t>PPIM185043B0</t>
  </si>
  <si>
    <t>PPIM1850445B</t>
  </si>
  <si>
    <t>PPIM18503C47</t>
  </si>
  <si>
    <t>นาย อัครินทร์ รวีเลิศอธิโชติ</t>
  </si>
  <si>
    <t>กฟต.มะขามล้ม</t>
  </si>
  <si>
    <t>PPIM18503C7F</t>
  </si>
  <si>
    <t>PPIM18503C83</t>
  </si>
  <si>
    <t>ที่ว่าการอำเภอบางปลาม้า</t>
  </si>
  <si>
    <t>PPIM18503D25</t>
  </si>
  <si>
    <t>บริษัท เกรียงไกร มอเตอร์เซลส์ จำกัด</t>
  </si>
  <si>
    <t>PPIM18503D2C</t>
  </si>
  <si>
    <t>บริษัท วังยางริเวอร์พาร์ครีสอร์ท จำกัด</t>
  </si>
  <si>
    <t>PPIM18503D96</t>
  </si>
  <si>
    <t>สมจิตร แสงดาว</t>
  </si>
  <si>
    <t>PPIM18503DE5</t>
  </si>
  <si>
    <t>นรินทร์ คำอุ่น</t>
  </si>
  <si>
    <t>PPIM18503DF7</t>
  </si>
  <si>
    <t>ไพฑูรย์ ปรัทีปสุข(ประธานประปาหมู่บ้าน)</t>
  </si>
  <si>
    <t>PPIM18503E13</t>
  </si>
  <si>
    <t>นายพิภัทร์ ศรีคำ</t>
  </si>
  <si>
    <t>PPIM18503F88</t>
  </si>
  <si>
    <t>นางสาวนงลักษณ์ แซ่ตัน</t>
  </si>
  <si>
    <t>PPIM18503F99</t>
  </si>
  <si>
    <t>นางอัมภา ว่องวุฒิ</t>
  </si>
  <si>
    <t>PPIM18503FE9</t>
  </si>
  <si>
    <t>น.ส.วิสุตา ไทยานันท์</t>
  </si>
  <si>
    <t>PPIM185040B8</t>
  </si>
  <si>
    <t>PPIM185041FE</t>
  </si>
  <si>
    <t>อาคารชุด เอสเซ็นท์วิลล์ สุพรรณบุรี</t>
  </si>
  <si>
    <t>PPIM18504299</t>
  </si>
  <si>
    <t>นาง บุณรดา ธนบุญฐิสาทวี</t>
  </si>
  <si>
    <t>PPIM185042B7</t>
  </si>
  <si>
    <t>นายพรชัย บุญแสง</t>
  </si>
  <si>
    <t>PPIM185043E3</t>
  </si>
  <si>
    <t>นางวีระวรรณ แสงมี</t>
  </si>
  <si>
    <t>PPIM1850445A</t>
  </si>
  <si>
    <t>ปิยนันท์ อ่อนวิมล</t>
  </si>
  <si>
    <t>PPIM18504460</t>
  </si>
  <si>
    <t>PPIM18503C60</t>
  </si>
  <si>
    <t>นาย ยุทธนา ต๊ะปินตา</t>
  </si>
  <si>
    <t>PPIM18503D17</t>
  </si>
  <si>
    <t>สำนักงานสาธารณสุขอำเภอสองพี่น้อง</t>
  </si>
  <si>
    <t>PPIM18503E14</t>
  </si>
  <si>
    <t>PPIM18503E79</t>
  </si>
  <si>
    <t>น.ส.อัญชรี ใจมั่น</t>
  </si>
  <si>
    <t>PPIM18503FE2</t>
  </si>
  <si>
    <t>PPIM1850403A</t>
  </si>
  <si>
    <t>โรงเรียนวัดโพธิ์เขียว</t>
  </si>
  <si>
    <t>PPIM1850403E</t>
  </si>
  <si>
    <t>นายวิเชษฐ์ แก่นเรือง</t>
  </si>
  <si>
    <t>PPIM185040F0</t>
  </si>
  <si>
    <t>นางสาว นันทนา จันทรวัฒนาวณิช</t>
  </si>
  <si>
    <t>PPIM18504141</t>
  </si>
  <si>
    <t>ชณัฐภัฒสา ศรีคำแหง</t>
  </si>
  <si>
    <t>PPIM1850446D</t>
  </si>
  <si>
    <t>นางสาวจันทรจิรา ขำดวง</t>
  </si>
  <si>
    <t>PPIM18504508</t>
  </si>
  <si>
    <t>นางสาว กฤติกา ธรรมสถิตย์วงศ์</t>
  </si>
  <si>
    <t>PPIM1850451E</t>
  </si>
  <si>
    <t>นางสาวอารีย์ ธิสาร</t>
  </si>
  <si>
    <t>PPIM1850452B</t>
  </si>
  <si>
    <t>นาย กาญ บุตรน้ำเพชร์</t>
  </si>
  <si>
    <t>PPIM18504542</t>
  </si>
  <si>
    <t>นางบัวลัย วัฒนเถมิน</t>
  </si>
  <si>
    <t>PPIM1850456A</t>
  </si>
  <si>
    <t>นางชมพูนุช ชื่นบุญงาม</t>
  </si>
  <si>
    <t>PPIM185009D0</t>
  </si>
  <si>
    <t>PPIM18504619</t>
  </si>
  <si>
    <t>PPIM18504532</t>
  </si>
  <si>
    <t>นาย วิโรจน์ สุขประเสริฐ</t>
  </si>
  <si>
    <t>PPIM185045A1</t>
  </si>
  <si>
    <t>ที่ทำการปกครองอำเภอกำแพงแสน</t>
  </si>
  <si>
    <t>PPIM185045F2</t>
  </si>
  <si>
    <t>ชวลิต พุฒเจริญ</t>
  </si>
  <si>
    <t>PPIM1850460F</t>
  </si>
  <si>
    <t>PPIM18504625</t>
  </si>
  <si>
    <t>PPIM18504731</t>
  </si>
  <si>
    <t>PPIM18504584</t>
  </si>
  <si>
    <t>นายวิทยา กงประดิษฐ์</t>
  </si>
  <si>
    <t>PPIM18500140</t>
  </si>
  <si>
    <t>PPIM185044C0</t>
  </si>
  <si>
    <t>โรงพยาบาลส่งเสริมสุขภาพตำบลบ้านเกาะแรด</t>
  </si>
  <si>
    <t>PPIM1850474A</t>
  </si>
  <si>
    <t>ดวงเนตร ชดช้อย</t>
  </si>
  <si>
    <t>PPIM18500187</t>
  </si>
  <si>
    <t>PPIM185044BB</t>
  </si>
  <si>
    <t>PPIM18504537</t>
  </si>
  <si>
    <t>PPIM185047AC</t>
  </si>
  <si>
    <t>PPIM1850452A</t>
  </si>
  <si>
    <t>รินดา เรืองชัยสิทธิ์</t>
  </si>
  <si>
    <t>PPIM185045FA</t>
  </si>
  <si>
    <t>นาย โชคชัย ยุทธนารัฐ</t>
  </si>
  <si>
    <t>PPIM185047A0</t>
  </si>
  <si>
    <t>น.ส.หนึ่งฤทัย เจตธำรงชัย</t>
  </si>
  <si>
    <t>PPIM185045B2</t>
  </si>
  <si>
    <t>PPIM185045EC</t>
  </si>
  <si>
    <t>นางสาววัชนี ฉิมณรงค์</t>
  </si>
  <si>
    <t>PPIM1850462B</t>
  </si>
  <si>
    <t>นิติพนธ์ มูลวงศ์</t>
  </si>
  <si>
    <t>PPIM185046D2</t>
  </si>
  <si>
    <t>PPIM1850451C</t>
  </si>
  <si>
    <t>น.ส.นันท์ภัส แก้วเกิดศิริ</t>
  </si>
  <si>
    <t>PPIM18504520</t>
  </si>
  <si>
    <t>ขจรศักดิ์ คงคา</t>
  </si>
  <si>
    <t>PPIM1850476A</t>
  </si>
  <si>
    <t>บริษัท ซี.เจ. เอ็กซ์เพรส กรุ๊ป จำกัด</t>
  </si>
  <si>
    <t>PPIM1850462C</t>
  </si>
  <si>
    <t>นางโสภา อ่อนบุญธรรม</t>
  </si>
  <si>
    <t>PPIM185044FA</t>
  </si>
  <si>
    <t>PPIM18504576</t>
  </si>
  <si>
    <t>นายอาคม วรรณะ</t>
  </si>
  <si>
    <t>PPIM1850457D</t>
  </si>
  <si>
    <t>PPIM185045EA</t>
  </si>
  <si>
    <t>นายปิยะบุตร ประสพสุขโชคมณี</t>
  </si>
  <si>
    <t>PPIM185045EE</t>
  </si>
  <si>
    <t>PPIM18504622</t>
  </si>
  <si>
    <t>นาง สุภาณี วิชัยสินธุ์</t>
  </si>
  <si>
    <t>PPIM18504657</t>
  </si>
  <si>
    <t>PPIM1850469A</t>
  </si>
  <si>
    <t>PPIM1850469B</t>
  </si>
  <si>
    <t>PPIM185046C0</t>
  </si>
  <si>
    <t>PPIM185046D9</t>
  </si>
  <si>
    <t>PPIM18504730</t>
  </si>
  <si>
    <t>นาย โกศล บุญดำเนิน</t>
  </si>
  <si>
    <t>PPIM1850475A</t>
  </si>
  <si>
    <t>น.ส. อนัญญา แสงทอง</t>
  </si>
  <si>
    <t>PPIM185044D2</t>
  </si>
  <si>
    <t>ที่ทำการปกครองอำเภอบ่อพลอย</t>
  </si>
  <si>
    <t>PPIM185046D8</t>
  </si>
  <si>
    <t>ที่ว่าการอำเภอบ่อพลอย</t>
  </si>
  <si>
    <t>PPIM185044FF</t>
  </si>
  <si>
    <t>โรงพยาบาลศรีประจันต์</t>
  </si>
  <si>
    <t>PPIM18504500</t>
  </si>
  <si>
    <t>สำนักงานสาธรารสุขอำเภอศรีประจันต์</t>
  </si>
  <si>
    <t>PPIM1850459F</t>
  </si>
  <si>
    <t>น.ส. มนัสนันท์ ลือภักดิ์ตรา</t>
  </si>
  <si>
    <t>PPIM185045F9</t>
  </si>
  <si>
    <t>สำนักงานเทศบาลตำบลบางปลาม้า</t>
  </si>
  <si>
    <t>PPIM185046E9</t>
  </si>
  <si>
    <t>นางเพียว โพธิ์อำพล</t>
  </si>
  <si>
    <t>PPIM185047A1</t>
  </si>
  <si>
    <t>นายสมบัติ สารวิทย์</t>
  </si>
  <si>
    <t>PPIM185044BC</t>
  </si>
  <si>
    <t>PPIM18504517</t>
  </si>
  <si>
    <t>บริษัท อู่ทองอลูมิเนียม 168 จำกัด</t>
  </si>
  <si>
    <t>PPIM185046F3</t>
  </si>
  <si>
    <t>พระรัตนเวที(พีร์ อาจคงหาญ)</t>
  </si>
  <si>
    <t>ห้างหุ้นส่วนจำกัด วัฒนชัย เทรดดิ้ง หจก.</t>
  </si>
  <si>
    <t>PPIM1850485A</t>
  </si>
  <si>
    <t>นางสาวรภานัน วิภาตะโยธิน</t>
  </si>
  <si>
    <t>PPIM18504A55</t>
  </si>
  <si>
    <t>นายวีระพงษ์ เวชสุวรรณมณี</t>
  </si>
  <si>
    <t>PPIM185047D9</t>
  </si>
  <si>
    <t>นายอินจันทร์ บุุราพันธ์</t>
  </si>
  <si>
    <t>PPIM18504829</t>
  </si>
  <si>
    <t>PPIM1850497B</t>
  </si>
  <si>
    <t>PPIM18504999</t>
  </si>
  <si>
    <t>PPIM18504805</t>
  </si>
  <si>
    <t>นางสาว พัทธนันท์ สัจจะสกุลชัย</t>
  </si>
  <si>
    <t>PPIM1850480B</t>
  </si>
  <si>
    <t>นาย วิรุฬ สัจจะสกุลชัย</t>
  </si>
  <si>
    <t>PPIM1850480F</t>
  </si>
  <si>
    <t>นางสาว วิยะดา สัจจะสกุลชัย</t>
  </si>
  <si>
    <t>PPIM1850497A</t>
  </si>
  <si>
    <t>บริษัท ชนะสุ พร๊อพเพอร์ตี้ จำกัด</t>
  </si>
  <si>
    <t>PPIM18504997</t>
  </si>
  <si>
    <t>บริษัท ชนะสุ พร็อพเพอร์ตี้ จำกัด</t>
  </si>
  <si>
    <t>PPIM18504A60</t>
  </si>
  <si>
    <t>PPIM1850489C</t>
  </si>
  <si>
    <t>บริษัท ซิสเต็ม 3 จำกัด</t>
  </si>
  <si>
    <t>PPIM185049FE</t>
  </si>
  <si>
    <t>นางสาวณัฏฐวี สุดสาคร</t>
  </si>
  <si>
    <t>PPIM18504926</t>
  </si>
  <si>
    <t>นางสาวณฤมล ทองไวเครื่อง</t>
  </si>
  <si>
    <t>PPIM18504A0B</t>
  </si>
  <si>
    <t>นายอธิภัทร เดชประพันธ์</t>
  </si>
  <si>
    <t>PPIM1850480D</t>
  </si>
  <si>
    <t>PPIM1850486A</t>
  </si>
  <si>
    <t>PPIM185048F8</t>
  </si>
  <si>
    <t>PPIM1850492D</t>
  </si>
  <si>
    <t>PPIM185049F5</t>
  </si>
  <si>
    <t>PPIM18504A10</t>
  </si>
  <si>
    <t>ศูนย์พัฒนาเด็กเล็ก ตำบลบางกระทึก</t>
  </si>
  <si>
    <t>PPIM1950000F</t>
  </si>
  <si>
    <t>PPIM185047FA</t>
  </si>
  <si>
    <t>PPIM185047F2</t>
  </si>
  <si>
    <t>PPIM1850485E</t>
  </si>
  <si>
    <t>น.ส. ศันสนีย์ โตเอี่ยม</t>
  </si>
  <si>
    <t>PPIM18504A2B</t>
  </si>
  <si>
    <t>PPIM18504A73</t>
  </si>
  <si>
    <t>น.ส. ศรินญา เพ็ชรเจริญ</t>
  </si>
  <si>
    <t>PPIM18504A46</t>
  </si>
  <si>
    <t>PPIM1850485F</t>
  </si>
  <si>
    <t>PPIM1850493F</t>
  </si>
  <si>
    <t>PPIM1850496E</t>
  </si>
  <si>
    <t>PPIM19500086</t>
  </si>
  <si>
    <t>นายสุชน เดิมชัย</t>
  </si>
  <si>
    <t>PPIM19500281</t>
  </si>
  <si>
    <t>ที่ทำการปกครองอำเภอเมืองนครปฐม</t>
  </si>
  <si>
    <t>PPIM19500263</t>
  </si>
  <si>
    <t>นายทวีศักดิ์ ดิษยบุตร</t>
  </si>
  <si>
    <t>PPIM1950005C</t>
  </si>
  <si>
    <t>PPIM19500084</t>
  </si>
  <si>
    <t>PPIM19500137</t>
  </si>
  <si>
    <t>นาย ชวลิต พุฒเจริญ</t>
  </si>
  <si>
    <t>PPIM19500199</t>
  </si>
  <si>
    <t>บริษัท โตฟู โออิชิ ฟู้ดส์ โปรดัคท์ จำกัด</t>
  </si>
  <si>
    <t>PPIM1950022D</t>
  </si>
  <si>
    <t>PPIM195002FC</t>
  </si>
  <si>
    <t>PPIM19500322</t>
  </si>
  <si>
    <t>PPIM1950005B</t>
  </si>
  <si>
    <t>นายสุวิชชาญ เนตรนาค</t>
  </si>
  <si>
    <t>PPIM1950006B</t>
  </si>
  <si>
    <t>นางสาว ฎารารัตน์ กลิ่นจันทร์คลาย</t>
  </si>
  <si>
    <t>PPIM19500344</t>
  </si>
  <si>
    <t>นางสาวดวงใจ ศักดิ์ศรี</t>
  </si>
  <si>
    <t>PPIM1950007A</t>
  </si>
  <si>
    <t>นาง เสาวลักษ์ เฮเกอลุนด์</t>
  </si>
  <si>
    <t>PPIM195001D3</t>
  </si>
  <si>
    <t>บริษัท บี.บี.การ์เด้น ศาลายา จำกัด</t>
  </si>
  <si>
    <t>PPIM19500222</t>
  </si>
  <si>
    <t>นางวิชญา บรรจงมณี</t>
  </si>
  <si>
    <t>PPIM19500109</t>
  </si>
  <si>
    <t>บริษัท หลี่ ไฉ่ ตี๋ จำกัด</t>
  </si>
  <si>
    <t>PPIM1950003E</t>
  </si>
  <si>
    <t>PPIM19500053</t>
  </si>
  <si>
    <t>PPIM19500087</t>
  </si>
  <si>
    <t>นายอิทธิพงศ์ โรจน์สุขถาวร</t>
  </si>
  <si>
    <t>PPIM19500094</t>
  </si>
  <si>
    <t>PPIM1950009A</t>
  </si>
  <si>
    <t>น.ส. กรุณา จองวรรณศิริ</t>
  </si>
  <si>
    <t>PPIM195000B5</t>
  </si>
  <si>
    <t>PPIM195000D4</t>
  </si>
  <si>
    <t>นาง สำรวย รอดเสงี่ยม</t>
  </si>
  <si>
    <t>PPIM195000EB</t>
  </si>
  <si>
    <t>PPIM195000F2</t>
  </si>
  <si>
    <t>PPIM195000FE</t>
  </si>
  <si>
    <t>PPIM19500128</t>
  </si>
  <si>
    <t>นาย นิติพนธ์ มูลวงศ์</t>
  </si>
  <si>
    <t>PPIM195001BF</t>
  </si>
  <si>
    <t>น.ส.สลิสา กุลกาญจนาวรรณ</t>
  </si>
  <si>
    <t>PPIM19500292</t>
  </si>
  <si>
    <t>PPIM1950029E</t>
  </si>
  <si>
    <t>นางสาว ปภาดา ศิภพปวินกุล</t>
  </si>
  <si>
    <t>PPIM195002B6</t>
  </si>
  <si>
    <t>PPIM19500313</t>
  </si>
  <si>
    <t>PPIM19500321</t>
  </si>
  <si>
    <t>PPIM195000BD</t>
  </si>
  <si>
    <t>นาย อุทัย ศรีเพชรนัย</t>
  </si>
  <si>
    <t>PPIM195000C2</t>
  </si>
  <si>
    <t>นายทรัพย์อนันต์ อังคารกร</t>
  </si>
  <si>
    <t>PPIM195001D1</t>
  </si>
  <si>
    <t>PPIM19500169</t>
  </si>
  <si>
    <t>PPIM1950012E</t>
  </si>
  <si>
    <t>PPIM1950014E</t>
  </si>
  <si>
    <t>PPIM19500190</t>
  </si>
  <si>
    <t>องค์การบริหารส่วนตำบลบางงาม</t>
  </si>
  <si>
    <t>PPIM195002A1</t>
  </si>
  <si>
    <t>น.ส.อรกานต์ พิพัฒน์นรเศรษฐ์</t>
  </si>
  <si>
    <t>PPIM19500346</t>
  </si>
  <si>
    <t>นางภัคชัญญา กันต์ธราธิป</t>
  </si>
  <si>
    <t>PPIM19500314</t>
  </si>
  <si>
    <t>นาย ประเดิมชัย บุญมี</t>
  </si>
  <si>
    <t>กฟส.เมืองสุพรรณบุรี</t>
  </si>
  <si>
    <t>กฟส.เมืองกาญจนบุรี</t>
  </si>
  <si>
    <t>กฟส.เมืองสมุทรสาคร</t>
  </si>
  <si>
    <t>กฟส.เมืองนครปฐม</t>
  </si>
  <si>
    <t>PPIM195003C7</t>
  </si>
  <si>
    <t>PPIM1950063F</t>
  </si>
  <si>
    <t>นางสาววรรณิกา บุญญานิตย์</t>
  </si>
  <si>
    <t>PPIM19500365</t>
  </si>
  <si>
    <t>นายหฤษฎ์ อ่อนหวาน</t>
  </si>
  <si>
    <t>PPIM19500366</t>
  </si>
  <si>
    <t>นางสาวสุรัตน์ กาวิระพันธ์</t>
  </si>
  <si>
    <t>PPIM19500481</t>
  </si>
  <si>
    <t>PPIM19500523</t>
  </si>
  <si>
    <t>PPIM1950062E</t>
  </si>
  <si>
    <t>น.ส.กรกมล แซ่ว่อง</t>
  </si>
  <si>
    <t>PPIM1950066D</t>
  </si>
  <si>
    <t>PPIM195006E3</t>
  </si>
  <si>
    <t>PPIM19500702</t>
  </si>
  <si>
    <t>PPIM1950070C</t>
  </si>
  <si>
    <t>PPIM195005DA</t>
  </si>
  <si>
    <t>นาง ธนวันต์ ชื่นใจดี</t>
  </si>
  <si>
    <t>PPIM1950046D</t>
  </si>
  <si>
    <t>พ.ต.ต.บรรเทา วิชัยดิษฐ</t>
  </si>
  <si>
    <t>PPIM195004B5</t>
  </si>
  <si>
    <t>หจก.ไทยแสตมป์ เอ็นจิเนียริ่ง</t>
  </si>
  <si>
    <t>PPIM19500560</t>
  </si>
  <si>
    <t>นางเบ็ญจมาศ โอฬารรัตน์มณี</t>
  </si>
  <si>
    <t>PPIM19500582</t>
  </si>
  <si>
    <t>นายสวัสดิ์ เรืองศิริทรัพย์</t>
  </si>
  <si>
    <t>PPIM19500597</t>
  </si>
  <si>
    <t>นางสาวปาริสรา รังสิตวัฒนะ</t>
  </si>
  <si>
    <t>PPIM19500598</t>
  </si>
  <si>
    <t>นายเทพฤทธิ์ โพธิ์สอาด</t>
  </si>
  <si>
    <t>PPIM1950056D</t>
  </si>
  <si>
    <t>นายประมณฑ์ สุจริต</t>
  </si>
  <si>
    <t>PPIM195006AB</t>
  </si>
  <si>
    <t>นายสมพล รักชาติ</t>
  </si>
  <si>
    <t>PPIM195006C1</t>
  </si>
  <si>
    <t>นางสาวจรีรัตน์ รณรงค์นุรักษ์</t>
  </si>
  <si>
    <t>PPIM1950072D</t>
  </si>
  <si>
    <t>นายสำลี กิมเฮียะ</t>
  </si>
  <si>
    <t>PPIM1950045D</t>
  </si>
  <si>
    <t>นายพิสิษฐ์ เรืองนนทวัฒน์</t>
  </si>
  <si>
    <t>PPIM195004C5</t>
  </si>
  <si>
    <t>PPIM1950053C</t>
  </si>
  <si>
    <t>ทีดับบลิวเอส เอ็นโอพี</t>
  </si>
  <si>
    <t>PPIM1950072F</t>
  </si>
  <si>
    <t>นายวิชัย เชาวงวรกุล</t>
  </si>
  <si>
    <t>PPIM1950036A</t>
  </si>
  <si>
    <t>PPIM19500386</t>
  </si>
  <si>
    <t>PPIM195003E9</t>
  </si>
  <si>
    <t>PPIM195004E3</t>
  </si>
  <si>
    <t>PPIM195004F3</t>
  </si>
  <si>
    <t>PPIM195005CC</t>
  </si>
  <si>
    <t>PPIM1950062F</t>
  </si>
  <si>
    <t>บริษัท วินสิตา จำกัด</t>
  </si>
  <si>
    <t>PPIM19500353</t>
  </si>
  <si>
    <t>นางประภาพร กังวาลสิงหนาท</t>
  </si>
  <si>
    <t>PPIM19500348</t>
  </si>
  <si>
    <t>PPIM1950036B</t>
  </si>
  <si>
    <t>PPIM19500373</t>
  </si>
  <si>
    <t>PPIM19500480</t>
  </si>
  <si>
    <t>สมโภชน์ จิรพนาสม</t>
  </si>
  <si>
    <t>PPIM1950057B</t>
  </si>
  <si>
    <t>นางสาวยุพา วิทยาธรรมธัช</t>
  </si>
  <si>
    <t>PPIM19500634</t>
  </si>
  <si>
    <t>ประดิษฐสรณ์ เอกวิริยะกิจ</t>
  </si>
  <si>
    <t>PPIM195006CE</t>
  </si>
  <si>
    <t>วิศิษฎ์ จุฬาพรหมเดช</t>
  </si>
  <si>
    <t>PPIM19500396</t>
  </si>
  <si>
    <t>PPIM1950039D</t>
  </si>
  <si>
    <t>PPIM19500573</t>
  </si>
  <si>
    <t>PPIM19500357</t>
  </si>
  <si>
    <t>นางวิสูตร์ อินอำไพ</t>
  </si>
  <si>
    <t>PPIM1950037B</t>
  </si>
  <si>
    <t>นายบรรเจิด ปุ่นแย้ม</t>
  </si>
  <si>
    <t>PPIM1950058B</t>
  </si>
  <si>
    <t>PPIM195006F4</t>
  </si>
  <si>
    <t>ที่ว่าการอำเภอท่ามะกา</t>
  </si>
  <si>
    <t>PPIM195003B6</t>
  </si>
  <si>
    <t>นางฐิตารีย์ บุณยศิรโรจน์</t>
  </si>
  <si>
    <t>PPIM195003F1</t>
  </si>
  <si>
    <t>นายธีรวัจน์ พรธราสวัสดิ์</t>
  </si>
  <si>
    <t>PPIM19500460</t>
  </si>
  <si>
    <t>บริษัท หลักเมืองถาวร มอเตอร์เซลล์ จำกัด</t>
  </si>
  <si>
    <t>PPIM19500631</t>
  </si>
  <si>
    <t>PPIM1950066B</t>
  </si>
  <si>
    <t>สมพงษ์ เกียรติกสิกร</t>
  </si>
  <si>
    <t>PPIM19500700</t>
  </si>
  <si>
    <t>PPIM19500746</t>
  </si>
  <si>
    <t>PPIM19500352</t>
  </si>
  <si>
    <t>ประเดิมชัย บุญมี</t>
  </si>
  <si>
    <t>PPIM19500398</t>
  </si>
  <si>
    <t>นายสนั่น พูลกำลัง</t>
  </si>
  <si>
    <t>PPIM195004D6</t>
  </si>
  <si>
    <t>น.ส.ภัทรพร ไทยทวี</t>
  </si>
  <si>
    <t>PPIM19500502</t>
  </si>
  <si>
    <t>ชลภัท อัครเดชบดินท์</t>
  </si>
  <si>
    <t>PPIM19500585</t>
  </si>
  <si>
    <t>นาง ปฐมาภรณ์ ปรีชากิตติกร</t>
  </si>
  <si>
    <t>PPIM195005EB</t>
  </si>
  <si>
    <t>นางอนุธิดา เชาว์ไวพจน์</t>
  </si>
  <si>
    <t>PPIM195005C5</t>
  </si>
  <si>
    <t>นางสาวกันยา พันสวัสดิ์</t>
  </si>
  <si>
    <t>PPIM19500722</t>
  </si>
  <si>
    <t>PPIM19500724</t>
  </si>
  <si>
    <t>PPIM19500937</t>
  </si>
  <si>
    <t>ทองสุข นิรปัณนา</t>
  </si>
  <si>
    <t>PPIM19500988</t>
  </si>
  <si>
    <t>PPIM195009DF</t>
  </si>
  <si>
    <t>นายวรวิทย์ สรณารักโสภณ</t>
  </si>
  <si>
    <t>PPIM19500B3D</t>
  </si>
  <si>
    <t>PPIM19500B50</t>
  </si>
  <si>
    <t>พูนศักดิ์ ชื่นเจริญ</t>
  </si>
  <si>
    <t>PPIM1950080E</t>
  </si>
  <si>
    <t>PPIM1950092E</t>
  </si>
  <si>
    <t>นายกุลชัย วิรุฬผ์ภูติ</t>
  </si>
  <si>
    <t>PPIM19500A6F</t>
  </si>
  <si>
    <t>PPIM19500779</t>
  </si>
  <si>
    <t>นายมณตรี จันธรานนท์</t>
  </si>
  <si>
    <t>PPIM1950079F</t>
  </si>
  <si>
    <t>PPIM1950085D</t>
  </si>
  <si>
    <t>นายอนุวัฒน์ ผาติกูลรังสรรค์</t>
  </si>
  <si>
    <t>PPIM1950089A</t>
  </si>
  <si>
    <t>PPIM19500A28</t>
  </si>
  <si>
    <t>นายอนุพงษ์ ศรีสุข</t>
  </si>
  <si>
    <t>PPIM19500B1A</t>
  </si>
  <si>
    <t>นาย ปภาทร จันทร์กลั่น</t>
  </si>
  <si>
    <t>PPIM19500B3F</t>
  </si>
  <si>
    <t>PPIM1950097E</t>
  </si>
  <si>
    <t>นายสำเนียง มีถาวร</t>
  </si>
  <si>
    <t>PPIM195007BB</t>
  </si>
  <si>
    <t>นายฐปนนท์ จันทร์รุ่งมณีกุล</t>
  </si>
  <si>
    <t>PPIM195007D3</t>
  </si>
  <si>
    <t>นางสาวพรทิพย์ จตุพรมงคลชัย</t>
  </si>
  <si>
    <t>PPIM195007F7</t>
  </si>
  <si>
    <t>บริษัท แลนด์ แอนด์ เฮ้าส์ นอร์ธอีส จำกัด</t>
  </si>
  <si>
    <t>PPIM1950094D</t>
  </si>
  <si>
    <t>PPIM19500AA4</t>
  </si>
  <si>
    <t>นายอุทิศ ฉัตรสิรภพ</t>
  </si>
  <si>
    <t>PPIM19500805</t>
  </si>
  <si>
    <t>PPIM19500812</t>
  </si>
  <si>
    <t>PPIM19500826</t>
  </si>
  <si>
    <t>PPIM19500852</t>
  </si>
  <si>
    <t>PPIM1950088B</t>
  </si>
  <si>
    <t>PPIM195008CA</t>
  </si>
  <si>
    <t>PPIM195008CD</t>
  </si>
  <si>
    <t>PPIM19500927</t>
  </si>
  <si>
    <t>PPIM195009B4</t>
  </si>
  <si>
    <t>PPIM195009F4</t>
  </si>
  <si>
    <t>น.ส. สลิสา กุลกาญจนาวรรณ</t>
  </si>
  <si>
    <t>PPIM19500761</t>
  </si>
  <si>
    <t>PPIM19500AEB</t>
  </si>
  <si>
    <t>นายสรวิศ ชนะภุนิธิ</t>
  </si>
  <si>
    <t>PPIM19500B25</t>
  </si>
  <si>
    <t>นางสาวพิมพ์พิสาข์ วุฑฒิชัยพันธ์</t>
  </si>
  <si>
    <t>PPIM19500B54</t>
  </si>
  <si>
    <t>บ.เเอล.ไอ.เอ็ม.เอ็นจิเนียริ่งจำกัด</t>
  </si>
  <si>
    <t>PPIM19500B31</t>
  </si>
  <si>
    <t>บริษัท บอสตัน เอ็นจิเนียริ่ง จำกัด</t>
  </si>
  <si>
    <t>PPIM1950078C</t>
  </si>
  <si>
    <t>นาย วทัญญู สีมาวิจัย</t>
  </si>
  <si>
    <t>PPIM19500863</t>
  </si>
  <si>
    <t>สุวรีย์ มงคล</t>
  </si>
  <si>
    <t>PPIM1950091F</t>
  </si>
  <si>
    <t>นายนิธาน โกญจนาท</t>
  </si>
  <si>
    <t>PPIM195009B7</t>
  </si>
  <si>
    <t>นางภรณ์ทิพย์ ลือสุขประเสริฐ</t>
  </si>
  <si>
    <t>PPIM19500B0F</t>
  </si>
  <si>
    <t>บริษัท ศุภาลัย จำกัด (มหาชน)</t>
  </si>
  <si>
    <t>PPIM19500B10</t>
  </si>
  <si>
    <t>PPIM19500B11</t>
  </si>
  <si>
    <t>PPIM19500B12</t>
  </si>
  <si>
    <t>PPIM19500B13</t>
  </si>
  <si>
    <t>PPIM19500870</t>
  </si>
  <si>
    <t>น.ส.ณัฐปภัสร์ ศรัณยธรณ์</t>
  </si>
  <si>
    <t>PPIM195008B9</t>
  </si>
  <si>
    <t>PPIM195008BC</t>
  </si>
  <si>
    <t>นายยสพนธ์ มาศวงศ์วิวัฒน์</t>
  </si>
  <si>
    <t>PPIM19500B19</t>
  </si>
  <si>
    <t>อนุชา บุญมา</t>
  </si>
  <si>
    <t>PPIM19500786</t>
  </si>
  <si>
    <t>นาง ขวัญชีวิต ชัยคุณแสง</t>
  </si>
  <si>
    <t>PPIM19500898</t>
  </si>
  <si>
    <t>PPIM19500A19</t>
  </si>
  <si>
    <t>PPIM19500A1E</t>
  </si>
  <si>
    <t>PPIM19500764</t>
  </si>
  <si>
    <t>ที่ทำการปกครอง อำเภออู่ทอง</t>
  </si>
  <si>
    <t>PPIM195007C7</t>
  </si>
  <si>
    <t>PPIM195007F8</t>
  </si>
  <si>
    <t>PPIM19500A29</t>
  </si>
  <si>
    <t>PPIM19500B59</t>
  </si>
  <si>
    <t>นางสาวจิตระวี ขุนทอง</t>
  </si>
  <si>
    <t>PPIM19500B56</t>
  </si>
  <si>
    <t>นิศารัตน์ รังสีวรรธนะ</t>
  </si>
  <si>
    <t>PPIM19500C18</t>
  </si>
  <si>
    <t>นายพิทวัส ปรีชาบริสุทธิ์กุล</t>
  </si>
  <si>
    <t>PPIM19500C83</t>
  </si>
  <si>
    <t>นายสมพร สุวรรณนที</t>
  </si>
  <si>
    <t>PPIM19500C31</t>
  </si>
  <si>
    <t>นางปวันรัตน์ กรองเกียรติวัช</t>
  </si>
  <si>
    <t>PPIM19500E99</t>
  </si>
  <si>
    <t>นาย ชนม์ศิษฐ์ ทองบัวศิริไล</t>
  </si>
  <si>
    <t>PPIM19500EF1</t>
  </si>
  <si>
    <t>นาย วีระ เอกสินิทธ์กุล</t>
  </si>
  <si>
    <t>PPIM19500F0A</t>
  </si>
  <si>
    <t>นายศราวุธ ศรีศุภอรรถ</t>
  </si>
  <si>
    <t>PPIM19500E01</t>
  </si>
  <si>
    <t>PPIM19500B6A</t>
  </si>
  <si>
    <t>นางชลธิชา เกตุจินดา</t>
  </si>
  <si>
    <t>PPIM19500B6B</t>
  </si>
  <si>
    <t>PPIM19500BBC</t>
  </si>
  <si>
    <t>นาย ปิยะดนัย แย้มไร่ขิง</t>
  </si>
  <si>
    <t>PPIM19500C06</t>
  </si>
  <si>
    <t>PPIM19500C45</t>
  </si>
  <si>
    <t>ธัญญรัศม์ โชตศิริพัชรกุล</t>
  </si>
  <si>
    <t>PPIM19500C7C</t>
  </si>
  <si>
    <t>PPIM19500D9E</t>
  </si>
  <si>
    <t>นายทยาวุธ ทองแป้น</t>
  </si>
  <si>
    <t>PPIM19500F07</t>
  </si>
  <si>
    <t>วันทนา สภาพไทย</t>
  </si>
  <si>
    <t>PPIM19500D77</t>
  </si>
  <si>
    <t>PPIM19500CB3</t>
  </si>
  <si>
    <t>PPIM19500BCF</t>
  </si>
  <si>
    <t>PPIM19500C54</t>
  </si>
  <si>
    <t>นางสาวอุไรภรณ์ แจ่มใส</t>
  </si>
  <si>
    <t>PPIM19500CCD</t>
  </si>
  <si>
    <t>น.ส.กมลทิพย์ พ่วงเปีย</t>
  </si>
  <si>
    <t>PPIM19500DD7</t>
  </si>
  <si>
    <t>นางสาวกัลยา จำปาแดง</t>
  </si>
  <si>
    <t>PPIM19500B96</t>
  </si>
  <si>
    <t>PPIM19500C1C</t>
  </si>
  <si>
    <t>นางสาวมาลา เริ่มยินดี</t>
  </si>
  <si>
    <t>PPIM19500F21</t>
  </si>
  <si>
    <t>นายใจ จาตุวิทย์</t>
  </si>
  <si>
    <t>PPIM19500B62</t>
  </si>
  <si>
    <t>PPIM19500C8C</t>
  </si>
  <si>
    <t>PPIM19500CB9</t>
  </si>
  <si>
    <t>บริษัท เมก้า เซฟเวอร์ เอ็นจิเนียริ่ง แอน</t>
  </si>
  <si>
    <t>PPIM19500CBA</t>
  </si>
  <si>
    <t>PPIM19500DBD</t>
  </si>
  <si>
    <t>PPIM19500F1C</t>
  </si>
  <si>
    <t>PPIM19500F2D</t>
  </si>
  <si>
    <t>PPIM19500F25</t>
  </si>
  <si>
    <t>นางสาวญาติกา ชัยยศขำเงิน</t>
  </si>
  <si>
    <t>PPIM19500CB0</t>
  </si>
  <si>
    <t>ปภินชเนศน์ มงคล</t>
  </si>
  <si>
    <t>PPIM19500E68</t>
  </si>
  <si>
    <t>ุบริษัท เพลินนารี่ มอลล์ จำกัด</t>
  </si>
  <si>
    <t>PPIM19500CD9</t>
  </si>
  <si>
    <t>จันทะ ปานดอนลาน</t>
  </si>
  <si>
    <t>PPIM19500CDA</t>
  </si>
  <si>
    <t>นาย นิรันดร์ เพียงลิ้ม</t>
  </si>
  <si>
    <t>PPIM19500DEE</t>
  </si>
  <si>
    <t>พระครูวิบูลจิตตารักษ์ (ไล้ ชัยกร)</t>
  </si>
  <si>
    <t>PPIM19500E26</t>
  </si>
  <si>
    <t>วัดศรีโลหะราษฎร์บำรุง</t>
  </si>
  <si>
    <t>PPIM19500EA7</t>
  </si>
  <si>
    <t>วัดศรีโลหะราษฏร์บำรุง</t>
  </si>
  <si>
    <t>PPIM19500BE8</t>
  </si>
  <si>
    <t>PPIM19500E4E</t>
  </si>
  <si>
    <t>ที่ว่าการอำเภอเลาขวัญ</t>
  </si>
  <si>
    <t>PPIM19500A69</t>
  </si>
  <si>
    <t>นาย ซ้อน โสมลา</t>
  </si>
  <si>
    <t>PPIM19500C39</t>
  </si>
  <si>
    <t>PPIM19500C49</t>
  </si>
  <si>
    <t>นาย ธนโชติ สุขรัตน์</t>
  </si>
  <si>
    <t>PPIM19500E0C</t>
  </si>
  <si>
    <t>นาง วิภาพร สายสอาด</t>
  </si>
  <si>
    <t>PPIM19500CD1</t>
  </si>
  <si>
    <t>บริษัท พี.พี เเอนด์ พี ทรานสปอร์ต จำกัด</t>
  </si>
  <si>
    <t>PPIM19500CF6</t>
  </si>
  <si>
    <t>นายสิปปฎล ขวัญดี</t>
  </si>
  <si>
    <t>PPIM19500D3A</t>
  </si>
  <si>
    <t>บริษัท คอนเซอร์วาชั่น ออฟ อีเนอร์จีจำกัด</t>
  </si>
  <si>
    <t>PPIM19500EF3</t>
  </si>
  <si>
    <t>นายสมชาย บูรณะกนก</t>
  </si>
  <si>
    <t>PPIM19500BC1</t>
  </si>
  <si>
    <t>PPIM19500C94</t>
  </si>
  <si>
    <t>นาย พีระศักดิ์ มาตรศรี</t>
  </si>
  <si>
    <t>PPIM19500CCF</t>
  </si>
  <si>
    <t>นาย พงศ์ศักดิ์ ขจรเนติกุล</t>
  </si>
  <si>
    <t>PPIM19500D29</t>
  </si>
  <si>
    <t>PPIM19500BA2</t>
  </si>
  <si>
    <t>PPIM1950125E</t>
  </si>
  <si>
    <t>นายคณสรร ศรีสุวรรณ</t>
  </si>
  <si>
    <t>PPIM1950128B</t>
  </si>
  <si>
    <t>นางสาวจันทราวรรณ ปานลา</t>
  </si>
  <si>
    <t>PPIM1950136B</t>
  </si>
  <si>
    <t>นางสาว หฤทัย วุฒิวิชาภรณ์</t>
  </si>
  <si>
    <t>PPIM19500FD7</t>
  </si>
  <si>
    <t>ห้างหุ้นส่วนจำกัด บิ๊กฟู๊ด โปรดักส์</t>
  </si>
  <si>
    <t>PPIM195012B6</t>
  </si>
  <si>
    <t>นางสาวปริยฉัตร ศรีลา</t>
  </si>
  <si>
    <t>PPIM195012F9</t>
  </si>
  <si>
    <t>นายอำนวย ทวีทรัพย์ไพบูลย์</t>
  </si>
  <si>
    <t>PPIM19501342</t>
  </si>
  <si>
    <t>นายธีรพงศ์ อางนานนท์</t>
  </si>
  <si>
    <t>PPIM19500F56</t>
  </si>
  <si>
    <t>น.ส. ธัญญรัศม์ โชตศิริพัชรกุล</t>
  </si>
  <si>
    <t>PPIM19500FDE</t>
  </si>
  <si>
    <t>PPIM1950129C</t>
  </si>
  <si>
    <t>นางสาวมาริกา กิจฉลอง</t>
  </si>
  <si>
    <t>PPIM19501323</t>
  </si>
  <si>
    <t>PPIM19501333</t>
  </si>
  <si>
    <t>PPIM19501343</t>
  </si>
  <si>
    <t>PPIM195011E1</t>
  </si>
  <si>
    <t>นายเปม ราคา</t>
  </si>
  <si>
    <t>PPIM195011F2</t>
  </si>
  <si>
    <t>นายอนุชาติ มกรสิริพัชร์</t>
  </si>
  <si>
    <t>PPIM19500FBC</t>
  </si>
  <si>
    <t>นายสมศักดิ์ เลาหสุวรรณพานิช</t>
  </si>
  <si>
    <t>PPIM19500FC1</t>
  </si>
  <si>
    <t>น.ส.ประวีร์รัชย์ ศรีตรัย</t>
  </si>
  <si>
    <t>PPIM19500FE2</t>
  </si>
  <si>
    <t>นายตฤณภัทร ชัยสิทธิศักดิ์</t>
  </si>
  <si>
    <t>PPIM1950102A</t>
  </si>
  <si>
    <t>นางสาวกาญจนา นันทดิลกกุล</t>
  </si>
  <si>
    <t>PPIM19501113</t>
  </si>
  <si>
    <t>PPIM19501225</t>
  </si>
  <si>
    <t>นายชัยรัตน์ แย้มบุญชู</t>
  </si>
  <si>
    <t>PPIM195012CA</t>
  </si>
  <si>
    <t>คณะสังคมศาสตร์และมนุษยศาสตร์ มหาวิทยาลัยมหิดล</t>
  </si>
  <si>
    <t>PPIM19501304</t>
  </si>
  <si>
    <t>นายชัยรัตน์ เลื่อนตามผล</t>
  </si>
  <si>
    <t>PPIM19500FD9</t>
  </si>
  <si>
    <t>นายดนัย สุคนธโรจน์</t>
  </si>
  <si>
    <t>PPIM1950121B</t>
  </si>
  <si>
    <t>บริษัท ทองทวีป แมชชีนพาร์ท จำกัด</t>
  </si>
  <si>
    <t>PPIM19501338</t>
  </si>
  <si>
    <t>นายวิชัย เชวงวรกุล</t>
  </si>
  <si>
    <t>PPIM19500F9D</t>
  </si>
  <si>
    <t>ปภาดา ศิภพปวินกุล</t>
  </si>
  <si>
    <t>PPIM19501017</t>
  </si>
  <si>
    <t>PPIM19501172</t>
  </si>
  <si>
    <t>นายสรวิศ ชนะศุภนิธิ</t>
  </si>
  <si>
    <t>PPIM1950117A</t>
  </si>
  <si>
    <t>น.ส. สุรัสวดี ฤากิจ</t>
  </si>
  <si>
    <t>PPIM1950118F</t>
  </si>
  <si>
    <t>PPIM195011A6</t>
  </si>
  <si>
    <t>PPIM19501215</t>
  </si>
  <si>
    <t>น.ส.ภรภัทร อัฐมโนลาภ</t>
  </si>
  <si>
    <t>PPIM19501250</t>
  </si>
  <si>
    <t>PPIM19501281</t>
  </si>
  <si>
    <t>PPIM195012BB</t>
  </si>
  <si>
    <t>บริษัท เวิลด์ ฟูดส์ อินเตอร์เนชั่นแนล จำกัด</t>
  </si>
  <si>
    <t>PPIM195010F1</t>
  </si>
  <si>
    <t>ภวัต ระหงษ์</t>
  </si>
  <si>
    <t>PPIM195012AC</t>
  </si>
  <si>
    <t>นายพลชัย กฤษณาวารินทร์</t>
  </si>
  <si>
    <t>PPIM195012C0</t>
  </si>
  <si>
    <t>นายชูชาติ อู่ตะเภา</t>
  </si>
  <si>
    <t>PPIM19500FB3</t>
  </si>
  <si>
    <t>นายศุกกร มหาอุด</t>
  </si>
  <si>
    <t>PPIM19501287</t>
  </si>
  <si>
    <t>นาย ศุภกิจ สิงห์เวียง</t>
  </si>
  <si>
    <t>PPIM19500FFD</t>
  </si>
  <si>
    <t>นาย ชัยสิทธิ์ พงศ์ปฏิมาพรรณ</t>
  </si>
  <si>
    <t>PPIM1950106F</t>
  </si>
  <si>
    <t>ชัยสิทธิ์ พงศ์ปฏิมาพรรณ</t>
  </si>
  <si>
    <t>PPIM19501189</t>
  </si>
  <si>
    <t>โรงเรียนบ้านไร่ป้า</t>
  </si>
  <si>
    <t>PPIM195012E4</t>
  </si>
  <si>
    <t>PPIM195012ED</t>
  </si>
  <si>
    <t>โรงเรียนอนุบาลศรีสวัสดิ์</t>
  </si>
  <si>
    <t>กฟต.ท่ากระดาน</t>
  </si>
  <si>
    <t>PPIM19500F62</t>
  </si>
  <si>
    <t>PPIM19501098</t>
  </si>
  <si>
    <t>PPIM19500F89</t>
  </si>
  <si>
    <t>นางวันเพ็ญ พูลกำลัง</t>
  </si>
  <si>
    <t>PPIM1950100E</t>
  </si>
  <si>
    <t>นางศิริฉัตร อำนวยวัฒนกุล</t>
  </si>
  <si>
    <t>PPIM19501086</t>
  </si>
  <si>
    <t>ที่ทำการปกครองอำเภอสามชุก</t>
  </si>
  <si>
    <t>PPIM195010F7</t>
  </si>
  <si>
    <t>นาย ประสาร สุขนัยกิจ</t>
  </si>
  <si>
    <t>PPIM1950114D</t>
  </si>
  <si>
    <t>นายประยงค์ เพนพาน</t>
  </si>
  <si>
    <t>PPIM195012B7</t>
  </si>
  <si>
    <t>นายนิรันดร จันทรัตน์</t>
  </si>
  <si>
    <t>PPIM19501387</t>
  </si>
  <si>
    <t>PPIM1950123F</t>
  </si>
  <si>
    <t>น.ส.ทิพย์วรุฬ บุญประคอง</t>
  </si>
  <si>
    <t>PPIM19501301</t>
  </si>
  <si>
    <t>นายวันชัย ศรีอุราม</t>
  </si>
  <si>
    <t>PPIM1950136D</t>
  </si>
  <si>
    <t>บริษัท เอส เอ็ม วี อินดัสทรี แอนด์ เคมิคอล กรุ๊ป จำกัด</t>
  </si>
  <si>
    <t>PPIM195013C0</t>
  </si>
  <si>
    <t>PPIM195013CC</t>
  </si>
  <si>
    <t>นาย ธนภูมิ ศิริวัฒน์</t>
  </si>
  <si>
    <t>PPIM19501488</t>
  </si>
  <si>
    <t>บริษัท นพคุณสตีล จำกัด</t>
  </si>
  <si>
    <t>PPIM1950148A</t>
  </si>
  <si>
    <t>นายกวิน นวลละออง</t>
  </si>
  <si>
    <t>PPIM19501782</t>
  </si>
  <si>
    <t>น.ส.นลินภัสร์ วีรกุลธิติภัทร</t>
  </si>
  <si>
    <t>PPIM195013BC</t>
  </si>
  <si>
    <t>PPIM19501492</t>
  </si>
  <si>
    <t>น.ส.ขวัญเรือน อ่ำไร่ขิง</t>
  </si>
  <si>
    <t>PPIM19501819</t>
  </si>
  <si>
    <t>PPIM19501863</t>
  </si>
  <si>
    <t>อนุพงษ์ ศรีสุข</t>
  </si>
  <si>
    <t>PPIM1950186C</t>
  </si>
  <si>
    <t>PPIM19501874</t>
  </si>
  <si>
    <t>นางเยาวลักษณ์ โสตถิพันธ์</t>
  </si>
  <si>
    <t>PPIM195018AE</t>
  </si>
  <si>
    <t>PPIM19501556</t>
  </si>
  <si>
    <t>นางสาวภัทรินทร์ ทับทิมแดง</t>
  </si>
  <si>
    <t>PPIM195015D0</t>
  </si>
  <si>
    <t>PPIM19501786</t>
  </si>
  <si>
    <t>บริษัท โกเบิล รีไซคลิง แมเนจเมนท์ จำกัด</t>
  </si>
  <si>
    <t>PPIM1950187C</t>
  </si>
  <si>
    <t>นางเพ็ญนภา แสงโชติชัย</t>
  </si>
  <si>
    <t>PPIM19501394</t>
  </si>
  <si>
    <t>นางสมมารถ เพชรรัตนรังสี</t>
  </si>
  <si>
    <t>PPIM1950141C</t>
  </si>
  <si>
    <t>PPIM19501545</t>
  </si>
  <si>
    <t>บริษัท เอ.แอล.เค. กรุ๊ป(2015) จำกัด</t>
  </si>
  <si>
    <t>PPIM1950157A</t>
  </si>
  <si>
    <t>PPIM195015F3</t>
  </si>
  <si>
    <t>PPIM19501618</t>
  </si>
  <si>
    <t>PPIM195016A6</t>
  </si>
  <si>
    <t>น.ส.สิริรัตน์ กุลจิตติคงทวี</t>
  </si>
  <si>
    <t>PPIM19501781</t>
  </si>
  <si>
    <t>PPIM1950142E</t>
  </si>
  <si>
    <t>น.ส.กนกวลี ภิญโญศรี</t>
  </si>
  <si>
    <t>PPIM19501464</t>
  </si>
  <si>
    <t>นางชลัยทิพย์ สินธุนาวา</t>
  </si>
  <si>
    <t>PPIM19501703</t>
  </si>
  <si>
    <t>นางสาววันเพ็ญ ดาวอุปถัมภ์</t>
  </si>
  <si>
    <t>PPIM19501390</t>
  </si>
  <si>
    <t>นายทวีป อี๊ธงชัย</t>
  </si>
  <si>
    <t>PPIM19501579</t>
  </si>
  <si>
    <t>น.ส.ศิริธร เหลย</t>
  </si>
  <si>
    <t>PPIM19501583</t>
  </si>
  <si>
    <t>PPIM19501578</t>
  </si>
  <si>
    <t>บริษัท ธนาอุดมพงศ์เพลส จำกัด</t>
  </si>
  <si>
    <t>PPIM19501639</t>
  </si>
  <si>
    <t>PPIM19501865</t>
  </si>
  <si>
    <t>นาย พร้อมพงศ์ มังกรศิลานนท์</t>
  </si>
  <si>
    <t>PPIM19501867</t>
  </si>
  <si>
    <t>นส. กมลรัตน์ แซ่ตัน</t>
  </si>
  <si>
    <t>PPIM195018BD</t>
  </si>
  <si>
    <t>พ.อ.อัษฎาวุธ ปันยารชุน</t>
  </si>
  <si>
    <t>PPIM195013A8</t>
  </si>
  <si>
    <t>นาย สมหวัง มั่นคง</t>
  </si>
  <si>
    <t>PPIM195013B0</t>
  </si>
  <si>
    <t>นาง นวียา แลมบ์สัน</t>
  </si>
  <si>
    <t>PPIM19501406</t>
  </si>
  <si>
    <t>เอิร์ท ซี จำกัด</t>
  </si>
  <si>
    <t>PPIM195014E4</t>
  </si>
  <si>
    <t>นายภานุพิศุทธ์ ธนบดีธนาพิศุทธิ์</t>
  </si>
  <si>
    <t>PPIM19501524</t>
  </si>
  <si>
    <t>นางรุ่งนภา ชาวดอนคูณ</t>
  </si>
  <si>
    <t>PPIM195015A7</t>
  </si>
  <si>
    <t>นายจำลอง ดอกไม้</t>
  </si>
  <si>
    <t>PPIM19501641</t>
  </si>
  <si>
    <t>นายเกรียงไกร สุภกิจจานุรักษ์</t>
  </si>
  <si>
    <t>PPIM19501738</t>
  </si>
  <si>
    <t>เทศบาล ต.บางปลาม้า(ศูนย์พัฒนาเด็กเล็ก)</t>
  </si>
  <si>
    <t>PPIM195016FC</t>
  </si>
  <si>
    <t>PPIM195014CB</t>
  </si>
  <si>
    <t>PPIM1950189E</t>
  </si>
  <si>
    <t>PPIM185008FD</t>
  </si>
  <si>
    <t>นายชุ่ม ภูฆัง</t>
  </si>
  <si>
    <t>กฟอ.เดิมบางนางบวช</t>
  </si>
  <si>
    <t>PPIM18500A6B</t>
  </si>
  <si>
    <t>นางสาวสุภารัตน์ ปานบุญ</t>
  </si>
  <si>
    <t>กฟอ.ด่านช้าง</t>
  </si>
  <si>
    <t>PPIM18500D0E</t>
  </si>
  <si>
    <t>นางสมบัติ หลีนุกูล</t>
  </si>
  <si>
    <t>PPIM18501143</t>
  </si>
  <si>
    <t>นายชุ่ม ภูคัง</t>
  </si>
  <si>
    <t>PPIM18501165</t>
  </si>
  <si>
    <t>PPIM18501750</t>
  </si>
  <si>
    <t>วิโรจน์ พิมพขันธ์</t>
  </si>
  <si>
    <t>กฟอ.หนองหญ้าไซ</t>
  </si>
  <si>
    <t>PPIM18501754</t>
  </si>
  <si>
    <t>บริษัท ทอล์ค-ไทม์ มีเดีย จำกัด</t>
  </si>
  <si>
    <t>PPIM18501A99</t>
  </si>
  <si>
    <t>สำนักงานสาธารณสุขอำเภอด่านช้าง</t>
  </si>
  <si>
    <t>PPIM18501B81</t>
  </si>
  <si>
    <t>นายพิเศษ พันธุ์แตง</t>
  </si>
  <si>
    <t>PPIM185018C1</t>
  </si>
  <si>
    <t>PPIM18501F65</t>
  </si>
  <si>
    <t>โรงเรียนบ้านหนองอิงพิง</t>
  </si>
  <si>
    <t>PPIM18501F66</t>
  </si>
  <si>
    <t>โรงเรียนบ้านหนองอิงพิง อาคาร2</t>
  </si>
  <si>
    <t>PPIM185024AB</t>
  </si>
  <si>
    <t>นายวิโรจน์ พิมพขันธ์</t>
  </si>
  <si>
    <t>PPIM18502577</t>
  </si>
  <si>
    <t>นาย เสรี ขำสุวรรณ</t>
  </si>
  <si>
    <t>PPIM1850298B</t>
  </si>
  <si>
    <t>ที่ทำการปกครองอำเภอหนองหญ้าไซ</t>
  </si>
  <si>
    <t>PPIM185029AB</t>
  </si>
  <si>
    <t>องค์การบริหารส่วนตำบลหนองโพธิ์</t>
  </si>
  <si>
    <t>PPIM18502BC7</t>
  </si>
  <si>
    <t>ที่ทำการปกครองอำเภอเดิมบางนางบวช</t>
  </si>
  <si>
    <t>PPIM18502AD3</t>
  </si>
  <si>
    <t>PPIM18502C81</t>
  </si>
  <si>
    <t>PPIM18502C85</t>
  </si>
  <si>
    <t>นางสุนิสา วิศวธีรานนท์</t>
  </si>
  <si>
    <t>PPIM1850261F</t>
  </si>
  <si>
    <t>PPIM18502D8C</t>
  </si>
  <si>
    <t>PPIM18502DBC</t>
  </si>
  <si>
    <t>PPIM18502D73</t>
  </si>
  <si>
    <t>วัดป่าเทพมงคลธรรม</t>
  </si>
  <si>
    <t>PPIM18502EEE</t>
  </si>
  <si>
    <t>PPIM18502D59</t>
  </si>
  <si>
    <t>ที่ว่าการอำเภอหนองหญ้าไซ</t>
  </si>
  <si>
    <t>PPIM18502D3A</t>
  </si>
  <si>
    <t>ที่ว่าการอำเภอเดิมบางนางบวช</t>
  </si>
  <si>
    <t>PPIM18503388</t>
  </si>
  <si>
    <t>สหกรณ์การเกษตรเดิมบางนางบวช</t>
  </si>
  <si>
    <t>PPIM185033B8</t>
  </si>
  <si>
    <t>นายวิชาญ หวั่นท๊อก</t>
  </si>
  <si>
    <t>PPIM18503525</t>
  </si>
  <si>
    <t>PPIM18503526</t>
  </si>
  <si>
    <t>PPIM185037CA</t>
  </si>
  <si>
    <t>หทัยรัตน์ เทพสถิตย์</t>
  </si>
  <si>
    <t>PPIM18503842</t>
  </si>
  <si>
    <t>นาง หทัยรัตน์ เทพสถิตย์</t>
  </si>
  <si>
    <t>PPIM185038FD</t>
  </si>
  <si>
    <t>ที่ทำการปกครองอำเภอด่านช้าง</t>
  </si>
  <si>
    <t>PPIM18503A25</t>
  </si>
  <si>
    <t>นางณัฎฐิกา วงศ์ซื่อสัตย์</t>
  </si>
  <si>
    <t>PPIM18503ADF</t>
  </si>
  <si>
    <t>PPIM18503B3C</t>
  </si>
  <si>
    <t>นางสุนันทา พันธุมิตร</t>
  </si>
  <si>
    <t>PPIM18503CEE</t>
  </si>
  <si>
    <t>ที่ว่าการอำเภอด่านช้าง</t>
  </si>
  <si>
    <t>PPIM18503E05</t>
  </si>
  <si>
    <t>PPIM18503E48</t>
  </si>
  <si>
    <t>PPIM18503C62</t>
  </si>
  <si>
    <t>PPIM18503CAA</t>
  </si>
  <si>
    <t>นาย อัธน์ สงวนบุญ</t>
  </si>
  <si>
    <t>PPIM18503CAE</t>
  </si>
  <si>
    <t>นาย ธนรัชต์ สงวนบุญ</t>
  </si>
  <si>
    <t>PPIM185046D5</t>
  </si>
  <si>
    <t>ที่ทำการองค์การบริหารส่วนตำบลนางบวช</t>
  </si>
  <si>
    <t>PPIM18504736</t>
  </si>
  <si>
    <t>PPIM185048CA</t>
  </si>
  <si>
    <t>นายธงชัย ศรีคง</t>
  </si>
  <si>
    <t>PPIM1950017F</t>
  </si>
  <si>
    <t>PPIM195002A4</t>
  </si>
  <si>
    <t>นาย ธนภูมิ สุขขุม</t>
  </si>
  <si>
    <t>PPIM1950035B</t>
  </si>
  <si>
    <t>PPIM19501385</t>
  </si>
  <si>
    <t>PPIM19501A4E</t>
  </si>
  <si>
    <t>นายพนม เชอสินธุ์</t>
  </si>
  <si>
    <t>PPIM19501AB5</t>
  </si>
  <si>
    <t>นางอมรา ศรีศิล</t>
  </si>
  <si>
    <t>PPIM195018FA</t>
  </si>
  <si>
    <t>นาย พิพัฒน์ จำเนียรดำรงค์การ</t>
  </si>
  <si>
    <t>PPIM19501BB9</t>
  </si>
  <si>
    <t>นายลมัย โต๊ะบุรินทร์</t>
  </si>
  <si>
    <t>PPIM19501C69</t>
  </si>
  <si>
    <t>บริษัท อรดา จำกัด</t>
  </si>
  <si>
    <t>PPIM19501C6F</t>
  </si>
  <si>
    <t>PPIM19501C73</t>
  </si>
  <si>
    <t>PPIM19501D7E</t>
  </si>
  <si>
    <t>บริษัท กาญจนบุรีค้าเหล็ก จำกัด</t>
  </si>
  <si>
    <t>PPIM19501E96</t>
  </si>
  <si>
    <t>นายธีรวัฒน์ ศรบุญรอด</t>
  </si>
  <si>
    <t>PPIM19501E55</t>
  </si>
  <si>
    <t>PPIM19501914</t>
  </si>
  <si>
    <t>PPIM19501967</t>
  </si>
  <si>
    <t>PPIM195019F1</t>
  </si>
  <si>
    <t>นาย อนุพงษ์ ศรีสุข</t>
  </si>
  <si>
    <t>PPIM19501B73</t>
  </si>
  <si>
    <t>นายบุญสร้าง จรดล</t>
  </si>
  <si>
    <t>PPIM19501C53</t>
  </si>
  <si>
    <t>นายภูรินท์ อดุลยานุโกสล</t>
  </si>
  <si>
    <t>PPIM19501CF4</t>
  </si>
  <si>
    <t>PPIM19501D4A</t>
  </si>
  <si>
    <t>PPIM19501E00</t>
  </si>
  <si>
    <t>PPIM19501F33</t>
  </si>
  <si>
    <t>PPIM19501F39</t>
  </si>
  <si>
    <t>PPIM19501F41</t>
  </si>
  <si>
    <t>PPIM19501952</t>
  </si>
  <si>
    <t>นาง ฐิตินันต์ ฉิมวัย</t>
  </si>
  <si>
    <t>PPIM195018D7</t>
  </si>
  <si>
    <t>นางสาววันเพ็ญ กันสุวิโร</t>
  </si>
  <si>
    <t>PPIM195018F2</t>
  </si>
  <si>
    <t>นางสาว นฤมล สุขวจีคล่อง</t>
  </si>
  <si>
    <t>PPIM19501A04</t>
  </si>
  <si>
    <t>นาย จรัญ น่วมขยัน</t>
  </si>
  <si>
    <t>PPIM19501CF0</t>
  </si>
  <si>
    <t>บริษัท ซัสโก้ จำกัด (มหาชน)</t>
  </si>
  <si>
    <t>PPIM195018C7</t>
  </si>
  <si>
    <t>PPIM195018C9</t>
  </si>
  <si>
    <t>PPIM19501C9D</t>
  </si>
  <si>
    <t>PPIM19501D4E</t>
  </si>
  <si>
    <t>ตวงเพชร เร่งประเสริฐ</t>
  </si>
  <si>
    <t>PPIM19501D98</t>
  </si>
  <si>
    <t>PPIM19501D9D</t>
  </si>
  <si>
    <t>บริษัท เอ็น.ซี.เฮ้าส์.ซิ่ง จำกัด (มหาชน)</t>
  </si>
  <si>
    <t>PPIM19501DD2</t>
  </si>
  <si>
    <t>PPIM19501EC9</t>
  </si>
  <si>
    <t>PPIM19501F7F</t>
  </si>
  <si>
    <t>บริษัท เอ.แอล.เค กรุ๊ป(2015) จำกัด</t>
  </si>
  <si>
    <t>PPIM19501A2C</t>
  </si>
  <si>
    <t>นาง ณัฏฐิมา อึ้งอัมพร</t>
  </si>
  <si>
    <t>PPIM19501BEF</t>
  </si>
  <si>
    <t>PPIM19501A69</t>
  </si>
  <si>
    <t>บริษัท เพอร์เฟคเซฟตี้เทรนนิ่ง แอนด์ คอนซัลติ้ง จำกัด</t>
  </si>
  <si>
    <t>PPIM19501E9C</t>
  </si>
  <si>
    <t>นายเอกรินทร์ บัวลอย</t>
  </si>
  <si>
    <t>PPIM19501F81</t>
  </si>
  <si>
    <t>น.ส. ชนิดาภา วสุธนโชติ</t>
  </si>
  <si>
    <t>PPIM19501962</t>
  </si>
  <si>
    <t>นาย เฉลิมชัย จีนสุขประเสริฐ</t>
  </si>
  <si>
    <t>PPIM19501F7E</t>
  </si>
  <si>
    <t>นายสมเกียรติ กระจ่างแจ้ง</t>
  </si>
  <si>
    <t>PPIM19501905</t>
  </si>
  <si>
    <t>PPIM19501A0C</t>
  </si>
  <si>
    <t>PPIM19501A27</t>
  </si>
  <si>
    <t>นายณรงค์ศักดิ์ พันธ์เจริญ</t>
  </si>
  <si>
    <t>PPIM19501B3D</t>
  </si>
  <si>
    <t>PPIM19501BCF</t>
  </si>
  <si>
    <t>PPIM19501CAD</t>
  </si>
  <si>
    <t>นาย ณรงค์ศักดิ์ พันธ์เจริญ</t>
  </si>
  <si>
    <t>PPIM19501D1D</t>
  </si>
  <si>
    <t>นายสถาพร สรรค์โสภณ</t>
  </si>
  <si>
    <t>PPIM19501D1E</t>
  </si>
  <si>
    <t>นาย นรินทร์ อายุบเคน</t>
  </si>
  <si>
    <t>PPIM19501D74</t>
  </si>
  <si>
    <t>โรงเรียนบ้านมะกอกหมู่(ปุญสิริวิทยา)</t>
  </si>
  <si>
    <t>PPIM19501D75</t>
  </si>
  <si>
    <t>PPIM19501E98</t>
  </si>
  <si>
    <t>ว่าที่ ร.ต.โยธิน บุญธรรม</t>
  </si>
  <si>
    <t>PPIM19501F45</t>
  </si>
  <si>
    <t>นางระพีพร ก้านเหลือง</t>
  </si>
  <si>
    <t>PPIM19501A80</t>
  </si>
  <si>
    <t>โรงเรียนไทยรัฐวิทยา21(บ้านลำเหย)</t>
  </si>
  <si>
    <t>PPIM19501B24</t>
  </si>
  <si>
    <t>น.ส.วรรณดี กาญจนภิญพงศ์</t>
  </si>
  <si>
    <t>PPIM19501AF4</t>
  </si>
  <si>
    <t>นางสาว สุนทร เสลาคุณ</t>
  </si>
  <si>
    <t>PPIM19501E28</t>
  </si>
  <si>
    <t>PPIM19501A6C</t>
  </si>
  <si>
    <t>นายธีร์ ทยามานะสุนทร</t>
  </si>
  <si>
    <t>PPIM19501A82</t>
  </si>
  <si>
    <t>น.ส.สุทธนี มณีอินทร์</t>
  </si>
  <si>
    <t>PPIM19501C9A</t>
  </si>
  <si>
    <t>PPIM195018ED</t>
  </si>
  <si>
    <t>ปวีณา เสือไวย์</t>
  </si>
  <si>
    <t>PPIM1950196E</t>
  </si>
  <si>
    <t>นางกนกรัตน์ กลิ่นขจร</t>
  </si>
  <si>
    <t>PPIM19501A24</t>
  </si>
  <si>
    <t>นางสาว จิราพร เครือชะเอม</t>
  </si>
  <si>
    <t>PPIM19501E69</t>
  </si>
  <si>
    <t>นางสาว หยกพร สารวิทย์</t>
  </si>
  <si>
    <t>PPIM19501FA2</t>
  </si>
  <si>
    <t>ยุทธนา รัตนธน</t>
  </si>
  <si>
    <t>PPIM19501FAF</t>
  </si>
  <si>
    <t>พระครูสุวรรณจันทนิวิฐ</t>
  </si>
  <si>
    <t>รอทดสอบเชื่อมต่อ</t>
  </si>
  <si>
    <t>รออนุมัติเชื่อมต่อ/รับพิจารณา</t>
  </si>
  <si>
    <t>รอดำเนินการหลังอนุมัติเชื่อมต่อ/รับพิจารณา</t>
  </si>
  <si>
    <t>รอตรวจสอบระบบผลิต</t>
  </si>
  <si>
    <t>รออนุมัติแจ้งวันเริ่มเชื่อมต่อ</t>
  </si>
  <si>
    <t>รอตรวจสอบคำขอ</t>
  </si>
  <si>
    <t>รอดำเนินการหลังอนุมัติเชื่อมต่อ / รับพิจารณา</t>
  </si>
  <si>
    <t>PPIM19502104</t>
  </si>
  <si>
    <t>นาย อนุสรณ์ อมตานนท์</t>
  </si>
  <si>
    <t>PPIM195021B5</t>
  </si>
  <si>
    <t>PPIM195021CC</t>
  </si>
  <si>
    <t>น.ส.ศิราณี ฉิมพลี</t>
  </si>
  <si>
    <t>PPIM195021FA</t>
  </si>
  <si>
    <t>กรกช อมรพงษ์</t>
  </si>
  <si>
    <t>PPIM19502335</t>
  </si>
  <si>
    <t>นาย ปฎิพัทธ์ ลิ้มทรัพย์เจริญ</t>
  </si>
  <si>
    <t>PPIM195021AF</t>
  </si>
  <si>
    <t>น.ส.ศศิธร แก้ววิศิษฎ์</t>
  </si>
  <si>
    <t>PPIM19502283</t>
  </si>
  <si>
    <t>นาย วิชัย แซ่โล้ว</t>
  </si>
  <si>
    <t>PPIM19502279</t>
  </si>
  <si>
    <t>บริษัท แลนดี้โฮม (ประเทศไทย)จำกัด</t>
  </si>
  <si>
    <t>PPIM1950241C</t>
  </si>
  <si>
    <t>นางภารดี ปัญญาวชิราภรณ์</t>
  </si>
  <si>
    <t>PPIM1950276A</t>
  </si>
  <si>
    <t>นางสาวกรกช อมรพงษ์</t>
  </si>
  <si>
    <t>PPIM195027C9</t>
  </si>
  <si>
    <t>นายปริญญา นาคมี</t>
  </si>
  <si>
    <t>PPIM195029EE</t>
  </si>
  <si>
    <t>นางสาว ชลิตาภรณ์ บุญพรหม</t>
  </si>
  <si>
    <t>อฝ./ผจก.</t>
  </si>
  <si>
    <t>PPIM19502AE4</t>
  </si>
  <si>
    <t>PPIM19502C65</t>
  </si>
  <si>
    <t>นาย ธนูศิลป์ ลิ้มทอง</t>
  </si>
  <si>
    <t>PPIM19502C7D</t>
  </si>
  <si>
    <t>นางสาวกุหลาบ แก้วเปลี่ยน</t>
  </si>
  <si>
    <t>รออนุมัติเชื่อมต่อ (200 kW ขึ้นไป)</t>
  </si>
  <si>
    <t>รอแก้ไขเอกสารหลังอนุมัติเชื่อมต่อ / รับพิจารณา</t>
  </si>
  <si>
    <t>PPIM19502239</t>
  </si>
  <si>
    <t>นายคุณพจน์ เที่ยงพูนวงศ์</t>
  </si>
  <si>
    <t>PPIM19502583</t>
  </si>
  <si>
    <t>ห้างหุ้นส่วนจำกัด รวมนคร</t>
  </si>
  <si>
    <t>PPIM19502100</t>
  </si>
  <si>
    <t>นายสมยศ เล้าทวีทรัพย์</t>
  </si>
  <si>
    <t>PPIM195029F7</t>
  </si>
  <si>
    <t>ทวีสิน บุญเสน่ห์</t>
  </si>
  <si>
    <t>PPIM19502BB6</t>
  </si>
  <si>
    <t>น.ส.วุฒิภัทร กุลจิราโภคิณ</t>
  </si>
  <si>
    <t>หผ.</t>
  </si>
  <si>
    <t>PPIM1950212B</t>
  </si>
  <si>
    <t>นาย อนุวัฒน์ ผาติกูลรังสรรค์</t>
  </si>
  <si>
    <t>PPIM19502176</t>
  </si>
  <si>
    <t>นางสาวชมพูนุช ทองม่วง</t>
  </si>
  <si>
    <t>PPIM19502198</t>
  </si>
  <si>
    <t>นางสาวยุพา เปี่ยมวารี</t>
  </si>
  <si>
    <t>PPIM19502308</t>
  </si>
  <si>
    <t>PPIM19502309</t>
  </si>
  <si>
    <t>PPIM1950230E</t>
  </si>
  <si>
    <t>PPIM19502319</t>
  </si>
  <si>
    <t>น.ส. ชมพูนุท ทองม่วง</t>
  </si>
  <si>
    <t>PPIM19502375</t>
  </si>
  <si>
    <t>PPIM195023B7</t>
  </si>
  <si>
    <t>PPIM19502745</t>
  </si>
  <si>
    <t>นางเพ็ญนภา พิชญ์พูนภัสสร</t>
  </si>
  <si>
    <t>PPIM1950279A</t>
  </si>
  <si>
    <t>PPIM19502B07</t>
  </si>
  <si>
    <t>นายพันธุ์ระวี ทองสุข</t>
  </si>
  <si>
    <t>PPIM19502BC8</t>
  </si>
  <si>
    <t>PPIM19502BF2</t>
  </si>
  <si>
    <t>พ.อ.อัมพร พิริยานุวงศ์</t>
  </si>
  <si>
    <t>PPIM1950214E</t>
  </si>
  <si>
    <t>นาย สมศักดิ์ พรหมสมบัติ</t>
  </si>
  <si>
    <t>PPIM19502514</t>
  </si>
  <si>
    <t>นาย บุญชัย นันทปรีชาชาญ</t>
  </si>
  <si>
    <t>PPIM19502667</t>
  </si>
  <si>
    <t>นาย สานนท์ ดำเเพร</t>
  </si>
  <si>
    <t>PPIM19502973</t>
  </si>
  <si>
    <t>นางสาวเนตรนภา วิลัยสิทธิ์</t>
  </si>
  <si>
    <t>PPIM19502225</t>
  </si>
  <si>
    <t>นายพัชระ ไม้หอม</t>
  </si>
  <si>
    <t>PPIM19502B29</t>
  </si>
  <si>
    <t>PPIM19502B3C</t>
  </si>
  <si>
    <t>PPIM19502D2B</t>
  </si>
  <si>
    <t>บริษัท อีเล็คทริค ออโต้คีย์ จำกัด</t>
  </si>
  <si>
    <t>PPIM19502023</t>
  </si>
  <si>
    <t>นาย ชะนะ ครองรักษา</t>
  </si>
  <si>
    <t>PPIM19502065</t>
  </si>
  <si>
    <t>PPIM19502128</t>
  </si>
  <si>
    <t>PPIM19502135</t>
  </si>
  <si>
    <t>ธนกฤช สุขดำรงปรีชา</t>
  </si>
  <si>
    <t>PPIM19502097</t>
  </si>
  <si>
    <t>นายวิเชียร จันทะยาสาคร</t>
  </si>
  <si>
    <t>PPIM19502604</t>
  </si>
  <si>
    <t>นางสาวธัญญ์รวี หิรัณย์พุฒิธร</t>
  </si>
  <si>
    <t>PPIM1950260C</t>
  </si>
  <si>
    <t>นายนิวัฒน์ สินปิยะนนท์</t>
  </si>
  <si>
    <t>PPIM1950260D</t>
  </si>
  <si>
    <t>นางสาวนัทธมน อิษฎานนท์</t>
  </si>
  <si>
    <t>PPIM19502618</t>
  </si>
  <si>
    <t>นายวิโรจน์ มั่นหมั่น</t>
  </si>
  <si>
    <t>PPIM1950261B</t>
  </si>
  <si>
    <t>นายสมภพ ชินสวนานนท์</t>
  </si>
  <si>
    <t>PPIM19502620</t>
  </si>
  <si>
    <t>นางสาวเพ็ญศิริ แก้วด้วง</t>
  </si>
  <si>
    <t>PPIM195028FB</t>
  </si>
  <si>
    <t>นางสาวภัสร์นลิน เอี่ยมสำอางค์</t>
  </si>
  <si>
    <t>PPIM19502A69</t>
  </si>
  <si>
    <t>นายสุทัศน์ พงษ์ช้างอยู่</t>
  </si>
  <si>
    <t>PPIM19502A9D</t>
  </si>
  <si>
    <t>นางสาวชลดา ณรงคมี</t>
  </si>
  <si>
    <t>PPIM19502BE9</t>
  </si>
  <si>
    <t>นายเศรษฐศิริ สุขวิบูลย์</t>
  </si>
  <si>
    <t>PPIM19502C74</t>
  </si>
  <si>
    <t>บริษัท หมอมวลชน 2000 จำกัด</t>
  </si>
  <si>
    <t>PPIM19502D0F</t>
  </si>
  <si>
    <t>วีรยุทธ หมื่นชล</t>
  </si>
  <si>
    <t>PPIM19501FE0</t>
  </si>
  <si>
    <t>นาย ศรัณย์ ขวัญเมือง</t>
  </si>
  <si>
    <t>PPIM19501FE2</t>
  </si>
  <si>
    <t>PPIM19501FFB</t>
  </si>
  <si>
    <t>นาย เอกชัย วชิรศักดิ์สุนทร</t>
  </si>
  <si>
    <t>PPIM195020B9</t>
  </si>
  <si>
    <t>PPIM195020C8</t>
  </si>
  <si>
    <t>นายอานุภาพ จิรัฐติกาล</t>
  </si>
  <si>
    <t>PPIM1950217A</t>
  </si>
  <si>
    <t>ชุติกาญจน์ สุวรรณรัตน์</t>
  </si>
  <si>
    <t>PPIM195023C9</t>
  </si>
  <si>
    <t>นายรัชพล พิทักษ์พรสิน</t>
  </si>
  <si>
    <t>PPIM195023F6</t>
  </si>
  <si>
    <t>PPIM1950245D</t>
  </si>
  <si>
    <t>PPIM19502675</t>
  </si>
  <si>
    <t>PPIM195026D8</t>
  </si>
  <si>
    <t>นางสาววารุณี สมศรี</t>
  </si>
  <si>
    <t>PPIM195026DB</t>
  </si>
  <si>
    <t>PPIM19502706</t>
  </si>
  <si>
    <t>PPIM1950276B</t>
  </si>
  <si>
    <t>นายเจนณรงค์ แก่นมั่น</t>
  </si>
  <si>
    <t>PPIM1950276C</t>
  </si>
  <si>
    <t>PPIM195027B9</t>
  </si>
  <si>
    <t>นายอรรถพล คะโยธษ</t>
  </si>
  <si>
    <t>PPIM19502ACD</t>
  </si>
  <si>
    <t>จ.ต.บุญสิน รติปฏิรูป</t>
  </si>
  <si>
    <t>PPIM19502B94</t>
  </si>
  <si>
    <t>น.ส.ชนัฐดา ธรรมเภตรารักษ์</t>
  </si>
  <si>
    <t>PPIM19502B9F</t>
  </si>
  <si>
    <t>นายภานุพงศ์ บุนกาลกุล</t>
  </si>
  <si>
    <t>PPIM19502C0D</t>
  </si>
  <si>
    <t>PPIM19502C26</t>
  </si>
  <si>
    <t>PPIM19502CD1</t>
  </si>
  <si>
    <t>ไพศาล มีศรี</t>
  </si>
  <si>
    <t>PPIM19502276</t>
  </si>
  <si>
    <t>บริษัท ภูสิริ 89 มาร์เก็ตติ้ง จำกัด</t>
  </si>
  <si>
    <t>PPIM19502338</t>
  </si>
  <si>
    <t>นาง บุญส่ง ซุ้นเจริญ</t>
  </si>
  <si>
    <t>PPIM195024F3</t>
  </si>
  <si>
    <t>นางสาวณัชชา เขียววิไล</t>
  </si>
  <si>
    <t>PPIM19502951</t>
  </si>
  <si>
    <t>นายพิศิษฐ์ ศิรบุลเศรษฐ์</t>
  </si>
  <si>
    <t>PPIM19502A70</t>
  </si>
  <si>
    <t>น.ส.ยุวดี บุญชัย</t>
  </si>
  <si>
    <t>PPIM19502B4F</t>
  </si>
  <si>
    <t>นายทรัพยงค์ ทรงสกุล</t>
  </si>
  <si>
    <t>PPIM19502BD7</t>
  </si>
  <si>
    <t>บริษัท จีเอ 2007 กำจัด</t>
  </si>
  <si>
    <t>PPIM19502CEA</t>
  </si>
  <si>
    <t>น.ส.รุ่งรุจี ทองสร้อย</t>
  </si>
  <si>
    <t>PPIM19502022</t>
  </si>
  <si>
    <t>นายอำนาจ ธงชัย</t>
  </si>
  <si>
    <t>PPIM1950211F</t>
  </si>
  <si>
    <t>น.ส. วริศรา สถิตดำรงสกุล</t>
  </si>
  <si>
    <t>PPIM19502317</t>
  </si>
  <si>
    <t>บริษัท เอสพีเอ็น แอคเคาท์แอนด์ลอว์ จำกัด</t>
  </si>
  <si>
    <t>PPIM195023BB</t>
  </si>
  <si>
    <t>ชนัยชนม์ มหาชานันท์</t>
  </si>
  <si>
    <t>PPIM19502C1A</t>
  </si>
  <si>
    <t>PPIM19502025</t>
  </si>
  <si>
    <t>PPIM19502044</t>
  </si>
  <si>
    <t>โรงเรียนบ้านมะกอกหมู่(ปุญสิริวืทยา)</t>
  </si>
  <si>
    <t>PPIM19502134</t>
  </si>
  <si>
    <t>นางธัญญ์ณิดา ตั้งพัฒนพันธุ์</t>
  </si>
  <si>
    <t>PPIM19502183</t>
  </si>
  <si>
    <t>นาย สมศักดิ์ อุตมสร</t>
  </si>
  <si>
    <t>PPIM19502185</t>
  </si>
  <si>
    <t>PPIM19502186</t>
  </si>
  <si>
    <t>ประปาโรงเรียนบ้านมะกอกหมู่</t>
  </si>
  <si>
    <t>PPIM1950218C</t>
  </si>
  <si>
    <t>นายประกอบ มณีวรรณ์</t>
  </si>
  <si>
    <t>PPIM1950219D</t>
  </si>
  <si>
    <t>นายกฤษณะ โกมลจันทร์</t>
  </si>
  <si>
    <t>PPIM195021F5</t>
  </si>
  <si>
    <t>PPIM19502256</t>
  </si>
  <si>
    <t>PPIM1950227E</t>
  </si>
  <si>
    <t>PPIM19502360</t>
  </si>
  <si>
    <t>PPIM195022FD</t>
  </si>
  <si>
    <t>PPIM195023EA</t>
  </si>
  <si>
    <t>นายวิชัย ใคร่ครวญ</t>
  </si>
  <si>
    <t>PPIM19502476</t>
  </si>
  <si>
    <t>บริษัท วีเทคคอมพิวเตอร์ แอนด์ เทคโนโลยี จำกัด</t>
  </si>
  <si>
    <t>PPIM195026A2</t>
  </si>
  <si>
    <t>นาง สุชิน ทรัพย์สินธ์</t>
  </si>
  <si>
    <t>PPIM19502777</t>
  </si>
  <si>
    <t>ที่ทำการปกครองอำเภอทองผาภูมิ</t>
  </si>
  <si>
    <t>PPIM1950284C</t>
  </si>
  <si>
    <t>PPIM195028B1</t>
  </si>
  <si>
    <t>ที่ว่าการอำเภอทองผาภูมิ</t>
  </si>
  <si>
    <t>PPIM19502968</t>
  </si>
  <si>
    <t>นาย ธนาชัย มาโนช</t>
  </si>
  <si>
    <t>PPIM195029F8</t>
  </si>
  <si>
    <t>นายมงคล รังษีธนะไพศาล</t>
  </si>
  <si>
    <t>PPIM195029F9</t>
  </si>
  <si>
    <t>นายสิงหล จินจาคาม</t>
  </si>
  <si>
    <t>PPIM19502B50</t>
  </si>
  <si>
    <t>น.ส.สุจิตราภรณ์ พุฒขาว</t>
  </si>
  <si>
    <t>PPIM19502AC3</t>
  </si>
  <si>
    <t>PPIM19502B8A</t>
  </si>
  <si>
    <t>นายตันติกร รุ่งวิไลเจริญ</t>
  </si>
  <si>
    <t>PPIM19502639</t>
  </si>
  <si>
    <t>นายจอมพล เพ็ชรชาลี</t>
  </si>
  <si>
    <t>PPIM1950264C</t>
  </si>
  <si>
    <t>นายนัทธิน เลี้ยวเรียน</t>
  </si>
  <si>
    <t>PPIM19502659</t>
  </si>
  <si>
    <t>นางสาว อนัญญา ศิริบรรณพิทักษ์</t>
  </si>
  <si>
    <t>PPIM195027F5</t>
  </si>
  <si>
    <t>นาง ธัญญ์ชยา ปรีชาวาท</t>
  </si>
  <si>
    <t>PPIM19502C1D</t>
  </si>
  <si>
    <t>นาง ส้มแป้น มั่นคง</t>
  </si>
  <si>
    <t>PPIM19502A34</t>
  </si>
  <si>
    <t>จีรพันธุ์ ปานเพชร</t>
  </si>
  <si>
    <t>PPIM19502CDC</t>
  </si>
  <si>
    <t>นายพงศธร ปุณยกมลพงศ์</t>
  </si>
  <si>
    <t>PPIM19502CED</t>
  </si>
  <si>
    <t>นางสาววันเพ็ญ แซ่ลี่</t>
  </si>
  <si>
    <t>PPIM19502075</t>
  </si>
  <si>
    <t>โรงเรียนไทยรัฐวิทยา 21 (บ้านลำเหย)</t>
  </si>
  <si>
    <t>PPIM19502A32</t>
  </si>
  <si>
    <t>PPIM19502B2B</t>
  </si>
  <si>
    <t>บริษัท เอฟ.เอ็ม.พี.เอ็นจิเนีย จำกัด</t>
  </si>
  <si>
    <t>PPIM19502A37</t>
  </si>
  <si>
    <t>นาย อภิวัฒน์ รังสีชุติพัฒน์</t>
  </si>
  <si>
    <t>PPIM19502B8B</t>
  </si>
  <si>
    <t>PPIM19502C68</t>
  </si>
  <si>
    <t>นางสาว วรรณดี กาญจนภิญพงศ์</t>
  </si>
  <si>
    <t>PPIM19502CC9</t>
  </si>
  <si>
    <t>PPIM19502CCF</t>
  </si>
  <si>
    <t>PPIM19502CD6</t>
  </si>
  <si>
    <t>PPIM19502CE4</t>
  </si>
  <si>
    <t>นายถวิล สืบอินทร์</t>
  </si>
  <si>
    <t>PPIM19501FDF</t>
  </si>
  <si>
    <t>นางเปรมวดี แก้วสุวรรณ</t>
  </si>
  <si>
    <t>PPIM19502C30</t>
  </si>
  <si>
    <t>บริษัท เฮ้าส์ พลัส คอนสตรัคชั่น จำกัด</t>
  </si>
  <si>
    <t>PPIM19502123</t>
  </si>
  <si>
    <t>องค์การบริหารส่วนตำบลทับตีเหล็ก</t>
  </si>
  <si>
    <t>PPIM19502082</t>
  </si>
  <si>
    <t>นางสุพิศ วิศิษฏานนท์</t>
  </si>
  <si>
    <t>PPIM1950225E</t>
  </si>
  <si>
    <t>นางสาวปารย์รวี ขุนโท</t>
  </si>
  <si>
    <t>PPIM19502523</t>
  </si>
  <si>
    <t>องค์การบริหารส่วนตำบลจรเข้ใหญ่</t>
  </si>
  <si>
    <t>PPIM195025DA</t>
  </si>
  <si>
    <t>นางสาวกิรณา แจ่มฟ้า</t>
  </si>
  <si>
    <t>PPIM19502664</t>
  </si>
  <si>
    <t>นายเทียนชัย ยิ้มสมบูรณ์</t>
  </si>
  <si>
    <t>PPIM19502950</t>
  </si>
  <si>
    <t>วัดกลาง</t>
  </si>
  <si>
    <t>PPIM19502B08</t>
  </si>
  <si>
    <t>นิติบุคคลอาคารชุด เอสเซ็นท์ วิลล์สุพรรณบุรี</t>
  </si>
  <si>
    <t>PPIM19502B23</t>
  </si>
  <si>
    <t>นายยศดนัย น้อยแก้ว</t>
  </si>
  <si>
    <t>PPIM19502D29</t>
  </si>
  <si>
    <t>นาย คณิต สุวรรณไพฑูรย์</t>
  </si>
  <si>
    <t>PPIM195022E6</t>
  </si>
  <si>
    <t>PPIM195024B7</t>
  </si>
  <si>
    <t>น.ส.นันทนา จันทรวัฒนาวณิช</t>
  </si>
  <si>
    <t>PPIM195024D7</t>
  </si>
  <si>
    <t>PPIM19502988</t>
  </si>
  <si>
    <t>นายไพเลิศ โพธิ์พันธุ์</t>
  </si>
  <si>
    <t>PPIM19502A6F</t>
  </si>
  <si>
    <t>นางสาวนันทนา จันทรวัฒนาวณิช</t>
  </si>
  <si>
    <t>PPIM19502C5B</t>
  </si>
  <si>
    <t>นายจิรกร ถาวรพานิช</t>
  </si>
  <si>
    <t>PPIM1950254E</t>
  </si>
  <si>
    <t>นาย พงศ์อาณัฐ สุพรรณ์</t>
  </si>
  <si>
    <t>PPIM19502091</t>
  </si>
  <si>
    <t>องค์การบริหารส่วนตำบลบ้านช้าง</t>
  </si>
  <si>
    <t>PPIM19501FEA</t>
  </si>
  <si>
    <t>นาง วาสนา ทองสุก</t>
  </si>
  <si>
    <t>PPIM1950263A</t>
  </si>
  <si>
    <t>นายไพโรจน์ ตันวาพิทักษ์</t>
  </si>
  <si>
    <t>PPIM195026C8</t>
  </si>
  <si>
    <t>นาย อนงค์ แตงโสภา</t>
  </si>
  <si>
    <t>PPIM19502D24</t>
  </si>
  <si>
    <t>นายตั๋น แตงทอง</t>
  </si>
  <si>
    <t>เว้นยกเลิก</t>
  </si>
  <si>
    <t>% เชื่อมต่อแล้วเสร็จ</t>
  </si>
  <si>
    <t>PPIM19502EC5</t>
  </si>
  <si>
    <t>บริษัท เฮาส์ ออฟ รุกะ จำกัด</t>
  </si>
  <si>
    <t>PPIM19502ECB</t>
  </si>
  <si>
    <t>นาย อานันท์ กวยรักษา</t>
  </si>
  <si>
    <t>PPIM19503120</t>
  </si>
  <si>
    <t>นางเพ็ญศิริ บุญศรีเมือง</t>
  </si>
  <si>
    <t>PPIM19502F99</t>
  </si>
  <si>
    <t>น.ส.มณีรัตน์ ตันติธัญญพงษ์</t>
  </si>
  <si>
    <t>PPIM195033E2</t>
  </si>
  <si>
    <t>นางสาวทิพวรรณ ธชีพันธ์</t>
  </si>
  <si>
    <t>PPIM19503479</t>
  </si>
  <si>
    <t>นายขัณหพัฒน์ อุ่นฐิติวัฒน์</t>
  </si>
  <si>
    <t>PPIM1950354B</t>
  </si>
  <si>
    <t>บริษัท เนโกะ บิวตี้ จำกัด</t>
  </si>
  <si>
    <t>PPIM19503615</t>
  </si>
  <si>
    <t>นายนพพร ธุวะชาวสวน</t>
  </si>
  <si>
    <t>PPIM19503533</t>
  </si>
  <si>
    <t>สุเนตรา เพ็ญตระกูลชัย</t>
  </si>
  <si>
    <t>PPIM19503400</t>
  </si>
  <si>
    <t>นางสาวเสาวนีย์ เลาหะพงษ์พันธ์</t>
  </si>
  <si>
    <t>PPIM19503631</t>
  </si>
  <si>
    <t>บริษัท เซ็นทรัลพัฒนา เรซซิเด้นซ์ จำกัด</t>
  </si>
  <si>
    <t>PPIM19503632</t>
  </si>
  <si>
    <t>PPIM19503634</t>
  </si>
  <si>
    <t>PPIM19503636</t>
  </si>
  <si>
    <t>PPIM19503647</t>
  </si>
  <si>
    <t>นางสาว ขนิษฐา บุษบา</t>
  </si>
  <si>
    <t>PPIM19503656</t>
  </si>
  <si>
    <t>PPIM19503741</t>
  </si>
  <si>
    <t>นายชิเทพ งามเจริญ</t>
  </si>
  <si>
    <t>PPIM19503806</t>
  </si>
  <si>
    <t>นางสาว ปรารถนา ประติมากรรม</t>
  </si>
  <si>
    <t>PPIM1950380A</t>
  </si>
  <si>
    <t>นายตะวัน วัฒนรังสรรค์</t>
  </si>
  <si>
    <t>PPIM195037E0</t>
  </si>
  <si>
    <t>นายนนท์ปวิธ จันทรประดิษฐ์</t>
  </si>
  <si>
    <t>PPIM195036C7</t>
  </si>
  <si>
    <t>PPIM1950389A</t>
  </si>
  <si>
    <t>บริษัท ธนาคารยูโอบี จำกัด(มหาชน) สาขานครปฐม</t>
  </si>
  <si>
    <t>PPIM1950395C</t>
  </si>
  <si>
    <t>นายธีรยุทธิ์ ลาภมงคลนาวิน</t>
  </si>
  <si>
    <t>PPIM1950396A</t>
  </si>
  <si>
    <t>นายวรภพ ปราโมทย์</t>
  </si>
  <si>
    <t>PPIM19503980</t>
  </si>
  <si>
    <t>นายอดิศร ป้อมน้อย</t>
  </si>
  <si>
    <t>PPIM19503B3A</t>
  </si>
  <si>
    <t>วิริทธิพล ทรัพย์รดาวิรดา</t>
  </si>
  <si>
    <t>PPIM19503BF3</t>
  </si>
  <si>
    <t>PPIM195038D9</t>
  </si>
  <si>
    <t>นาง กิ่งกาญจน์ ชาวไร่นาค</t>
  </si>
  <si>
    <t>PPIM19503C7F</t>
  </si>
  <si>
    <t>นางสาว จารุวรรณ อริยานนท์</t>
  </si>
  <si>
    <t>PPIM19503BFA</t>
  </si>
  <si>
    <t>นาย จิระ บุญมาก</t>
  </si>
  <si>
    <t>PPIM195039A8</t>
  </si>
  <si>
    <t>PPIM19503E05</t>
  </si>
  <si>
    <t>PPIM19503F3C</t>
  </si>
  <si>
    <t>นายรักพงษ์ อริยานนท์</t>
  </si>
  <si>
    <t>PPIM1950408B</t>
  </si>
  <si>
    <t>นายบุญช่วย ตุ้มหิรัญ</t>
  </si>
  <si>
    <t>PPIM19503E8C</t>
  </si>
  <si>
    <t>ภูวณัฏฐ์ จิโรชอัครหิรัญ</t>
  </si>
  <si>
    <t>PPIM19504166</t>
  </si>
  <si>
    <t>น.ต ศิริศักดิ์ ธนนท์เศรษฐ์</t>
  </si>
  <si>
    <t>PPIM19504003</t>
  </si>
  <si>
    <t>นางพัชนีภรณ์ สุวรรณรัตน์</t>
  </si>
  <si>
    <t>PPIM195043D6</t>
  </si>
  <si>
    <t>นายบุญชุบ สอดแสงอรุณงาม</t>
  </si>
  <si>
    <t>PPIM195044E2</t>
  </si>
  <si>
    <t>สมเกียรติ อ.สงวน</t>
  </si>
  <si>
    <t>PPIM195045EB</t>
  </si>
  <si>
    <t>นางจรรยา จิรธนานันท์</t>
  </si>
  <si>
    <t>PPIM195045B5</t>
  </si>
  <si>
    <t>สุภาพรรณ ภู่เพนียด</t>
  </si>
  <si>
    <t>PPIM19504288</t>
  </si>
  <si>
    <t>บริษัท พรสันติ จำกัด</t>
  </si>
  <si>
    <t>PPIM1950474A</t>
  </si>
  <si>
    <t>นาง เกษร นาคทรัพย์</t>
  </si>
  <si>
    <t>PPIM19504758</t>
  </si>
  <si>
    <t>นายเดชาภัค ยุกแผน</t>
  </si>
  <si>
    <t>PPIM19504800</t>
  </si>
  <si>
    <t>นาย ธนะสิทธิ์ อนันต์สิริเกษม</t>
  </si>
  <si>
    <t>PPIM1950497B</t>
  </si>
  <si>
    <t>นายซีโรจน์ รชตะวณิชย์</t>
  </si>
  <si>
    <t>PPIM19504A6F</t>
  </si>
  <si>
    <t>นาง พรรษมณฑ์ สกลพรวศิน</t>
  </si>
  <si>
    <t>PPIM19504A83</t>
  </si>
  <si>
    <t>นางพิมพยา ธีรานุวัฒน์</t>
  </si>
  <si>
    <t>PPIM19504AA8</t>
  </si>
  <si>
    <t>นายประดิษฐ์ เหมือนวงศ์</t>
  </si>
  <si>
    <t>PPIM19504B92</t>
  </si>
  <si>
    <t>สุดารัตน์ ฟักบำรุง</t>
  </si>
  <si>
    <t>PPIM19504C43</t>
  </si>
  <si>
    <t>PPIM19504C7D</t>
  </si>
  <si>
    <t>บริษัท ฮ็อป อินน์ โฮเต็ล จำกัด (มหาชน)</t>
  </si>
  <si>
    <t>PPIM19504C88</t>
  </si>
  <si>
    <t>นายสุชาติ เจนกิจณรงค์</t>
  </si>
  <si>
    <t>PPIM19504D9D</t>
  </si>
  <si>
    <t>นาย พีรพล เจริญวิบูลย์พันธุ์</t>
  </si>
  <si>
    <t>PPIM19504E8D</t>
  </si>
  <si>
    <t>PPIM19504EE4</t>
  </si>
  <si>
    <t>นายสุเมธา ปานพริ้ง</t>
  </si>
  <si>
    <t>PPIM195052EF</t>
  </si>
  <si>
    <t>นางสาวกนกวรรณ นิยมพันธ์</t>
  </si>
  <si>
    <t>PPIM195053BB</t>
  </si>
  <si>
    <t>นาง วิไล วินิตเนตยานนท์</t>
  </si>
  <si>
    <t>PPIM195053CE</t>
  </si>
  <si>
    <t>บริษัท เจริญกิจบัญชี (2018) จำกัด</t>
  </si>
  <si>
    <t>PPIM1950504B</t>
  </si>
  <si>
    <t>บริษัท พฤกษา เรียลเอสดตท จำกัด (มหาชน)</t>
  </si>
  <si>
    <t>PPIM19505104</t>
  </si>
  <si>
    <t>บริษัท พฤกษา เรียลเอสเตท จำกัด (มหารชน)</t>
  </si>
  <si>
    <t>PPIM19505383</t>
  </si>
  <si>
    <t>PPIM195054FE</t>
  </si>
  <si>
    <t>สมปอง ถ้ำน้อย</t>
  </si>
  <si>
    <t>PPIM19505502</t>
  </si>
  <si>
    <t>บริษัท เคเอ็น เเอคเคาท์ จำกัด</t>
  </si>
  <si>
    <t>PPIM1950553E</t>
  </si>
  <si>
    <t>นายวีระศักดิ์ อินทรชัย</t>
  </si>
  <si>
    <t>PPIM195055D2</t>
  </si>
  <si>
    <t>นายสุพจน์ ชุ่มบุญชู</t>
  </si>
  <si>
    <t>PPIM19502EE1</t>
  </si>
  <si>
    <t>นาย อธิวัฒน์ ณ บางช้าง</t>
  </si>
  <si>
    <t>PPIM19502F5F</t>
  </si>
  <si>
    <t>นางสาวเอื้อมเดือน ศรีบุญช่วย</t>
  </si>
  <si>
    <t>PPIM19502FFD</t>
  </si>
  <si>
    <t>นางศิริพร แทนกิจการกุล</t>
  </si>
  <si>
    <t>PPIM195035F4</t>
  </si>
  <si>
    <t>PPIM19503600</t>
  </si>
  <si>
    <t>PPIM19502EC4</t>
  </si>
  <si>
    <t>นายอนุวัฒน์ กฤษดาเรืองศรี</t>
  </si>
  <si>
    <t>PPIM195037CE</t>
  </si>
  <si>
    <t>นางสาวดวงเดือน พูนนุช</t>
  </si>
  <si>
    <t>PPIM195039E7</t>
  </si>
  <si>
    <t>บริษัท บลูพลัส กรุ๊ป (2021) จำกัด</t>
  </si>
  <si>
    <t>PPIM19503A78</t>
  </si>
  <si>
    <t>PPIM19503C10</t>
  </si>
  <si>
    <t>PPIM19503D3A</t>
  </si>
  <si>
    <t>นายอธิวัฒน์ ณ บางช้าง</t>
  </si>
  <si>
    <t>PPIM19503E66</t>
  </si>
  <si>
    <t>นายเมียด พฤฒารา</t>
  </si>
  <si>
    <t>PPIM19503FB5</t>
  </si>
  <si>
    <t>องค์การบริหารส่วนตำบลท่ากระชับ</t>
  </si>
  <si>
    <t>PPIM195045E7</t>
  </si>
  <si>
    <t>PPIM1950467E</t>
  </si>
  <si>
    <t>น.ส.รัตนา พรมน้ำ</t>
  </si>
  <si>
    <t>PPIM19504684</t>
  </si>
  <si>
    <t>PPIM1950468A</t>
  </si>
  <si>
    <t>องค์การส่วนบริหารตำบลลานตากฟ้า</t>
  </si>
  <si>
    <t>PPIM19504715</t>
  </si>
  <si>
    <t>PPIM19504717</t>
  </si>
  <si>
    <t>PPIM19504742</t>
  </si>
  <si>
    <t>ธิติ ชัยธัมมะปกรณ์</t>
  </si>
  <si>
    <t>PPIM195047FB</t>
  </si>
  <si>
    <t>น.ส. ปลิตา อินทร์วิมล</t>
  </si>
  <si>
    <t>PPIM195048B9</t>
  </si>
  <si>
    <t>นางวรรณี ชัยสุกวัฒน์</t>
  </si>
  <si>
    <t>PPIM19504B36</t>
  </si>
  <si>
    <t>นายโสภณ ภุมมาลา</t>
  </si>
  <si>
    <t>PPIM19504C9F</t>
  </si>
  <si>
    <t>นายไพโรจน์ สิทธิศุภฤกษ์</t>
  </si>
  <si>
    <t>PPIM19505023</t>
  </si>
  <si>
    <t>นายทวีศักดิ์ ลิ้มรัตนพันธ์</t>
  </si>
  <si>
    <t>PPIM19503BA3</t>
  </si>
  <si>
    <t>นายสมยศ ภู่เล็ก</t>
  </si>
  <si>
    <t>PPIM19502FBB</t>
  </si>
  <si>
    <t>องค์การบริหารส่วนตำบลห้สยขวาง</t>
  </si>
  <si>
    <t>PPIM1950311D</t>
  </si>
  <si>
    <t>องค์การบริหารส่วนตำบลห้วยขวาง</t>
  </si>
  <si>
    <t>PPIM1950320A</t>
  </si>
  <si>
    <t>PPIM195036EA</t>
  </si>
  <si>
    <t>องค์การบริหารส่วนตำบลทุ่งกระพังโหม</t>
  </si>
  <si>
    <t>PPIM19503815</t>
  </si>
  <si>
    <t>PPIM1950381F</t>
  </si>
  <si>
    <t>PPIM195038BE</t>
  </si>
  <si>
    <t>PPIM19503A52</t>
  </si>
  <si>
    <t>PPIM19502DB5</t>
  </si>
  <si>
    <t>น.ส.อธิกัญญ์ภัค พันธุ์โพธิ์</t>
  </si>
  <si>
    <t>PPIM19503FBD</t>
  </si>
  <si>
    <t>นายธนพล คุปตานนท์</t>
  </si>
  <si>
    <t>PPIM1950415A</t>
  </si>
  <si>
    <t>นายนาวิน เทียนเสม</t>
  </si>
  <si>
    <t>PPIM19504181</t>
  </si>
  <si>
    <t>นางสาวดนชิดา วาทินพุฒิพร</t>
  </si>
  <si>
    <t>PPIM19504387</t>
  </si>
  <si>
    <t>นาย ศรีตระกูล ชมภูพงศ์</t>
  </si>
  <si>
    <t>PPIM19504394</t>
  </si>
  <si>
    <t>PPIM1950456E</t>
  </si>
  <si>
    <t>PPIM195045BA</t>
  </si>
  <si>
    <t>นายพิพัฒน์ บัวเรืองสกุล</t>
  </si>
  <si>
    <t>PPIM1950460E</t>
  </si>
  <si>
    <t>แพนโอเรียนท์เอ็นเนอยี่(สยาม)ลิมิเต็ด</t>
  </si>
  <si>
    <t>PPIM195047E3</t>
  </si>
  <si>
    <t>นายพิชัย สุชีวะกุล</t>
  </si>
  <si>
    <t>PPIM19504644</t>
  </si>
  <si>
    <t>PPIM195048D7</t>
  </si>
  <si>
    <t>บริษัท ห้างทองแม่ทองสวย จำกัด</t>
  </si>
  <si>
    <t>PPIM195048DD</t>
  </si>
  <si>
    <t>PPIM1950483F</t>
  </si>
  <si>
    <t>PPIM19504984</t>
  </si>
  <si>
    <t>ห้างหุ้นส่วนจำกัด คณัสนันท์ เพลส</t>
  </si>
  <si>
    <t>PPIM19504B4A</t>
  </si>
  <si>
    <t>นายชัยพัฒน์ อุไรวงค์</t>
  </si>
  <si>
    <t>PPIM19504C24</t>
  </si>
  <si>
    <t>นางชัญพัช กุลดิลก</t>
  </si>
  <si>
    <t>PPIM19504C4E</t>
  </si>
  <si>
    <t>PPIM19504CFD</t>
  </si>
  <si>
    <t>PPIM19504D50</t>
  </si>
  <si>
    <t>โรงพยาบาลส่งเสริมสุขภาพตำบล ตำบลทุ่งขวาง</t>
  </si>
  <si>
    <t>PPIM19504D55</t>
  </si>
  <si>
    <t>โรงพยาบาลส่งเสริมสุขภาพตำบล ตำบลวังน้ำเขียว</t>
  </si>
  <si>
    <t>PPIM195053E9</t>
  </si>
  <si>
    <t>PPIM195053D6</t>
  </si>
  <si>
    <t>PPIM195054DC</t>
  </si>
  <si>
    <t>ภัทรวรรธน์ ว่องไววรพงษ์</t>
  </si>
  <si>
    <t>PPIM19502D99</t>
  </si>
  <si>
    <t>PPIM19502E2E</t>
  </si>
  <si>
    <t>นางสาว นงลักษณ์ ยิ้มสุขไพฑูรย์</t>
  </si>
  <si>
    <t>PPIM19502E73</t>
  </si>
  <si>
    <t>PPIM19503114</t>
  </si>
  <si>
    <t>นางสาวกฤษณา อินนาดอน</t>
  </si>
  <si>
    <t>PPIM19503415</t>
  </si>
  <si>
    <t>องค์การบริหารส่วนตำบลคลองใหม่</t>
  </si>
  <si>
    <t>PPIM195034D3</t>
  </si>
  <si>
    <t>นางสาวอรุณี ธรรมาจารุศิล</t>
  </si>
  <si>
    <t>PPIM1950350C</t>
  </si>
  <si>
    <t>PPIM195032D8</t>
  </si>
  <si>
    <t>PPIM19503805</t>
  </si>
  <si>
    <t>PPIM195038F5</t>
  </si>
  <si>
    <t>ณรงค์รัชช์ เครือวัลย์</t>
  </si>
  <si>
    <t>PPIM19503983</t>
  </si>
  <si>
    <t>นางโชคมณี เอี่ยมสำอางค์</t>
  </si>
  <si>
    <t>PPIM195039A5</t>
  </si>
  <si>
    <t>PPIM19503310</t>
  </si>
  <si>
    <t>PPIM195039C3</t>
  </si>
  <si>
    <t>PPIM19503A6A</t>
  </si>
  <si>
    <t>PPIM19503BBB</t>
  </si>
  <si>
    <t>PPIM19502FDB</t>
  </si>
  <si>
    <t>PPIM19503D74</t>
  </si>
  <si>
    <t>นายสุวะมิตร ธาตุวิสัย</t>
  </si>
  <si>
    <t>PPIM19503EC6</t>
  </si>
  <si>
    <t>นาย ธงไชยสิทธิ์ ศิริมหากุล</t>
  </si>
  <si>
    <t>PPIM19503F8A</t>
  </si>
  <si>
    <t>บริษัท ปูนซิเมนต์ไทย (ท่าหลวง) จำกัด</t>
  </si>
  <si>
    <t>PPIM19503C8E</t>
  </si>
  <si>
    <t>PPIM19504032</t>
  </si>
  <si>
    <t>ศศิฉาย พันธ์ประชา</t>
  </si>
  <si>
    <t>PPIM19504033</t>
  </si>
  <si>
    <t>นายวัชระ อังศุวัฒนา</t>
  </si>
  <si>
    <t>PPIM19504034</t>
  </si>
  <si>
    <t>PPIM19504038</t>
  </si>
  <si>
    <t>PPIM1950403E</t>
  </si>
  <si>
    <t>PPIM1950403F</t>
  </si>
  <si>
    <t>PPIM19504042</t>
  </si>
  <si>
    <t>PPIM19504043</t>
  </si>
  <si>
    <t>PPIM195041BE</t>
  </si>
  <si>
    <t>นายพงศกร จันทหวา</t>
  </si>
  <si>
    <t>PPIM195041D3</t>
  </si>
  <si>
    <t>PPIM19504236</t>
  </si>
  <si>
    <t>นายรณศักดิ์ ชุณหโชคกุล</t>
  </si>
  <si>
    <t>PPIM19502D8B</t>
  </si>
  <si>
    <t>PPIM195044E5</t>
  </si>
  <si>
    <t>นายสมบัติ กิจสวัสดิ์</t>
  </si>
  <si>
    <t>PPIM195044EB</t>
  </si>
  <si>
    <t>บริษัท ชมพูนุท คลินิก จำกัด</t>
  </si>
  <si>
    <t>PPIM195045BE</t>
  </si>
  <si>
    <t>PPIM195045CC</t>
  </si>
  <si>
    <t>PPIM19504751</t>
  </si>
  <si>
    <t>PPIM1950475A</t>
  </si>
  <si>
    <t>นางสาวศศิฉาย พันธ์ประชา</t>
  </si>
  <si>
    <t>PPIM1950475C</t>
  </si>
  <si>
    <t>PPIM1950475E</t>
  </si>
  <si>
    <t>PPIM1950475F</t>
  </si>
  <si>
    <t>PPIM19504760</t>
  </si>
  <si>
    <t>PPIM19504767</t>
  </si>
  <si>
    <t>PPIM19504768</t>
  </si>
  <si>
    <t>PPIM1950476B</t>
  </si>
  <si>
    <t>PPIM19504777</t>
  </si>
  <si>
    <t>PPIM195047A4</t>
  </si>
  <si>
    <t>PPIM195047C7</t>
  </si>
  <si>
    <t>PPIM195047E4</t>
  </si>
  <si>
    <t>นายปิยะดนัย แย้มไร่ขิง</t>
  </si>
  <si>
    <t>PPIM19504893</t>
  </si>
  <si>
    <t>นิตยา จันทร์น้อย</t>
  </si>
  <si>
    <t>PPIM1950493D</t>
  </si>
  <si>
    <t>PPIM1950466F</t>
  </si>
  <si>
    <t>PPIM195049CC</t>
  </si>
  <si>
    <t>PPIM195049D1</t>
  </si>
  <si>
    <t>PPIM19504565</t>
  </si>
  <si>
    <t>นางทองล้อม อนุตธโต</t>
  </si>
  <si>
    <t>PPIM19504BC2</t>
  </si>
  <si>
    <t>PPIM1950484C</t>
  </si>
  <si>
    <t>PPIM19504BD2</t>
  </si>
  <si>
    <t>PPIM19504BDE</t>
  </si>
  <si>
    <t>PPIM19504BDF</t>
  </si>
  <si>
    <t>PPIM19504BE1</t>
  </si>
  <si>
    <t>PPIM19504BE2</t>
  </si>
  <si>
    <t>PPIM19504BE3</t>
  </si>
  <si>
    <t>PPIM19504BE5</t>
  </si>
  <si>
    <t>PPIM19504BE6</t>
  </si>
  <si>
    <t>PPIM19504BE8</t>
  </si>
  <si>
    <t>PPIM19503C95</t>
  </si>
  <si>
    <t>PPIM19504CEC</t>
  </si>
  <si>
    <t>PPIM19504D51</t>
  </si>
  <si>
    <t>โรงพยาบาลส่งเสริมสุขภาพตำบล ตำบลบางเตย</t>
  </si>
  <si>
    <t>PPIM19504D73</t>
  </si>
  <si>
    <t>PPIM19504D7E</t>
  </si>
  <si>
    <t>นายณรงค์รัชช์ เครือวัลย์</t>
  </si>
  <si>
    <t>PPIM19504EA2</t>
  </si>
  <si>
    <t>นายกมล โพธิ์ถึง</t>
  </si>
  <si>
    <t>PPIM19504F53</t>
  </si>
  <si>
    <t>PPIM195049D5</t>
  </si>
  <si>
    <t>PPIM19504FDC</t>
  </si>
  <si>
    <t>PPIM19504FE0</t>
  </si>
  <si>
    <t>นางสาว อารี พรมดำ</t>
  </si>
  <si>
    <t>PPIM195047A5</t>
  </si>
  <si>
    <t>PPIM19505007</t>
  </si>
  <si>
    <t>น.ส นิตยา จัทร์น้อย</t>
  </si>
  <si>
    <t>PPIM19505012</t>
  </si>
  <si>
    <t>PPIM19504A24</t>
  </si>
  <si>
    <t>PPIM19504A71</t>
  </si>
  <si>
    <t>PPIM195050C7</t>
  </si>
  <si>
    <t>นายธนกร ปิยธำรังรัตน์</t>
  </si>
  <si>
    <t>PPIM19505119</t>
  </si>
  <si>
    <t>นายธนกร ปิยธำ</t>
  </si>
  <si>
    <t>PPIM1950465E</t>
  </si>
  <si>
    <t>นาย ภูริวัจน์ อัครสิริกาญจน์</t>
  </si>
  <si>
    <t>PPIM1950518A</t>
  </si>
  <si>
    <t>นายมานพ กิจฉลอง</t>
  </si>
  <si>
    <t>PPIM1950527D</t>
  </si>
  <si>
    <t>น.ส.พรรณิภา สัจจะวัชรสิทธิ์</t>
  </si>
  <si>
    <t>PPIM195052E5</t>
  </si>
  <si>
    <t>PPIM19505322</t>
  </si>
  <si>
    <t>อนุวัฒน์ ผาติกูลรังสรรค์</t>
  </si>
  <si>
    <t>PPIM19505382</t>
  </si>
  <si>
    <t>PPIM1950539F</t>
  </si>
  <si>
    <t>PPIM195053C3</t>
  </si>
  <si>
    <t>PPIM195053CD</t>
  </si>
  <si>
    <t>นางสาวอารี พรมดำ</t>
  </si>
  <si>
    <t>PPIM1950502B</t>
  </si>
  <si>
    <t>PPIM195053F4</t>
  </si>
  <si>
    <t>PPIM1950461F</t>
  </si>
  <si>
    <t>นายฉัตรชัย ธีรรัตนไพบูลย์</t>
  </si>
  <si>
    <t>PPIM1950544E</t>
  </si>
  <si>
    <t>PPIM19504DCD</t>
  </si>
  <si>
    <t>นางสาววิราวรรณ ชัยมงคลสกุล</t>
  </si>
  <si>
    <t>PPIM19505500</t>
  </si>
  <si>
    <t>PPIM195055A4</t>
  </si>
  <si>
    <t>PPIM195031C8</t>
  </si>
  <si>
    <t>บริษัท แอ็ดซายน์ เทรด</t>
  </si>
  <si>
    <t>PPIM195031CD</t>
  </si>
  <si>
    <t>บริษัท อีวัน อโกรเทค จำกัด</t>
  </si>
  <si>
    <t>PPIM1950352A</t>
  </si>
  <si>
    <t>บริษัท เอวัน ออยล์ จำกัด</t>
  </si>
  <si>
    <t>PPIM1950414A</t>
  </si>
  <si>
    <t>นางสาวยุวดี เลิศวิริยะศักดิ์</t>
  </si>
  <si>
    <t>PPIM19504447</t>
  </si>
  <si>
    <t>นางสมคิด จิตรเจือ</t>
  </si>
  <si>
    <t>PPIM19503C94</t>
  </si>
  <si>
    <t>น.ส.รุ่งนภา แก้วศรีพันธุ์</t>
  </si>
  <si>
    <t>PPIM195045B4</t>
  </si>
  <si>
    <t>โรงพยาบาลส่งเสริมสุขภาพตำบล ตำบลบางภาษี</t>
  </si>
  <si>
    <t>PPIM195045C9</t>
  </si>
  <si>
    <t>นิมิตร วงศ์วราธิปกุล</t>
  </si>
  <si>
    <t>PPIM19504693</t>
  </si>
  <si>
    <t>สำนักงาน เทศบาลตำบลรางกระทุ่ม</t>
  </si>
  <si>
    <t>PPIM19504A29</t>
  </si>
  <si>
    <t>น.ส. ลภัสรดา แก้วปู่วัด</t>
  </si>
  <si>
    <t>PPIM19504B81</t>
  </si>
  <si>
    <t>นายกฤตชัย พึ่งตระกูล</t>
  </si>
  <si>
    <t>PPIM19504D06</t>
  </si>
  <si>
    <t>โรงพยาบาลส่งเสริมสุขภาพตำบลบ้านนราภิรมย์ ตำบลนราภิรมย์</t>
  </si>
  <si>
    <t>PPIM19504ED8</t>
  </si>
  <si>
    <t>บริษัท โอโตโกะวากาชิ จำกัด</t>
  </si>
  <si>
    <t>PPIM19505005</t>
  </si>
  <si>
    <t>นายไพศาล ตั้งตรงสิทธิ์</t>
  </si>
  <si>
    <t>PPIM1950305B</t>
  </si>
  <si>
    <t>อภิรัรักษ์ อติอนุวรรตน์</t>
  </si>
  <si>
    <t>PPIM195030A5</t>
  </si>
  <si>
    <t>จรรยา เผ่าจินดา</t>
  </si>
  <si>
    <t>PPIM1950359E</t>
  </si>
  <si>
    <t>นายศุภยุทธ มาสมบูรณ์</t>
  </si>
  <si>
    <t>PPIM195039CD</t>
  </si>
  <si>
    <t>นายบูรนันท์ สุขสงวน</t>
  </si>
  <si>
    <t>PPIM19503CDE</t>
  </si>
  <si>
    <t>บริษัท เพ็ททาเนียร์ จำกัด</t>
  </si>
  <si>
    <t>PPIM19504151</t>
  </si>
  <si>
    <t>นางประไพศรี สกุลรัตน์</t>
  </si>
  <si>
    <t>PPIM195041C8</t>
  </si>
  <si>
    <t>นายพีระพงศ์ แต้สุจริยา</t>
  </si>
  <si>
    <t>PPIM195041D5</t>
  </si>
  <si>
    <t>นายชัชนันต์ ง้าวสุพรรณวงศ์</t>
  </si>
  <si>
    <t>PPIM19504237</t>
  </si>
  <si>
    <t>นาย วิริยะ คงกิจถาวร</t>
  </si>
  <si>
    <t>PPIM19504524</t>
  </si>
  <si>
    <t>PPIM19504528</t>
  </si>
  <si>
    <t>PPIM1950457C</t>
  </si>
  <si>
    <t>PPIM1950458D</t>
  </si>
  <si>
    <t>นายณัฐวัฒน์ เลื่อนตามผล</t>
  </si>
  <si>
    <t>PPIM19504CAF</t>
  </si>
  <si>
    <t>นางจำเนียร สวัสดิ์พึ่ง</t>
  </si>
  <si>
    <t>PPIM19504CD3</t>
  </si>
  <si>
    <t>PPIM19504D2C</t>
  </si>
  <si>
    <t>นายวรุษ โชคหิรัญภัทร</t>
  </si>
  <si>
    <t>PPIM19504D54</t>
  </si>
  <si>
    <t>โรงพยาบาลส่งเสริมสุขภาพตำบลบ้านศาลาวัน ตำบลศาลายา</t>
  </si>
  <si>
    <t>PPIM19504CD8</t>
  </si>
  <si>
    <t>PPIM19504CD5</t>
  </si>
  <si>
    <t>PPIM19505209</t>
  </si>
  <si>
    <t>นางสาว วันดี แซ่แต้</t>
  </si>
  <si>
    <t>PPIM1950543E</t>
  </si>
  <si>
    <t>นาย วรวิทย์ นะราชรัมย์</t>
  </si>
  <si>
    <t>PPIM19502E1E</t>
  </si>
  <si>
    <t>PPIM19502F2E</t>
  </si>
  <si>
    <t>นาย พลศักดิ์ ดิษฐ์สังข์</t>
  </si>
  <si>
    <t>PPIM1950304D</t>
  </si>
  <si>
    <t>นาย สมบัติ ชมศิริวัฒน์</t>
  </si>
  <si>
    <t>PPIM195030B4</t>
  </si>
  <si>
    <t>บริษัท ไทย มีโอเคมส์ จำกัด</t>
  </si>
  <si>
    <t>PPIM195033CF</t>
  </si>
  <si>
    <t>นายธีรเดช แจ่มกระจ่าง</t>
  </si>
  <si>
    <t>PPIM195034AA</t>
  </si>
  <si>
    <t>น.ส.มาริสา หิรัญเดชารักษ์</t>
  </si>
  <si>
    <t>PPIM19503802</t>
  </si>
  <si>
    <t>นายธานินทร์ ชาติพุก</t>
  </si>
  <si>
    <t>PPIM1950388F</t>
  </si>
  <si>
    <t>นางกนกวรรณ ทับสุวรรณ</t>
  </si>
  <si>
    <t>PPIM195039DB</t>
  </si>
  <si>
    <t>PPIM195031AF</t>
  </si>
  <si>
    <t>นายจารุ เจนสกุลรุ่งเรือง</t>
  </si>
  <si>
    <t>PPIM195039A6</t>
  </si>
  <si>
    <t>นายปิยพันธ์ ปฏิเมธา</t>
  </si>
  <si>
    <t>PPIM19503AF3</t>
  </si>
  <si>
    <t>นายอำพล เพ็ชร์พิรุณ</t>
  </si>
  <si>
    <t>PPIM1950351B</t>
  </si>
  <si>
    <t>มานะ สาลีวานิช</t>
  </si>
  <si>
    <t>PPIM19502E6F</t>
  </si>
  <si>
    <t>นางสาวนฤพร ชัยปรีชาพัฒน์</t>
  </si>
  <si>
    <t>PPIM19503C1A</t>
  </si>
  <si>
    <t>PPIM19503D8F</t>
  </si>
  <si>
    <t>ร.ต.เดือน มีบุญ</t>
  </si>
  <si>
    <t>PPIM19503DAD</t>
  </si>
  <si>
    <t>PPIM19503E29</t>
  </si>
  <si>
    <t>นายสมเกียรติ จันทราสกาววงศ์</t>
  </si>
  <si>
    <t>PPIM19503F39</t>
  </si>
  <si>
    <t>PPIM19503F83</t>
  </si>
  <si>
    <t>PPIM1950404A</t>
  </si>
  <si>
    <t>นางสาวนิภารัตน์ เจริญกิจจานุวงศ์</t>
  </si>
  <si>
    <t>PPIM19503DB2</t>
  </si>
  <si>
    <t>นายเล็ก ดำเนินเกียรติ</t>
  </si>
  <si>
    <t>PPIM19503CB9</t>
  </si>
  <si>
    <t>น.ส.ภารดี คุณเดชะ</t>
  </si>
  <si>
    <t>PPIM19503FEC</t>
  </si>
  <si>
    <t>นางพิมพา ศรีชวาล</t>
  </si>
  <si>
    <t>PPIM195041B0</t>
  </si>
  <si>
    <t>PPIM19504475</t>
  </si>
  <si>
    <t>น.ส.อนัญญา ใบสมุทร</t>
  </si>
  <si>
    <t>PPIM195043C9</t>
  </si>
  <si>
    <t>นางสาว นิภารัตน์ เจริญกิจจานุวงศ์</t>
  </si>
  <si>
    <t>PPIM1950449A</t>
  </si>
  <si>
    <t>นายสุพจน์ พุกาพงษ์</t>
  </si>
  <si>
    <t>PPIM19504541</t>
  </si>
  <si>
    <t>นาย นพพร ผลกังวาน</t>
  </si>
  <si>
    <t>PPIM19504650</t>
  </si>
  <si>
    <t>นายอินทราชัย สิมะพิเชฐ</t>
  </si>
  <si>
    <t>PPIM19504781</t>
  </si>
  <si>
    <t>นายพรชัย สรรพพิทยากร</t>
  </si>
  <si>
    <t>PPIM19504814</t>
  </si>
  <si>
    <t>นายอนุพงศ์ บุญญสิริ</t>
  </si>
  <si>
    <t>PPIM195042D6</t>
  </si>
  <si>
    <t>นายพิเชษฐ เปลี่ยนขำ</t>
  </si>
  <si>
    <t>PPIM1950488A</t>
  </si>
  <si>
    <t>นาย ธีรศักดิ์ มัครมย์</t>
  </si>
  <si>
    <t>PPIM19504894</t>
  </si>
  <si>
    <t>นายภัทรพล ศรีชวาล</t>
  </si>
  <si>
    <t>PPIM19504959</t>
  </si>
  <si>
    <t>PPIM195049BE</t>
  </si>
  <si>
    <t>PPIM19504AD5</t>
  </si>
  <si>
    <t>นางสาวสายรุ้ง จีดจีน</t>
  </si>
  <si>
    <t>PPIM19504B0F</t>
  </si>
  <si>
    <t>PPIM19504B9D</t>
  </si>
  <si>
    <t>นายปัญญา เหลืองสมบูรณ์</t>
  </si>
  <si>
    <t>PPIM19504A5D</t>
  </si>
  <si>
    <t>นางสาวอันธิกา ดวงมุสิทธิ์</t>
  </si>
  <si>
    <t>PPIM19504D03</t>
  </si>
  <si>
    <t>นางสาวเรืองพร สุขสมบูรณ์</t>
  </si>
  <si>
    <t>PPIM19504EE8</t>
  </si>
  <si>
    <t>นายประกิต จันทร์สง</t>
  </si>
  <si>
    <t>PPIM19504F3F</t>
  </si>
  <si>
    <t>นาง สมศรี ศากรวิมล</t>
  </si>
  <si>
    <t>PPIM19504F4F</t>
  </si>
  <si>
    <t>นายณรงค์ชัย ประเสริฐศรี</t>
  </si>
  <si>
    <t>PPIM19504FAB</t>
  </si>
  <si>
    <t>นายประจักษ์ ประเสริฐศรี</t>
  </si>
  <si>
    <t>PPIM19504FBD</t>
  </si>
  <si>
    <t>นายปิยะพงศ์ ธนโกเศศ</t>
  </si>
  <si>
    <t>PPIM19505009</t>
  </si>
  <si>
    <t>น.ส.จารุวรรณ กระแจะจันทร์</t>
  </si>
  <si>
    <t>PPIM19505020</t>
  </si>
  <si>
    <t>นายอนิรุต จันทร์ไพบูลย์</t>
  </si>
  <si>
    <t>PPIM19504C45</t>
  </si>
  <si>
    <t>นางสุรีรัตน์ กิจภราดร</t>
  </si>
  <si>
    <t>PPIM195050D6</t>
  </si>
  <si>
    <t>บริษัท เรียล ยูไนเต็ด จำกัด</t>
  </si>
  <si>
    <t>PPIM1950520A</t>
  </si>
  <si>
    <t>PPIM19505287</t>
  </si>
  <si>
    <t>นางสาวยุวดี ใสสะอาด</t>
  </si>
  <si>
    <t>PPIM19505315</t>
  </si>
  <si>
    <t>นายศราวุธ หุ่นกลัด</t>
  </si>
  <si>
    <t>PPIM195053C2</t>
  </si>
  <si>
    <t>PPIM1950556D</t>
  </si>
  <si>
    <t>PPIM195055B2</t>
  </si>
  <si>
    <t>นางศิริธร สุวดินทร์กูร</t>
  </si>
  <si>
    <t>PPIM19503162</t>
  </si>
  <si>
    <t>นายภราดร ธาดาตรีธารทิพย์</t>
  </si>
  <si>
    <t>PPIM1950316B</t>
  </si>
  <si>
    <t>นางสาวธารทิพย์ ธาดาตรีธารทิพย์</t>
  </si>
  <si>
    <t>PPIM19503204</t>
  </si>
  <si>
    <t>PPIM1950323B</t>
  </si>
  <si>
    <t>PPIM1950331E</t>
  </si>
  <si>
    <t>นายอรรถพล คะโยธา</t>
  </si>
  <si>
    <t>PPIM19503375</t>
  </si>
  <si>
    <t>PPIM195033CE</t>
  </si>
  <si>
    <t>นางสาวปภาดา ศิภพปวินกุล</t>
  </si>
  <si>
    <t>PPIM19503402</t>
  </si>
  <si>
    <t>นายวิโรจน์ ไกรศิริโสภณ</t>
  </si>
  <si>
    <t>PPIM1950342C</t>
  </si>
  <si>
    <t>PPIM19503505</t>
  </si>
  <si>
    <t>PPIM19503538</t>
  </si>
  <si>
    <t>นายพิพัฒน์ แก้ววิเศษ</t>
  </si>
  <si>
    <t>PPIM19502FBA</t>
  </si>
  <si>
    <t>PPIM1950366E</t>
  </si>
  <si>
    <t>นาง เววดี โคมิค</t>
  </si>
  <si>
    <t>PPIM19503060</t>
  </si>
  <si>
    <t>PPIM195036AA</t>
  </si>
  <si>
    <t>PPIM195036AC</t>
  </si>
  <si>
    <t>PPIM195037A7</t>
  </si>
  <si>
    <t>PPIM19503819</t>
  </si>
  <si>
    <t>PPIM19503823</t>
  </si>
  <si>
    <t>PPIM19503A4C</t>
  </si>
  <si>
    <t>บริษัท เอ. แอล. เค. กรุ๊ป (2015) จำกัด</t>
  </si>
  <si>
    <t>PPIM19503AD4</t>
  </si>
  <si>
    <t>PPIM19503B96</t>
  </si>
  <si>
    <t>PPIM19503C20</t>
  </si>
  <si>
    <t>บริษัท เอ็น ซี เฮ้าส์ซิ่ง จำกัด(มหาชน)</t>
  </si>
  <si>
    <t>PPIM19503C3D</t>
  </si>
  <si>
    <t>บริษัท เอสซี แอสเสท คอร์ปอเรชั่น จำกัด (มหาชน)</t>
  </si>
  <si>
    <t>PPIM19503CA7</t>
  </si>
  <si>
    <t>นายปิยะพัฒน์ตุลยากำจาย</t>
  </si>
  <si>
    <t>PPIM19503CBE</t>
  </si>
  <si>
    <t>นายพิศฐ์ศักดิ์ ฉายทองจันทร์</t>
  </si>
  <si>
    <t>PPIM19503D5E</t>
  </si>
  <si>
    <t>PPIM19503DB4</t>
  </si>
  <si>
    <t>PPIM19503DBC</t>
  </si>
  <si>
    <t>PPIM195030B6</t>
  </si>
  <si>
    <t>PPIM19503E68</t>
  </si>
  <si>
    <t>สุวรรณี ทองประไพ</t>
  </si>
  <si>
    <t>PPIM19503F87</t>
  </si>
  <si>
    <t>นาย ไพศาล มีศรี</t>
  </si>
  <si>
    <t>PPIM1950409C</t>
  </si>
  <si>
    <t>PPIM195041A7</t>
  </si>
  <si>
    <t>PPIM195041AA</t>
  </si>
  <si>
    <t>PPIM195041B6</t>
  </si>
  <si>
    <t>PPIM19504279</t>
  </si>
  <si>
    <t>PPIM19503B3E</t>
  </si>
  <si>
    <t>PPIM19504444</t>
  </si>
  <si>
    <t>นาย ประมุข หนูเทพย์</t>
  </si>
  <si>
    <t>PPIM19504627</t>
  </si>
  <si>
    <t>PPIM19504651</t>
  </si>
  <si>
    <t>PPIM19503E26</t>
  </si>
  <si>
    <t>PPIM1950474C</t>
  </si>
  <si>
    <t>ณัฏฐชัย สันทัด</t>
  </si>
  <si>
    <t>PPIM19504770</t>
  </si>
  <si>
    <t>นางสาวพรเพ็ญ พวันนา</t>
  </si>
  <si>
    <t>PPIM1950477C</t>
  </si>
  <si>
    <t>PPIM195047A9</t>
  </si>
  <si>
    <t>PPIM1950413B</t>
  </si>
  <si>
    <t>บริษัท ทรู มูฟ เอช ยูนิเวอร์แซล คอมมิวนิเคชั่น จำกัด (สำนักงานใหญ่)</t>
  </si>
  <si>
    <t>PPIM19504806</t>
  </si>
  <si>
    <t>บริษัท เอ็น.ซี.เฮ้าส์ซิ่ง จำกัด(มหาชน)</t>
  </si>
  <si>
    <t>PPIM195046E5</t>
  </si>
  <si>
    <t>PPIM195048C5</t>
  </si>
  <si>
    <t>นางสุวรรณี ทองประไพ</t>
  </si>
  <si>
    <t>PPIM1950491C</t>
  </si>
  <si>
    <t>นางมณีวรรณ สุตสุนทร</t>
  </si>
  <si>
    <t>PPIM1950498E</t>
  </si>
  <si>
    <t>PPIM19504993</t>
  </si>
  <si>
    <t>PPIM19504A15</t>
  </si>
  <si>
    <t>PPIM195047F2</t>
  </si>
  <si>
    <t>PPIM19504B19</t>
  </si>
  <si>
    <t>PPIM1950413F</t>
  </si>
  <si>
    <t>PPIM19504BD8</t>
  </si>
  <si>
    <t>PPIM195048F0</t>
  </si>
  <si>
    <t>PPIM19504D29</t>
  </si>
  <si>
    <t>PPIM1950379B</t>
  </si>
  <si>
    <t>PPIM195040B7</t>
  </si>
  <si>
    <t>PPIM195040B5</t>
  </si>
  <si>
    <t>PPIM19504F07</t>
  </si>
  <si>
    <t>PPIM19504FAA</t>
  </si>
  <si>
    <t>PPIM1950415D</t>
  </si>
  <si>
    <t>PPIM1950481B</t>
  </si>
  <si>
    <t>PPIM19504A06</t>
  </si>
  <si>
    <t>PPIM19504B2B</t>
  </si>
  <si>
    <t>PPIM195043BF</t>
  </si>
  <si>
    <t>PPIM19505157</t>
  </si>
  <si>
    <t>PPIM19504EF1</t>
  </si>
  <si>
    <t>PPIM195051AE</t>
  </si>
  <si>
    <t>PPIM1950522F</t>
  </si>
  <si>
    <t>PPIM195052EA</t>
  </si>
  <si>
    <t>PPIM1950534D</t>
  </si>
  <si>
    <t>บริษัท เมก้า เซฟเวอร์ เอ็นจีเนียริ่ง แอนด์ ซัพพลาย จำกัด</t>
  </si>
  <si>
    <t>PPIM19505376</t>
  </si>
  <si>
    <t>PPIM19505377</t>
  </si>
  <si>
    <t>PPIM19505379</t>
  </si>
  <si>
    <t>PPIM195054CF</t>
  </si>
  <si>
    <t>PPIM19505546</t>
  </si>
  <si>
    <t>บริษัท เจ.เอส.พี. อ้อมน้อย จำกัด</t>
  </si>
  <si>
    <t>PPIM195055A1</t>
  </si>
  <si>
    <t>ชัยวัฒน์ วงศ์ลักขยานันท์</t>
  </si>
  <si>
    <t>กฟฟ.อ้อมน้อ</t>
  </si>
  <si>
    <t>PPIM19503281</t>
  </si>
  <si>
    <t>นายธนกฤต ทองเขม่น</t>
  </si>
  <si>
    <t>PPIM195032B4</t>
  </si>
  <si>
    <t>นางสาวขวัญดาว ดวงขาว</t>
  </si>
  <si>
    <t>PPIM195036DF</t>
  </si>
  <si>
    <t>PPIM195036FA</t>
  </si>
  <si>
    <t>นางภูริตา ประทีบถิ่นทอง</t>
  </si>
  <si>
    <t>PPIM195038B1</t>
  </si>
  <si>
    <t>นาย ชุมพล สว่างจันทร์</t>
  </si>
  <si>
    <t>PPIM19503917</t>
  </si>
  <si>
    <t>นางสาวปวีร์รฐา สุขเลิศกิตติวัฒนา</t>
  </si>
  <si>
    <t>PPIM19503CAC</t>
  </si>
  <si>
    <t>นางสุวรรณา วงศ์สิทธิพร</t>
  </si>
  <si>
    <t>PPIM19503ED9</t>
  </si>
  <si>
    <t>กุลธิรัตน์ แพรบำรุง</t>
  </si>
  <si>
    <t>PPIM19503F1C</t>
  </si>
  <si>
    <t>PPIM19503F38</t>
  </si>
  <si>
    <t>PPIM19503F66</t>
  </si>
  <si>
    <t>บริษัท บี ฟลอร์ เอ็กซ์เปอร์ติส จำกัด</t>
  </si>
  <si>
    <t>PPIM19504094</t>
  </si>
  <si>
    <t>บริษัท เค.พี อินเตอร์ (ประเทศไทย) จำกัด</t>
  </si>
  <si>
    <t>PPIM195049F0</t>
  </si>
  <si>
    <t>PPIM19505078</t>
  </si>
  <si>
    <t>นาง จุไรรัตน์ พรหมประเสริฐ</t>
  </si>
  <si>
    <t>PPIM195053FE</t>
  </si>
  <si>
    <t>นายพิทักษ์ เดชสมบูรณ์รัตน์</t>
  </si>
  <si>
    <t>PPIM195055D1</t>
  </si>
  <si>
    <t>นายชินกฤต ไกรแก้ว</t>
  </si>
  <si>
    <t>PPIM195055D6</t>
  </si>
  <si>
    <t>มนกานต์ รุจีปกรณ์</t>
  </si>
  <si>
    <t>PPIM19503242</t>
  </si>
  <si>
    <t>นายบุญส่ง อมรลักษณ์ปรีชา</t>
  </si>
  <si>
    <t>PPIM19503354</t>
  </si>
  <si>
    <t>น.ส.วาสนา ชื่นวารี</t>
  </si>
  <si>
    <t>PPIM19502EEC</t>
  </si>
  <si>
    <t>นางแววตะวัน ฮะบุญมี</t>
  </si>
  <si>
    <t>PPIM19503705</t>
  </si>
  <si>
    <t>โรงเรียนวัดหนองสองห้อง</t>
  </si>
  <si>
    <t>PPIM195036A6</t>
  </si>
  <si>
    <t>นางสาวสมหมาย สุขสายัณ</t>
  </si>
  <si>
    <t>PPIM19503861</t>
  </si>
  <si>
    <t>PPIM1950395E</t>
  </si>
  <si>
    <t>องค์การบริหารส่วนตำบลกาหลง</t>
  </si>
  <si>
    <t>PPIM195039F8</t>
  </si>
  <si>
    <t>PPIM19503A89</t>
  </si>
  <si>
    <t>อาคารป้องกันฯ องค์การบริหารส่วนตำบลกาหลง</t>
  </si>
  <si>
    <t>PPIM19503BF0</t>
  </si>
  <si>
    <t>วัดวังชัยทรัพย์วิมล</t>
  </si>
  <si>
    <t>PPIM19503C47</t>
  </si>
  <si>
    <t>PPIM19504312</t>
  </si>
  <si>
    <t>น.ส.วรัญธกรรญา ภัททวีนันทการ</t>
  </si>
  <si>
    <t>PPIM19504406</t>
  </si>
  <si>
    <t>พรศักดิ์ ตั้งสายัณห์</t>
  </si>
  <si>
    <t>PPIM1950444C</t>
  </si>
  <si>
    <t>PPIM195044DE</t>
  </si>
  <si>
    <t>PPIM195047F6</t>
  </si>
  <si>
    <t>นาย สิทธิกร ฮวบบางยาง</t>
  </si>
  <si>
    <t>PPIM19504897</t>
  </si>
  <si>
    <t>องค์การบริหารส่วนตำบลชัยมงคล</t>
  </si>
  <si>
    <t>PPIM19504A42</t>
  </si>
  <si>
    <t>นายชูศักดิ์ สุริยาวรกุล</t>
  </si>
  <si>
    <t>PPIM19504ACD</t>
  </si>
  <si>
    <t>นายประกอบ อยู่คชลักษณ์</t>
  </si>
  <si>
    <t>PPIM19504B35</t>
  </si>
  <si>
    <t>PPIM19504B74</t>
  </si>
  <si>
    <t>นางมัทนพร ผลประเสริฐ</t>
  </si>
  <si>
    <t>PPIM19504FCC</t>
  </si>
  <si>
    <t>นางจิตราภรณ์ เนียมรอด</t>
  </si>
  <si>
    <t>PPIM19504FE3</t>
  </si>
  <si>
    <t>นายชูชาติ เอี่ยมสำอางค์</t>
  </si>
  <si>
    <t>PPIM19504FE9</t>
  </si>
  <si>
    <t>นายอรรถวุฒิ เลิศสาครศิริ</t>
  </si>
  <si>
    <t>PPIM19505150</t>
  </si>
  <si>
    <t>นายวิจิตร อ่วมประทุม</t>
  </si>
  <si>
    <t>PPIM195054D6</t>
  </si>
  <si>
    <t>PPIM19502DAE</t>
  </si>
  <si>
    <t>นางสาวธันย์ชนก จิรภัตตานนท์</t>
  </si>
  <si>
    <t>PPIM19502E61</t>
  </si>
  <si>
    <t>นายชูชาติ วีระวรัญญู</t>
  </si>
  <si>
    <t>PPIM19502EBD</t>
  </si>
  <si>
    <t>นางสาวชุลิตา ศิลปอาชา</t>
  </si>
  <si>
    <t>PPIM19502EC2</t>
  </si>
  <si>
    <t>นายภูมิพัฒน์ อิทธิศรีพงศ์</t>
  </si>
  <si>
    <t>PPIM195033DC</t>
  </si>
  <si>
    <t>นางสาววธันญา สิทธิโสม</t>
  </si>
  <si>
    <t>PPIM1950369C</t>
  </si>
  <si>
    <t>นาง สนจิต กอเจริญพาณิชย์</t>
  </si>
  <si>
    <t>PPIM195037A6</t>
  </si>
  <si>
    <t>นายพิเชฐพงศ์ วิพุธพงศ์</t>
  </si>
  <si>
    <t>PPIM195038FA</t>
  </si>
  <si>
    <t>ทรงราช สุทธิประสงค์</t>
  </si>
  <si>
    <t>PPIM19503924</t>
  </si>
  <si>
    <t>นายชณัฐธนพล มณีสุรัตน์</t>
  </si>
  <si>
    <t>PPIM1950392B</t>
  </si>
  <si>
    <t>นางสาวสุโกมล ชื่นอำนวยชัย</t>
  </si>
  <si>
    <t>PPIM19503941</t>
  </si>
  <si>
    <t>นายศรุต ศรีสุรีย์ไพศาล</t>
  </si>
  <si>
    <t>PPIM19503B1F</t>
  </si>
  <si>
    <t>น.ส. อนุสรา เจียมเจริญชัย</t>
  </si>
  <si>
    <t>PPIM19503BF8</t>
  </si>
  <si>
    <t>นายพีรพงษ์ กุลนอก</t>
  </si>
  <si>
    <t>PPIM19503E83</t>
  </si>
  <si>
    <t>นายวราวุธ มีสายญาติ</t>
  </si>
  <si>
    <t>PPIM19503E9A</t>
  </si>
  <si>
    <t>น.ส.ภาลินี โตโอฬารไชย</t>
  </si>
  <si>
    <t>PPIM1950409A</t>
  </si>
  <si>
    <t>นัทที สูงพิมพ์</t>
  </si>
  <si>
    <t>PPIM195041DD</t>
  </si>
  <si>
    <t>นายวินัย บัวสง่า</t>
  </si>
  <si>
    <t>PPIM1950426C</t>
  </si>
  <si>
    <t>นายสมศักดิ์ หมื่นรินนทร์</t>
  </si>
  <si>
    <t>PPIM195045DE</t>
  </si>
  <si>
    <t>โรงเรียนบ้านชายทะเลโคกขามมิตรภาพที่ 95</t>
  </si>
  <si>
    <t>PPIM195045E5</t>
  </si>
  <si>
    <t>PPIM1950463C</t>
  </si>
  <si>
    <t>นายนฤสรณ์ อารักษ์วาณิช</t>
  </si>
  <si>
    <t>PPIM19504A4F</t>
  </si>
  <si>
    <t>น.ส.สุภัทรา คันธมานนท์</t>
  </si>
  <si>
    <t>PPIM19504B07</t>
  </si>
  <si>
    <t>นาย ชวฤทธิ์ ศากรวิมล</t>
  </si>
  <si>
    <t>PPIM19504B49</t>
  </si>
  <si>
    <t>นายสุรศักดิ์ เลิศปัญญาโรจน์</t>
  </si>
  <si>
    <t>PPIM19504FE7</t>
  </si>
  <si>
    <t>น.ส.ทิวา ติ๊บแก้ว</t>
  </si>
  <si>
    <t>PPIM1950516F</t>
  </si>
  <si>
    <t>นางสาวปภาวรา แจ่มเที่ยงตรง</t>
  </si>
  <si>
    <t>PPIM195051EA</t>
  </si>
  <si>
    <t>นางสุณิชา ภิญโญรุ่งเจริญ</t>
  </si>
  <si>
    <t>PPIM19505262</t>
  </si>
  <si>
    <t>นากรกนก จันทร์ศิริยานันท์</t>
  </si>
  <si>
    <t>PPIM195053BF</t>
  </si>
  <si>
    <t>นาง วิไลพร ภักดีดินแดน</t>
  </si>
  <si>
    <t>PPIM1950555B</t>
  </si>
  <si>
    <t>บริษัท ทรัพย์การุณ บางกอก จำกัด</t>
  </si>
  <si>
    <t>PPIM19502EA8</t>
  </si>
  <si>
    <t>วิไลวรรณ อินทยุง</t>
  </si>
  <si>
    <t>PPIM19502EAB</t>
  </si>
  <si>
    <t>PPIM19503089</t>
  </si>
  <si>
    <t>นางสาว เนาวรัตน์ จันทร์สวัสดิ์</t>
  </si>
  <si>
    <t>PPIM195032E3</t>
  </si>
  <si>
    <t>PPIM1950336C</t>
  </si>
  <si>
    <t>PPIM19503453</t>
  </si>
  <si>
    <t>PPIM195038CC</t>
  </si>
  <si>
    <t>รักชนก เชียงทอง</t>
  </si>
  <si>
    <t>PPIM19503790</t>
  </si>
  <si>
    <t>นางวิไลวรรณ อินทยุง</t>
  </si>
  <si>
    <t>PPIM195039F9</t>
  </si>
  <si>
    <t>นางสาว รักชนก เชียงทอง</t>
  </si>
  <si>
    <t>PPIM19503A1A</t>
  </si>
  <si>
    <t>PPIM19503A34</t>
  </si>
  <si>
    <t>PPIM19503AEF</t>
  </si>
  <si>
    <t>PPIM195039FB</t>
  </si>
  <si>
    <t>หจก.ป.เจริญค้าบริการ</t>
  </si>
  <si>
    <t>PPIM19503FC9</t>
  </si>
  <si>
    <t>นายชยพล ธีรภัทรคุณากร</t>
  </si>
  <si>
    <t>PPIM1950405F</t>
  </si>
  <si>
    <t>PPIM1950412B</t>
  </si>
  <si>
    <t>บริษัท คลินิกแว่นตาโฟกัส จำกัด</t>
  </si>
  <si>
    <t>PPIM19504233</t>
  </si>
  <si>
    <t>PPIM19504480</t>
  </si>
  <si>
    <t>วัดสิริกาญจนาราม</t>
  </si>
  <si>
    <t>PPIM1950451E</t>
  </si>
  <si>
    <t>PPIM1950453A</t>
  </si>
  <si>
    <t>บริษัท ซีเซอร์วิส ซิสเต็มส์ จำกัด</t>
  </si>
  <si>
    <t>PPIM1950453E</t>
  </si>
  <si>
    <t>นางสุปรานี โล่ห์สุวรรณ</t>
  </si>
  <si>
    <t>PPIM19504914</t>
  </si>
  <si>
    <t>PPIM19504915</t>
  </si>
  <si>
    <t>นางสาววรรณา สาระลิน</t>
  </si>
  <si>
    <t>PPIM19504C76</t>
  </si>
  <si>
    <t>บริษัท เอเอ็นซี กรุ๊ป จำกัด</t>
  </si>
  <si>
    <t>PPIM19504EA6</t>
  </si>
  <si>
    <t>นางสาว สมใจ คงนวล</t>
  </si>
  <si>
    <t>PPIM19504EA9</t>
  </si>
  <si>
    <t>นาย อาทิตย์ อุ่นใจ</t>
  </si>
  <si>
    <t>PPIM19504F1D</t>
  </si>
  <si>
    <t>PPIM19504F1F</t>
  </si>
  <si>
    <t>PPIM19505141</t>
  </si>
  <si>
    <t>บริษัท แสงโสม จำกัด</t>
  </si>
  <si>
    <t>PPIM19504F70</t>
  </si>
  <si>
    <t>มณฑลี คงเเถวทอง</t>
  </si>
  <si>
    <t>PPIM1950536D</t>
  </si>
  <si>
    <t>บริษัท มูว จำกัด</t>
  </si>
  <si>
    <t>PPIM19505446</t>
  </si>
  <si>
    <t>นายรชต ครองธนกิจ</t>
  </si>
  <si>
    <t>PPIM19505163</t>
  </si>
  <si>
    <t>นางสาว ขวัญจิรา พรมชัย</t>
  </si>
  <si>
    <t>PPIM19505452</t>
  </si>
  <si>
    <t>PPIM19502E97</t>
  </si>
  <si>
    <t>PPIM19502EAA</t>
  </si>
  <si>
    <t>PPIM19502EB7</t>
  </si>
  <si>
    <t>นางสาว นัทธอร ทองน้ำเพ็ญ</t>
  </si>
  <si>
    <t>PPIM19502EBC</t>
  </si>
  <si>
    <t>นางสโรพรรณ มาสมบูรณ์</t>
  </si>
  <si>
    <t>PPIM19502EC6</t>
  </si>
  <si>
    <t>นาง นภัสนันท์ อารีพิพัฒน์</t>
  </si>
  <si>
    <t>กฟอ.สังขละบุรี</t>
  </si>
  <si>
    <t>PPIM19502ECD</t>
  </si>
  <si>
    <t>PPIM19502EC3</t>
  </si>
  <si>
    <t>PPIM19502F82</t>
  </si>
  <si>
    <t>PPIM19503355</t>
  </si>
  <si>
    <t>PPIM19503358</t>
  </si>
  <si>
    <t>PPIM19503452</t>
  </si>
  <si>
    <t>PPIM19503521</t>
  </si>
  <si>
    <t>โรงเรียนวัดน้ำพุร้อนรัตนคีรี</t>
  </si>
  <si>
    <t>PPIM19503733</t>
  </si>
  <si>
    <t>PPIM19503817</t>
  </si>
  <si>
    <t>PPIM1950393D</t>
  </si>
  <si>
    <t>นางอมรพรรณ รุ่งเรือง</t>
  </si>
  <si>
    <t>PPIM19503D19</t>
  </si>
  <si>
    <t>นายอลงกรณ์ เพชรวิวรรธน์</t>
  </si>
  <si>
    <t>PPIM19503D7B</t>
  </si>
  <si>
    <t>PPIM19503D84</t>
  </si>
  <si>
    <t>PPIM19503F35</t>
  </si>
  <si>
    <t>PPIM19503F36</t>
  </si>
  <si>
    <t>PPIM19503F34</t>
  </si>
  <si>
    <t>PPIM195040B3</t>
  </si>
  <si>
    <t>สุธัญญา จูกุล</t>
  </si>
  <si>
    <t>PPIM195040DF</t>
  </si>
  <si>
    <t>องค์การบริหารส่วนตำบลบ้านเก่า อำเภอเมืองกาญจนบุรี</t>
  </si>
  <si>
    <t>PPIM19504382</t>
  </si>
  <si>
    <t>PPIM195042EC</t>
  </si>
  <si>
    <t>นางสาวบุศรินทร์ อภิรักษ์ขิต</t>
  </si>
  <si>
    <t>PPIM19504420</t>
  </si>
  <si>
    <t>นางสาวนิภาภรณ์ โพธิ์ไข่</t>
  </si>
  <si>
    <t>PPIM19504611</t>
  </si>
  <si>
    <t>บริษัท ดารา ฮิลล์ จำกัด</t>
  </si>
  <si>
    <t>PPIM195046EC</t>
  </si>
  <si>
    <t>PPIM19504B46</t>
  </si>
  <si>
    <t>นางทัศนีย์ พานิชกุล</t>
  </si>
  <si>
    <t>PPIM19504BAD</t>
  </si>
  <si>
    <t>นาง อุทัยวรรณ ต่ายแพร</t>
  </si>
  <si>
    <t>PPIM19504D26</t>
  </si>
  <si>
    <t>นายสมเกียรติ พานิชกุล</t>
  </si>
  <si>
    <t>PPIM19504E61</t>
  </si>
  <si>
    <t>นางหน่อย บุญบัง</t>
  </si>
  <si>
    <t>PPIM19504E7D</t>
  </si>
  <si>
    <t>นางหน่อย บุญยัง</t>
  </si>
  <si>
    <t>PPIM19504E81</t>
  </si>
  <si>
    <t>PPIM19505032</t>
  </si>
  <si>
    <t>นางรุ่งนภา จันทร์พินิจรัตน์</t>
  </si>
  <si>
    <t>PPIM19505035</t>
  </si>
  <si>
    <t>น.ส.ยมลพร แตงยัง</t>
  </si>
  <si>
    <t>PPIM1950503C</t>
  </si>
  <si>
    <t>PPIM19505159</t>
  </si>
  <si>
    <t>PPIM19504FBB</t>
  </si>
  <si>
    <t>องค์การบริหารส่วนตำบลศรีมงคล</t>
  </si>
  <si>
    <t>PPIM195053B7</t>
  </si>
  <si>
    <t>นางสาว ปิยนันท์ ว่องกุลนภาฤทธิ์</t>
  </si>
  <si>
    <t>PPIM195050B7</t>
  </si>
  <si>
    <t>นายบุญเจตน์ พูนทอง</t>
  </si>
  <si>
    <t>PPIM19505409</t>
  </si>
  <si>
    <t>นาย ทรงศักดิ์ จีนาภักดิ์</t>
  </si>
  <si>
    <t>PPIM195032A9</t>
  </si>
  <si>
    <t>นายสมจิตร พวงชีวงษ์</t>
  </si>
  <si>
    <t>PPIM19503397</t>
  </si>
  <si>
    <t>โรงเรียนบ้านหนองขอนเทพพนม</t>
  </si>
  <si>
    <t>PPIM19503B3D</t>
  </si>
  <si>
    <t>PPIM19503EEF</t>
  </si>
  <si>
    <t>PPIM195046A0</t>
  </si>
  <si>
    <t>นางสาว บุศรา บัวขาว</t>
  </si>
  <si>
    <t>PPIM19503DA8</t>
  </si>
  <si>
    <t>นาย พิทวิส สังขมณี</t>
  </si>
  <si>
    <t>PPIM19504300</t>
  </si>
  <si>
    <t>นางสาววรรณดี กาญจนภิญพงศ์</t>
  </si>
  <si>
    <t>PPIM1950535E</t>
  </si>
  <si>
    <t>นายสิริชัย โมกขพันธุ์</t>
  </si>
  <si>
    <t>PPIM19504F6C</t>
  </si>
  <si>
    <t>โรงพยาบาลบ่อพลอย</t>
  </si>
  <si>
    <t>PPIM19503414</t>
  </si>
  <si>
    <t>นายนคร ศรีกิจวิไลกุล</t>
  </si>
  <si>
    <t>PPIM19502D5E</t>
  </si>
  <si>
    <t>โรงเรียนวัดโพธิ์ศรีสุขาราม</t>
  </si>
  <si>
    <t>PPIM19503870</t>
  </si>
  <si>
    <t>องค์การบริหารส่วนตำบลสนามแย้</t>
  </si>
  <si>
    <t>PPIM19503DE0</t>
  </si>
  <si>
    <t>บุญญภัสร์ ห่วงเอี่ยม</t>
  </si>
  <si>
    <t>PPIM19503F37</t>
  </si>
  <si>
    <t>PPIM1950418A</t>
  </si>
  <si>
    <t>นายวันชัย จันทร์จงปราณี</t>
  </si>
  <si>
    <t>PPIM1950370B</t>
  </si>
  <si>
    <t>นางขวัญชีวิต ชัยคุณแสง</t>
  </si>
  <si>
    <t>PPIM19503558</t>
  </si>
  <si>
    <t>นายวันชัย เลาหวัฒนากุล</t>
  </si>
  <si>
    <t>PPIM19504679</t>
  </si>
  <si>
    <t>นายนิมิตร พันธ์มาลี</t>
  </si>
  <si>
    <t>PPIM1950479D</t>
  </si>
  <si>
    <t>จามร วรรณ่กาญจน์</t>
  </si>
  <si>
    <t>PPIM195042A3</t>
  </si>
  <si>
    <t>นายบุญยืน ตุ๊อยู่</t>
  </si>
  <si>
    <t>PPIM19503C92</t>
  </si>
  <si>
    <t>PPIM195032CB</t>
  </si>
  <si>
    <t>นาย ธนวัฒน์ ประสมศักดิ์</t>
  </si>
  <si>
    <t>PPIM19504CCB</t>
  </si>
  <si>
    <t>นางสาวรุ่งทิวา เลาหเธียรประธาน</t>
  </si>
  <si>
    <t>PPIM195049D8</t>
  </si>
  <si>
    <t>PPIM19502F5D</t>
  </si>
  <si>
    <t>PPIM19502F6C</t>
  </si>
  <si>
    <t>โรงเรียนสามชุกรัตนโภคาราม</t>
  </si>
  <si>
    <t>PPIM19503034</t>
  </si>
  <si>
    <t>หจก. ลีนกิจยนต์ (เชียงกงสุพรรณ)</t>
  </si>
  <si>
    <t>PPIM19503088</t>
  </si>
  <si>
    <t>นาย ฉัตรชัย จันทรศุภแสง</t>
  </si>
  <si>
    <t>PPIM1950317A</t>
  </si>
  <si>
    <t>ืนายสมพงษ์ อรุโณทัย</t>
  </si>
  <si>
    <t>PPIM1950318A</t>
  </si>
  <si>
    <t>นางสุชาดา โพธิ์ทอง</t>
  </si>
  <si>
    <t>PPIM195031FB</t>
  </si>
  <si>
    <t>นายอมฤต มงคลรัตน์</t>
  </si>
  <si>
    <t>PPIM19503289</t>
  </si>
  <si>
    <t>องค์การบริหารส่วนตำบลดอนกำยาน</t>
  </si>
  <si>
    <t>PPIM1950340F</t>
  </si>
  <si>
    <t>นางบุญส่ง ยัง</t>
  </si>
  <si>
    <t>PPIM1950362E</t>
  </si>
  <si>
    <t>PPIM19503748</t>
  </si>
  <si>
    <t>ไมโครไบโอเทค จำกัด</t>
  </si>
  <si>
    <t>PPIM19503857</t>
  </si>
  <si>
    <t>นางสาวปรารถนา ว่องวุฒิ</t>
  </si>
  <si>
    <t>PPIM195037BE</t>
  </si>
  <si>
    <t>นางสาวผาติกัญญ์ เชื่อมทอง</t>
  </si>
  <si>
    <t>PPIM195038C2</t>
  </si>
  <si>
    <t>นายไพศาล ชื่นจิตร</t>
  </si>
  <si>
    <t>PPIM19503A28</t>
  </si>
  <si>
    <t>นางเกตฐัฉดา วุฒิพันธุ์</t>
  </si>
  <si>
    <t>PPIM19503886</t>
  </si>
  <si>
    <t>นางเสาวลักษณ์ งามพักตร์</t>
  </si>
  <si>
    <t>PPIM19503AD6</t>
  </si>
  <si>
    <t>นายพิทยา ศรีพันธุ์</t>
  </si>
  <si>
    <t>PPIM19503B3F</t>
  </si>
  <si>
    <t>นายวิฑูรย์ ตงสาลี</t>
  </si>
  <si>
    <t>PPIM19503B77</t>
  </si>
  <si>
    <t>นาง พิมใจ พิมพ์สวัสดิ์</t>
  </si>
  <si>
    <t>PPIM19503F3A</t>
  </si>
  <si>
    <t>PPIM19503F88</t>
  </si>
  <si>
    <t>PPIM19503BD1</t>
  </si>
  <si>
    <t>นายสุธรรม ธัญญเจริญ</t>
  </si>
  <si>
    <t>PPIM19503FD1</t>
  </si>
  <si>
    <t>นายอัฏฐ์วุฒิ ไหวพริบ</t>
  </si>
  <si>
    <t>PPIM19504026</t>
  </si>
  <si>
    <t>โรงน้ำแข็งหลอดเลิศชัย</t>
  </si>
  <si>
    <t>PPIM1950404D</t>
  </si>
  <si>
    <t>นายสมชาย นรากรมังคลา</t>
  </si>
  <si>
    <t>PPIM195043A6</t>
  </si>
  <si>
    <t>พรชัย บุญแสง</t>
  </si>
  <si>
    <t>PPIM19504052</t>
  </si>
  <si>
    <t>นางมลนภา นรากรมังคลา</t>
  </si>
  <si>
    <t>PPIM1950450E</t>
  </si>
  <si>
    <t>PPIM195045C4</t>
  </si>
  <si>
    <t>นางพัชรีวรรณ โกมาสถิตย์</t>
  </si>
  <si>
    <t>PPIM195046F0</t>
  </si>
  <si>
    <t>นายทศพล สาระนิม</t>
  </si>
  <si>
    <t>PPIM195047F3</t>
  </si>
  <si>
    <t>นางสาวประไพศรี บัณฑิตเลิศสกุล</t>
  </si>
  <si>
    <t>PPIM195046E6</t>
  </si>
  <si>
    <t>น.ส.อิสราภรณ์ เวทย์กิติพฤกษ์</t>
  </si>
  <si>
    <t>PPIM195048DE</t>
  </si>
  <si>
    <t>องค์การบริหารส่วนตำบลสนามชัย</t>
  </si>
  <si>
    <t>PPIM19504982</t>
  </si>
  <si>
    <t>นายธีรภัทร สุดโต</t>
  </si>
  <si>
    <t>PPIM195046F5</t>
  </si>
  <si>
    <t>บริษัท ไมโครไบโอเทค จำกัด</t>
  </si>
  <si>
    <t>PPIM19504A2D</t>
  </si>
  <si>
    <t>นาง บุญพิศ รอดโรคา</t>
  </si>
  <si>
    <t>PPIM19504BB7</t>
  </si>
  <si>
    <t>นายวันชัย ทองบริสุทธิ์</t>
  </si>
  <si>
    <t>PPIM19504CCC</t>
  </si>
  <si>
    <t>เทศบาลตำบลสระกระโจม</t>
  </si>
  <si>
    <t>PPIM19504D38</t>
  </si>
  <si>
    <t>นางชนัตร์นัน โฉมเกิด</t>
  </si>
  <si>
    <t>PPIM19504E0C</t>
  </si>
  <si>
    <t>น.ส.พจนีย์ เด่นชาติพันธ์</t>
  </si>
  <si>
    <t>PPIM19504FA5</t>
  </si>
  <si>
    <t>นางจุฑารัตน์ เกิดสมบูรณ์</t>
  </si>
  <si>
    <t>PPIM19504C8A</t>
  </si>
  <si>
    <t>นางสาวรรณ รักษาชาติ</t>
  </si>
  <si>
    <t>PPIM19505004</t>
  </si>
  <si>
    <t>บริษัท ท็อป แคปปิตอล จำกัด</t>
  </si>
  <si>
    <t>PPIM195050B6</t>
  </si>
  <si>
    <t>นายเอกวิกร จตุภิรมย์</t>
  </si>
  <si>
    <t>PPIM19505421</t>
  </si>
  <si>
    <t>นายสุภาพ บุตรดี</t>
  </si>
  <si>
    <t>PPIM19505423</t>
  </si>
  <si>
    <t>นางสุนทรี สุวรรณรักษ์กูล</t>
  </si>
  <si>
    <t>PPIM195054F1</t>
  </si>
  <si>
    <t>นางจันทร์จิรา ถนอมกิตติ</t>
  </si>
  <si>
    <t>PPIM195054F4</t>
  </si>
  <si>
    <t>นางกัญณิกา ชัยศักดิ์</t>
  </si>
  <si>
    <t>PPIM1950552A</t>
  </si>
  <si>
    <t>PPIM19505547</t>
  </si>
  <si>
    <t>นางจิระนันท์ วงศ์จตุพัฒน์</t>
  </si>
  <si>
    <t>PPIM1950344A</t>
  </si>
  <si>
    <t>นาง หวัน วิริยะพันธ์</t>
  </si>
  <si>
    <t>PPIM195035B4</t>
  </si>
  <si>
    <t>น.ส.สุคนธ์ทิพย์ ศิริเดช</t>
  </si>
  <si>
    <t>PPIM1950363C</t>
  </si>
  <si>
    <t>นายเงินแป้นทองคำ</t>
  </si>
  <si>
    <t>PPIM19503814</t>
  </si>
  <si>
    <t>นางสิรภัทร อินใจธรรม</t>
  </si>
  <si>
    <t>PPIM19503E50</t>
  </si>
  <si>
    <t>นางนันทนา จันทรวัฒนาวณิช</t>
  </si>
  <si>
    <t>PPIM19503F57</t>
  </si>
  <si>
    <t>เทอดศักดิ์ นิมิตศักดิ์ศิริ</t>
  </si>
  <si>
    <t>PPIM1950451B</t>
  </si>
  <si>
    <t>นายสมยศ วงศ์สุวรรณ</t>
  </si>
  <si>
    <t>PPIM195030AB</t>
  </si>
  <si>
    <t>PPIM1950460F</t>
  </si>
  <si>
    <t>PPIM195042A0</t>
  </si>
  <si>
    <t>องค์การบริหารส่วนตำบลทุ่งคอก</t>
  </si>
  <si>
    <t>PPIM1950490F</t>
  </si>
  <si>
    <t>PPIM19504B40</t>
  </si>
  <si>
    <t>โรงเรียนอาทรสังขะวัฒนะ 2</t>
  </si>
  <si>
    <t>PPIM19504C8E</t>
  </si>
  <si>
    <t>PPIM19504E34</t>
  </si>
  <si>
    <t>PPIM19504FE8</t>
  </si>
  <si>
    <t>นางจรินทร์ พูนศิริภัค</t>
  </si>
  <si>
    <t>PPIM19505297</t>
  </si>
  <si>
    <t>นางญาดา นิวาตวงศ์</t>
  </si>
  <si>
    <t>PPIM195052E8</t>
  </si>
  <si>
    <t>PPIM19502EE8</t>
  </si>
  <si>
    <t>นายโกศล ไกรทอง</t>
  </si>
  <si>
    <t>PPIM19503576</t>
  </si>
  <si>
    <t>นายอุกฤษฏ์ กรกนก</t>
  </si>
  <si>
    <t>PPIM1950362F</t>
  </si>
  <si>
    <t>PPIM19503CF2</t>
  </si>
  <si>
    <t>นางสาวชลวิจิตร บุษบก</t>
  </si>
  <si>
    <t>PPIM19503D14</t>
  </si>
  <si>
    <t>นางสาว สุภัสสร เทพ สถิตย์</t>
  </si>
  <si>
    <t>PPIM19503E61</t>
  </si>
  <si>
    <t>PPIM195041E3</t>
  </si>
  <si>
    <t>นางสาว พัชรี ส่วนสมบุญ</t>
  </si>
  <si>
    <t>PPIM1950434B</t>
  </si>
  <si>
    <t>นายชนะภัย ดอกเกตุแก้ว</t>
  </si>
  <si>
    <t>PPIM19504558</t>
  </si>
  <si>
    <t>PPIM195046C2</t>
  </si>
  <si>
    <t>น.ส.อัณณารัธต์ อิสระพันธ์</t>
  </si>
  <si>
    <t>PPIM19504755</t>
  </si>
  <si>
    <t>นายวินัย วงค์ทอง</t>
  </si>
  <si>
    <t>PPIM19504E52</t>
  </si>
  <si>
    <t>PPIM19504E48</t>
  </si>
  <si>
    <t>นางปราณี พงษ์สุพรรณ</t>
  </si>
  <si>
    <t>PPIM19504F76</t>
  </si>
  <si>
    <t>นายปัญญา ประทีปพรศักดิ์</t>
  </si>
  <si>
    <t>PPIM195050EB</t>
  </si>
  <si>
    <t>PPIM195052FE</t>
  </si>
  <si>
    <t>สำนักงานเทศบาลตำบลด่านช้าง</t>
  </si>
  <si>
    <t>รวมสังกัด กฟฟ จ.นครปฐม</t>
  </si>
  <si>
    <t>รวม สังกัด กฟฟ จ..สมุทรสาคร</t>
  </si>
  <si>
    <t>รวม สังกัด กฟฟ จ.กาญจนบุรี</t>
  </si>
  <si>
    <t xml:space="preserve">รวม สังกัด กฟฟ จ.สุพรรณบุรี </t>
  </si>
  <si>
    <t>PPIM18500014</t>
  </si>
  <si>
    <t>นายณัฐพล ลีลากนก</t>
  </si>
  <si>
    <t>กฟก.3</t>
  </si>
  <si>
    <t>PPIM18500045</t>
  </si>
  <si>
    <t>ชัยณรงค์ ภู่วาว</t>
  </si>
  <si>
    <t>PPIM1850005F</t>
  </si>
  <si>
    <t>บริษัท ที.ซี. ยูเนียน อโกรเทค จำกัด</t>
  </si>
  <si>
    <t>PPIM18500076</t>
  </si>
  <si>
    <t>PPIM185000C0</t>
  </si>
  <si>
    <t>นายปิยะมิตร ศรีสว่าง</t>
  </si>
  <si>
    <t>PPIM185000D8</t>
  </si>
  <si>
    <t>นาย เอกพจน์ เกิดดอนแฝก</t>
  </si>
  <si>
    <t>PPIM185000FF</t>
  </si>
  <si>
    <t>บริษัท สยามฟริท จำกัด</t>
  </si>
  <si>
    <t>PPIM18500122</t>
  </si>
  <si>
    <t>บริษัท มหาชัย โฟรเซ่น ฟู้ดส์ จำกัด</t>
  </si>
  <si>
    <t>PPIM1850012B</t>
  </si>
  <si>
    <t>บริษัท เกรทฮิลล์ ฟู้ดส์ จำกัด</t>
  </si>
  <si>
    <t>PPIM18500136</t>
  </si>
  <si>
    <t>PPIM1850013C</t>
  </si>
  <si>
    <t>บริษัท เอ็นจีเอ็ม อินดัสเตรียล จำกัด</t>
  </si>
  <si>
    <t>PPIM18500153</t>
  </si>
  <si>
    <t>น.ส.นัดทิพร ทับทอง</t>
  </si>
  <si>
    <t>PPIM18500163</t>
  </si>
  <si>
    <t>สุวรรณ ธรรมาภิรักษ์ (บุญค้ำ โคนันท์)</t>
  </si>
  <si>
    <t>PPIM18500192</t>
  </si>
  <si>
    <t>การไฟฟ้าส่วนภูมิภาคโคกขาม</t>
  </si>
  <si>
    <t>PPIM185001A0</t>
  </si>
  <si>
    <t>บริษัท ฉั่วฮะเส็ง ฟู้ดโปรดักส์ จำกัด</t>
  </si>
  <si>
    <t>PPIM185001A6</t>
  </si>
  <si>
    <t>บริษัท เอช.เค.ฟาร์มาซูติคอล จำกัด</t>
  </si>
  <si>
    <t>PPIM185001B6</t>
  </si>
  <si>
    <t>PPIM185001B7</t>
  </si>
  <si>
    <t>PPIM185001C9</t>
  </si>
  <si>
    <t>บริษัท ที.ซี.โพลีเวิร์ค จำกัด</t>
  </si>
  <si>
    <t>PPIM185001CF</t>
  </si>
  <si>
    <t>บริษัท น้ำมันพืชไทย จำกัด (มหาชน)</t>
  </si>
  <si>
    <t>PPIM185001EC</t>
  </si>
  <si>
    <t>บริษัท เอ็นจีเอ็ม-เอ็กซ์ จำกัด</t>
  </si>
  <si>
    <t>PPIM185001F3</t>
  </si>
  <si>
    <t>บริษัท นครยนต์ออโต้ซาวด์ 2560 จำกัด</t>
  </si>
  <si>
    <t>PPIM1850020E</t>
  </si>
  <si>
    <t>นายวัชชา เกศวยุธ</t>
  </si>
  <si>
    <t>PPIM18500229</t>
  </si>
  <si>
    <t>บริษัท เด่นชัยการเคหะและที่ดิน จำกัด</t>
  </si>
  <si>
    <t>PPIM1850022B</t>
  </si>
  <si>
    <t>PPIM18500242</t>
  </si>
  <si>
    <t>วีไอพี ทรัคส์ แอนด์ พาร์ท</t>
  </si>
  <si>
    <t>PPIM18500247</t>
  </si>
  <si>
    <t>นางสาวพิจิตรตรม อธิตสมาสัย</t>
  </si>
  <si>
    <t>PPIM1850025A</t>
  </si>
  <si>
    <t>บริษัท โคธเด๊คซ์ จำกัด</t>
  </si>
  <si>
    <t>PPIM18500278</t>
  </si>
  <si>
    <t>บริษัท โฟร์ พี โคลทติ้ง จำกัด</t>
  </si>
  <si>
    <t>PPIM185002C7</t>
  </si>
  <si>
    <t>บริษัท นครไชยศรีอุตสาหกรรม จำกัด</t>
  </si>
  <si>
    <t>PPIM185002D4</t>
  </si>
  <si>
    <t>วรลักษณ์ ยุทธศักดิ์</t>
  </si>
  <si>
    <t>PPIM185002E0</t>
  </si>
  <si>
    <t>ห้างหุ้นส่วนจำกัด กิจรุ่งโรจน์เจริญยนต์</t>
  </si>
  <si>
    <t>PPIM185002E8</t>
  </si>
  <si>
    <t>บริษัท บุญส่งโอสถ จำกัด</t>
  </si>
  <si>
    <t>PPIM18500302</t>
  </si>
  <si>
    <t>มหาวิทยาลัยมหิดล วิทยาเขตกาญจนบุรี</t>
  </si>
  <si>
    <t>PPIM1850030C</t>
  </si>
  <si>
    <t>บริษัท พลาสติสสิโม่ ฟิล์ม จำกัด</t>
  </si>
  <si>
    <t>PPIM18500327</t>
  </si>
  <si>
    <t>บริษัท ลาวัณย์วิสุทธิ์ พลาสติกไทย จำกัด</t>
  </si>
  <si>
    <t>PPIM1850036D</t>
  </si>
  <si>
    <t>บริษัทไทยคณาอินเตอร์ฟู้ดจำกัด</t>
  </si>
  <si>
    <t>PPIM18500372</t>
  </si>
  <si>
    <t>บริษัท พีพี โฟรเซ่น ฟู๊ดส์ จำกัด</t>
  </si>
  <si>
    <t>PPIM1850037A</t>
  </si>
  <si>
    <t>บริษัท พี.พี แอนด์ พี ทรานสปอร์ต จำกัด</t>
  </si>
  <si>
    <t>PPIM1850039C</t>
  </si>
  <si>
    <t>บริษัท ทีเอเค โพรดัคส์ แอนด์ เซอร์วิสเซส จำกัด</t>
  </si>
  <si>
    <t>PPIM185003BF</t>
  </si>
  <si>
    <t>PPIM185003C0</t>
  </si>
  <si>
    <t>PPIM185003C3</t>
  </si>
  <si>
    <t>PPIM185003CD</t>
  </si>
  <si>
    <t>นางสาว วนิกา เสรีรัตนเกียรติ</t>
  </si>
  <si>
    <t>PPIM185003CE</t>
  </si>
  <si>
    <t>PPIM185003D5</t>
  </si>
  <si>
    <t>PPIM185003D7</t>
  </si>
  <si>
    <t>บริษัท ซี.เจ. เอ็กซ์เพรส กรุ๊ป จำกัดว</t>
  </si>
  <si>
    <t>PPIM185003D9</t>
  </si>
  <si>
    <t>PPIM18500400</t>
  </si>
  <si>
    <t>PPIM18500403</t>
  </si>
  <si>
    <t>บังอร ดีพิจารณ์</t>
  </si>
  <si>
    <t>PPIM1850041A</t>
  </si>
  <si>
    <t>บริษัท พี.เอ็น.พริ้นท์ แอนด์ แพ็ค (ประเทศไทย) จำกัด</t>
  </si>
  <si>
    <t>PPIM18500435</t>
  </si>
  <si>
    <t>บริษัท ยูเนี่ยนเบ็ลท์อินดัสตรี้ส์ จำกัด</t>
  </si>
  <si>
    <t>PPIM1850044A</t>
  </si>
  <si>
    <t>PPIM1850045A</t>
  </si>
  <si>
    <t>บริษัท แอบโซลูท โพลิเมอร์ จำกัด</t>
  </si>
  <si>
    <t>PPIM18500476</t>
  </si>
  <si>
    <t>PPIM1850049D</t>
  </si>
  <si>
    <t>บริษัท เปาโล เมดิค จำกัด</t>
  </si>
  <si>
    <t>PPIM185004BC</t>
  </si>
  <si>
    <t>บริษัท เหล็กศุภศิลป์ จำกัด</t>
  </si>
  <si>
    <t>PPIM185004C7</t>
  </si>
  <si>
    <t>บริษัท ดี.ซี.ซี.เอ็นเตอร์ไพรซ์ จำกัด</t>
  </si>
  <si>
    <t>PPIM185004D9</t>
  </si>
  <si>
    <t>หจก.ไทยเกษตรผลสุพรรณบุรี</t>
  </si>
  <si>
    <t>PPIM18500527</t>
  </si>
  <si>
    <t>วัดบ้านโป่ง</t>
  </si>
  <si>
    <t>PPIM18500572</t>
  </si>
  <si>
    <t>บริษัท ดี.ซี.ซี. เอ็นเตอร์ไพรซ์ จำกัด</t>
  </si>
  <si>
    <t>PPIM1850058C</t>
  </si>
  <si>
    <t>บริษัท ดำรงศิลป์ ซัพพลายส์ จำกัด</t>
  </si>
  <si>
    <t>PPIM185005D2</t>
  </si>
  <si>
    <t>นายสิริวัฒก์ ศุภกิจโยธิน</t>
  </si>
  <si>
    <t>PPIM185005E9</t>
  </si>
  <si>
    <t>บริษัท ดับบลิว.ที.โพลีเทค จำกัด</t>
  </si>
  <si>
    <t>PPIM18500602</t>
  </si>
  <si>
    <t>บริษัท ไทยเซ็นทรี (1995) จำกัด</t>
  </si>
  <si>
    <t>PPIM18500608</t>
  </si>
  <si>
    <t>บริษัท ทรัพย์ทวีโลหะ จำกัด</t>
  </si>
  <si>
    <t>PPIM1850060E</t>
  </si>
  <si>
    <t>บริษัท เกษมชัยฟู๊ด จำกัด</t>
  </si>
  <si>
    <t>PPIM18500614</t>
  </si>
  <si>
    <t>PPIM1850061C</t>
  </si>
  <si>
    <t>บริษัท เจ เอช แอนด์ สโนว์ กรุ๊ป จำกัด</t>
  </si>
  <si>
    <t>PPIM1850069A</t>
  </si>
  <si>
    <t>PPIM185006C5</t>
  </si>
  <si>
    <t>บริษัท เอช บี นิตติ้ง จำกัด</t>
  </si>
  <si>
    <t>PPIM185006CC</t>
  </si>
  <si>
    <t>บริษัท ซีเอ็นอีเอส ดีวัน จำกัด</t>
  </si>
  <si>
    <t>PPIM185006D4</t>
  </si>
  <si>
    <t>บริษัท ธนบุรีพลาสแพค จำกัด</t>
  </si>
  <si>
    <t>PPIM185006E6</t>
  </si>
  <si>
    <t>นายวิเชียร จิระวิชฏา</t>
  </si>
  <si>
    <t>PPIM18500701</t>
  </si>
  <si>
    <t>บริษัท ไทย เลซ แมนูแฟคเจอริ่ง จำกัด</t>
  </si>
  <si>
    <t>PPIM18500709</t>
  </si>
  <si>
    <t>PPIM18500713</t>
  </si>
  <si>
    <t>ไฟฟ้าสำนักงานกฟอ.สังขละบุรี</t>
  </si>
  <si>
    <t>PPIM18500716</t>
  </si>
  <si>
    <t>บริษัท รอยัล ยูนิเวอร์แซลเลซ จำกัด</t>
  </si>
  <si>
    <t>PPIM18500719</t>
  </si>
  <si>
    <t>PPIM1850071A</t>
  </si>
  <si>
    <t>PPIM18500727</t>
  </si>
  <si>
    <t>บริษัท ไซเบอร์พริ้นท์กรุ๊ป จำกัด</t>
  </si>
  <si>
    <t>PPIM18500733</t>
  </si>
  <si>
    <t>บริษัท เมตตาภัทรวัสดภัณฑ์ จำกัด</t>
  </si>
  <si>
    <t>PPIM18500738</t>
  </si>
  <si>
    <t>บริษัท ไดนาสตี้ เซรามิค จำกัด (มหาชน)</t>
  </si>
  <si>
    <t>PPIM1850073A</t>
  </si>
  <si>
    <t>PPIM1850073B</t>
  </si>
  <si>
    <t>บริษัท ไดนาสตี้ เซรามิค จำกัด(มหาชน) (สาขากาญจนบุรี)</t>
  </si>
  <si>
    <t>PPIM18500741</t>
  </si>
  <si>
    <t>บริษัท วี.อาร์.ทอยส์ จำกัด</t>
  </si>
  <si>
    <t>PPIM18500750</t>
  </si>
  <si>
    <t>บริษัท ดี-แลนด์ พร็อพเพอร์ตี้ จำกัด</t>
  </si>
  <si>
    <t>PPIM18500779</t>
  </si>
  <si>
    <t>นาย ธัญญ์นิธิ รู้ขายวงศ์เจริญ</t>
  </si>
  <si>
    <t>PPIM185007A9</t>
  </si>
  <si>
    <t>บริษัทกลุ่ม 15 จำกัด</t>
  </si>
  <si>
    <t>PPIM185007C2</t>
  </si>
  <si>
    <t>บริษัท สยามโพลีเน็ต จำกัด</t>
  </si>
  <si>
    <t>PPIM185007D2</t>
  </si>
  <si>
    <t>บริษัท นิวสตาร์ โฟรเซ่นฟู้ดส์(ไทยแลนด์) จำกัด</t>
  </si>
  <si>
    <t>PPIM18500812</t>
  </si>
  <si>
    <t>น.ส.ศศิวิตา วิจารณ์</t>
  </si>
  <si>
    <t>PPIM18500816</t>
  </si>
  <si>
    <t>บริษัท ไทยโมเดอร์น เคส จำกัด</t>
  </si>
  <si>
    <t>PPIM18500818</t>
  </si>
  <si>
    <t>PPIM1850083F</t>
  </si>
  <si>
    <t>บริษัท เจบี ออลล์ จำกัด</t>
  </si>
  <si>
    <t>PPIM1850084B</t>
  </si>
  <si>
    <t>บริษัท ไดนาสตี้ เซรามิค จำกัด (มหาชน) (สาขากาญจนบุรี)</t>
  </si>
  <si>
    <t>PPIM18500858</t>
  </si>
  <si>
    <t>บริษัท เอช.บี.นิตติ้ง จำกัด</t>
  </si>
  <si>
    <t>PPIM1850087B</t>
  </si>
  <si>
    <t>นาย วิชัย นาคสุวรรณ</t>
  </si>
  <si>
    <t>PPIM185008A0</t>
  </si>
  <si>
    <t>นายชนะ โพธิ์ทอง</t>
  </si>
  <si>
    <t>PPIM185008B4</t>
  </si>
  <si>
    <t>พระครูภาวนาวิมล (สุพรชัย สุขกล่ำ)</t>
  </si>
  <si>
    <t>PPIM185008D7</t>
  </si>
  <si>
    <t>นายเศกสรรค์ มาประเสริฐกุล</t>
  </si>
  <si>
    <t>PPIM185008E8</t>
  </si>
  <si>
    <t>PPIM185008EB</t>
  </si>
  <si>
    <t>PPIM185008F1</t>
  </si>
  <si>
    <t>บริษัท ซีที กลาส จำกัด</t>
  </si>
  <si>
    <t>PPIM18500906</t>
  </si>
  <si>
    <t>บริษัท เอสซีจี ซิเมนต์-ผลิตภัณฑ์-ก่อสร้าง จำกัด (สำนักงานตะวันตก)</t>
  </si>
  <si>
    <t>PPIM1850090C</t>
  </si>
  <si>
    <t>บริษัท แสงไทย ฟิตติ้ง อุตสาหกรรม จำกัด</t>
  </si>
  <si>
    <t>PPIM1850091C</t>
  </si>
  <si>
    <t>PPIM18500940</t>
  </si>
  <si>
    <t>นายสมเจตน์ เหล่าลือเกียรติ</t>
  </si>
  <si>
    <t>PPIM18500950</t>
  </si>
  <si>
    <t>บริษัท ลองเท็กซ์รับเบอร์อินดัสตรี จำกัด</t>
  </si>
  <si>
    <t>PPIM18500957</t>
  </si>
  <si>
    <t>บริษัท ยูนิเวอร์แซล แพคเกจจิ้งอินเตอร์เนชั่นแนล จำกัด</t>
  </si>
  <si>
    <t>PPIM1850096D</t>
  </si>
  <si>
    <t>บริษัท ฮวด หล่อโลหะกิจ จำกัด</t>
  </si>
  <si>
    <t>PPIM18500973</t>
  </si>
  <si>
    <t>นางสาวทองชิต แท่นนิล</t>
  </si>
  <si>
    <t>PPIM185009A6</t>
  </si>
  <si>
    <t>บริษัท เอกรัตน์อุตสาหกรรมสิ่งทอ จำกัด</t>
  </si>
  <si>
    <t>PPIM185009ED</t>
  </si>
  <si>
    <t>นายวิโรจน์ อำนวยยนต์วารี</t>
  </si>
  <si>
    <t>PPIM185009F0</t>
  </si>
  <si>
    <t>PPIM185009F2</t>
  </si>
  <si>
    <t>PPIM18500A0D</t>
  </si>
  <si>
    <t>นางสาวกัลยาณี กรกีรติ</t>
  </si>
  <si>
    <t>PPIM18500A10</t>
  </si>
  <si>
    <t>นาง บุญพา เพชรดี</t>
  </si>
  <si>
    <t>PPIM18500A1A</t>
  </si>
  <si>
    <t>PPIM18500A23</t>
  </si>
  <si>
    <t>บริษัท มาสเตอรี่เทรดดิ้ง จำกัด</t>
  </si>
  <si>
    <t>PPIM18500A2B</t>
  </si>
  <si>
    <t>PPIM18500198</t>
  </si>
  <si>
    <t>PPIM18500050</t>
  </si>
  <si>
    <t>บริษัท ส. แสงทอง การช่าง จำกัด</t>
  </si>
  <si>
    <t>PPIM18500A78</t>
  </si>
  <si>
    <t>บริษัท บางกอกโรลเลอร์ จำกัด</t>
  </si>
  <si>
    <t>PPIM18500AAE</t>
  </si>
  <si>
    <t>บริษัท วรรณวนัช เบเกอรี่ จำกัด</t>
  </si>
  <si>
    <t>PPIM18500AC5</t>
  </si>
  <si>
    <t>PPIM18500AC9</t>
  </si>
  <si>
    <t>นางสาวคนึง นาคใหม่</t>
  </si>
  <si>
    <t>PPIM18500AFF</t>
  </si>
  <si>
    <t>บริษัท ออโตแพค จำกัด</t>
  </si>
  <si>
    <t>PPIM18500B00</t>
  </si>
  <si>
    <t>นายถิรเดช โรจนภัทรากุล</t>
  </si>
  <si>
    <t>PPIM18500B27</t>
  </si>
  <si>
    <t>บริษัท ซินเซียร์ เฟรช ฟู้ด จำกัด</t>
  </si>
  <si>
    <t>PPIM18500BDA</t>
  </si>
  <si>
    <t>บริษัท เค.เอช.ไอ. อุตสาหกรรม จำกัด</t>
  </si>
  <si>
    <t>PPIM18500BDC</t>
  </si>
  <si>
    <t>บริษัท ปตท. น้ำมันและการค้าปลีก จำกัด (มหาชน) (สาขาสุพรรณบุรี)</t>
  </si>
  <si>
    <t>PPIM18500C06</t>
  </si>
  <si>
    <t>บริษัท ออกานิกส์ คอสเม่ จำกัด</t>
  </si>
  <si>
    <t>PPIM18500C1D</t>
  </si>
  <si>
    <t>PPIM18500C38</t>
  </si>
  <si>
    <t>บริษัท ข้าว ซี.พี. จำกัด</t>
  </si>
  <si>
    <t>PPIM18500CCD</t>
  </si>
  <si>
    <t>บริษัท ยูเนี่ยน คอมปาวด์ จำกัด</t>
  </si>
  <si>
    <t>PPIM18500CCF</t>
  </si>
  <si>
    <t>บริษัท อัลโลคอร์ท จำกัด</t>
  </si>
  <si>
    <t>PPIM18500CD1</t>
  </si>
  <si>
    <t>บริษัท ตะวันการฟอก จำกัด</t>
  </si>
  <si>
    <t>PPIM18500CD3</t>
  </si>
  <si>
    <t>PPIM18500CD9</t>
  </si>
  <si>
    <t>PPIM18500CF4</t>
  </si>
  <si>
    <t>นางสาวธนพร แซ่ลี้</t>
  </si>
  <si>
    <t>PPIM18500CFD</t>
  </si>
  <si>
    <t>บริษัท เครส ฟาร์มา จำกัด</t>
  </si>
  <si>
    <t>PPIM18500D43</t>
  </si>
  <si>
    <t>บริษัท เนอร์วาน่าฟูดส์แอนด์ คอมเมิซ อินเตอร์เนชั่นแนล จํากัด</t>
  </si>
  <si>
    <t>PPIM18500DBD</t>
  </si>
  <si>
    <t>บริษัท ทริพเปิล ที. อินโนเวทิ้ง โซลูชั่นส์ จำกัด</t>
  </si>
  <si>
    <t>PPIM18500E2B</t>
  </si>
  <si>
    <t>บริษัท ผงธูปเจริญชัยพาณิชย์ จำกัด</t>
  </si>
  <si>
    <t>PPIM18500E43</t>
  </si>
  <si>
    <t>โรงเรียนกาญจนานุเคราะห์</t>
  </si>
  <si>
    <t>PPIM18500E71</t>
  </si>
  <si>
    <t>ืนาย ชัยณรงค์ ภู่วาว</t>
  </si>
  <si>
    <t>PPIM18500E95</t>
  </si>
  <si>
    <t>บริษัท บุญช่วยอุตสาหกรรม จำกัด</t>
  </si>
  <si>
    <t>PPIM18500EA9</t>
  </si>
  <si>
    <t>บริษัท พงษ์-ศรา แมนูแฟคเจอริ่ง จำกัด</t>
  </si>
  <si>
    <t>PPIM18500EB1</t>
  </si>
  <si>
    <t>หลักทรัพย์ทิสโก้ จำกัด</t>
  </si>
  <si>
    <t>PPIM18500ED4</t>
  </si>
  <si>
    <t>นายณัฐพล ธนสมบูรณ์</t>
  </si>
  <si>
    <t>PPIM18500EF1</t>
  </si>
  <si>
    <t>บริษัท ย่งเส็ง ดิสทริบิวเตอร์ จำกัด</t>
  </si>
  <si>
    <t>PPIM18500F12</t>
  </si>
  <si>
    <t>บริษัท อุตสาหกรรมทวีวงษ์ จำกัด</t>
  </si>
  <si>
    <t>PPIM18500F16</t>
  </si>
  <si>
    <t>PPIM185004F3</t>
  </si>
  <si>
    <t>บริษัท ไอเฮิร์บ แมนูแฟคเจอริ่ง จำกัด</t>
  </si>
  <si>
    <t>PPIM18500F99</t>
  </si>
  <si>
    <t>PPIM18500FD4</t>
  </si>
  <si>
    <t>PPIM18500FDB</t>
  </si>
  <si>
    <t>PPIM18501049</t>
  </si>
  <si>
    <t>บริษัท ซี.เจ. เอ็กซ์เพรส กรุ๊ป จำกัด</t>
  </si>
  <si>
    <t>PPIM1850104B</t>
  </si>
  <si>
    <t>PPIM18501050</t>
  </si>
  <si>
    <t>PPIM18501053</t>
  </si>
  <si>
    <t>PPIM18501056</t>
  </si>
  <si>
    <t>PPIM18501060</t>
  </si>
  <si>
    <t>บริษัท ไทยโมเดอร์นเคส จำกัด</t>
  </si>
  <si>
    <t>PPIM1850108A</t>
  </si>
  <si>
    <t>PPIM18501093</t>
  </si>
  <si>
    <t>PPIM18501098</t>
  </si>
  <si>
    <t>PPIM1850109E</t>
  </si>
  <si>
    <t>PPIM185010A0</t>
  </si>
  <si>
    <t>PPIM185010A1</t>
  </si>
  <si>
    <t>PPIM185010D9</t>
  </si>
  <si>
    <t>บริษัท เกตุวานิชอุตสาหกรรม จำกัด</t>
  </si>
  <si>
    <t>PPIM185010FE</t>
  </si>
  <si>
    <t>PPIM18501130</t>
  </si>
  <si>
    <t>บริษัท เอ็น.บี.เจ. โพลิเมอร์ (ประเทศไทย) จำกัด</t>
  </si>
  <si>
    <t>PPIM1850113E</t>
  </si>
  <si>
    <t>สหกรณ์เครือข่ายโคเนื้อ จำกัด</t>
  </si>
  <si>
    <t>PPIM1850114C</t>
  </si>
  <si>
    <t>บริษัท ฟิวเจอร์ เฟล็กซ์ จำกัด</t>
  </si>
  <si>
    <t>PPIM1850115B</t>
  </si>
  <si>
    <t>บริษัท ฟรีเท็กซ์ อีลาสติค จำกัด</t>
  </si>
  <si>
    <t>PPIM18501162</t>
  </si>
  <si>
    <t>PPIM1850116B</t>
  </si>
  <si>
    <t>บริษัท สมาร์ท เทค อินดัสตรี่ จำกัด</t>
  </si>
  <si>
    <t>PPIM18500222</t>
  </si>
  <si>
    <t>บริษัท อุตสาหกรรมมิตรเกษตร จำกัด</t>
  </si>
  <si>
    <t>PPIM1850117C</t>
  </si>
  <si>
    <t>บริษัท โรงพยาบาลเทพากร จำกัด</t>
  </si>
  <si>
    <t>PPIM18501180</t>
  </si>
  <si>
    <t>PPIM18501181</t>
  </si>
  <si>
    <t>PPIM18501182</t>
  </si>
  <si>
    <t>PPIM18501187</t>
  </si>
  <si>
    <t>PPIM1850118A</t>
  </si>
  <si>
    <t>PPIM18501198</t>
  </si>
  <si>
    <t>PPIM185011A4</t>
  </si>
  <si>
    <t>PPIM185011AA</t>
  </si>
  <si>
    <t>PPIM185000FE</t>
  </si>
  <si>
    <t>บริษัท มหาชัย มารีนฟู้ดส์ จำกัด</t>
  </si>
  <si>
    <t>PPIM18500736</t>
  </si>
  <si>
    <t>PPIM185011D4</t>
  </si>
  <si>
    <t>บริษัท พาฝัน เท็กซ์ไทล์ จำกัด</t>
  </si>
  <si>
    <t>PPIM1850047C</t>
  </si>
  <si>
    <t>นาย สมชาติ ภูมิชัยสุวรรณ์</t>
  </si>
  <si>
    <t>PPIM185011DB</t>
  </si>
  <si>
    <t>บริษัท แฟชั่น โฮมเท็กซ์ จำกัด</t>
  </si>
  <si>
    <t>PPIM185011DD</t>
  </si>
  <si>
    <t>PPIM185011E9</t>
  </si>
  <si>
    <t>PPIM1850042F</t>
  </si>
  <si>
    <t>นายชำนาญ อินทร์ใจเอื้อ</t>
  </si>
  <si>
    <t>PPIM1850122F</t>
  </si>
  <si>
    <t>PPIM18501251</t>
  </si>
  <si>
    <t>บริษัท โปรไลเนอร์ จำกัด</t>
  </si>
  <si>
    <t>PPIM18501268</t>
  </si>
  <si>
    <t>บริษัท บิ๊กสตาร์ จำกัด</t>
  </si>
  <si>
    <t>PPIM185012DD</t>
  </si>
  <si>
    <t>บริษัท เอก-ชัย ดิสทริบิวชั่น ซิสเทม จำกัด</t>
  </si>
  <si>
    <t>PPIM185012FA</t>
  </si>
  <si>
    <t>บริษัท เอ เอ็ม แอล รอว์แมททีเรียล จำกัด</t>
  </si>
  <si>
    <t>PPIM18501303</t>
  </si>
  <si>
    <t>บริษัท ซ้อใหญ่ จำกัด</t>
  </si>
  <si>
    <t>PPIM1850130D</t>
  </si>
  <si>
    <t>บริษัท บีทาเก้น จำกัด</t>
  </si>
  <si>
    <t>PPIM1850131A</t>
  </si>
  <si>
    <t>บริษัท ศรีไทยบรรจุภัณฑ์ จำกัด</t>
  </si>
  <si>
    <t>PPIM1850132A</t>
  </si>
  <si>
    <t>บริษัท พรเจริญ ไอซ์ จำกัด</t>
  </si>
  <si>
    <t>PPIM1850132C</t>
  </si>
  <si>
    <t>PPIM18501338</t>
  </si>
  <si>
    <t>บริษัท วิสดอม พร็อพเพอร์ตี้ กรุ๊ป จำกัด</t>
  </si>
  <si>
    <t>PPIM1850016C</t>
  </si>
  <si>
    <t>บริษัท ปัญจทรัพย์ไพศาล จำกัด</t>
  </si>
  <si>
    <t>PPIM185013A1</t>
  </si>
  <si>
    <t>บริษัท สยามฟีดแอนด์ฟู้ด จำกัด</t>
  </si>
  <si>
    <t>PPIM185013AE</t>
  </si>
  <si>
    <t>นางสาวอัมพาพร ภู่มาลี</t>
  </si>
  <si>
    <t>PPIM185013B9</t>
  </si>
  <si>
    <t>บริษัท สยามโมเดอร์นเท็กซ์ จำกัด</t>
  </si>
  <si>
    <t>PPIM185013D8</t>
  </si>
  <si>
    <t>PPIM185013F9</t>
  </si>
  <si>
    <t>บริษัท พีเอสดีเวลลอปเม้นท์ แอนด์เซอร์วิส จำกัด</t>
  </si>
  <si>
    <t>PPIM18501407</t>
  </si>
  <si>
    <t>บริษัท เอ็ม เอ พี ฟู้ด จำกัด</t>
  </si>
  <si>
    <t>PPIM185003C7</t>
  </si>
  <si>
    <t>บริษัท ดีเอ็มที พลาสเทค จำกัด</t>
  </si>
  <si>
    <t>PPIM18501425</t>
  </si>
  <si>
    <t>บริษัท โตโยต้านครปฐม ผู้จำหน่ายโตโยต้า จำกัด</t>
  </si>
  <si>
    <t>PPIM1850142C</t>
  </si>
  <si>
    <t>บริษัท อุตสาหกรรมรูปลอกไทย จำกัด</t>
  </si>
  <si>
    <t>PPIM1850142D</t>
  </si>
  <si>
    <t>PPIM1850144C</t>
  </si>
  <si>
    <t>บริษัท เฟิสท์ ออยล์ ซีล จำกัด</t>
  </si>
  <si>
    <t>PPIM18501459</t>
  </si>
  <si>
    <t>บริษัท หลุยส์พลาสติก ซัพพลาย จำกัด</t>
  </si>
  <si>
    <t>PPIM185014AD</t>
  </si>
  <si>
    <t>บริษัท แฮปปี้ ฟาร์ม อะกริบิสซิเนสจำกัด</t>
  </si>
  <si>
    <t>PPIM185014BC</t>
  </si>
  <si>
    <t>PPIM185014C1</t>
  </si>
  <si>
    <t>ห้างหุ้นส่วนจำกัด พิบูลพงศ์</t>
  </si>
  <si>
    <t>PPIM185014C2</t>
  </si>
  <si>
    <t>PPIM18501547</t>
  </si>
  <si>
    <t>บริษัท ทวีกิจ พลาสท์ จำกัด</t>
  </si>
  <si>
    <t>PPIM18501555</t>
  </si>
  <si>
    <t>PPIM1850156D</t>
  </si>
  <si>
    <t>ห้างหุ้นส่วนจำกัด ฟาร์มหมูนิว</t>
  </si>
  <si>
    <t>PPIM18501587</t>
  </si>
  <si>
    <t>บริษัท เพชรธน กรุ๊ป จำกัด</t>
  </si>
  <si>
    <t>PPIM1850159E</t>
  </si>
  <si>
    <t>โรงพยาบาลบางเลน</t>
  </si>
  <si>
    <t>PPIM185015A4</t>
  </si>
  <si>
    <t>บริษัท โดงยูน กราเวีย(กรุงเทพฯ)จำกัด</t>
  </si>
  <si>
    <t>PPIM185015AC</t>
  </si>
  <si>
    <t>PPIM185015B1</t>
  </si>
  <si>
    <t>บริษัท ไทยรวมสินพัฒนาอุตสาหกรรม จำกัด</t>
  </si>
  <si>
    <t>PPIM185015CA</t>
  </si>
  <si>
    <t>บริษัท ยูนเชง เพลท-เมคคิ่ง (ไทยแลนด์) จำกัด</t>
  </si>
  <si>
    <t>PPIM185015D4</t>
  </si>
  <si>
    <t>บริษัท ไทยเมอร์รี่ จำกัด</t>
  </si>
  <si>
    <t>PPIM185015D8</t>
  </si>
  <si>
    <t>PPIM185015E7</t>
  </si>
  <si>
    <t>บริษัท เอส.เอ็น.เวิลด์พลาส จำกัด</t>
  </si>
  <si>
    <t>PPIM185015FD</t>
  </si>
  <si>
    <t>บริษัท บูโอโน่ (ประเทศไทย) จำกัด (มหาชน)</t>
  </si>
  <si>
    <t>PPIM18501610</t>
  </si>
  <si>
    <t>บริษัท อีเมค จำกัด</t>
  </si>
  <si>
    <t>PPIM18500304</t>
  </si>
  <si>
    <t>บริษัท รีพับบลิค ฟู้ดส์ จำกัด</t>
  </si>
  <si>
    <t>PPIM18501615</t>
  </si>
  <si>
    <t>บริษัท เฟิ่งหยาง กรุ๊ป จำกดั</t>
  </si>
  <si>
    <t>PPIM1850163B</t>
  </si>
  <si>
    <t>บริษัท นิว ลุค ดีไซน์ จำกัด</t>
  </si>
  <si>
    <t>PPIM1850164C</t>
  </si>
  <si>
    <t>PPIM18501662</t>
  </si>
  <si>
    <t>บริษัท สมาร์ต ไซลินเดอร์ จำกัด</t>
  </si>
  <si>
    <t>PPIM18501669</t>
  </si>
  <si>
    <t>บริษัท ตงโซว อินดัสเทรียล ดีเวลลอปเม้นท์ (ไทยแลนด์) จำกัด</t>
  </si>
  <si>
    <t>PPIM18501683</t>
  </si>
  <si>
    <t>บริษัท โอเรียนท์คอนเทนเนอร์ จำกัด</t>
  </si>
  <si>
    <t>PPIM185016C6</t>
  </si>
  <si>
    <t>บริษัท อินเตอร์รุ่งเรือง กรุ๊ป จำกัด</t>
  </si>
  <si>
    <t>PPIM18501713</t>
  </si>
  <si>
    <t>PPIM18501719</t>
  </si>
  <si>
    <t>บริษัท นาดี เอ็นเนอร์ยี จำกัด</t>
  </si>
  <si>
    <t>PPIM1850171D</t>
  </si>
  <si>
    <t>PPIM18500525</t>
  </si>
  <si>
    <t>บริษัท โตโยต้าท่าจีน ผู้จำหน่ายโตโยต้า จำกัด</t>
  </si>
  <si>
    <t>PPIM1850175C</t>
  </si>
  <si>
    <t>PPIM1850043E</t>
  </si>
  <si>
    <t>PPIM1850177D</t>
  </si>
  <si>
    <t>ห้างหุ้นส่วนจำกัด สามห่วงอลูมิเนียม</t>
  </si>
  <si>
    <t>PPIM18501787</t>
  </si>
  <si>
    <t>บริษัท เอ.ซี. ห้องเย็น จำกัด</t>
  </si>
  <si>
    <t>PPIM18501796</t>
  </si>
  <si>
    <t>สุวัฒน์ ตั้งเลิศสัมพันธ์</t>
  </si>
  <si>
    <t>PPIM185006AA</t>
  </si>
  <si>
    <t>บริษัท ที แอนด์ ดับบลิว ฟุตแวร์ จำกัด</t>
  </si>
  <si>
    <t>PPIM185017AB</t>
  </si>
  <si>
    <t>บริษัท สามห่วงทองอุตสาหกรรม (ประเทศไทย) จำกัด</t>
  </si>
  <si>
    <t>PPIM185017C4</t>
  </si>
  <si>
    <t>บริษัท เบทาโกรเกษตรอุตสาหกรรม จำกัด</t>
  </si>
  <si>
    <t>PPIM185017CD</t>
  </si>
  <si>
    <t>PPIM185017CF</t>
  </si>
  <si>
    <t>บริษัท เมดีซ กรุ๊ป จำกัด (มหาชน)</t>
  </si>
  <si>
    <t>PPIM185017F3</t>
  </si>
  <si>
    <t>PPIM18501800</t>
  </si>
  <si>
    <t>บริษัท โฮมโปรดักส์ เซ็นเตอร์ จำกัด (มหาชน)</t>
  </si>
  <si>
    <t>PPIM185006DE</t>
  </si>
  <si>
    <t>บริษัท ทาซ่าอินดัสเทรียล จำกัด</t>
  </si>
  <si>
    <t>PPIM18500692</t>
  </si>
  <si>
    <t>บริษัท แมค สเตชั่น จำกัด</t>
  </si>
  <si>
    <t>PPIM18501819</t>
  </si>
  <si>
    <t>มหาวิทยาลัยเทคโนโลยีราชมงคลรัตนโกสินทร์</t>
  </si>
  <si>
    <t>PPIM18501845</t>
  </si>
  <si>
    <t>PPIM18501856</t>
  </si>
  <si>
    <t>บริษัท เอส.พี.อีเล็คทริค อินดัสตรี จำกัด</t>
  </si>
  <si>
    <t>PPIM18500712</t>
  </si>
  <si>
    <t>นายพลชย ปกรณ์ธนัช</t>
  </si>
  <si>
    <t>PPIM18501898</t>
  </si>
  <si>
    <t>สหกรณ์ออมทรัพย์ครูกาญจนบุรี</t>
  </si>
  <si>
    <t>PPIM1850189B</t>
  </si>
  <si>
    <t>บริษัท รัตนากร มารีนฟูดส์ จำกัด</t>
  </si>
  <si>
    <t>PPIM185011B2</t>
  </si>
  <si>
    <t>PPIM185018C4</t>
  </si>
  <si>
    <t>ห้างหุ้นส่วนจำกัด พีเค. ถาดไข่ พลาสติก</t>
  </si>
  <si>
    <t>PPIM18500626</t>
  </si>
  <si>
    <t>บริษัท เอส. อินดัสทรี จำกัด</t>
  </si>
  <si>
    <t>PPIM18501959</t>
  </si>
  <si>
    <t>บริษัท รักดีโฮม จำกัด</t>
  </si>
  <si>
    <t>PPIM18501997</t>
  </si>
  <si>
    <t>บริษัท พระราม 2 พัฒนาปิโตรเลียม จำกัด</t>
  </si>
  <si>
    <t>PPIM18501998</t>
  </si>
  <si>
    <t>PPIM18501999</t>
  </si>
  <si>
    <t>PPIM185019C4</t>
  </si>
  <si>
    <t>PPIM185019C7</t>
  </si>
  <si>
    <t>PPIM185019CB</t>
  </si>
  <si>
    <t>บริษัท อินเด็กซ์ อินเตอร์เฟิร์น จำกัด</t>
  </si>
  <si>
    <t>PPIM185019DF</t>
  </si>
  <si>
    <t>บริาัท สินสุธา จำกัด</t>
  </si>
  <si>
    <t>PPIM185006B6</t>
  </si>
  <si>
    <t>บริษัท วันไทยฟู้ดส์ จำกัด</t>
  </si>
  <si>
    <t>PPIM18501A26</t>
  </si>
  <si>
    <t>บริษัท อีโคเพนท์ จำกัด</t>
  </si>
  <si>
    <t>PPIM185003FB</t>
  </si>
  <si>
    <t>บริษัท เอส.ที.ดี.แคลิเปอร์เบรค จำกัด</t>
  </si>
  <si>
    <t>PPIM18500143</t>
  </si>
  <si>
    <t>บริษัท พี.เอ็น.มารีน ฟู้ดส์โปรดักส์ จำกัด</t>
  </si>
  <si>
    <t>PPIM1850071E</t>
  </si>
  <si>
    <t>PPIM185007C4</t>
  </si>
  <si>
    <t>บริษัท อนันตา ฟาร์ม ๑๑๑ จำกัด</t>
  </si>
  <si>
    <t>PPIM18501AAB</t>
  </si>
  <si>
    <t>บริษัท วินสตาร์ จำกัด</t>
  </si>
  <si>
    <t>PPIM18501ABB</t>
  </si>
  <si>
    <t>บริษัท รีกัล จิวเวลลี่ แมนูแฟคเจอร์ จำกัด</t>
  </si>
  <si>
    <t>PPIM185004E5</t>
  </si>
  <si>
    <t>บริษัท เอส.เค. ฟู้ดส์ (ประเทศไทย) จำกัด (มหาชน)</t>
  </si>
  <si>
    <t>PPIM18501ACE</t>
  </si>
  <si>
    <t>บริษัท อุตสาหกรรมตราอูฐ จำกัด</t>
  </si>
  <si>
    <t>PPIM18501AE7</t>
  </si>
  <si>
    <t>นาย นพคุณ เขียวมีชัย</t>
  </si>
  <si>
    <t>PPIM18501AF7</t>
  </si>
  <si>
    <t>บริษัท สินทรัพย์ไพศาล 1985 จำกัด</t>
  </si>
  <si>
    <t>PPIM185003EF</t>
  </si>
  <si>
    <t>บริษัท เค.เอส.มาชูกิจ จำกัด</t>
  </si>
  <si>
    <t>PPIM18501B41</t>
  </si>
  <si>
    <t>PPIM18501B5A</t>
  </si>
  <si>
    <t>บริษัท พีเอ็มซี เลเบิล แมททีเรียลส์ จำกัด (มหาชน)</t>
  </si>
  <si>
    <t>PPIM1850002D</t>
  </si>
  <si>
    <t>บริษัท ไทยรอแยลฟรอเซนฟู๊ด จำกัด</t>
  </si>
  <si>
    <t>PPIM18501B65</t>
  </si>
  <si>
    <t>PPIM18501B69</t>
  </si>
  <si>
    <t>PPIM18501B7E</t>
  </si>
  <si>
    <t>นาย พลชย ปกรณ์ธนัช</t>
  </si>
  <si>
    <t>PPIM18501BA9</t>
  </si>
  <si>
    <t>บริษัท อาร์ท อินดัสตรี้ รีเสิร์ช จำกัด</t>
  </si>
  <si>
    <t>PPIM18501BAD</t>
  </si>
  <si>
    <t>PPIM18501BCC</t>
  </si>
  <si>
    <t>บริษัท ดีโอดี ไบโอเทค จำกัด (มหาชน)</t>
  </si>
  <si>
    <t>PPIM185009B7</t>
  </si>
  <si>
    <t>บริษัท ที.ที.สหอินเตอร์ จำกัด</t>
  </si>
  <si>
    <t>PPIM18501BE5</t>
  </si>
  <si>
    <t>บริษัท เกรทฮิลล์ จำกัด</t>
  </si>
  <si>
    <t>PPIM18500AE3</t>
  </si>
  <si>
    <t>บริษัท เค พี พี ซัพพอร์ต จำกัด</t>
  </si>
  <si>
    <t>PPIM18501C02</t>
  </si>
  <si>
    <t>บริษัท จิไท จำกัด</t>
  </si>
  <si>
    <t>PPIM18501C12</t>
  </si>
  <si>
    <t>บริษัท รวมใจ โปรดักส์ จำกัด</t>
  </si>
  <si>
    <t>PPIM18501C13</t>
  </si>
  <si>
    <t>PPIM18501C2F</t>
  </si>
  <si>
    <t>PPIM18501C30</t>
  </si>
  <si>
    <t>PPIM18501C36</t>
  </si>
  <si>
    <t>แพรวพิชฌา ชินธรรมาพิทักษ์</t>
  </si>
  <si>
    <t>PPIM18500A1D</t>
  </si>
  <si>
    <t>นางสาวสุภัค อมรสมานกุล</t>
  </si>
  <si>
    <t>PPIM18501C3E</t>
  </si>
  <si>
    <t>PPIM18501C3F</t>
  </si>
  <si>
    <t>PPIM18501C51</t>
  </si>
  <si>
    <t>บริษัท สระกระโจม ปิโตรเลียม จำกัด</t>
  </si>
  <si>
    <t>PPIM18501C54</t>
  </si>
  <si>
    <t>PPIM18501C69</t>
  </si>
  <si>
    <t>PPIM18501C6D</t>
  </si>
  <si>
    <t>บริษัท ข้าว ซี.พี. จำกัด (โรงสีข้าวสุพรรณบุรี)</t>
  </si>
  <si>
    <t>PPIM18500F6C</t>
  </si>
  <si>
    <t>นายพงษ์ชัย วชิรรุ่งเรือง</t>
  </si>
  <si>
    <t>PPIM18501C91</t>
  </si>
  <si>
    <t>บริษัท ดำรงวนิช จำกัด</t>
  </si>
  <si>
    <t>PPIM18501CA6</t>
  </si>
  <si>
    <t>บริษัท เค.อินเตอร์เนชั่นแนล แพคเก็ตจิ้ง จำกัด</t>
  </si>
  <si>
    <t>PPIM18501CAE</t>
  </si>
  <si>
    <t>PPIM18501CBB</t>
  </si>
  <si>
    <t>ห้างหุ้นส่วนจำกัด ผลิตภัณฑ์ เอ.อาร์.</t>
  </si>
  <si>
    <t>PPIM18501CC5</t>
  </si>
  <si>
    <t>PPIM18501CD1</t>
  </si>
  <si>
    <t>PPIM18501CD2</t>
  </si>
  <si>
    <t>บริษัท ไทยพลาสติก รีไซเคิล กรุ๊ป จำกัด</t>
  </si>
  <si>
    <t>PPIM185007BC</t>
  </si>
  <si>
    <t>บริษัท จารุกิจฟีด จำกัด</t>
  </si>
  <si>
    <t>PPIM18501CED</t>
  </si>
  <si>
    <t>CJ-Express</t>
  </si>
  <si>
    <t>PPIM18501CEE</t>
  </si>
  <si>
    <t>cj express</t>
  </si>
  <si>
    <t>PPIM18501CEF</t>
  </si>
  <si>
    <t>บริษัท เจดีฟู้ด จำกัด (มหาชาน)</t>
  </si>
  <si>
    <t>PPIM18501066</t>
  </si>
  <si>
    <t>PPIM18501CFE</t>
  </si>
  <si>
    <t>PPIM18501CFF</t>
  </si>
  <si>
    <t>PPIM18500841</t>
  </si>
  <si>
    <t>PPIM18501D06</t>
  </si>
  <si>
    <t>PPIM18501D09</t>
  </si>
  <si>
    <t>บริษัท ทรู มูฟ เอช ยูนิเวอร์แซล คอมมิวนิเคชัน จำกัด</t>
  </si>
  <si>
    <t>PPIM18501D0A</t>
  </si>
  <si>
    <t>PPIM18501D0F</t>
  </si>
  <si>
    <t>PPIM18501D11</t>
  </si>
  <si>
    <t>PPIM18501D14</t>
  </si>
  <si>
    <t>PPIM18501D16</t>
  </si>
  <si>
    <t>PPIM18501D18</t>
  </si>
  <si>
    <t>PPIM18501D1B</t>
  </si>
  <si>
    <t>PPIM18501D1F</t>
  </si>
  <si>
    <t>PPIM18501D20</t>
  </si>
  <si>
    <t>ห้างหุ้นส่วนจำกัด ออสตัน</t>
  </si>
  <si>
    <t>PPIM18501D23</t>
  </si>
  <si>
    <t>PPIM18501D24</t>
  </si>
  <si>
    <t>PPIM18500723</t>
  </si>
  <si>
    <t>ห้างหุ้นส่วนจำกัด ศรีเมือง 12490</t>
  </si>
  <si>
    <t>PPIM18501D39</t>
  </si>
  <si>
    <t>บริษัท ฮีโร่ แชมเปี้ยน ฟู้ด จำกัด</t>
  </si>
  <si>
    <t>PPIM18501D65</t>
  </si>
  <si>
    <t>PPIM18501D76</t>
  </si>
  <si>
    <t>PPIM18501D77</t>
  </si>
  <si>
    <t>PPIM18501D79</t>
  </si>
  <si>
    <t>PPIM18501D7D</t>
  </si>
  <si>
    <t>PPIM18501D80</t>
  </si>
  <si>
    <t>PPIM18501D85</t>
  </si>
  <si>
    <t>PPIM18501D92</t>
  </si>
  <si>
    <t>PPIM18501D94</t>
  </si>
  <si>
    <t>PPIM18501D97</t>
  </si>
  <si>
    <t>PPIM18501DA4</t>
  </si>
  <si>
    <t>นายยุทธวีร์ นนทประสาท</t>
  </si>
  <si>
    <t>PPIM18501DAD</t>
  </si>
  <si>
    <t>PPIM18501DB3</t>
  </si>
  <si>
    <t>PPIM18501DEF</t>
  </si>
  <si>
    <t>PPIM18501DF9</t>
  </si>
  <si>
    <t>PPIM18501DFD</t>
  </si>
  <si>
    <t>PPIM18501E00</t>
  </si>
  <si>
    <t>PPIM18501E14</t>
  </si>
  <si>
    <t>PPIM185012C0</t>
  </si>
  <si>
    <t>บริษัท ที.ซี.ยูเนียน อโกรเทค จำกัด</t>
  </si>
  <si>
    <t>PPIM18500E5E</t>
  </si>
  <si>
    <t>บริษัท ฟูจิเมททอล จำกัด</t>
  </si>
  <si>
    <t>PPIM18501E1E</t>
  </si>
  <si>
    <t>นายณภัทร ศรีธนาลาภ</t>
  </si>
  <si>
    <t>PPIM18501E33</t>
  </si>
  <si>
    <t>นาย รังสรรค์ เจียระนัย</t>
  </si>
  <si>
    <t>PPIM18501E4F</t>
  </si>
  <si>
    <t>บริษัท เติมเต็มลิตร จำกัด</t>
  </si>
  <si>
    <t>PPIM18501E5F</t>
  </si>
  <si>
    <t>PPIM18501E6C</t>
  </si>
  <si>
    <t>บริษัท เค.ไอ.เอ็น. คอยล์เซ็นเตอร์ จำกัด</t>
  </si>
  <si>
    <t>PPIM18501E6E</t>
  </si>
  <si>
    <t>PPIM18501E7F</t>
  </si>
  <si>
    <t>นางสาว ทองชิต แท่นนิล</t>
  </si>
  <si>
    <t>PPIM18501EBA</t>
  </si>
  <si>
    <t>PPIM1850133C</t>
  </si>
  <si>
    <t>บริษัท ช้างอานันท์ จำกัด</t>
  </si>
  <si>
    <t>PPIM185013CB</t>
  </si>
  <si>
    <t>PPIM18501F70</t>
  </si>
  <si>
    <t>PPIM18500CBA</t>
  </si>
  <si>
    <t>PPIM18501781</t>
  </si>
  <si>
    <t>PPIM18501F8B</t>
  </si>
  <si>
    <t>PPIM18501892</t>
  </si>
  <si>
    <t>บริษัท พี.เอ็น.พริ้นท์ แอนด์ เเพ็ค (ประเทศไทย) จำกัด</t>
  </si>
  <si>
    <t>PPIM18501F9A</t>
  </si>
  <si>
    <t>PPIM18500650</t>
  </si>
  <si>
    <t>นายทศพร ศรีหิรัญพัลลภ</t>
  </si>
  <si>
    <t>PPIM18501FC3</t>
  </si>
  <si>
    <t>บริษัท ศรีวิชัยเวชวิวัฒน์ จำกัด (มหาชน)</t>
  </si>
  <si>
    <t>PPIM18501FCD</t>
  </si>
  <si>
    <t>บริษัท เอสซีจี ซิเมนต์-ผลิตภัณฑ์ก่อสร้าง จำกัด (สำนักงานภาคตะวันตก)</t>
  </si>
  <si>
    <t>PPIM185017A1</t>
  </si>
  <si>
    <t>บริษัท เอ็นแอล ดีเวลลอปเมนต์ จำกัด (มหาชน)</t>
  </si>
  <si>
    <t>PPIM185006B7</t>
  </si>
  <si>
    <t>PPIM18501FF5</t>
  </si>
  <si>
    <t>PPIM1850054B</t>
  </si>
  <si>
    <t>บริษัท โกดังพัฒนะ จำกัด</t>
  </si>
  <si>
    <t>PPIM18502021</t>
  </si>
  <si>
    <t>PPIM18502027</t>
  </si>
  <si>
    <t>บริษัท ยูนิเวอร์แซล แพคเกจจิ้ง อินเตอร์เนชั่นแนล จำกัด</t>
  </si>
  <si>
    <t>PPIM1850202B</t>
  </si>
  <si>
    <t>PPIM1850203D</t>
  </si>
  <si>
    <t>PPIM18502042</t>
  </si>
  <si>
    <t>PPIM185014A3</t>
  </si>
  <si>
    <t>บริษัท เค.เอส.เพอร์เฟคชั่น อินดัสตรี้ส จำกัด</t>
  </si>
  <si>
    <t>PPIM18502060</t>
  </si>
  <si>
    <t>บริษัท ซิสเต็ม เวิร์ค จำกัด</t>
  </si>
  <si>
    <t>PPIM185013A5</t>
  </si>
  <si>
    <t>บริษัท ฟู้ดสตาร์ จำกัด</t>
  </si>
  <si>
    <t>PPIM185013AD</t>
  </si>
  <si>
    <t>PPIM185013B2</t>
  </si>
  <si>
    <t>PPIM18501576</t>
  </si>
  <si>
    <t>บริษัท เพ็ทนานาภัณฑ์ จำกัด</t>
  </si>
  <si>
    <t>PPIM18502068</t>
  </si>
  <si>
    <t>PPIM1850160C</t>
  </si>
  <si>
    <t>บริษัท อาร์.ยู.เอ็ม. รวม บอดี้ จำกัด</t>
  </si>
  <si>
    <t>PPIM185020C3</t>
  </si>
  <si>
    <t>บริษัท สินสุธา จำกัด</t>
  </si>
  <si>
    <t>PPIM185020D2</t>
  </si>
  <si>
    <t>PPIM185020E4</t>
  </si>
  <si>
    <t>บริษัท ดี.เอ็ม.ที. คอนเทนเนอร์ จำกัด</t>
  </si>
  <si>
    <t>PPIM18501395</t>
  </si>
  <si>
    <t>PPIM185013A4</t>
  </si>
  <si>
    <t>PPIM18502111</t>
  </si>
  <si>
    <t>PPIM18502190</t>
  </si>
  <si>
    <t>บริษัท อุตสาหกรรมผลิตยางไทยสิน จำกัด</t>
  </si>
  <si>
    <t>PPIM1850219E</t>
  </si>
  <si>
    <t>PPIM185019CF</t>
  </si>
  <si>
    <t>PPIM185007A6</t>
  </si>
  <si>
    <t>บริษัท เบิร์ด แอนด์ บูม เอ็นจิเนียริ่ง จำกัด</t>
  </si>
  <si>
    <t>PPIM185021A5</t>
  </si>
  <si>
    <t>บริษัท อัญญาออยล์ จำกัด</t>
  </si>
  <si>
    <t>PPIM185021A7</t>
  </si>
  <si>
    <t>บรฺษัท สมาร์ท เทค อินดัสตรี่ จำกัด</t>
  </si>
  <si>
    <t>PPIM185021A8</t>
  </si>
  <si>
    <t>บริษัท ซีพี ออลล์ จำกัด</t>
  </si>
  <si>
    <t>PPIM1850173D</t>
  </si>
  <si>
    <t>บริษัท ธนาคาร ยูโอบี จำกัด (มหาชน) สาขานครปฐม</t>
  </si>
  <si>
    <t>PPIM185021AF</t>
  </si>
  <si>
    <t>PPIM185021F3</t>
  </si>
  <si>
    <t>ห้างหุ้นส่วนจำกัด ป.จึงสง่าบริการ</t>
  </si>
  <si>
    <t>PPIM185021F6</t>
  </si>
  <si>
    <t>PPIM1850221B</t>
  </si>
  <si>
    <t>PPIM18502239</t>
  </si>
  <si>
    <t>บริษัท ไม้ช้างทอง เฟอร์นิเจอร์ จำกัด</t>
  </si>
  <si>
    <t>PPIM1850224B</t>
  </si>
  <si>
    <t>บริษัท เอส.พี.อีดัสตรี จำกัด</t>
  </si>
  <si>
    <t>PPIM1850224C</t>
  </si>
  <si>
    <t>PPIM18502250</t>
  </si>
  <si>
    <t>PPIM18502270</t>
  </si>
  <si>
    <t>นายธนกร มีปัญญา</t>
  </si>
  <si>
    <t>PPIM1850227E</t>
  </si>
  <si>
    <t>PPIM185022C9</t>
  </si>
  <si>
    <t>บริษัท เอ๊กเซลเลนท์ เท็กซ์ไทล์ จำกัด</t>
  </si>
  <si>
    <t>PPIM185022D5</t>
  </si>
  <si>
    <t>PPIM185022D6</t>
  </si>
  <si>
    <t>บริษัท รีกัลเทรดเดอร์ จำกัด</t>
  </si>
  <si>
    <t>PPIM185019DB</t>
  </si>
  <si>
    <t>PPIM185022E4</t>
  </si>
  <si>
    <t>PPIM185022E7</t>
  </si>
  <si>
    <t>PPIM185022FA</t>
  </si>
  <si>
    <t>PPIM185022FF</t>
  </si>
  <si>
    <t>PPIM1850177B</t>
  </si>
  <si>
    <t>PPIM1850230F</t>
  </si>
  <si>
    <t>PPIM18502310</t>
  </si>
  <si>
    <t>PPIM18502312</t>
  </si>
  <si>
    <t>PPIM18502318</t>
  </si>
  <si>
    <t>PPIM18501AE0</t>
  </si>
  <si>
    <t>บริษัท ยูเนี่ยนโพลีเมอร์ จำกัด</t>
  </si>
  <si>
    <t>PPIM18502319</t>
  </si>
  <si>
    <t>PPIM1850231C</t>
  </si>
  <si>
    <t>PPIM1850231E</t>
  </si>
  <si>
    <t>PPIM18502320</t>
  </si>
  <si>
    <t>PPIM18502321</t>
  </si>
  <si>
    <t>PPIM18502326</t>
  </si>
  <si>
    <t>PPIM18502328</t>
  </si>
  <si>
    <t>PPIM1850232A</t>
  </si>
  <si>
    <t>PPIM1850232C</t>
  </si>
  <si>
    <t>PPIM18502350</t>
  </si>
  <si>
    <t>PPIM185015F2</t>
  </si>
  <si>
    <t>PPIM18502353</t>
  </si>
  <si>
    <t>PPIM18501905</t>
  </si>
  <si>
    <t>บริษัท บางกอก พีวีซี(1996) จำกัด</t>
  </si>
  <si>
    <t>PPIM18502356</t>
  </si>
  <si>
    <t>cj express group</t>
  </si>
  <si>
    <t>PPIM18502359</t>
  </si>
  <si>
    <t>CJ Express Group</t>
  </si>
  <si>
    <t>PPIM1850235D</t>
  </si>
  <si>
    <t>PPIM18502360</t>
  </si>
  <si>
    <t>PPIM18502365</t>
  </si>
  <si>
    <t>PPIM18501E4B</t>
  </si>
  <si>
    <t>PPIM18502371</t>
  </si>
  <si>
    <t>PPIM18502373</t>
  </si>
  <si>
    <t>PPIM18501C3D</t>
  </si>
  <si>
    <t>PPIM1850237F</t>
  </si>
  <si>
    <t>PPIM18502380</t>
  </si>
  <si>
    <t>PPIM18502381</t>
  </si>
  <si>
    <t>บรัษัท ซี.เจ. เอ็กซ์เพรส กรุ๊ป จำกัด</t>
  </si>
  <si>
    <t>PPIM18502385</t>
  </si>
  <si>
    <t>PPIM18502387</t>
  </si>
  <si>
    <t>PPIM18501F0B</t>
  </si>
  <si>
    <t>PPIM185023A8</t>
  </si>
  <si>
    <t>PPIM185023CC</t>
  </si>
  <si>
    <t>บริษัท เอส.บี. - ซีร่า จำกัด</t>
  </si>
  <si>
    <t>PPIM185023CE</t>
  </si>
  <si>
    <t>PPIM185023D3</t>
  </si>
  <si>
    <t>PPIM185023D7</t>
  </si>
  <si>
    <t>PPIM18500368</t>
  </si>
  <si>
    <t>โรงพยาบาลพุทธมณฑล</t>
  </si>
  <si>
    <t>PPIM18500C6D</t>
  </si>
  <si>
    <t>นาย ณัฐพล ลีลากนก</t>
  </si>
  <si>
    <t>PPIM18501108</t>
  </si>
  <si>
    <t>บริษัท รัตนโลหะภัณฑ์ จำกัด</t>
  </si>
  <si>
    <t>PPIM1850200C</t>
  </si>
  <si>
    <t>บริษัท เฟิ่งหยาง กรุ๊ป จำกัด</t>
  </si>
  <si>
    <t>PPIM18501FC2</t>
  </si>
  <si>
    <t>PPIM18501D08</t>
  </si>
  <si>
    <t>PPIM1850246C</t>
  </si>
  <si>
    <t>บริษัท สยามโกลบอลเฮ้าส์ จำกัด (มหาชน) สาขากระทุ่มแบน</t>
  </si>
  <si>
    <t>PPIM185024A3</t>
  </si>
  <si>
    <t>บริษัท สยามโกลบอลเฮ้าส์ จำกัด (มหาชน) สาขากาญจนบุรี</t>
  </si>
  <si>
    <t>PPIM185024D3</t>
  </si>
  <si>
    <t>PPIM185024D7</t>
  </si>
  <si>
    <t>นายสมชาติ ภูมิชัยสุวรรณ์</t>
  </si>
  <si>
    <t>PPIM185024FF</t>
  </si>
  <si>
    <t>PPIM1850250F</t>
  </si>
  <si>
    <t>บริษัท ไทยยูเนี่ยน กรุ๊ป จำกัด</t>
  </si>
  <si>
    <t>PPIM1850253E</t>
  </si>
  <si>
    <t>บริษัท เอส.ที.วี.อิมปอร์ต เอ็กปอร์ต จำกัด</t>
  </si>
  <si>
    <t>PPIM18502542</t>
  </si>
  <si>
    <t>PPIM18502552</t>
  </si>
  <si>
    <t>PPIM18502568</t>
  </si>
  <si>
    <t>PPIM18500217</t>
  </si>
  <si>
    <t>บริษัท ชัยวารีมารีนโปรดัคส์ จำกัด</t>
  </si>
  <si>
    <t>PPIM18502574</t>
  </si>
  <si>
    <t>บริษัท เจริญเศรษฐกิจเทรดดิ้ง จำกัด</t>
  </si>
  <si>
    <t>PPIM185025A5</t>
  </si>
  <si>
    <t>บริษัท บี เจ เอส เอ็นจิเนียริ่ง จำกัด</t>
  </si>
  <si>
    <t>PPIM185025B5</t>
  </si>
  <si>
    <t>บริษัท อีซูซุตั้งเซียฮวดนครปฐม จำกัด</t>
  </si>
  <si>
    <t>PPIM185025E4</t>
  </si>
  <si>
    <t>บริษัท โพลีพลัส อินเตอร์เทรด จำกัด</t>
  </si>
  <si>
    <t>PPIM185025E5</t>
  </si>
  <si>
    <t>ห้างหุ้นส่วนจำกัด บางกอก พี.วี.ซี.</t>
  </si>
  <si>
    <t>PPIM18500833</t>
  </si>
  <si>
    <t>บริษัท พลัสแพคเกจจิ้ง จำกัด</t>
  </si>
  <si>
    <t>PPIM18501059</t>
  </si>
  <si>
    <t>บริษัท อุตสาหกรรมน้ำแข็ง ทวีวงษ์ จำกัด</t>
  </si>
  <si>
    <t>PPIM18501D87</t>
  </si>
  <si>
    <t>PPIM1850261A</t>
  </si>
  <si>
    <t>PPIM1850262A</t>
  </si>
  <si>
    <t>PPIM1850262B</t>
  </si>
  <si>
    <t>PPIM18502632</t>
  </si>
  <si>
    <t>PPIM18500583</t>
  </si>
  <si>
    <t>บริษัท สยาม อะโกร-ฟิช อินเตอร์เนชั่นแนล กรุ๊ป จำกัด</t>
  </si>
  <si>
    <t>PPIM1850264D</t>
  </si>
  <si>
    <t>บริษัท เฮอริเทจ สแน็ค แอนด์ ฟู้ด จำกัด</t>
  </si>
  <si>
    <t>PPIM18502664</t>
  </si>
  <si>
    <t>PPIM18502669</t>
  </si>
  <si>
    <t>PPIM1850107C</t>
  </si>
  <si>
    <t>บริษัท ฮั่วเซ่งฮง เกรทฟู้ดส์พลัส จำกัด</t>
  </si>
  <si>
    <t>PPIM185026A6</t>
  </si>
  <si>
    <t>PPIM185026B7</t>
  </si>
  <si>
    <t>PPIM185026EE</t>
  </si>
  <si>
    <t>PPIM185026F5</t>
  </si>
  <si>
    <t>PPIM18500B1D</t>
  </si>
  <si>
    <t>บริษัท ยู.เอส.ที. สำเภาทอง จำกัด</t>
  </si>
  <si>
    <t>PPIM18502700</t>
  </si>
  <si>
    <t>PPIM18501A73</t>
  </si>
  <si>
    <t>นาย นเรศ แซ่ตั้ง</t>
  </si>
  <si>
    <t>PPIM18502716</t>
  </si>
  <si>
    <t>PPIM18502719</t>
  </si>
  <si>
    <t>PPIM1850271C</t>
  </si>
  <si>
    <t>PPIM18502721</t>
  </si>
  <si>
    <t>PPIM1850225B</t>
  </si>
  <si>
    <t>นาย ชัยณรงค์ ภู่วาว</t>
  </si>
  <si>
    <t>PPIM1850272C</t>
  </si>
  <si>
    <t>PPIM1850275D</t>
  </si>
  <si>
    <t>PPIM185020FC</t>
  </si>
  <si>
    <t>บริษัท เบสท์ ซัพพลาย 2015 จำกัด</t>
  </si>
  <si>
    <t>PPIM18502769</t>
  </si>
  <si>
    <t>PPIM18501062</t>
  </si>
  <si>
    <t>บริษัท ทวีวงษ์การเกษตร จำกัด</t>
  </si>
  <si>
    <t>PPIM1850278C</t>
  </si>
  <si>
    <t>PPIM185027B6</t>
  </si>
  <si>
    <t>PPIM185027C3</t>
  </si>
  <si>
    <t>PPIM1850280C</t>
  </si>
  <si>
    <t>บริษัท เป็ดเจริญรุ่งเรือง ฟาร์ม จำกัด</t>
  </si>
  <si>
    <t>PPIM18502818</t>
  </si>
  <si>
    <t>PPIM1850281B</t>
  </si>
  <si>
    <t>PPIM18502835</t>
  </si>
  <si>
    <t>บริษัท เทพคินโช ฟูดส์ จำกัด</t>
  </si>
  <si>
    <t>PPIM18502837</t>
  </si>
  <si>
    <t>PPIM1850237B</t>
  </si>
  <si>
    <t>บริษัท เอส เค ซี (ไทยแลนด์) จำกัด</t>
  </si>
  <si>
    <t>PPIM1850284A</t>
  </si>
  <si>
    <t>PPIM185022DA</t>
  </si>
  <si>
    <t>PPIM18502867</t>
  </si>
  <si>
    <t>นางสาว ชนิดาภา บวรเกียรติ</t>
  </si>
  <si>
    <t>PPIM1850287D</t>
  </si>
  <si>
    <t>บริษัท ปราการอุตสาหกรรมบรรจุภัณฑ์ จำกัด</t>
  </si>
  <si>
    <t>PPIM18502882</t>
  </si>
  <si>
    <t>บริษัท เอเซียคอมแพ็ค จำกัด</t>
  </si>
  <si>
    <t>PPIM18502887</t>
  </si>
  <si>
    <t>PPIM18502889</t>
  </si>
  <si>
    <t>PPIM1850204E</t>
  </si>
  <si>
    <t>บริษัท ซีเอส ฟาร์ม สุพรรณบุรี</t>
  </si>
  <si>
    <t>PPIM1850288B</t>
  </si>
  <si>
    <t>บริษัท โรบินสัน จำกัด (มหาชน)</t>
  </si>
  <si>
    <t>PPIM1850288D</t>
  </si>
  <si>
    <t>PPIM185011AF</t>
  </si>
  <si>
    <t>บริษัท คอมแพค อินดัสทรี้ส์ จำกัด</t>
  </si>
  <si>
    <t>PPIM1850289C</t>
  </si>
  <si>
    <t>บริษัท หยั่น หว่อ หยุ่น คอร์ปอเรชั่น กรุ๊ป จำกัด</t>
  </si>
  <si>
    <t>PPIM185028A4</t>
  </si>
  <si>
    <t>PPIM185028A8</t>
  </si>
  <si>
    <t>PPIM185028BB</t>
  </si>
  <si>
    <t>บริษัท เอส. เค. ฟู้ดส์ (ประเทศไทย) จำกัด (มหาชน)</t>
  </si>
  <si>
    <t>PPIM185028CC</t>
  </si>
  <si>
    <t>PPIM18501043</t>
  </si>
  <si>
    <t>ห้างหุ้นส่วนจำกัด มายเลิศ</t>
  </si>
  <si>
    <t>PPIM18500E08</t>
  </si>
  <si>
    <t>บริษัทวิสดอม ดีเวลลอปเม้นท์ จำกัด</t>
  </si>
  <si>
    <t>PPIM185028ED</t>
  </si>
  <si>
    <t>PPIM18501A8C</t>
  </si>
  <si>
    <t>น.ส. ปรัชญา ฉายสุวรรณ์</t>
  </si>
  <si>
    <t>PPIM18502901</t>
  </si>
  <si>
    <t>นางสาวจันทรา สิริจรรยาพงศ์</t>
  </si>
  <si>
    <t>PPIM18502905</t>
  </si>
  <si>
    <t>บริษัท เจ.พี.เอ็น.นิตติ้ง จำกัด</t>
  </si>
  <si>
    <t>PPIM18502919</t>
  </si>
  <si>
    <t>PPIM18500370</t>
  </si>
  <si>
    <t>โรงพยาบาลนครชัยศรี</t>
  </si>
  <si>
    <t>PPIM18501D8E</t>
  </si>
  <si>
    <t>PPIM18501847</t>
  </si>
  <si>
    <t>บริษัท เจริญสุขเภสัชฮุ่นชิว จำกัด</t>
  </si>
  <si>
    <t>PPIM18502949</t>
  </si>
  <si>
    <t>PPIM18502954</t>
  </si>
  <si>
    <t>PPIM18501A4A</t>
  </si>
  <si>
    <t>บริษัท ไทย สติ๊ค จำกัด</t>
  </si>
  <si>
    <t>PPIM185024FD</t>
  </si>
  <si>
    <t>PPIM185024FE</t>
  </si>
  <si>
    <t>PPIM1850298E</t>
  </si>
  <si>
    <t>บริษัท ฮีโน่กาญจนบุรี จำกัด</t>
  </si>
  <si>
    <t>PPIM1850298F</t>
  </si>
  <si>
    <t>PPIM18502996</t>
  </si>
  <si>
    <t>มหาวชิราลงกรณบาลีเถรวาทราชวิทยาลัย</t>
  </si>
  <si>
    <t>PPIM185029AE</t>
  </si>
  <si>
    <t>PPIM185029AF</t>
  </si>
  <si>
    <t>PPIM185029B3</t>
  </si>
  <si>
    <t>โรงพยาบาลมะการักษ์</t>
  </si>
  <si>
    <t>PPIM185029BA</t>
  </si>
  <si>
    <t>นางสาวรุ่งทิวา สุวรรณดิษฐ</t>
  </si>
  <si>
    <t>PPIM18501EFF</t>
  </si>
  <si>
    <t>บริษัท มาลีกรุ๊ป จำกัด (มหาชน)</t>
  </si>
  <si>
    <t>PPIM185029C7</t>
  </si>
  <si>
    <t>PPIM185029C8</t>
  </si>
  <si>
    <t>บริษัท เจ พี เปเปอร์ จำกัด</t>
  </si>
  <si>
    <t>PPIM185029D5</t>
  </si>
  <si>
    <t>บริษัท พีเอสพี ป.แสงทองการพิมพ์ จำกัด</t>
  </si>
  <si>
    <t>PPIM185029D9</t>
  </si>
  <si>
    <t>PPIM18502210</t>
  </si>
  <si>
    <t>PPIM185029E4</t>
  </si>
  <si>
    <t>วัดเดิมบาง</t>
  </si>
  <si>
    <t>PPIM185029E9</t>
  </si>
  <si>
    <t>PPIM185029EB</t>
  </si>
  <si>
    <t>PPIM185029EC</t>
  </si>
  <si>
    <t>PPIM185029F0</t>
  </si>
  <si>
    <t>PPIM18502A08</t>
  </si>
  <si>
    <t>PPIM18502A1C</t>
  </si>
  <si>
    <t>บริษัท ไดนาสตี้ เซรามิค จำกัด (มหาชน) สาขาสุพรรณบุรี</t>
  </si>
  <si>
    <t>PPIM18502A28</t>
  </si>
  <si>
    <t>PPIM18502A2C</t>
  </si>
  <si>
    <t>PPIM18502A2E</t>
  </si>
  <si>
    <t>PPIM18502A35</t>
  </si>
  <si>
    <t>นายสุวัจชัย ฉั่วศิริพร</t>
  </si>
  <si>
    <t>PPIM18502A65</t>
  </si>
  <si>
    <t>บริษัท เอช.เอส.เอช จิวเวลรี่ จำกัด</t>
  </si>
  <si>
    <t>PPIM18502A6A</t>
  </si>
  <si>
    <t>บริษัท เอเอ็มเจกรุ๊ป จำกัด</t>
  </si>
  <si>
    <t>PPIM18502A78</t>
  </si>
  <si>
    <t>PPIM18502A8A</t>
  </si>
  <si>
    <t>นายสมัย จุ้ยเจริญ</t>
  </si>
  <si>
    <t>PPIM18502A9D</t>
  </si>
  <si>
    <t>นางสาวพรรณพิลาส เหมือนจันทร์เชย</t>
  </si>
  <si>
    <t>PPIM185022F8</t>
  </si>
  <si>
    <t>PPIM18502AA7</t>
  </si>
  <si>
    <t>PPIM18502ACB</t>
  </si>
  <si>
    <t>PPIM18502AD1</t>
  </si>
  <si>
    <t>บริษัท นันทา เอสเตท จำกัด</t>
  </si>
  <si>
    <t>PPIM18502492</t>
  </si>
  <si>
    <t>นาย สุวัฒน์ จันทร์พนอรักษ์</t>
  </si>
  <si>
    <t>PPIM18502AFB</t>
  </si>
  <si>
    <t>PPIM18502B06</t>
  </si>
  <si>
    <t>PPIM18502B1E</t>
  </si>
  <si>
    <t>นาย ปฐมาพัฒน์ พสิษฐ์ธรากูล</t>
  </si>
  <si>
    <t>PPIM18502B2A</t>
  </si>
  <si>
    <t>PPIM18502B5F</t>
  </si>
  <si>
    <t>ห้างหุ้นส่วนจำกัด โรงสีข้าวชัยถาวรพันธุ์</t>
  </si>
  <si>
    <t>PPIM18502B62</t>
  </si>
  <si>
    <t>PPIM18502B72</t>
  </si>
  <si>
    <t>PPIM18502B87</t>
  </si>
  <si>
    <t>ขจรศักดิ์ สุธีดวงสมร</t>
  </si>
  <si>
    <t>PPIM18502B91</t>
  </si>
  <si>
    <t>PPIM18502B95</t>
  </si>
  <si>
    <t>PPIM18502B96</t>
  </si>
  <si>
    <t>PPIM18502B99</t>
  </si>
  <si>
    <t>บริษัท สหมหาชัยขนส่ง จำกัด</t>
  </si>
  <si>
    <t>PPIM18502B9A</t>
  </si>
  <si>
    <t>นายอนุวัฒน์ ทรัพย์อุดมมาก</t>
  </si>
  <si>
    <t>PPIM185023E7</t>
  </si>
  <si>
    <t>PPIM18502BD5</t>
  </si>
  <si>
    <t>บริษัทจีเอสอินเตอร์ กรุ๊ป จำกัด</t>
  </si>
  <si>
    <t>PPIM18502BDE</t>
  </si>
  <si>
    <t>PPIM18502BE8</t>
  </si>
  <si>
    <t>บริษัท ไอ สแตนเลส สตีล จำกัด</t>
  </si>
  <si>
    <t>PPIM18502BE9</t>
  </si>
  <si>
    <t>PPIM18502BFC</t>
  </si>
  <si>
    <t>PPIM1850233C</t>
  </si>
  <si>
    <t>PPIM18502C0C</t>
  </si>
  <si>
    <t>PPIM1850220B</t>
  </si>
  <si>
    <t>PPIM18502C30</t>
  </si>
  <si>
    <t>PPIM18502C32</t>
  </si>
  <si>
    <t>PPIM185023D1</t>
  </si>
  <si>
    <t>PPIM18502C54</t>
  </si>
  <si>
    <t>บริษัท ไทย แคปปิตอล พลาสท์ จำกัด</t>
  </si>
  <si>
    <t>PPIM18502C57</t>
  </si>
  <si>
    <t>PPIM18502C6D</t>
  </si>
  <si>
    <t>บริษัท แอสเซท พลัส พริ้นท์ติ้ง จำกัด</t>
  </si>
  <si>
    <t>PPIM18502C70</t>
  </si>
  <si>
    <t>PPIM18502C73</t>
  </si>
  <si>
    <t>PPIM18502C7E</t>
  </si>
  <si>
    <t>PPIM1850238A</t>
  </si>
  <si>
    <t>PPIM18501931</t>
  </si>
  <si>
    <t>บริษัท พีเอ็ม โค้ทติ้ง จำกัด</t>
  </si>
  <si>
    <t>PPIM18502CC8</t>
  </si>
  <si>
    <t>นายศุภวิทย์ ธุระเจริญพานิช</t>
  </si>
  <si>
    <t>PPIM18502CD5</t>
  </si>
  <si>
    <t>PPIM18502CF2</t>
  </si>
  <si>
    <t>บริษัท ซีพี ออลล์ จำกัด (มหาชน) สาขา พุทธมณฑลสาย 5</t>
  </si>
  <si>
    <t>PPIM18502531</t>
  </si>
  <si>
    <t>PPIM18502D15</t>
  </si>
  <si>
    <t>PPIM18502118</t>
  </si>
  <si>
    <t>PPIM18502D48</t>
  </si>
  <si>
    <t>PPIM185023E0</t>
  </si>
  <si>
    <t>PPIM18502D77</t>
  </si>
  <si>
    <t>PPIM18502D83</t>
  </si>
  <si>
    <t>บริษัท ไทยยูเนี่ยนสกรูน็อต</t>
  </si>
  <si>
    <t>PPIM18502D88</t>
  </si>
  <si>
    <t>บริษัท มงคลไพศาลโพลีพลาส จำกัด</t>
  </si>
  <si>
    <t>PPIM18502897</t>
  </si>
  <si>
    <t>บริษัท โรงงานผลิตภัณฑ์อาหารไทย จำกัด</t>
  </si>
  <si>
    <t>PPIM18502D92</t>
  </si>
  <si>
    <t>PPIM18502404</t>
  </si>
  <si>
    <t>PPIM1850243C</t>
  </si>
  <si>
    <t>PPIM18502DD0</t>
  </si>
  <si>
    <t>PPIM18502E11</t>
  </si>
  <si>
    <t>บริษัท โมชิ โมชิ รีเทล คอร์ปอเรชั่น จำกัด (มหาชน)</t>
  </si>
  <si>
    <t>PPIM18502E33</t>
  </si>
  <si>
    <t>PPIM18502E3A</t>
  </si>
  <si>
    <t>PPIM18502EA9</t>
  </si>
  <si>
    <t>PPIM185025D0</t>
  </si>
  <si>
    <t>PPIM18500715</t>
  </si>
  <si>
    <t>บริษัท เอส.ที.รับเบอร์ แฟคตอรี่ จำกัด</t>
  </si>
  <si>
    <t>PPIM18502ED6</t>
  </si>
  <si>
    <t>บริษัท อาร์ เอส ฟูดส์เทค (ประเทศไทย) จำกัด</t>
  </si>
  <si>
    <t>PPIM18502613</t>
  </si>
  <si>
    <t>PPIM1850203F</t>
  </si>
  <si>
    <t>PPIM18502F41</t>
  </si>
  <si>
    <t>PPIM18502F4E</t>
  </si>
  <si>
    <t>บริษัท โตโยต้ากาญจนบุรี 1995 ผู้จำหน่ายโตโยต้า จำกัด</t>
  </si>
  <si>
    <t>PPIM18502F62</t>
  </si>
  <si>
    <t>PPIM18502F64</t>
  </si>
  <si>
    <t>PPIM18502F8E</t>
  </si>
  <si>
    <t>นายกิตติ ปรีชากร</t>
  </si>
  <si>
    <t>PPIM18502F99</t>
  </si>
  <si>
    <t>PPIM18502FBC</t>
  </si>
  <si>
    <t>PPIM18502FE6</t>
  </si>
  <si>
    <t>PPIM18502FFB</t>
  </si>
  <si>
    <t>PPIM1850300D</t>
  </si>
  <si>
    <t>ห้างหุ้นส่วน จำกัด พีเค. ถาดไข่ พลาสติก</t>
  </si>
  <si>
    <t>PPIM185024CA</t>
  </si>
  <si>
    <t>PPIM18503017</t>
  </si>
  <si>
    <t>นายวรพันธ์ จงจริงวงศ์</t>
  </si>
  <si>
    <t>PPIM1850302B</t>
  </si>
  <si>
    <t>PPIM18503039</t>
  </si>
  <si>
    <t>PPIM185013B4</t>
  </si>
  <si>
    <t>บริษัท เจแอลคิทเช่นแวร์ จำกัด</t>
  </si>
  <si>
    <t>PPIM1850304F</t>
  </si>
  <si>
    <t>บริษัท ที.ซี.เทคโนโลยี แอนด์ คอนซูมเมอร์</t>
  </si>
  <si>
    <t>PPIM1850305D</t>
  </si>
  <si>
    <t>พระครูเกษมกาญจนสิทธิ์(ศักดิ์ดา อินทนชิต)</t>
  </si>
  <si>
    <t>PPIM18503066</t>
  </si>
  <si>
    <t>บริษัท เบตเตอร์ ซิตี้ จำกัด</t>
  </si>
  <si>
    <t>PPIM1850308D</t>
  </si>
  <si>
    <t>บริษัท เจ.พี. ห้องเย็น จำกัด</t>
  </si>
  <si>
    <t>PPIM18502000</t>
  </si>
  <si>
    <t>บริษัท โดงยูน กราเวีย (กรุงเทพฯ) จำกัด</t>
  </si>
  <si>
    <t>PPIM185030DF</t>
  </si>
  <si>
    <t>PPIM185030E0</t>
  </si>
  <si>
    <t>บริษัท เอก-ชัย ดีสทริบิวชั่น ซิสเทม จำกัด</t>
  </si>
  <si>
    <t>PPIM18503100</t>
  </si>
  <si>
    <t>นางสาวกุลภัสสรณ์ อยู่สุข</t>
  </si>
  <si>
    <t>PPIM18503112</t>
  </si>
  <si>
    <t>PPIM18503116</t>
  </si>
  <si>
    <t>บริษัท รีเฟอร์เนชั่นแนล ซีเอ จำกัด</t>
  </si>
  <si>
    <t>PPIM18503133</t>
  </si>
  <si>
    <t>PPIM18503148</t>
  </si>
  <si>
    <t>PPIM1850314C</t>
  </si>
  <si>
    <t>บริษัท ธนานันท์คอนกรีต จำกัด</t>
  </si>
  <si>
    <t>PPIM18503167</t>
  </si>
  <si>
    <t>PPIM1850316C</t>
  </si>
  <si>
    <t>นายนิคม สุขมารถ</t>
  </si>
  <si>
    <t>PPIM18503172</t>
  </si>
  <si>
    <t>PPIM1850317D</t>
  </si>
  <si>
    <t>บริษัท แฮปปี้ ฟาร์ม อะกริบิสซิเนส จำกัด</t>
  </si>
  <si>
    <t>PPIM18503183</t>
  </si>
  <si>
    <t>PPIM18503188</t>
  </si>
  <si>
    <t>บริษัท ยู.เอ็ม.ซี.ได คาสติ้ง จำกัด</t>
  </si>
  <si>
    <t>PPIM1850318B</t>
  </si>
  <si>
    <t>บริษัท ยูนิเฟาน์ดรี จำกัด</t>
  </si>
  <si>
    <t>PPIM1850318E</t>
  </si>
  <si>
    <t>PPIM18500770</t>
  </si>
  <si>
    <t>บริษัท สามชัย สตีล อินดัสทรีจำกัด (มหาชน)</t>
  </si>
  <si>
    <t>PPIM18500772</t>
  </si>
  <si>
    <t>PPIM185031B5</t>
  </si>
  <si>
    <t>PPIM185031BF</t>
  </si>
  <si>
    <t>PPIM185031C1</t>
  </si>
  <si>
    <t>บริษัท หลักเมืองถาวรฮอนด้าคาร์ส์ จำกัด</t>
  </si>
  <si>
    <t>PPIM185031E0</t>
  </si>
  <si>
    <t>บริษัท พาร์เวล อินเตอร์เนชั่นแนล จำกัด</t>
  </si>
  <si>
    <t>PPIM18503225</t>
  </si>
  <si>
    <t>PPIM1850322D</t>
  </si>
  <si>
    <t>นายวันชัย โพธิเพียรทอง</t>
  </si>
  <si>
    <t>PPIM18503266</t>
  </si>
  <si>
    <t>PPIM1850284D</t>
  </si>
  <si>
    <t>บริษัท อาเปา แฟคทอรี่ จำกัด</t>
  </si>
  <si>
    <t>PPIM1850327A</t>
  </si>
  <si>
    <t>บริษัท เฟิสท์ ออยล์ ซีล</t>
  </si>
  <si>
    <t>PPIM18503290</t>
  </si>
  <si>
    <t>PPIM185032AB</t>
  </si>
  <si>
    <t>บริษัท ศรีสาครเวชวิวัฒน์ จำกัด</t>
  </si>
  <si>
    <t>PPIM185032AD</t>
  </si>
  <si>
    <t>PPIM185032F4</t>
  </si>
  <si>
    <t>น.ส.วัญใจ สังขรัตน์</t>
  </si>
  <si>
    <t>PPIM18500488</t>
  </si>
  <si>
    <t>ห้างหุ้นส่วนจำกัด ย่งเซ่งฮงอุตสาหกรรม</t>
  </si>
  <si>
    <t>PPIM18501CAA</t>
  </si>
  <si>
    <t>PPIM18503325</t>
  </si>
  <si>
    <t>บริษัท วิโรจน์ การพิมพ์และบรรจุภัณฑ์ จำกัด</t>
  </si>
  <si>
    <t>PPIM18503328</t>
  </si>
  <si>
    <t>บริษัท อาร์ ม่า ฟาร์ม จำกัด</t>
  </si>
  <si>
    <t>PPIM18503332</t>
  </si>
  <si>
    <t>บริษัท ซีพีเอฟ (ประเทศไทย) จำกัด (มหาชน)</t>
  </si>
  <si>
    <t>PPIM1850337B</t>
  </si>
  <si>
    <t>บริษัท โปรเกรส อินเตอร์ รับเบอร์ จำกัด</t>
  </si>
  <si>
    <t>PPIM1850338B</t>
  </si>
  <si>
    <t>นาย เชี่ยววิทย์ จุลโพธิ์</t>
  </si>
  <si>
    <t>PPIM1850339B</t>
  </si>
  <si>
    <t>บริษัท เบสท์ พลาสติกแวร์ โปรดักส์ จำกัด</t>
  </si>
  <si>
    <t>PPIM185033E5</t>
  </si>
  <si>
    <t>บริษัท เอ เอ็ม พี เมทัลเวอคส์ (ประเทศไทย) จำกัด</t>
  </si>
  <si>
    <t>PPIM185033E9</t>
  </si>
  <si>
    <t>บริษัท สตาร์พลาสติก จำกัด</t>
  </si>
  <si>
    <t>PPIM18503410</t>
  </si>
  <si>
    <t>บริษัท บี.เค.วาย.จำกัด</t>
  </si>
  <si>
    <t>PPIM18503416</t>
  </si>
  <si>
    <t>นางสาว กมลรัตน์ จะหวะ</t>
  </si>
  <si>
    <t>PPIM18503425</t>
  </si>
  <si>
    <t>PPIM1850346F</t>
  </si>
  <si>
    <t>บริษัท เทพมณี โคลด์สอเรจ (มหาชัย) จำกัด</t>
  </si>
  <si>
    <t>PPIM1850347E</t>
  </si>
  <si>
    <t>บริษัท อินฟินิท ดีไซน์</t>
  </si>
  <si>
    <t>PPIM185034CA</t>
  </si>
  <si>
    <t>บริษัท อาร์.เอส.เค. พลัส จำกัด</t>
  </si>
  <si>
    <t>PPIM185034F0</t>
  </si>
  <si>
    <t>บริษัท บ้านสระข้าวดี จำกัด</t>
  </si>
  <si>
    <t>PPIM18503516</t>
  </si>
  <si>
    <t>มูลนิธิแนบมหานีรานนท์</t>
  </si>
  <si>
    <t>PPIM1850351C</t>
  </si>
  <si>
    <t>PPIM18502A83</t>
  </si>
  <si>
    <t>PPIM1850352D</t>
  </si>
  <si>
    <t>บริษัท พิสิฐ สปริงเวอร์ค จำกัด</t>
  </si>
  <si>
    <t>PPIM18503551</t>
  </si>
  <si>
    <t>บริษัท ศรีนภา ขนส่ง จำกัด</t>
  </si>
  <si>
    <t>PPIM185035C4</t>
  </si>
  <si>
    <t>บริษัท ลาวัณย์วิสุทธิ์พลาสติกไทย จำกัด</t>
  </si>
  <si>
    <t>PPIM185035DD</t>
  </si>
  <si>
    <t>PPIM185035EC</t>
  </si>
  <si>
    <t>บริษัท โลตัส แมทเทรส จำกัด</t>
  </si>
  <si>
    <t>PPIM185035F9</t>
  </si>
  <si>
    <t>น.ส.ขวัญใจ สังขรัตน์</t>
  </si>
  <si>
    <t>PPIM18503610</t>
  </si>
  <si>
    <t>PPIM18503611</t>
  </si>
  <si>
    <t>PPIM18503625</t>
  </si>
  <si>
    <t>PPIM18503638</t>
  </si>
  <si>
    <t>PPIM18503685</t>
  </si>
  <si>
    <t>บริษัท อะรุอินโกะ (ประเทศไทย) จำกัด</t>
  </si>
  <si>
    <t>PPIM18503692</t>
  </si>
  <si>
    <t>โรงเรียนวัดราษฎร์รังสรรค์</t>
  </si>
  <si>
    <t>PPIM185036C4</t>
  </si>
  <si>
    <t>บริษัท พี เอ็น แมนชั่น จำกัด</t>
  </si>
  <si>
    <t>PPIM185036C5</t>
  </si>
  <si>
    <t>PPIM185036C7</t>
  </si>
  <si>
    <t>PPIM185036E2</t>
  </si>
  <si>
    <t>PPIM185036F6</t>
  </si>
  <si>
    <t>สำนักงานเทศบาลเมืองสามพราน</t>
  </si>
  <si>
    <t>PPIM1850371B</t>
  </si>
  <si>
    <t>PPIM1850371D</t>
  </si>
  <si>
    <t>โรงพยาบาลห้วยพลู</t>
  </si>
  <si>
    <t>PPIM18503730</t>
  </si>
  <si>
    <t>บริษัท ต้องอนันต์ มารีนฟู้ด จำกัด</t>
  </si>
  <si>
    <t>PPIM1850238F</t>
  </si>
  <si>
    <t>บริษัท เนเชอรัล คอสเม็คส์ จำกัด</t>
  </si>
  <si>
    <t>PPIM18502082</t>
  </si>
  <si>
    <t>PPIM18503820</t>
  </si>
  <si>
    <t>บริษัท ไพรัชกรุ๊ป จำกัด</t>
  </si>
  <si>
    <t>PPIM18502194</t>
  </si>
  <si>
    <t>บริษัท โฟร์เอ็นโฟรเซ่นฟู๊ด จำกัด</t>
  </si>
  <si>
    <t>PPIM1850383C</t>
  </si>
  <si>
    <t>PPIM18502988</t>
  </si>
  <si>
    <t>PPIM1850384A</t>
  </si>
  <si>
    <t>PPIM1850385D</t>
  </si>
  <si>
    <t>PPIM18503861</t>
  </si>
  <si>
    <t>PPIM1850387A</t>
  </si>
  <si>
    <t>บริษัท นารูลา นันวูเว่น จำกัด</t>
  </si>
  <si>
    <t>PPIM185021EB</t>
  </si>
  <si>
    <t>PPIM18503883</t>
  </si>
  <si>
    <t>PPIM18503886</t>
  </si>
  <si>
    <t>PPIM18502E76</t>
  </si>
  <si>
    <t>PPIM185038A7</t>
  </si>
  <si>
    <t>บริษัท พิสิษฐ์ อินเตอร์กรุ๊ป จำกัด</t>
  </si>
  <si>
    <t>PPIM185038B3</t>
  </si>
  <si>
    <t>บริษัท อาร์.เอส.เค.พลัส จำกัด</t>
  </si>
  <si>
    <t>PPIM18502509</t>
  </si>
  <si>
    <t>PPIM185038DF</t>
  </si>
  <si>
    <t>บริษัท ดีเอฟพี แฟมิลี่ จำกัด</t>
  </si>
  <si>
    <t>PPIM18501F55</t>
  </si>
  <si>
    <t>บริษัท ดีเอ็ม คอนเทนเนอร์ จำกัด</t>
  </si>
  <si>
    <t>PPIM18503948</t>
  </si>
  <si>
    <t>PPIM1850394C</t>
  </si>
  <si>
    <t>บริษัท เอราวัณ คาร์เป็ท จำกัด</t>
  </si>
  <si>
    <t>PPIM1850394D</t>
  </si>
  <si>
    <t>บริษัท บ้านเชียง คาร์เป็ท จำกัด</t>
  </si>
  <si>
    <t>PPIM18503987</t>
  </si>
  <si>
    <t>บริษัท เอ๊กโก้ฟอร์จจิ้ง โปรดักส์ จำกัด</t>
  </si>
  <si>
    <t>PPIM18503998</t>
  </si>
  <si>
    <t>PPIM185039E5</t>
  </si>
  <si>
    <t>บริษัท เอ็นอาร์ อินสแตนท์ โปรดิวซ์ จำกัด(มหาชน)</t>
  </si>
  <si>
    <t>PPIM185039EA</t>
  </si>
  <si>
    <t>บริษัท อินฟีนิท ดีไซน์ จำกัด</t>
  </si>
  <si>
    <t>PPIM18503A02</t>
  </si>
  <si>
    <t>PPIM18503A21</t>
  </si>
  <si>
    <t>PPIM18503A2D</t>
  </si>
  <si>
    <t>PPIM18503A31</t>
  </si>
  <si>
    <t>บริษัท ไพรัชกรุ๊ป ฟู้ดส์ จำกัด</t>
  </si>
  <si>
    <t>PPIM18503A41</t>
  </si>
  <si>
    <t>PPIM18503A43</t>
  </si>
  <si>
    <t>ห้างหุ้นส่วนจำกัด ค็อกพิท เอกชัยศูนย์ล้อ (1997)</t>
  </si>
  <si>
    <t>PPIM18503A4A</t>
  </si>
  <si>
    <t>บริษัท สินทรัพย์ไฟศาล 1985 จำกัด</t>
  </si>
  <si>
    <t>PPIM18503A68</t>
  </si>
  <si>
    <t>PPIM18503A6B</t>
  </si>
  <si>
    <t>PPIM18503A6D</t>
  </si>
  <si>
    <t>PPIM18503A70</t>
  </si>
  <si>
    <t>PPIM18503A7B</t>
  </si>
  <si>
    <t>PPIM18503A8E</t>
  </si>
  <si>
    <t>PPIM18503A91</t>
  </si>
  <si>
    <t>PPIM18503A98</t>
  </si>
  <si>
    <t>PPIM18502A24</t>
  </si>
  <si>
    <t>PPIM18503A9B</t>
  </si>
  <si>
    <t>PPIM18503AB6</t>
  </si>
  <si>
    <t>บริษัท ซี.เจ. เอ็กซ์เพรส กรุ๊ปจำกัด</t>
  </si>
  <si>
    <t>PPIM18503B11</t>
  </si>
  <si>
    <t>บริษัท ไทย อะโกร เอ็นเนอร์ยี่ จำกัด (มหาชน)</t>
  </si>
  <si>
    <t>PPIM18503B25</t>
  </si>
  <si>
    <t>บริษัท ไทยโพลีแพ็ค จำกัด</t>
  </si>
  <si>
    <t>PPIM18503B7A</t>
  </si>
  <si>
    <t>บริษัท เอก-ชัย ดีสทริบิวชั่นซิสเทมจำกัด</t>
  </si>
  <si>
    <t>PPIM18503B9A</t>
  </si>
  <si>
    <t>PPIM18503BA4</t>
  </si>
  <si>
    <t>บริษัท รักชัยห้องเย็น จำกัด</t>
  </si>
  <si>
    <t>PPIM18503BB9</t>
  </si>
  <si>
    <t>PPIM18503BBC</t>
  </si>
  <si>
    <t>ห้างหุ้นส่วนจำกัด อุตสาหกรรมน้ำดื่ม เจริญดี</t>
  </si>
  <si>
    <t>PPIM18503BCA</t>
  </si>
  <si>
    <t>PPIM18503BCF</t>
  </si>
  <si>
    <t>นางบังอร ดีพิจารณ์</t>
  </si>
  <si>
    <t>PPIM18503C00</t>
  </si>
  <si>
    <t>ที่ทำการปกครองอำเภอเมืองสมุทรสาคร</t>
  </si>
  <si>
    <t>PPIM18503C0A</t>
  </si>
  <si>
    <t>PPIM18503C13</t>
  </si>
  <si>
    <t>บริษัท ไทเฮโย กรุ๊ป (สุพรรณบุรี)จำกัด</t>
  </si>
  <si>
    <t>PPIM18503C1E</t>
  </si>
  <si>
    <t>PPIM18503C25</t>
  </si>
  <si>
    <t>บริษัท ปตท. น้ำมันและการค้าปลีก จำกัด (มหาชน) สาขา OR Space สุพรรณบุรี</t>
  </si>
  <si>
    <t>PPIM18503C49</t>
  </si>
  <si>
    <t>บริษัท เอ็ม ซี พี เพอร์คัสชั่น จำกัด</t>
  </si>
  <si>
    <t>PPIM18503C57</t>
  </si>
  <si>
    <t>PPIM18503C74</t>
  </si>
  <si>
    <t>วิทยาลัยอาชีวศึกษานครปฐม</t>
  </si>
  <si>
    <t>PPIM18503C84</t>
  </si>
  <si>
    <t>PPIM18503C8D</t>
  </si>
  <si>
    <t>PPIM18503C8F</t>
  </si>
  <si>
    <t>บริษัท ทีทีเจ โกลบอลแพค จำกัด</t>
  </si>
  <si>
    <t>PPIM18503C92</t>
  </si>
  <si>
    <t>บริษัท ทีทีเจ แอดวานซ์ อินเตอร์แพค จำกัด</t>
  </si>
  <si>
    <t>PPIM18503CF6</t>
  </si>
  <si>
    <t>ที่ว่าการอำเภอกระทุ่มแบน</t>
  </si>
  <si>
    <t>PPIM18503D38</t>
  </si>
  <si>
    <t>บริษัท รับเบอร์ไบร์ท อินเตอร์เทค จำกัด</t>
  </si>
  <si>
    <t>PPIM18503D47</t>
  </si>
  <si>
    <t>PPIM18503DB3</t>
  </si>
  <si>
    <t>พระคูรเกษมกาญจนสิทธิ์</t>
  </si>
  <si>
    <t>PPIM18502C65</t>
  </si>
  <si>
    <t>PPIM18503DC2</t>
  </si>
  <si>
    <t>บริษัท บางจาก คอร์ปอเรชั่น จำกัด (มหาชน) สาขาเมืองสมุทรสาคร</t>
  </si>
  <si>
    <t>PPIM18503DD6</t>
  </si>
  <si>
    <t>บริษัท โชคสมบูรณ์ ฟูด จำกัด</t>
  </si>
  <si>
    <t>PPIM18503DDE</t>
  </si>
  <si>
    <t>PPIM18503DE4</t>
  </si>
  <si>
    <t>PPIM18503DF2</t>
  </si>
  <si>
    <t>PPIM18503DFB</t>
  </si>
  <si>
    <t>ห้างหุ้นส่วนจำกัด เอพี พอร์ค</t>
  </si>
  <si>
    <t>PPIM18503E1A</t>
  </si>
  <si>
    <t>บริษัท เคียงคู่ จำกัด</t>
  </si>
  <si>
    <t>PPIM18503E1B</t>
  </si>
  <si>
    <t>บริษัท อินเตอร์ คอต จำกัด</t>
  </si>
  <si>
    <t>PPIM18503E47</t>
  </si>
  <si>
    <t>บริษัท เอสเธติค พลัส จำกัด</t>
  </si>
  <si>
    <t>PPIM18503E65</t>
  </si>
  <si>
    <t>บริษัท ยูนิวอร์แซล แพคเกจจิ้ง อินเตอร์เนชั่นแนล จำกัด</t>
  </si>
  <si>
    <t>PPIM18503E7C</t>
  </si>
  <si>
    <t>PPIM18503EAA</t>
  </si>
  <si>
    <t>บริษัท ซีอาร์ซี ไทวัสดุ จำกัด</t>
  </si>
  <si>
    <t>PPIM18503EB9</t>
  </si>
  <si>
    <t>บริษัท เอเจ คิทเช่น แอนด์ เซอร์วิส</t>
  </si>
  <si>
    <t>PPIM18503EBB</t>
  </si>
  <si>
    <t>PPIM18503ED2</t>
  </si>
  <si>
    <t>บริษัท ไนโตรเคมีอุตสาหกรรม จำกัด</t>
  </si>
  <si>
    <t>PPIM18503F01</t>
  </si>
  <si>
    <t>PPIM18503F05</t>
  </si>
  <si>
    <t>บรอษัท ช.เอราวัณมอเตอร์ นครปฐม จำกัด</t>
  </si>
  <si>
    <t>PPIM18503F5D</t>
  </si>
  <si>
    <t>บริษัท ปตท.น้ำมันและการค้าปลีก จำกัด (มหาชน) สาขา พัฒนาการ(ขาออก)</t>
  </si>
  <si>
    <t>PPIM18503FB6</t>
  </si>
  <si>
    <t>บริษัท เอส ทีดี แคลิเปอร์เบรค จำกัด</t>
  </si>
  <si>
    <t>PPIM18503FDA</t>
  </si>
  <si>
    <t>บริษัท วิมล บิวตี้ จำกัด</t>
  </si>
  <si>
    <t>PPIM18503FE6</t>
  </si>
  <si>
    <t>บริษัท โรงหล่อ ก.เจริญ จำกัด</t>
  </si>
  <si>
    <t>PPIM18503FF1</t>
  </si>
  <si>
    <t>บริษัท พี.พี.เท็กซ์ไทล์ พิมพ์ย้อม จำกัด</t>
  </si>
  <si>
    <t>PPIM18504019</t>
  </si>
  <si>
    <t>บริษัท เจริญชัยฟาร์มกรุ๊ป จำกัด</t>
  </si>
  <si>
    <t>PPIM1850401B</t>
  </si>
  <si>
    <t>บริษัท ปตท.น้ำมันและการค้าปลีก จำกัด (มหาชน) สาขา พระราม 2 (ขาเข้า)</t>
  </si>
  <si>
    <t>PPIM1850403D</t>
  </si>
  <si>
    <t>PPIM18504073</t>
  </si>
  <si>
    <t>บริษัท ดับบลิวแอนด์เอช ฟิล์ม จำกัด</t>
  </si>
  <si>
    <t>PPIM185040C9</t>
  </si>
  <si>
    <t>PPIM185040FE</t>
  </si>
  <si>
    <t>บริษัท เมตตาภัทรวัสดุภัณฑ์ จำกัด</t>
  </si>
  <si>
    <t>PPIM18502C7F</t>
  </si>
  <si>
    <t>บริษัท พีเอส ดีเวลลอปเม้นท์ แอนด์ เซอร์วิส จำกัด</t>
  </si>
  <si>
    <t>PPIM18504130</t>
  </si>
  <si>
    <t>บริษัท ยูไนเต็ด ไวน์เนอรี่ แอนด์ดิสทิลเลอรี่ จำกัด</t>
  </si>
  <si>
    <t>PPIM185025D5</t>
  </si>
  <si>
    <t>PPIM18504138</t>
  </si>
  <si>
    <t>บริษัท สยามอินเตอร์พลาส จำกัด</t>
  </si>
  <si>
    <t>PPIM18502378</t>
  </si>
  <si>
    <t>PPIM1850417F</t>
  </si>
  <si>
    <t>PPIM185041AE</t>
  </si>
  <si>
    <t>บริษัท โอเชี่ยน อินดัสตรี้ จำกัด</t>
  </si>
  <si>
    <t>PPIM18501CDD</t>
  </si>
  <si>
    <t>บริษัท หลักทรัพย์ทิสโก้ จำกัด</t>
  </si>
  <si>
    <t>PPIM18501955</t>
  </si>
  <si>
    <t>PPIM185041C9</t>
  </si>
  <si>
    <t>ที่ว่าการอำเภอสามพราน</t>
  </si>
  <si>
    <t>PPIM185041F5</t>
  </si>
  <si>
    <t>บริษัท ซีพี ออลล์ จำกัด (มหาชน) สาขา PTTOR พระราม2 (ขาเข้า)</t>
  </si>
  <si>
    <t>PPIM18504204</t>
  </si>
  <si>
    <t>บริษัท คาร่าเบเกอรี่ จำกัด</t>
  </si>
  <si>
    <t>PPIM18504215</t>
  </si>
  <si>
    <t>บริษัท วราฟู้ดแอนด์ดริ๊ง จำกัด</t>
  </si>
  <si>
    <t>PPIM18500965</t>
  </si>
  <si>
    <t>นางสาวออมรัตน์ นาคบุตร</t>
  </si>
  <si>
    <t>PPIM1850423C</t>
  </si>
  <si>
    <t>PPIM185023D4</t>
  </si>
  <si>
    <t>PPIM18504249</t>
  </si>
  <si>
    <t>PPIM185012F4</t>
  </si>
  <si>
    <t>บริษัท พี พี เอ รอว์แมททีเรียลจำกัด</t>
  </si>
  <si>
    <t>PPIM18502923</t>
  </si>
  <si>
    <t>บริษัท เฟิ่งหย่าง กรุ๊ป จำกัด</t>
  </si>
  <si>
    <t>PPIM18504255</t>
  </si>
  <si>
    <t>บริษัท เอ็ม เอ็ม พีอินเตอร์เนชั่นแนล จำกัด</t>
  </si>
  <si>
    <t>PPIM185028B1</t>
  </si>
  <si>
    <t>PPIM18504265</t>
  </si>
  <si>
    <t>PPIM1850426A</t>
  </si>
  <si>
    <t>PPIM18504273</t>
  </si>
  <si>
    <t>PPIM18501F86</t>
  </si>
  <si>
    <t>PPIM18500B22</t>
  </si>
  <si>
    <t>PPIM18501CE4</t>
  </si>
  <si>
    <t>PPIM185042CC</t>
  </si>
  <si>
    <t>มหาวิทยาลัยราชภัฐกาญจนุรี</t>
  </si>
  <si>
    <t>PPIM18500A3E</t>
  </si>
  <si>
    <t>ห้างหุ้นส่วนจำกัด โรงน้ำแข็งเอสยู ซัพพลายมหาชัย</t>
  </si>
  <si>
    <t>PPIM185042D9</t>
  </si>
  <si>
    <t>PPIM185020A2</t>
  </si>
  <si>
    <t>PPIM185042F9</t>
  </si>
  <si>
    <t>PPIM18502352</t>
  </si>
  <si>
    <t>PPIM18504314</t>
  </si>
  <si>
    <t>PPIM18502C86</t>
  </si>
  <si>
    <t>บริษัท คาสเดย์ (ประเทศไทย) คอร์โปเรชั่น จำกัด</t>
  </si>
  <si>
    <t>PPIM18504333</t>
  </si>
  <si>
    <t>PPIM18504337</t>
  </si>
  <si>
    <t>บริษัท ที.ซี.เอ็น. 2008 จำกัด</t>
  </si>
  <si>
    <t>PPIM1850436C</t>
  </si>
  <si>
    <t>PPIM185025BD</t>
  </si>
  <si>
    <t>PPIM18504375</t>
  </si>
  <si>
    <t>PPIM1850437A</t>
  </si>
  <si>
    <t>PPIM18504384</t>
  </si>
  <si>
    <t>PPIM185043C5</t>
  </si>
  <si>
    <t>PPIM185043DB</t>
  </si>
  <si>
    <t>บริษัทอาร์ เอส ฟูดส์เทค (ประเทศไทย) จำกัด</t>
  </si>
  <si>
    <t>PPIM18501A89</t>
  </si>
  <si>
    <t>PPIM185043DD</t>
  </si>
  <si>
    <t>นาย กิตติ ปรีชากิตติกร</t>
  </si>
  <si>
    <t>PPIM18502C08</t>
  </si>
  <si>
    <t>PPIM1850440B</t>
  </si>
  <si>
    <t>บริษัท บิ๊ค เคมิคอล จำกัด</t>
  </si>
  <si>
    <t>PPIM18504414</t>
  </si>
  <si>
    <t>บริษัท เจบีเอฟ จำกัด</t>
  </si>
  <si>
    <t>PPIM18504417</t>
  </si>
  <si>
    <t>บริษัท ศรีกิจพานิช จำกัด</t>
  </si>
  <si>
    <t>PPIM1850441E</t>
  </si>
  <si>
    <t>PPIM18504420</t>
  </si>
  <si>
    <t>PPIM18504422</t>
  </si>
  <si>
    <t>PPIM18504426</t>
  </si>
  <si>
    <t>PPIM18501B20</t>
  </si>
  <si>
    <t>PPIM18504489</t>
  </si>
  <si>
    <t>PPIM185026CB</t>
  </si>
  <si>
    <t>PPIM185044DB</t>
  </si>
  <si>
    <t>บริษัท เอส เอส ที เอส จำกัด</t>
  </si>
  <si>
    <t>PPIM185044E1</t>
  </si>
  <si>
    <t>บริษัท วราพรพลาสติก จำกัด</t>
  </si>
  <si>
    <t>PPIM185044E2</t>
  </si>
  <si>
    <t>PPIM185044E7</t>
  </si>
  <si>
    <t>บริษัท เอส เค เอส เอ็นจิเนียริ่ง แอนด์ เซอร์วิส จำกัด</t>
  </si>
  <si>
    <t>PPIM18504507</t>
  </si>
  <si>
    <t>บริษัท ภัสวีร์ จำกัด</t>
  </si>
  <si>
    <t>PPIM1850450B</t>
  </si>
  <si>
    <t>บริษัท สยามวารี ห้องเย็น จำกัด</t>
  </si>
  <si>
    <t>PPIM185023DE</t>
  </si>
  <si>
    <t>บริษัท บรอยนิ่ง จำกัด</t>
  </si>
  <si>
    <t>PPIM18504530</t>
  </si>
  <si>
    <t>PPIM18501E6A</t>
  </si>
  <si>
    <t>PPIM185005FC</t>
  </si>
  <si>
    <t>บริษัท เอ็มพาวเวอร์สตีล จำกัด</t>
  </si>
  <si>
    <t>PPIM1850456C</t>
  </si>
  <si>
    <t>บริษัท กาญจนาโลหะการ จำกัด</t>
  </si>
  <si>
    <t>PPIM1850457B</t>
  </si>
  <si>
    <t>PPIM185045A0</t>
  </si>
  <si>
    <t>บริษัท แมนเนจ แพคเกจจิ้ง จำกัด</t>
  </si>
  <si>
    <t>PPIM185045B3</t>
  </si>
  <si>
    <t>PPIM185045B7</t>
  </si>
  <si>
    <t>PPIM185045C0</t>
  </si>
  <si>
    <t>PPIM185045D0</t>
  </si>
  <si>
    <t>PPIM185045D4</t>
  </si>
  <si>
    <t>ยาง อนันตา ปรีชากิตติกร</t>
  </si>
  <si>
    <t>PPIM185045D5</t>
  </si>
  <si>
    <t>บริษัท เยส โมลดิ้ง (ไทยแลนด์) จำกัด</t>
  </si>
  <si>
    <t>PPIM185045DC</t>
  </si>
  <si>
    <t>บริษัท เอ.บี.ซี.ดี. เทรดดิ้ง จำกัด</t>
  </si>
  <si>
    <t>PPIM185045EB</t>
  </si>
  <si>
    <t>PPIM18504602</t>
  </si>
  <si>
    <t>PPIM18504604</t>
  </si>
  <si>
    <t>PPIM18504618</t>
  </si>
  <si>
    <t>บริษัท ทีแอนด์บี เดคคอร์ จำกัด</t>
  </si>
  <si>
    <t>PPIM1850462D</t>
  </si>
  <si>
    <t>PPIM1850462F</t>
  </si>
  <si>
    <t>PPIM1850464D</t>
  </si>
  <si>
    <t>PPIM185046A1</t>
  </si>
  <si>
    <t>บริษัท แปซิฟิคมารีนฟู้ดโปรดักส์ จำกัด</t>
  </si>
  <si>
    <t>PPIM185046BC</t>
  </si>
  <si>
    <t>PPIM185046C1</t>
  </si>
  <si>
    <t>PPIM185046C7</t>
  </si>
  <si>
    <t>PPIM185046F4</t>
  </si>
  <si>
    <t>บริษัท ร . มังกรโฟรเซ่นฟู๊ด จำกัด</t>
  </si>
  <si>
    <t>PPIM185046FE</t>
  </si>
  <si>
    <t>บริษัท อภิโชคไพบูลย์ จำกัด</t>
  </si>
  <si>
    <t>PPIM1850470E</t>
  </si>
  <si>
    <t>บริษัท ทีพีเอส การ์เด้น เฟอร์นิเจอร์ จำกัด</t>
  </si>
  <si>
    <t>PPIM1850470F</t>
  </si>
  <si>
    <t>PPIM18504712</t>
  </si>
  <si>
    <t>บริษัท ที.ซี.เทคโนโลยี แอนด์คอนซูมเมอร์ จำกัด</t>
  </si>
  <si>
    <t>PPIM1850471A</t>
  </si>
  <si>
    <t>PPIM1850471E</t>
  </si>
  <si>
    <t>PPIM18504724</t>
  </si>
  <si>
    <t>PPIM18504752</t>
  </si>
  <si>
    <t>PPIM18504770</t>
  </si>
  <si>
    <t>บริษัท เค.ที.วาย.ฟู๊ด อินเตอร์เนชั่นแนล จำกัด</t>
  </si>
  <si>
    <t>PPIM1850477A</t>
  </si>
  <si>
    <t>นาย กิตติ สุขสวัสดิ์</t>
  </si>
  <si>
    <t>PPIM185047AA</t>
  </si>
  <si>
    <t>PPIM185047CC</t>
  </si>
  <si>
    <t>PPIM1850447B</t>
  </si>
  <si>
    <t>PPIM185047EB</t>
  </si>
  <si>
    <t>PPIM18504806</t>
  </si>
  <si>
    <t>บริษัท นิจิ (ประเทศไทย) จำกัด</t>
  </si>
  <si>
    <t>PPIM18504839</t>
  </si>
  <si>
    <t>PPIM18504640</t>
  </si>
  <si>
    <t>PPIM18504858</t>
  </si>
  <si>
    <t>PPIM18504859</t>
  </si>
  <si>
    <t>PPIM1850485B</t>
  </si>
  <si>
    <t>PPIM18504875</t>
  </si>
  <si>
    <t>บริษัท ราฟท์สปอร์ต จำกัด</t>
  </si>
  <si>
    <t>PPIM18504877</t>
  </si>
  <si>
    <t>PPIM18504878</t>
  </si>
  <si>
    <t>PPIM1850487B</t>
  </si>
  <si>
    <t>บริษัท ไทยพลาสติก รีไซเคิล กรุ๊ป จำกัด (2)</t>
  </si>
  <si>
    <t>PPIM18504887</t>
  </si>
  <si>
    <t>บริษัท เทพมณี โคลด์สตอเรจ (มหาชัย) จำกัด</t>
  </si>
  <si>
    <t>PPIM185033A6</t>
  </si>
  <si>
    <t>บริษัท เอส แอล พี ฟาร์ม จำกัด</t>
  </si>
  <si>
    <t>PPIM18503709</t>
  </si>
  <si>
    <t>บริษัท อีซูซุตั้งเซียฮวดนครปฐม</t>
  </si>
  <si>
    <t>PPIM1850370B</t>
  </si>
  <si>
    <t>PPIM18504898</t>
  </si>
  <si>
    <t>PPIM185048C1</t>
  </si>
  <si>
    <t>PPIM185048E9</t>
  </si>
  <si>
    <t>PPIM185048FE</t>
  </si>
  <si>
    <t>บริษัท ไทย คอปเปอร์ เมทัล อิเล็กโทรลิซิส จำกัด</t>
  </si>
  <si>
    <t>PPIM18504919</t>
  </si>
  <si>
    <t>PPIM1850491D</t>
  </si>
  <si>
    <t>PPIM1850337E</t>
  </si>
  <si>
    <t>บริษัท ยู. เอส. ที. สำเภาทอง จำกัด</t>
  </si>
  <si>
    <t>PPIM18504948</t>
  </si>
  <si>
    <t>บริษัท รักชัยห้องเย็น จำกัด (สาขา สินชัย)</t>
  </si>
  <si>
    <t>PPIM1850495A</t>
  </si>
  <si>
    <t>เกรทฮิลล์ ฟู้ดส์</t>
  </si>
  <si>
    <t>PPIM18504972</t>
  </si>
  <si>
    <t>โรงพยาบาลบ้านไร่</t>
  </si>
  <si>
    <t>PPIM18504974</t>
  </si>
  <si>
    <t>PPIM18504984</t>
  </si>
  <si>
    <t>PPIM1850498A</t>
  </si>
  <si>
    <t>บริษัท โมชิ โมชิ รีเทล คอร์ปอเรชั่น จำกัด</t>
  </si>
  <si>
    <t>PPIM1850483A</t>
  </si>
  <si>
    <t>PPIM18504992</t>
  </si>
  <si>
    <t>นายเพิ่มทวี หล่อวัฒนกิจชัย</t>
  </si>
  <si>
    <t>PPIM1850328E</t>
  </si>
  <si>
    <t>PPIM185049A7</t>
  </si>
  <si>
    <t>PPIM185033C1</t>
  </si>
  <si>
    <t>บริษัท ยงคอนกรีต จำกัด (มหาชน)</t>
  </si>
  <si>
    <t>PPIM185049BA</t>
  </si>
  <si>
    <t>PPIM185049E9</t>
  </si>
  <si>
    <t>PPIM185049ED</t>
  </si>
  <si>
    <t>บริษัท เอกชัย-ดีสทริบิวชั่น ซิสเทม จำกัด</t>
  </si>
  <si>
    <t>PPIM185049F3</t>
  </si>
  <si>
    <t>บริษัท อาเคเดีย ฟูดส์ จำกัด</t>
  </si>
  <si>
    <t>PPIM18504A1D</t>
  </si>
  <si>
    <t>บริษัท ก.ธนวัฒน์เซ็นเตอร์ จำกัด</t>
  </si>
  <si>
    <t>PPIM18504A44</t>
  </si>
  <si>
    <t>บริษัท ดูราติก อินดัสเตรียล จำกัด</t>
  </si>
  <si>
    <t>PPIM18504A4C</t>
  </si>
  <si>
    <t>บ.มหาโชค แอสเสท จก.</t>
  </si>
  <si>
    <t>PPIM18503884</t>
  </si>
  <si>
    <t>บริษัท เพรส ควอลิตี้ จำกัด</t>
  </si>
  <si>
    <t>PPIM1850351E</t>
  </si>
  <si>
    <t>บริษัท อุตสาหกรรมน้ำแข็ง ภิญโญรุ่งเจริญ จำกัด</t>
  </si>
  <si>
    <t>PPIM1850351D</t>
  </si>
  <si>
    <t>บริษัท อุตสาหกรรมน้ำแข็ง ซี.เอส.อาร์. จำกัด</t>
  </si>
  <si>
    <t>PPIM18503662</t>
  </si>
  <si>
    <t>ห้างหุ้นส่วนจำกัด ดักษ์ รัตนบุรี</t>
  </si>
  <si>
    <t>PPIM1950001E</t>
  </si>
  <si>
    <t>PPIM185037E6</t>
  </si>
  <si>
    <t>PPIM185039A2</t>
  </si>
  <si>
    <t>PPIM19500081</t>
  </si>
  <si>
    <t>PPIM19500092</t>
  </si>
  <si>
    <t>บริษัท ดีเอฟพี แฟมิลลี่ จำกัด</t>
  </si>
  <si>
    <t>PPIM195000A9</t>
  </si>
  <si>
    <t>PPIM195000C4</t>
  </si>
  <si>
    <t>PPIM195000C8</t>
  </si>
  <si>
    <t>PPIM195000D6</t>
  </si>
  <si>
    <t>PPIM195000F0</t>
  </si>
  <si>
    <t>PPIM195000FF</t>
  </si>
  <si>
    <t>บริษัท ไพรัชกรุ๊ป ฟู๊ดส์ จำกัด</t>
  </si>
  <si>
    <t>PPIM195000EE</t>
  </si>
  <si>
    <t>PPIM1950011E</t>
  </si>
  <si>
    <t>PPIM19500135</t>
  </si>
  <si>
    <t>บริษัท รอแยล เมอิวะ แพ็คซ์ จำกัด</t>
  </si>
  <si>
    <t>PPIM18503AAD</t>
  </si>
  <si>
    <t>PPIM18503BF9</t>
  </si>
  <si>
    <t>PPIM18503836</t>
  </si>
  <si>
    <t>บริษัท พี.เอ็ม.ที.เอ็นเตอร์ไพรส์ จำกัด</t>
  </si>
  <si>
    <t>PPIM1950016B</t>
  </si>
  <si>
    <t>ห้างหุ้นส่วนจำกัด ใบโพธิ์ธุรกิจและอุตสาหากรรม</t>
  </si>
  <si>
    <t>PPIM19500170</t>
  </si>
  <si>
    <t>PPIM185038EB</t>
  </si>
  <si>
    <t>PPIM1950017B</t>
  </si>
  <si>
    <t>ไพศาล อดุลยธรรม</t>
  </si>
  <si>
    <t>PPIM19500186</t>
  </si>
  <si>
    <t>PPIM1950018B</t>
  </si>
  <si>
    <t>PPIM19500191</t>
  </si>
  <si>
    <t>PPIM19500195</t>
  </si>
  <si>
    <t>นางเสาวลักษณ์ รักชื่น</t>
  </si>
  <si>
    <t>PPIM19500196</t>
  </si>
  <si>
    <t>PPIM195001AB</t>
  </si>
  <si>
    <t>PPIM18503E84</t>
  </si>
  <si>
    <t>PPIM1950021F</t>
  </si>
  <si>
    <t>PPIM19500248</t>
  </si>
  <si>
    <t>นางสาวพัชรา กิตติเยาวมาลย์</t>
  </si>
  <si>
    <t>PPIM1950027F</t>
  </si>
  <si>
    <t>PPIM18502340</t>
  </si>
  <si>
    <t>PPIM18503C51</t>
  </si>
  <si>
    <t>PPIM195002DB</t>
  </si>
  <si>
    <t>PPIM195002E1</t>
  </si>
  <si>
    <t>บริษัท เจดีฟู้ด จำกัด (มหาชน)</t>
  </si>
  <si>
    <t>PPIM195002EA</t>
  </si>
  <si>
    <t>บริษัท บี.ซี.เอ็ม.เอ จำกัด</t>
  </si>
  <si>
    <t>PPIM185038F6</t>
  </si>
  <si>
    <t>บริษัท หยี่ ต๋า จำกัด</t>
  </si>
  <si>
    <t>PPIM195002F6</t>
  </si>
  <si>
    <t>PPIM19500310</t>
  </si>
  <si>
    <t>PPIM19500319</t>
  </si>
  <si>
    <t>PPIM1950032B</t>
  </si>
  <si>
    <t>บริษัท เอสเธติค พลัส</t>
  </si>
  <si>
    <t>PPIM19500337</t>
  </si>
  <si>
    <t>PPIM1950034A</t>
  </si>
  <si>
    <t>PPIM18500FF1</t>
  </si>
  <si>
    <t>บริษัท ซีวิค อโกรเทค จำกัด</t>
  </si>
  <si>
    <t>PPIM1950021D</t>
  </si>
  <si>
    <t>บริษัท ตลาดศาลายา จำกัด</t>
  </si>
  <si>
    <t>PPIM19500359</t>
  </si>
  <si>
    <t>บริษัท สามมิตรมอเตอร์สแมนูแฟคเจอริง จำกัด (มหาชน)</t>
  </si>
  <si>
    <t>PPIM18503E92</t>
  </si>
  <si>
    <t>บริษัท จีเอส อินเตอร์ กรุ๊ป จำกัด</t>
  </si>
  <si>
    <t>PPIM185041B4</t>
  </si>
  <si>
    <t>บริษัท พรชัยการแพทย์ จำกัด</t>
  </si>
  <si>
    <t>PPIM185041BA</t>
  </si>
  <si>
    <t>PPIM19500392</t>
  </si>
  <si>
    <t>PPIM195003A1</t>
  </si>
  <si>
    <t>บริษัท แปซิฟิคการทอ จำกัด</t>
  </si>
  <si>
    <t>PPIM195003A5</t>
  </si>
  <si>
    <t>PPIM195003AC</t>
  </si>
  <si>
    <t>บริษัท แปซิฟิคฟอกย้อม จำกัด</t>
  </si>
  <si>
    <t>PPIM195003AD</t>
  </si>
  <si>
    <t>บริษัท เคแอล แอนด์ ซันส์ กรุ๊ป จำกัด</t>
  </si>
  <si>
    <t>PPIM195003AE</t>
  </si>
  <si>
    <t>PPIM18503C78</t>
  </si>
  <si>
    <t>PPIM18502D2D</t>
  </si>
  <si>
    <t>ที่ทำการปกครองอำเภอบ้านแพ้ว</t>
  </si>
  <si>
    <t>PPIM1850352C</t>
  </si>
  <si>
    <t>PPIM19500403</t>
  </si>
  <si>
    <t>PPIM19500405</t>
  </si>
  <si>
    <t>PPIM19500406</t>
  </si>
  <si>
    <t>PPIM185030FA</t>
  </si>
  <si>
    <t>นางสาวณัฐสุดา เศรษฐกร</t>
  </si>
  <si>
    <t>PPIM1850401F</t>
  </si>
  <si>
    <t>PPIM185042F3</t>
  </si>
  <si>
    <t>นาย ณัฐพล ธนสมบูรณ์</t>
  </si>
  <si>
    <t>PPIM185042DF</t>
  </si>
  <si>
    <t>PPIM18504234</t>
  </si>
  <si>
    <t>PPIM185042F7</t>
  </si>
  <si>
    <t>PPIM19500425</t>
  </si>
  <si>
    <t>PPIM1950042B</t>
  </si>
  <si>
    <t>PPIM18502A62</t>
  </si>
  <si>
    <t>PPIM19500483</t>
  </si>
  <si>
    <t>บริษัท ซีพี แอ็กซ์ตร้า จำกัด (มหาชน)</t>
  </si>
  <si>
    <t>PPIM19500484</t>
  </si>
  <si>
    <t>บริษัท นครปฐมไพศาล จำกัด</t>
  </si>
  <si>
    <t>PPIM1950048E</t>
  </si>
  <si>
    <t>PPIM1950048F</t>
  </si>
  <si>
    <t>นาง เบญจา นิฏฐิยานนท์</t>
  </si>
  <si>
    <t>PPIM19500499</t>
  </si>
  <si>
    <t>บริษัท ไทยยูเนี่ยน กรุ๊ป จำกัด(มหาชน)</t>
  </si>
  <si>
    <t>PPIM1950049B</t>
  </si>
  <si>
    <t>PPIM195004B2</t>
  </si>
  <si>
    <t>PPIM185033EE</t>
  </si>
  <si>
    <t>PPIM195004CF</t>
  </si>
  <si>
    <t>PPIM195004E4</t>
  </si>
  <si>
    <t>บริษัท ซี.เจ. เอ็หซ์เพรส กรุ๊ป จำกัด</t>
  </si>
  <si>
    <t>PPIM195004F8</t>
  </si>
  <si>
    <t>PPIM195004FC</t>
  </si>
  <si>
    <t>PPIM1950050C</t>
  </si>
  <si>
    <t>ถิรเดช โรจนภัทรากุล</t>
  </si>
  <si>
    <t>PPIM1950050F</t>
  </si>
  <si>
    <t>PPIM19500517</t>
  </si>
  <si>
    <t>บริษัท คูลลิ่งกรีน จำกัด</t>
  </si>
  <si>
    <t>PPIM19500529</t>
  </si>
  <si>
    <t>เทศบาลตำบลบางกระทึก</t>
  </si>
  <si>
    <t>PPIM19500541</t>
  </si>
  <si>
    <t>ไทยเมอร์รี่ จำกัด</t>
  </si>
  <si>
    <t>PPIM1950054A</t>
  </si>
  <si>
    <t>PPIM19500551</t>
  </si>
  <si>
    <t>PPIM19500554</t>
  </si>
  <si>
    <t>บริษัท ซี.เจ.เอ็กซ์เพรส กรุ๊ป จำกัด (สาขาเพชรเกษม 122)</t>
  </si>
  <si>
    <t>PPIM19500555</t>
  </si>
  <si>
    <t>PPIM185044B4</t>
  </si>
  <si>
    <t>PPIM185043DA</t>
  </si>
  <si>
    <t>PPIM19500590</t>
  </si>
  <si>
    <t>PPIM19500593</t>
  </si>
  <si>
    <t>บริษัท รวมใจ โปรดักดิ์ จำกัด</t>
  </si>
  <si>
    <t>PPIM1950059B</t>
  </si>
  <si>
    <t>บริษัท ก้องเพชร จำกัด</t>
  </si>
  <si>
    <t>PPIM19500030</t>
  </si>
  <si>
    <t>PPIM185032C5</t>
  </si>
  <si>
    <t>โรงเรียนอนุบาลเมฆบัณฑิต</t>
  </si>
  <si>
    <t>PPIM1950063E</t>
  </si>
  <si>
    <t>PPIM1950064C</t>
  </si>
  <si>
    <t>PPIM19500657</t>
  </si>
  <si>
    <t>PPIM18504275</t>
  </si>
  <si>
    <t>บริษัท อินเตอร์ พลาสแม็ช จำกัด</t>
  </si>
  <si>
    <t>PPIM1850369B</t>
  </si>
  <si>
    <t>บริษัท ฟาร์เมอร์ซัพพลาย จำกัด</t>
  </si>
  <si>
    <t>PPIM19500689</t>
  </si>
  <si>
    <t>บริษัท ซีพี แอ็กซ์ต้า จำกัด (มหาชน) (สำนักงานใหญ่)</t>
  </si>
  <si>
    <t>PPIM19500699</t>
  </si>
  <si>
    <t>บริษัท อาร์เอ็มซี กรุ๊ป คอร์ปอเรชั่น จำกัด</t>
  </si>
  <si>
    <t>PPIM195006BC</t>
  </si>
  <si>
    <t>ห้างหุ้นส่วนจำกัด ต.ทวีรุ่งเรือง(1992)</t>
  </si>
  <si>
    <t>PPIM18504872</t>
  </si>
  <si>
    <t>PPIM195006D0</t>
  </si>
  <si>
    <t>บริษัท ทาซ่าอินดัสเทรียล จำกัด02</t>
  </si>
  <si>
    <t>PPIM185046ED</t>
  </si>
  <si>
    <t>PPIM195006EE</t>
  </si>
  <si>
    <t>PPIM195006FB</t>
  </si>
  <si>
    <t>PPIM195002B4</t>
  </si>
  <si>
    <t>PPIM18504911</t>
  </si>
  <si>
    <t>บริษัท ออกานิกส์ คอนเม่ จำกัด</t>
  </si>
  <si>
    <t>PPIM19500642</t>
  </si>
  <si>
    <t>PPIM18503AE1</t>
  </si>
  <si>
    <t>PPIM19500726</t>
  </si>
  <si>
    <t>บริษัท ช. เอราวัณมอเตอร์ นครปฐม จำกัด</t>
  </si>
  <si>
    <t>PPIM19500733</t>
  </si>
  <si>
    <t>PPIM1950073E</t>
  </si>
  <si>
    <t>PPIM1950074C</t>
  </si>
  <si>
    <t>ชลิตา หอมจันทร์จีรัง</t>
  </si>
  <si>
    <t>PPIM195001CD</t>
  </si>
  <si>
    <t>บริษัทฉั่วฮะเส็ง ฟู้ดโปรดักส์ จำกัด</t>
  </si>
  <si>
    <t>PPIM1950075A</t>
  </si>
  <si>
    <t>บริษัท สตาร์มาร์คแมนูแฟคเชอร์ริ่ง จำกัด</t>
  </si>
  <si>
    <t>PPIM18504A23</t>
  </si>
  <si>
    <t>บริษัท พลาสติ๊ง จำกัด</t>
  </si>
  <si>
    <t>PPIM18504030</t>
  </si>
  <si>
    <t>โรงเรียนสมุทรสาครวิทยาลัย</t>
  </si>
  <si>
    <t>PPIM18503FD1</t>
  </si>
  <si>
    <t>PPIM1950077D</t>
  </si>
  <si>
    <t>บริษัท มหาโชค แอสเสท จำกัด</t>
  </si>
  <si>
    <t>PPIM18503F50</t>
  </si>
  <si>
    <t>PPIM1950078A</t>
  </si>
  <si>
    <t>PPIM185043FF</t>
  </si>
  <si>
    <t>PPIM19500798</t>
  </si>
  <si>
    <t>PPIM195007BD</t>
  </si>
  <si>
    <t>PPIM195007C0</t>
  </si>
  <si>
    <t>PPIM195007C1</t>
  </si>
  <si>
    <t>PPIM195007C3</t>
  </si>
  <si>
    <t>PPIM18503B83</t>
  </si>
  <si>
    <t>บริษัท เอ็ม จี ที แพลนท์โกรท จำกัด</t>
  </si>
  <si>
    <t>PPIM195007CA</t>
  </si>
  <si>
    <t>PPIM195007CB</t>
  </si>
  <si>
    <t>บริษัท แพนสยาม แมนูแฟคเจอริ่ง จำกัด</t>
  </si>
  <si>
    <t>PPIM18504679</t>
  </si>
  <si>
    <t>PPIM19500332</t>
  </si>
  <si>
    <t>PPIM195007E6</t>
  </si>
  <si>
    <t>PPIM185047CA</t>
  </si>
  <si>
    <t>ห้างหุ้นส่วนจำกัด ศรีสกุลพลาสติก</t>
  </si>
  <si>
    <t>PPIM19500804</t>
  </si>
  <si>
    <t>PPIM19500214</t>
  </si>
  <si>
    <t>บริษัท บางจาก คอร์ปอเรชั่น จำกัด (มหาชน)</t>
  </si>
  <si>
    <t>PPIM19500810</t>
  </si>
  <si>
    <t>PPIM19500817</t>
  </si>
  <si>
    <t>PPIM18503DFF</t>
  </si>
  <si>
    <t>บริษัท อีซูซุมหานคร จำกัด</t>
  </si>
  <si>
    <t>PPIM19500821</t>
  </si>
  <si>
    <t>PPIM19500823</t>
  </si>
  <si>
    <t>PPIM19500829</t>
  </si>
  <si>
    <t>PPIM19500832</t>
  </si>
  <si>
    <t>PPIM1950083C</t>
  </si>
  <si>
    <t>PPIM19500843</t>
  </si>
  <si>
    <t>PPIM1950084A</t>
  </si>
  <si>
    <t>PPIM18504876</t>
  </si>
  <si>
    <t>PPIM19500856</t>
  </si>
  <si>
    <t>PPIM1950085A</t>
  </si>
  <si>
    <t>บริษัท มิลเลี่ยนโพลีซีล อินดัสตรี้ จำกัด</t>
  </si>
  <si>
    <t>PPIM19500862</t>
  </si>
  <si>
    <t>บริษัท มิลเลี่ยน โพลีซีล จำกัด</t>
  </si>
  <si>
    <t>PPIM1950087C</t>
  </si>
  <si>
    <t>PPIM1950033D</t>
  </si>
  <si>
    <t>PPIM19500887</t>
  </si>
  <si>
    <t>PPIM1850478E</t>
  </si>
  <si>
    <t>PPIM1950089F</t>
  </si>
  <si>
    <t>PPIM195003CC</t>
  </si>
  <si>
    <t>PPIM195003C1</t>
  </si>
  <si>
    <t>PPIM195008AC</t>
  </si>
  <si>
    <t>PPIM195008B1</t>
  </si>
  <si>
    <t>บริษัท โฮม โปรดักส์ เซ็นเตอร์ จำกัด (มหาชน)</t>
  </si>
  <si>
    <t>PPIM195008B4</t>
  </si>
  <si>
    <t>PPIM18503B7B</t>
  </si>
  <si>
    <t>PPIM195008E3</t>
  </si>
  <si>
    <t>PPIM18504846</t>
  </si>
  <si>
    <t>PPIM19500902</t>
  </si>
  <si>
    <t>PPIM185046A0</t>
  </si>
  <si>
    <t>บริษัท พรีเมียมโฟม จำกัด</t>
  </si>
  <si>
    <t>PPIM19500905</t>
  </si>
  <si>
    <t>PPIM195003F0</t>
  </si>
  <si>
    <t>PPIM18503C7B</t>
  </si>
  <si>
    <t>PPIM1850344B</t>
  </si>
  <si>
    <t>บริษัท ไทวิศว์ คอร์ปอเรชั่น จำกัด</t>
  </si>
  <si>
    <t>PPIM1950090D</t>
  </si>
  <si>
    <t>บริษัท ทานตะวันอุตสาหกรรม จำกัด (มหาชน)</t>
  </si>
  <si>
    <t>PPIM19500928</t>
  </si>
  <si>
    <t>บริษัท จีทีเอส อินดัสเตรียล จำกัด</t>
  </si>
  <si>
    <t>PPIM19500929</t>
  </si>
  <si>
    <t>PPIM1950047D</t>
  </si>
  <si>
    <t>บริษัท เมตตาอาหารเจ จำกัด</t>
  </si>
  <si>
    <t>PPIM18501D2E</t>
  </si>
  <si>
    <t>PPIM1950092A</t>
  </si>
  <si>
    <t>PPIM19500931</t>
  </si>
  <si>
    <t>PPIM19500935</t>
  </si>
  <si>
    <t>PPIM1850458D</t>
  </si>
  <si>
    <t>บริษัท เอราวัณ โปลี แบ็ค จำกัด</t>
  </si>
  <si>
    <t>PPIM195003EF</t>
  </si>
  <si>
    <t>PPIM19500963</t>
  </si>
  <si>
    <t>PPIM19500707</t>
  </si>
  <si>
    <t>PPIM19500965</t>
  </si>
  <si>
    <t>PPIM19500970</t>
  </si>
  <si>
    <t>PPIM1950097A</t>
  </si>
  <si>
    <t>PPIM195007CE</t>
  </si>
  <si>
    <t>PPIM1950097D</t>
  </si>
  <si>
    <t>PPIM19500891</t>
  </si>
  <si>
    <t>PPIM1950097F</t>
  </si>
  <si>
    <t>PPIM19500754</t>
  </si>
  <si>
    <t>PPIM19500989</t>
  </si>
  <si>
    <t>PPIM19500999</t>
  </si>
  <si>
    <t>PPIM19500728</t>
  </si>
  <si>
    <t>PPIM195006E7</t>
  </si>
  <si>
    <t>PPIM1950010E</t>
  </si>
  <si>
    <t>PPIM18504649</t>
  </si>
  <si>
    <t>บริษัท ไทยเครื่องชั่ง จำกัด</t>
  </si>
  <si>
    <t>PPIM18504626</t>
  </si>
  <si>
    <t>นางเกศณี ล้อมวงษ์</t>
  </si>
  <si>
    <t>PPIM18503FD5</t>
  </si>
  <si>
    <t>PPIM195002E4</t>
  </si>
  <si>
    <t>บริษัท ซานไทย พี แอนด์ เอส จำกัด</t>
  </si>
  <si>
    <t>PPIM1950035C</t>
  </si>
  <si>
    <t>PPIM195009D2</t>
  </si>
  <si>
    <t>บริษัท น้ำมันอพอลโล (ไทย) จำกัด</t>
  </si>
  <si>
    <t>PPIM195009D5</t>
  </si>
  <si>
    <t>PPIM195009E1</t>
  </si>
  <si>
    <t>PPIM1950021A</t>
  </si>
  <si>
    <t>PPIM195009E9</t>
  </si>
  <si>
    <t>บริษัท อีโก้ แบ็ค จำกัด</t>
  </si>
  <si>
    <t>PPIM195003D1</t>
  </si>
  <si>
    <t>PPIM19500A0A</t>
  </si>
  <si>
    <t>PPIM195000D3</t>
  </si>
  <si>
    <t>ที่่ว่าการอำเภอกระทุ่มแบน</t>
  </si>
  <si>
    <t>PPIM195001C3</t>
  </si>
  <si>
    <t>บริษัท กิจสมเจริญก่อสร้าง จำกัด</t>
  </si>
  <si>
    <t>PPIM19500A11</t>
  </si>
  <si>
    <t>นายสมชาย ตรีอำนรรค</t>
  </si>
  <si>
    <t>PPIM19500A12</t>
  </si>
  <si>
    <t>PPIM19500A16</t>
  </si>
  <si>
    <t>PPIM1950063C</t>
  </si>
  <si>
    <t>PPIM18503BE6</t>
  </si>
  <si>
    <t>PPIM19500A38</t>
  </si>
  <si>
    <t>PPIM19500A3C</t>
  </si>
  <si>
    <t>PPIM19500A3F</t>
  </si>
  <si>
    <t>PPIM19500A43</t>
  </si>
  <si>
    <t>PPIM19500A44</t>
  </si>
  <si>
    <t>PPIM19500A47</t>
  </si>
  <si>
    <t>PPIM19500A4F</t>
  </si>
  <si>
    <t>PPIM18504568</t>
  </si>
  <si>
    <t>PPIM19500A52</t>
  </si>
  <si>
    <t>PPIM1950064D</t>
  </si>
  <si>
    <t>PPIM195009AD</t>
  </si>
  <si>
    <t>PPIM185034BD</t>
  </si>
  <si>
    <t>PPIM195005C4</t>
  </si>
  <si>
    <t>PPIM18504607</t>
  </si>
  <si>
    <t>PPIM19500A86</t>
  </si>
  <si>
    <t>PPIM19500A88</t>
  </si>
  <si>
    <t>PPIM18502F7A</t>
  </si>
  <si>
    <t>บริษัท เลมอน มี ฟาร์ม จำกัด</t>
  </si>
  <si>
    <t>PPIM19500A99</t>
  </si>
  <si>
    <t>PPIM19500A9A</t>
  </si>
  <si>
    <t>บริษัท ไทยนามพลาสติกส์ จำกัด (มหาชน)</t>
  </si>
  <si>
    <t>PPIM19500AA0</t>
  </si>
  <si>
    <t>PPIM19500A27</t>
  </si>
  <si>
    <t>PPIM19500AAD</t>
  </si>
  <si>
    <t>PPIM19500AAF</t>
  </si>
  <si>
    <t>บริษัท เฟิร์มเฟรช จำกัด</t>
  </si>
  <si>
    <t>PPIM19500AB4</t>
  </si>
  <si>
    <t>PPIM19500AB6</t>
  </si>
  <si>
    <t>PPIM195009FF</t>
  </si>
  <si>
    <t>นายวิวัฒน์ ดาบทอง</t>
  </si>
  <si>
    <t>PPIM19500ABB</t>
  </si>
  <si>
    <t>บริษัท ลัคกี้ ยูเนี่ยน ฟู้ดส์ จำกัด</t>
  </si>
  <si>
    <t>PPIM1850478C</t>
  </si>
  <si>
    <t>PPIM18503FA8</t>
  </si>
  <si>
    <t>PPIM19500ACF</t>
  </si>
  <si>
    <t>ห้างหุ้นส่วนจำกัด เจ๊เปิ้ลหมูสดนครปฐม</t>
  </si>
  <si>
    <t>PPIM19500AD1</t>
  </si>
  <si>
    <t>PPIM19500AD4</t>
  </si>
  <si>
    <t>PPIM19500AD7</t>
  </si>
  <si>
    <t>นายอาทิตย์ รักษาพราหมณ์</t>
  </si>
  <si>
    <t>PPIM19500AE1</t>
  </si>
  <si>
    <t>PPIM19500AE2</t>
  </si>
  <si>
    <t>PPIM19500AF1</t>
  </si>
  <si>
    <t>PPIM19500AFA</t>
  </si>
  <si>
    <t>บริษัท เอราวัณฟูด จำกัด (มหาชน)</t>
  </si>
  <si>
    <t>PPIM19500B00</t>
  </si>
  <si>
    <t>PPIM19500B0B</t>
  </si>
  <si>
    <t>PPIM19500B1E</t>
  </si>
  <si>
    <t>วัดท่าเสด็จ</t>
  </si>
  <si>
    <t>PPIM19500B21</t>
  </si>
  <si>
    <t>PPIM19500B28</t>
  </si>
  <si>
    <t>PPIM19500B29</t>
  </si>
  <si>
    <t>PPIM19500B2C</t>
  </si>
  <si>
    <t>PPIM19500B2D</t>
  </si>
  <si>
    <t>PPIM19500B35</t>
  </si>
  <si>
    <t>PPIM19500971</t>
  </si>
  <si>
    <t>PPIM19500A2F</t>
  </si>
  <si>
    <t>บริษัท 949 ซัพพลายส์ จำกัด</t>
  </si>
  <si>
    <t>PPIM19500B5A</t>
  </si>
  <si>
    <t>นายปิติฐิติยา ดิลกพรหิรัณย์</t>
  </si>
  <si>
    <t>PPIM19500B72</t>
  </si>
  <si>
    <t>บริษัท เอส เอ็ม เลิศพิพัฒน์ จำกัด</t>
  </si>
  <si>
    <t>PPIM19500B73</t>
  </si>
  <si>
    <t>PPIM195006D8</t>
  </si>
  <si>
    <t>PPIM19500B78</t>
  </si>
  <si>
    <t>PPIM19500B79</t>
  </si>
  <si>
    <t>PPIM19500B7B</t>
  </si>
  <si>
    <t>PPIM19500B7D</t>
  </si>
  <si>
    <t>PPIM19500474</t>
  </si>
  <si>
    <t>บริษัท หลักเมืองถาวร2004 จำกัด</t>
  </si>
  <si>
    <t>PPIM1950083E</t>
  </si>
  <si>
    <t>PPIM19500B9D</t>
  </si>
  <si>
    <t>PPIM19500BB0</t>
  </si>
  <si>
    <t>PPIM19500BC2</t>
  </si>
  <si>
    <t>บริษัท ช.เอราวัณมอเตอร์ นครปฐม จำกัด</t>
  </si>
  <si>
    <t>PPIM19500BC7</t>
  </si>
  <si>
    <t>บริษัท อาร์เอ็กซ์ แมนูแฟคเจอริ่ง จำกัด</t>
  </si>
  <si>
    <t>PPIM19500A65</t>
  </si>
  <si>
    <t>PPIM19500BDE</t>
  </si>
  <si>
    <t>PPIM195004F0</t>
  </si>
  <si>
    <t>PPIM19500B0A</t>
  </si>
  <si>
    <t>PPIM19500BE6</t>
  </si>
  <si>
    <t>PPIM19500A13</t>
  </si>
  <si>
    <t>PPIM19500BF9</t>
  </si>
  <si>
    <t>PPIM19500C22</t>
  </si>
  <si>
    <t>บริษัท พีอาร์ที สยามเอ็นจิเนียร์ จำกัด</t>
  </si>
  <si>
    <t>PPIM19500C30</t>
  </si>
  <si>
    <t>PPIM185011C7</t>
  </si>
  <si>
    <t>ห้างหุ้นส่วนจำกัด พีแอนด์ แอล รีไซเคิล</t>
  </si>
  <si>
    <t>PPIM19500C40</t>
  </si>
  <si>
    <t>PPIM1850490F</t>
  </si>
  <si>
    <t>บริษัท ยูนิแลนด์ กอล์ฟ แอนด์ คันทรี คลับ จำกัด</t>
  </si>
  <si>
    <t>PPIM18504860</t>
  </si>
  <si>
    <t>PPIM19500C44</t>
  </si>
  <si>
    <t>PPIM19500C5D</t>
  </si>
  <si>
    <t>PPIM19500C63</t>
  </si>
  <si>
    <t>PPIM19500C68</t>
  </si>
  <si>
    <t>บริษัท ไทย ยูนิค ฟูดส์ จำกัด</t>
  </si>
  <si>
    <t>PPIM19500C73</t>
  </si>
  <si>
    <t>PPIM19500A2D</t>
  </si>
  <si>
    <t>PPIM19500C8B</t>
  </si>
  <si>
    <t>PPIM19500AFF</t>
  </si>
  <si>
    <t>PPIM19500C9F</t>
  </si>
  <si>
    <t>บริษัท วิชั่นเท็กซ์ จำกัด</t>
  </si>
  <si>
    <t>PPIM19500ABC</t>
  </si>
  <si>
    <t>บริษัท บีบีสมาร์ทคาร์ จำกัด</t>
  </si>
  <si>
    <t>PPIM19500A33</t>
  </si>
  <si>
    <t>PPIM19500CC0</t>
  </si>
  <si>
    <t>PPIM19500CC4</t>
  </si>
  <si>
    <t>PPIM19500D08</t>
  </si>
  <si>
    <t>นายกิตติ สุขสวัสดิ์</t>
  </si>
  <si>
    <t>PPIM19500D10</t>
  </si>
  <si>
    <t>PPIM19500778</t>
  </si>
  <si>
    <t>บริษัท อินเตอร์ เรสซิเดนซ์ เซอร์วิส จำกัด</t>
  </si>
  <si>
    <t>PPIM19500D1A</t>
  </si>
  <si>
    <t>PPIM19500D22</t>
  </si>
  <si>
    <t>PPIM19500D31</t>
  </si>
  <si>
    <t>น.ส.กาญจน์สิตา ไกรอณัญญารุจน์</t>
  </si>
  <si>
    <t>PPIM19500D4F</t>
  </si>
  <si>
    <t>PPIM19500D53</t>
  </si>
  <si>
    <t>PPIM19500D72</t>
  </si>
  <si>
    <t>PPIM1950000C</t>
  </si>
  <si>
    <t>บริษัท ซีเอส ฟาร์ม สุพรรณบุรี จำกัด</t>
  </si>
  <si>
    <t>PPIM195006A4</t>
  </si>
  <si>
    <t>นาง นภาภรณ์ สุดประเสริฐ</t>
  </si>
  <si>
    <t>PPIM19500564</t>
  </si>
  <si>
    <t>บริษัท เค ไอ เอ็นเตอร์ไพรส์ จำกัด</t>
  </si>
  <si>
    <t>PPIM19500D92</t>
  </si>
  <si>
    <t>นาง สุกัญญา พันธุ์เกตุมงคล</t>
  </si>
  <si>
    <t>PPIM19500DA7</t>
  </si>
  <si>
    <t>PPIM19500DB2</t>
  </si>
  <si>
    <t>บริษัท ไทยมารีนโพรเทคชั่น จำกัด</t>
  </si>
  <si>
    <t>PPIM19500DE8</t>
  </si>
  <si>
    <t>PPIM19500C86</t>
  </si>
  <si>
    <t>บริษัท 949 ซัพพลายส์จำกัด</t>
  </si>
  <si>
    <t>PPIM19500DEB</t>
  </si>
  <si>
    <t>PPIM19500C27</t>
  </si>
  <si>
    <t>PPIM19500DED</t>
  </si>
  <si>
    <t>PPIM19500C26</t>
  </si>
  <si>
    <t>PPIM19500DEF</t>
  </si>
  <si>
    <t>PPIM19500DF2</t>
  </si>
  <si>
    <t>PPIM19500DF3</t>
  </si>
  <si>
    <t>PPIM19500DF4</t>
  </si>
  <si>
    <t>PPIM19500DF5</t>
  </si>
  <si>
    <t>PPIM19500DF7</t>
  </si>
  <si>
    <t>PPIM19500DFA</t>
  </si>
  <si>
    <t>PPIM19500DFE</t>
  </si>
  <si>
    <t>PPIM19500E02</t>
  </si>
  <si>
    <t>PPIM19500E05</t>
  </si>
  <si>
    <t>PPIM19500E0E</t>
  </si>
  <si>
    <t>PPIM19500E0F</t>
  </si>
  <si>
    <t>PPIM19500E10</t>
  </si>
  <si>
    <t>PPIM19500E11</t>
  </si>
  <si>
    <t>PPIM19500E12</t>
  </si>
  <si>
    <t>บริษัท มิลเลี่ยน โพลีซีล อินดัสตรี้ จำกัด</t>
  </si>
  <si>
    <t>PPIM19500E13</t>
  </si>
  <si>
    <t>PPIM19500E16</t>
  </si>
  <si>
    <t>PPIM19500E19</t>
  </si>
  <si>
    <t>PPIM19500E1D</t>
  </si>
  <si>
    <t>PPIM19500A97</t>
  </si>
  <si>
    <t>PPIM19500E37</t>
  </si>
  <si>
    <t>PPIM19500E07</t>
  </si>
  <si>
    <t>PPIM19500E09</t>
  </si>
  <si>
    <t>PPIM185042CF</t>
  </si>
  <si>
    <t>ห้างหุ้นส่วนจำกัด ผลิตภัณฑ์ เอ.อาร์</t>
  </si>
  <si>
    <t>PPIM19500E4F</t>
  </si>
  <si>
    <t>PPIM19500E50</t>
  </si>
  <si>
    <t>PPIM19500E56</t>
  </si>
  <si>
    <t>PPIM19500E57</t>
  </si>
  <si>
    <t>บริษัท เค พี เอ รับเบอร์ พาร์ท แอนด์ ยูรีเทรน จำกัด</t>
  </si>
  <si>
    <t>PPIM19500E62</t>
  </si>
  <si>
    <t>PPIM19500E65</t>
  </si>
  <si>
    <t>PPIM19500E66</t>
  </si>
  <si>
    <t>PPIM19500E69</t>
  </si>
  <si>
    <t>PPIM19500E6A</t>
  </si>
  <si>
    <t>PPIM19500E6B</t>
  </si>
  <si>
    <t>PPIM19500E7C</t>
  </si>
  <si>
    <t>PPIM19500E88</t>
  </si>
  <si>
    <t>PPIM19500E8E</t>
  </si>
  <si>
    <t>PPIM1850041B</t>
  </si>
  <si>
    <t>PPIM19500E81</t>
  </si>
  <si>
    <t>PPIM19500E78</t>
  </si>
  <si>
    <t>PPIM19500EB2</t>
  </si>
  <si>
    <t>บริษัท ไทยเอเซีย บิสกิท จำกัด</t>
  </si>
  <si>
    <t>PPIM19500EDF</t>
  </si>
  <si>
    <t>PPIM19500335</t>
  </si>
  <si>
    <t>PPIM19500EE2</t>
  </si>
  <si>
    <t>PPIM19500F13</t>
  </si>
  <si>
    <t>PPIM19500C69</t>
  </si>
  <si>
    <t>PPIM19500AE7</t>
  </si>
  <si>
    <t>PPIM19500F36</t>
  </si>
  <si>
    <t>PPIM19500C72</t>
  </si>
  <si>
    <t>PPIM19500F4F</t>
  </si>
  <si>
    <t>PPIM19500C56</t>
  </si>
  <si>
    <t>PPIM1950025A</t>
  </si>
  <si>
    <t>บริษัท อินเตอร์ไพรส์บุษราคัม โปรพลาส จำกัด</t>
  </si>
  <si>
    <t>PPIM19500F7F</t>
  </si>
  <si>
    <t>บริษัท เซตต้า ฟาร์มา จำกัด</t>
  </si>
  <si>
    <t>PPIM19500C7E</t>
  </si>
  <si>
    <t>PPIM19500144</t>
  </si>
  <si>
    <t>PPIM19500C76</t>
  </si>
  <si>
    <t>PPIM185025CD</t>
  </si>
  <si>
    <t>บริษัท เอ็กซ์เพิท ทีม จำกัด</t>
  </si>
  <si>
    <t>PPIM19500FCB</t>
  </si>
  <si>
    <t>บริษัท ทรู อินเตอร์เน็ต คอร์ปอเรชั่น จำกัด</t>
  </si>
  <si>
    <t>PPIM19500FCD</t>
  </si>
  <si>
    <t>นิคม สุขมารถ</t>
  </si>
  <si>
    <t>PPIM195001C7</t>
  </si>
  <si>
    <t>PPIM18504706</t>
  </si>
  <si>
    <t>ห้างหุ้นส่วนจำกัด วัฒน์ษาทวาสิน</t>
  </si>
  <si>
    <t>PPIM19500FEC</t>
  </si>
  <si>
    <t>PPIM19500A7A</t>
  </si>
  <si>
    <t>สำนักงานสรรพสามิตภาคที่ 7</t>
  </si>
  <si>
    <t>PPIM19500FF8</t>
  </si>
  <si>
    <t>PPIM1950013C</t>
  </si>
  <si>
    <t>นายธนาวุฒิ ธีรพันธุ์เสถียร</t>
  </si>
  <si>
    <t>PPIM19500076</t>
  </si>
  <si>
    <t>PPIM19501022</t>
  </si>
  <si>
    <t>PPIM1950102D</t>
  </si>
  <si>
    <t>บริษัท เคส แอนด์ คอฟเวอร์ จำกัด</t>
  </si>
  <si>
    <t>PPIM19500BA6</t>
  </si>
  <si>
    <t>PPIM19501052</t>
  </si>
  <si>
    <t>บริษัท พลัส แพคเกจจิ้ง จำกัด</t>
  </si>
  <si>
    <t>PPIM19501058</t>
  </si>
  <si>
    <t>PPIM1950105A</t>
  </si>
  <si>
    <t>บริษัท ซี.เจ. เอ็กซ์เพรส กรุ๊ป จำกัด (สาขาวัดใหม่ปิ่นเกลียว)</t>
  </si>
  <si>
    <t>PPIM19500443</t>
  </si>
  <si>
    <t>บริษัท เพิ่มสินสตีลเวิคส์ จำกัด (มหาชน)</t>
  </si>
  <si>
    <t>PPIM1950106C</t>
  </si>
  <si>
    <t>บริษัท ซี.เจ. เอ็กซ์เพรส กรุ๊ป จำกัด (สาขาศาลายา 2)</t>
  </si>
  <si>
    <t>PPIM19501080</t>
  </si>
  <si>
    <t>PPIM1950109D</t>
  </si>
  <si>
    <t>บริษัท เอ็ม ทู บี เทรดดิ้ง จำกัด</t>
  </si>
  <si>
    <t>PPIM195010AB</t>
  </si>
  <si>
    <t>บริษัท ดี.เอส.ที.1993 จำกัด</t>
  </si>
  <si>
    <t>PPIM195010B1</t>
  </si>
  <si>
    <t>บริษัท ซี.เจ. เอ็กซ์เพรส กรุ๊ป จำกัด (สาขาทุ่งบัว)</t>
  </si>
  <si>
    <t>PPIM195010B5</t>
  </si>
  <si>
    <t>PPIM195010B8</t>
  </si>
  <si>
    <t>บริษัท ซัสเซส เอ็นเตอร์ไพรส์ (2000)จำกัด</t>
  </si>
  <si>
    <t>PPIM195003BB</t>
  </si>
  <si>
    <t>PPIM19500E3B</t>
  </si>
  <si>
    <t>PPIM195010C2</t>
  </si>
  <si>
    <t>บริษัท ซี.เจ. เอ็กซ์เพรส กรุ๊ป จำกัด (สาขาตลาดชุมชนบางเลน)</t>
  </si>
  <si>
    <t>PPIM195010C7</t>
  </si>
  <si>
    <t>บริษัท ซี.เจ. เอ็กซ์เพรส กรุ๊ป จำกัด (สาขาแยกกรมสัตว์)</t>
  </si>
  <si>
    <t>PPIM195010D8</t>
  </si>
  <si>
    <t>PPIM1950110E</t>
  </si>
  <si>
    <t>บริษัท ซี.เจ. เอ็กซ์เพรส กรุ๊ป จำกัด (สาขาวัดเกาะวังไทร)</t>
  </si>
  <si>
    <t>PPIM19501118</t>
  </si>
  <si>
    <t>บริษัท ที.แอนด์.เค.พลาสติก จำกัด</t>
  </si>
  <si>
    <t>PPIM1950111C</t>
  </si>
  <si>
    <t>PPIM19501127</t>
  </si>
  <si>
    <t>PPIM1950112D</t>
  </si>
  <si>
    <t>บริษัท โรงพยาบาลมหาชัย จำกัด (มหาชน)</t>
  </si>
  <si>
    <t>PPIM1950112F</t>
  </si>
  <si>
    <t>บริษัท ไทยแวลูแคร์ จำกัด</t>
  </si>
  <si>
    <t>PPIM19501144</t>
  </si>
  <si>
    <t>บริษัท ยูนิ-ท็อป ไลเตอร์ จำกัด</t>
  </si>
  <si>
    <t>PPIM19501145</t>
  </si>
  <si>
    <t>บริษัทเกียต้าไดคาสติ้ง</t>
  </si>
  <si>
    <t>PPIM19501146</t>
  </si>
  <si>
    <t>PPIM19500EE6</t>
  </si>
  <si>
    <t>นาย ทรงจำ สุขสำราญ</t>
  </si>
  <si>
    <t>PPIM1850252F</t>
  </si>
  <si>
    <t>บริษัท โรงงานทอผ้าใบไนล่อนชัยศิริ จำกัด</t>
  </si>
  <si>
    <t>PPIM19501149</t>
  </si>
  <si>
    <t>บริษัท สยามโกลบอลเฮ้าส์ จำกัด (มหาชน) (สาขากาญจนบุรี)</t>
  </si>
  <si>
    <t>PPIM1950114C</t>
  </si>
  <si>
    <t>บริษัท สยามโกลบอลเฮ้าส์ จำกัด (มหาชน) (สาขากระทุ่มแบน)</t>
  </si>
  <si>
    <t>PPIM1950114E</t>
  </si>
  <si>
    <t>PPIM1950115F</t>
  </si>
  <si>
    <t>โรงเรียนสกลวิทยา</t>
  </si>
  <si>
    <t>PPIM19501161</t>
  </si>
  <si>
    <t>PPIM19501164</t>
  </si>
  <si>
    <t>PPIM19501168</t>
  </si>
  <si>
    <t>PPIM19501169</t>
  </si>
  <si>
    <t>PPIM1950116C</t>
  </si>
  <si>
    <t>PPIM19501180</t>
  </si>
  <si>
    <t>บริษัท ช.ลักซ์พฤกษา จำกัด</t>
  </si>
  <si>
    <t>PPIM19501195</t>
  </si>
  <si>
    <t>รุ่งเจริญทรายทอง</t>
  </si>
  <si>
    <t>PPIM19501198</t>
  </si>
  <si>
    <t>บริษัท อี.จี.จี. คอร์เปอเรชั่น จำกัด</t>
  </si>
  <si>
    <t>PPIM185043A4</t>
  </si>
  <si>
    <t>บริษัท ไทยยูเนี่ยนสกรูน็อต จำกัด</t>
  </si>
  <si>
    <t>PPIM195011A3</t>
  </si>
  <si>
    <t>ศูนย์วิจัยและพัฒนาการเพาะเลี้ยงสัตว์น้ําจืดสุพรรณบุรี</t>
  </si>
  <si>
    <t>PPIM19500F19</t>
  </si>
  <si>
    <t>บริษัท ที.พี.เอส.แพคเกจจิ้ง จำกัด</t>
  </si>
  <si>
    <t>PPIM1950257C</t>
  </si>
  <si>
    <t>กปล. ทดสอบ</t>
  </si>
  <si>
    <t>PPIM18504099</t>
  </si>
  <si>
    <t>PPIM195011BB</t>
  </si>
  <si>
    <t>PPIM18504705</t>
  </si>
  <si>
    <t>PPIM185013A9</t>
  </si>
  <si>
    <t>บริษัท ยางโอตานิ จำกัด</t>
  </si>
  <si>
    <t>PPIM195001BA</t>
  </si>
  <si>
    <t>PPIM195011DC</t>
  </si>
  <si>
    <t>PPIM195011E5</t>
  </si>
  <si>
    <t>PPIM195011F6</t>
  </si>
  <si>
    <t>บริษัท บี.เค.ลาเท็กซ์ โปรดักส์ จำกัด</t>
  </si>
  <si>
    <t>PPIM195011F8</t>
  </si>
  <si>
    <t>PPIM19501208</t>
  </si>
  <si>
    <t>PPIM1950011D</t>
  </si>
  <si>
    <t>PPIM1950122B</t>
  </si>
  <si>
    <t>PPIM1950123B</t>
  </si>
  <si>
    <t>PPIM19501241</t>
  </si>
  <si>
    <t>PPIM19501242</t>
  </si>
  <si>
    <t>PPIM19501249</t>
  </si>
  <si>
    <t>บริษัท ไทยโอซูก้า จำกัด</t>
  </si>
  <si>
    <t>PPIM1950048A</t>
  </si>
  <si>
    <t>PPIM19501260</t>
  </si>
  <si>
    <t>PPIM19501288</t>
  </si>
  <si>
    <t>PPIM19501296</t>
  </si>
  <si>
    <t>PPIM195012B3</t>
  </si>
  <si>
    <t>บริษัท ทรู อินเทอร์เน็ต คอร์ปอเรชั่น จำกัด</t>
  </si>
  <si>
    <t>PPIM195012DD</t>
  </si>
  <si>
    <t>บริษัท ไวท์ แคร์ สกินแคร์ แอนด์ คอสเมติก จำกัด</t>
  </si>
  <si>
    <t>PPIM195012F4</t>
  </si>
  <si>
    <t>PPIM195012F5</t>
  </si>
  <si>
    <t>PPIM1950130D</t>
  </si>
  <si>
    <t>น.ส.กนกวรรณ สถิตโสฬส</t>
  </si>
  <si>
    <t>PPIM19501313</t>
  </si>
  <si>
    <t>PPIM1950131C</t>
  </si>
  <si>
    <t>บริษัท แบนโด แมนูแฟคเจอริ่ง (ประเทศไทย) จำกัด</t>
  </si>
  <si>
    <t>PPIM195011B4</t>
  </si>
  <si>
    <t>PPIM1950134C</t>
  </si>
  <si>
    <t>PPIM1950134D</t>
  </si>
  <si>
    <t>PPIM19501351</t>
  </si>
  <si>
    <t>สุวัจชัย ฉั่วศิริพร</t>
  </si>
  <si>
    <t>PPIM195010D3</t>
  </si>
  <si>
    <t>PPIM19501106</t>
  </si>
  <si>
    <t>PPIM19501370</t>
  </si>
  <si>
    <t>PPIM19500388</t>
  </si>
  <si>
    <t>PPIM19501381</t>
  </si>
  <si>
    <t>โครงการชลประทานน้ำเค็ม (ศูนย์คุ้งกระเบน)</t>
  </si>
  <si>
    <t>PPIM19501384</t>
  </si>
  <si>
    <t>PPIM1950138C</t>
  </si>
  <si>
    <t>บริษัท เฟรนด์เทค เอ็นจิเนียริ่ง จำกัด</t>
  </si>
  <si>
    <t>PPIM19501397</t>
  </si>
  <si>
    <t>PPIM195013A3</t>
  </si>
  <si>
    <t>บริษัท รุ่งโรจน์ โมลด์พลาส จำกัด</t>
  </si>
  <si>
    <t>PPIM195011FA</t>
  </si>
  <si>
    <t>PPIM195013A9</t>
  </si>
  <si>
    <t>บริษัท ลาวัณย์วิสุทธิ์พลาสติกไทย</t>
  </si>
  <si>
    <t>PPIM1950113D</t>
  </si>
  <si>
    <t>นาย ณัฐพล เอกเลิศ</t>
  </si>
  <si>
    <t>PPIM19500DAA</t>
  </si>
  <si>
    <t>PPIM195013B5</t>
  </si>
  <si>
    <t>PPIM195013CA</t>
  </si>
  <si>
    <t>PPIM195013DD</t>
  </si>
  <si>
    <t>PPIM195013DF</t>
  </si>
  <si>
    <t>PPIM195013E1</t>
  </si>
  <si>
    <t>นางสาว ธิตินาท ลีลาองอาจ</t>
  </si>
  <si>
    <t>PPIM1950140F</t>
  </si>
  <si>
    <t>PPIM19501262</t>
  </si>
  <si>
    <t>PPIM19501423</t>
  </si>
  <si>
    <t>บริษัท เอราวัณฟูด จำ กัด (มหาชน)</t>
  </si>
  <si>
    <t>PPIM19501442</t>
  </si>
  <si>
    <t>PPIM1950144C</t>
  </si>
  <si>
    <t>PPIM19501471</t>
  </si>
  <si>
    <t>บริษัท จ.ศิลป์ เอ็นจิเนียริ่ง จำกัด</t>
  </si>
  <si>
    <t>PPIM19500F49</t>
  </si>
  <si>
    <t>PPIM19501489</t>
  </si>
  <si>
    <t>PPIM195011A7</t>
  </si>
  <si>
    <t>บริษัท อาร์ ม่า ฟาร์ม 14 จำกัด</t>
  </si>
  <si>
    <t>PPIM195006B6</t>
  </si>
  <si>
    <t>บริษัท ทรัพย์แสงทองไรซ์ จำกัด</t>
  </si>
  <si>
    <t>PPIM195014CA</t>
  </si>
  <si>
    <t>PPIM1950154F</t>
  </si>
  <si>
    <t>PPIM19501082</t>
  </si>
  <si>
    <t>PPIM19500347</t>
  </si>
  <si>
    <t>PPIM19501566</t>
  </si>
  <si>
    <t>PPIM18504965</t>
  </si>
  <si>
    <t>PPIM1950159F</t>
  </si>
  <si>
    <t>PPIM195015AB</t>
  </si>
  <si>
    <t>PPIM195015AC</t>
  </si>
  <si>
    <t>PPIM195015BE</t>
  </si>
  <si>
    <t>PPIM195015C0</t>
  </si>
  <si>
    <t>บริษัท อาร์.เอส.โฮเต็ล จำกัด</t>
  </si>
  <si>
    <t>PPIM195015C5</t>
  </si>
  <si>
    <t>PPIM195015C6</t>
  </si>
  <si>
    <t>บริษัท เอแคร์ไก่ขาวฟาร์ม จำกัด</t>
  </si>
  <si>
    <t>PPIM195012F2</t>
  </si>
  <si>
    <t>PPIM1950134B</t>
  </si>
  <si>
    <t>บริษัท เอส. เจ สกรูไทย จำกัด</t>
  </si>
  <si>
    <t>PPIM19501111</t>
  </si>
  <si>
    <t>บริษัท เอ็น.ยู.ซี.อินเตอร์แพค จำกัด</t>
  </si>
  <si>
    <t>PPIM195006F3</t>
  </si>
  <si>
    <t>PPIM1950162C</t>
  </si>
  <si>
    <t>บริษัท รีมส์ แอนด์ โรลส์ จำกัด</t>
  </si>
  <si>
    <t>PPIM19501631</t>
  </si>
  <si>
    <t>PPIM1950163C</t>
  </si>
  <si>
    <t>บริษัท ท็อปมัลติพริ้นทส์ จำกัด</t>
  </si>
  <si>
    <t>PPIM19501640</t>
  </si>
  <si>
    <t>PPIM19501649</t>
  </si>
  <si>
    <t>PPIM19501668</t>
  </si>
  <si>
    <t>PPIM19501695</t>
  </si>
  <si>
    <t>PPIM1950109F</t>
  </si>
  <si>
    <t>PPIM195010BF</t>
  </si>
  <si>
    <t>PPIM195016B7</t>
  </si>
  <si>
    <t>บริษัท แสงศิลป์การพิมพ์ จำกัด</t>
  </si>
  <si>
    <t>PPIM195016BC</t>
  </si>
  <si>
    <t>PPIM195016BD</t>
  </si>
  <si>
    <t>PPIM195016C4</t>
  </si>
  <si>
    <t>นางจีระ กิตติถาวร</t>
  </si>
  <si>
    <t>PPIM195016DB</t>
  </si>
  <si>
    <t>PPIM195016E3</t>
  </si>
  <si>
    <t>PPIM195016F5</t>
  </si>
  <si>
    <t>PPIM195016F6</t>
  </si>
  <si>
    <t>PPIM19501707</t>
  </si>
  <si>
    <t>PPIM19501709</t>
  </si>
  <si>
    <t>บริษัท อาร์ เอ็ม ซี เมทัลวู๊ด จำกัด</t>
  </si>
  <si>
    <t>PPIM1950170E</t>
  </si>
  <si>
    <t>PPIM19501715</t>
  </si>
  <si>
    <t>บริษัท ล้อศิรินิมิตรวงศ์เท็กซ์ไทล์ จำกัด</t>
  </si>
  <si>
    <t>PPIM19501730</t>
  </si>
  <si>
    <t>PPIM19501731</t>
  </si>
  <si>
    <t>PPIM19501733</t>
  </si>
  <si>
    <t>PPIM19501736</t>
  </si>
  <si>
    <t>PPIM19501754</t>
  </si>
  <si>
    <t>PPIM19501778</t>
  </si>
  <si>
    <t>PPIM1950177B</t>
  </si>
  <si>
    <t>PPIM19501780</t>
  </si>
  <si>
    <t>บริษัท เอส.เอส.ดี.พลาสติกคส์ อินดัสตรีส์ จำกัด</t>
  </si>
  <si>
    <t>PPIM1950178C</t>
  </si>
  <si>
    <t>PPIM1950178E</t>
  </si>
  <si>
    <t>PPIM19501799</t>
  </si>
  <si>
    <t>PPIM195017B1</t>
  </si>
  <si>
    <t>PPIM195017B5</t>
  </si>
  <si>
    <t>PPIM195017B7</t>
  </si>
  <si>
    <t>บริษัท ช.ชัยชนะกิจเอ็นจิเนียริ่ง จำกัด</t>
  </si>
  <si>
    <t>PPIM195017C3</t>
  </si>
  <si>
    <t>PPIM195017C4</t>
  </si>
  <si>
    <t>PPIM195017DE</t>
  </si>
  <si>
    <t>PPIM195017E9</t>
  </si>
  <si>
    <t>PPIM195017EB</t>
  </si>
  <si>
    <t>PPIM19501308</t>
  </si>
  <si>
    <t>PPIM195017FF</t>
  </si>
  <si>
    <t>PPIM19501807</t>
  </si>
  <si>
    <t>บริษัท ปลากาญจน์ จำกัด</t>
  </si>
  <si>
    <t>PPIM19501809</t>
  </si>
  <si>
    <t>PPIM1950180C</t>
  </si>
  <si>
    <t>PPIM19501810</t>
  </si>
  <si>
    <t>PPIM1950181B</t>
  </si>
  <si>
    <t>PPIM1950181D</t>
  </si>
  <si>
    <t>PPIM1950181F</t>
  </si>
  <si>
    <t>นายโชติธนินท์ อธวราธนเกียรติ</t>
  </si>
  <si>
    <t>PPIM19501821</t>
  </si>
  <si>
    <t>PPIM19501825</t>
  </si>
  <si>
    <t>PPIM1950182C</t>
  </si>
  <si>
    <t>PPIM1950182E</t>
  </si>
  <si>
    <t>PPIM19501830</t>
  </si>
  <si>
    <t>PPIM19501833</t>
  </si>
  <si>
    <t>PPIM19501836</t>
  </si>
  <si>
    <t>PPIM19501847</t>
  </si>
  <si>
    <t>PPIM1950184D</t>
  </si>
  <si>
    <t>PPIM19501852</t>
  </si>
  <si>
    <t>PPIM19501861</t>
  </si>
  <si>
    <t>PPIM19501866</t>
  </si>
  <si>
    <t>PPIM1850455A</t>
  </si>
  <si>
    <t>PPIM19501882</t>
  </si>
  <si>
    <t>บริษัท จีเวลลิสต้า จำกัด</t>
  </si>
  <si>
    <t>PPIM195018AC</t>
  </si>
  <si>
    <t>นาง สุกัญญา พันธ์ุเกตุมงคล</t>
  </si>
  <si>
    <t>PPIM195018AF</t>
  </si>
  <si>
    <t>บริษัท แสงสว่างตราค้างคาว จำกัด</t>
  </si>
  <si>
    <t>PPIM1950034F</t>
  </si>
  <si>
    <t>PPIM195018B6</t>
  </si>
  <si>
    <t>PPIM195018BA</t>
  </si>
  <si>
    <t>PPIM195018CD</t>
  </si>
  <si>
    <t>PPIM195018D5</t>
  </si>
  <si>
    <t>ห้างหุ้นส่วนจำกัด โรงงานยูโรพลาส</t>
  </si>
  <si>
    <t>PPIM195018D8</t>
  </si>
  <si>
    <t>PPIM195018E7</t>
  </si>
  <si>
    <t>PPIM195018EC</t>
  </si>
  <si>
    <t>PPIM195018EE</t>
  </si>
  <si>
    <t>PPIM195018F0</t>
  </si>
  <si>
    <t>PPIM195018F1</t>
  </si>
  <si>
    <t>PPIM195018F7</t>
  </si>
  <si>
    <t>บริษัท บางกอกพัฒนามอเตอร์ จำกัด</t>
  </si>
  <si>
    <t>PPIM19501907</t>
  </si>
  <si>
    <t>PPIM1950190C</t>
  </si>
  <si>
    <t>PPIM19501912</t>
  </si>
  <si>
    <t>PPIM1950192B</t>
  </si>
  <si>
    <t>PPIM1950192E</t>
  </si>
  <si>
    <t>PPIM1950193E</t>
  </si>
  <si>
    <t>PPIM19501942</t>
  </si>
  <si>
    <t>บริษัท ดัชเชส จำกัด</t>
  </si>
  <si>
    <t>PPIM19501947</t>
  </si>
  <si>
    <t>PPIM1950194E</t>
  </si>
  <si>
    <t>PPIM19501956</t>
  </si>
  <si>
    <t>บริษัท ส่งเสริมคูลเทคอินดัสทรี จำกัด</t>
  </si>
  <si>
    <t>PPIM19501958</t>
  </si>
  <si>
    <t>PPIM19501971</t>
  </si>
  <si>
    <t>PPIM1950198B</t>
  </si>
  <si>
    <t>บริษัท อีโค่ เฟรนด์ลี่ ไทย จำกัด</t>
  </si>
  <si>
    <t>PPIM195019AE</t>
  </si>
  <si>
    <t>PPIM195019BF</t>
  </si>
  <si>
    <t>โรงพยาบาลด่านช้าง</t>
  </si>
  <si>
    <t>PPIM195019E9</t>
  </si>
  <si>
    <t>PPIM19501A25</t>
  </si>
  <si>
    <t>PPIM19501A44</t>
  </si>
  <si>
    <t>PPIM19501A53</t>
  </si>
  <si>
    <t>PPIM19501A68</t>
  </si>
  <si>
    <t>บริษัท เอ็กเซล ฟรุตส์ จำกัด</t>
  </si>
  <si>
    <t>PPIM19501A89</t>
  </si>
  <si>
    <t>บริษัท พันธ์กิจการ (มุ้ยเฮง 1996) มาร์เก็ตติ้ง จำกัด</t>
  </si>
  <si>
    <t>PPIM19501A9C</t>
  </si>
  <si>
    <t>บริษัท กิจรุ่งโรจน์ธุรกิจ จำกัด</t>
  </si>
  <si>
    <t>PPIM19501AAC</t>
  </si>
  <si>
    <t>PPIM19501AC3</t>
  </si>
  <si>
    <t>PPIM19501ADA</t>
  </si>
  <si>
    <t>PPIM19500193</t>
  </si>
  <si>
    <t>บริษัท โตโยด้า โกเซ รับเบอร์(ประเทศไทย) จำกัด</t>
  </si>
  <si>
    <t>PPIM19501AF6</t>
  </si>
  <si>
    <t>นายสราวุธ เดชอินทรนารักษ์</t>
  </si>
  <si>
    <t>PPIM19501B26</t>
  </si>
  <si>
    <t>PPIM19501B2A</t>
  </si>
  <si>
    <t>นายจักรกฤษณ์ อังคเศกวินัย</t>
  </si>
  <si>
    <t>PPIM19501B2E</t>
  </si>
  <si>
    <t>บริษัท นิจิ(ประเทศไทย) จำกัด</t>
  </si>
  <si>
    <t>PPIM19501555</t>
  </si>
  <si>
    <t>บริษัท ไทยชวน ซีฟู้ด กรุ๊ป จำกัด</t>
  </si>
  <si>
    <t>PPIM19501375</t>
  </si>
  <si>
    <t>PPIM19501B7C</t>
  </si>
  <si>
    <t>PPIM19501B94</t>
  </si>
  <si>
    <t>PPIM19501B9F</t>
  </si>
  <si>
    <t>PPIM19501BAA</t>
  </si>
  <si>
    <t>PPIM1950150E</t>
  </si>
  <si>
    <t>PPIM1950150A</t>
  </si>
  <si>
    <t>นางสาว มนัส ชัยมาส</t>
  </si>
  <si>
    <t>PPIM195015C7</t>
  </si>
  <si>
    <t>PPIM19501C4A</t>
  </si>
  <si>
    <t>PPIM19501C61</t>
  </si>
  <si>
    <t>PPIM19501C96</t>
  </si>
  <si>
    <t>บริษัท ศรีวิชัยเวชวิวัฒน์ จำกัด(มหาชน)</t>
  </si>
  <si>
    <t>PPIM19501CAE</t>
  </si>
  <si>
    <t>PPIM19501CC4</t>
  </si>
  <si>
    <t>PPIM195011F1</t>
  </si>
  <si>
    <t>PPIM19501CD3</t>
  </si>
  <si>
    <t>PPIM19501CD6</t>
  </si>
  <si>
    <t>บริษัท ช.เอราวัณออโตเซลล์ จำกัด</t>
  </si>
  <si>
    <t>PPIM19501CEE</t>
  </si>
  <si>
    <t>นายชยพล พึ่งปั้นบูรณ์วงศ์</t>
  </si>
  <si>
    <t>PPIM19501CF6</t>
  </si>
  <si>
    <t>PPIM19501D0A</t>
  </si>
  <si>
    <t>PPIM195016F2</t>
  </si>
  <si>
    <t>PPIM19501D0F</t>
  </si>
  <si>
    <t>บริษัท รุ่งเจริญทรายทอง จำกัด</t>
  </si>
  <si>
    <t>PPIM19501D2C</t>
  </si>
  <si>
    <t>PPIM19501D33</t>
  </si>
  <si>
    <t>กวินวัชร์ วัชรฐิติดิษฐากุล</t>
  </si>
  <si>
    <t>PPIM19501D49</t>
  </si>
  <si>
    <t>บริษัท ซี.เจ. เอ็กซ์เพรส กรุ๊ป จำกัด (สาขาดอนตูม)</t>
  </si>
  <si>
    <t>PPIM19501265</t>
  </si>
  <si>
    <t>ศูนย์วิจัยและพัฒนาการเพาะเลี้ยงสัตว์น้ําชายฝั่งสมุทรสาคร</t>
  </si>
  <si>
    <t>PPIM19501D5D</t>
  </si>
  <si>
    <t>ภาสกร มะธุเสน</t>
  </si>
  <si>
    <t>PPIM195000E3</t>
  </si>
  <si>
    <t>บริษัท ไอดี ออล ดิจิตอล พริ้นท์ จำกัด</t>
  </si>
  <si>
    <t>PPIM19501D7F</t>
  </si>
  <si>
    <t>PPIM195016C1</t>
  </si>
  <si>
    <t>นายณัฐวุฒิ ชวนปัญโญ</t>
  </si>
  <si>
    <t>PPIM19501DA8</t>
  </si>
  <si>
    <t>บริษัท อีซูซุอึ้ง ง่วนไต๋สุพรรณ จํากัด</t>
  </si>
  <si>
    <t>PPIM19501DB2</t>
  </si>
  <si>
    <t>PPIM19500E44</t>
  </si>
  <si>
    <t>บริษัท โกลเด้น ซี โฟรเซ่นฟู้ดส์ จำกัด</t>
  </si>
  <si>
    <t>PPIM19501DDE</t>
  </si>
  <si>
    <t>หจก.ใบโพธิ์ธุรกิจและอุตสาหกรรม</t>
  </si>
  <si>
    <t>PPIM19501E03</t>
  </si>
  <si>
    <t>PPIM19501E0B</t>
  </si>
  <si>
    <t>PPIM19501E0C</t>
  </si>
  <si>
    <t>PPIM195017CC</t>
  </si>
  <si>
    <t>PPIM195013E8</t>
  </si>
  <si>
    <t>PPIM19501E47</t>
  </si>
  <si>
    <t>PPIM19501E61</t>
  </si>
  <si>
    <t>PPIM19501E6D</t>
  </si>
  <si>
    <t>พิพิธภัณฑสถานแห่งชาติอู่ทอง</t>
  </si>
  <si>
    <t>PPIM19501EA9</t>
  </si>
  <si>
    <t>PPIM1950185C</t>
  </si>
  <si>
    <t>PPIM19501EAB</t>
  </si>
  <si>
    <t>นายโชติธนินท์ อธิวราธนเกียรติ</t>
  </si>
  <si>
    <t>PPIM19501EAE</t>
  </si>
  <si>
    <t>นายไพศาล อดุลยธรรม</t>
  </si>
  <si>
    <t>PPIM19501EB2</t>
  </si>
  <si>
    <t>PPIM19501949</t>
  </si>
  <si>
    <t>PPIM19501EC0</t>
  </si>
  <si>
    <t>บริษัท บิ๊กซี ซูเปอร์เซ็นเตอร์ จำกัด (มหาชน) สาขา บิ๊กซีมินิ ตลาดกิเลน</t>
  </si>
  <si>
    <t>PPIM19501EE4</t>
  </si>
  <si>
    <t>PPIM19501F10</t>
  </si>
  <si>
    <t>บริษัท เฮฟู้ด จำกัด</t>
  </si>
  <si>
    <t>PPIM19501F21</t>
  </si>
  <si>
    <t>PPIM19501F22</t>
  </si>
  <si>
    <t>PPIM19501F23</t>
  </si>
  <si>
    <t>PPIM19501F24</t>
  </si>
  <si>
    <t>PPIM19501F35</t>
  </si>
  <si>
    <t>บริษัทเกียต้าไดคาสติ้งจำกัด</t>
  </si>
  <si>
    <t>PPIM19501F3C</t>
  </si>
  <si>
    <t>PPIM19501F4A</t>
  </si>
  <si>
    <t>น.ส. สุทธิรัตน์ อยู่วิทยา</t>
  </si>
  <si>
    <t>PPIM19501F4B</t>
  </si>
  <si>
    <t>PPIM1950138B</t>
  </si>
  <si>
    <t>PPIM19501572</t>
  </si>
  <si>
    <t>บริษัท ไทยมารีนโพเทคชั่น จำกัด</t>
  </si>
  <si>
    <t>PPIM19501F5E</t>
  </si>
  <si>
    <t>PPIM19501F60</t>
  </si>
  <si>
    <t>PPIM19501F7C</t>
  </si>
  <si>
    <t>PPIM195015EA</t>
  </si>
  <si>
    <t>PPIM19501F9E</t>
  </si>
  <si>
    <t>บริษัท ณัฐภูมิ อีควิปเม้นท์ จํากัด</t>
  </si>
  <si>
    <t>PPIM19500B60</t>
  </si>
  <si>
    <t>บริษัท ฟิล์มมาสเตอร์ จำกัด</t>
  </si>
  <si>
    <t>PPIM19501FD0</t>
  </si>
  <si>
    <t>บริษัท ชัยสยาม พลาสติก จำกัด</t>
  </si>
  <si>
    <t>PPIM19501FD9</t>
  </si>
  <si>
    <t>บริษัท บิ๊กซี ซูเปอร์เซ็นเตอร์ จำกัด (มหาชน) สาขา บิ๊กซีมินิ บ้านบ่อ</t>
  </si>
  <si>
    <t>PPIM19501FF1</t>
  </si>
  <si>
    <t>PPIM19502007</t>
  </si>
  <si>
    <t>บริษัท ซีพี แอ็กซ์ตร้า จำกัด(มหาชน) (สำนักงานใหญ่)</t>
  </si>
  <si>
    <t>PPIM1950202C</t>
  </si>
  <si>
    <t>บริษัท บิ๊กซี ซูเปอร์เซ็นเตอร์ จำกัด (มหาชน) สาขา บิ๊กซีมินิ ตลาดไร่ขิง 42</t>
  </si>
  <si>
    <t>PPIM19502031</t>
  </si>
  <si>
    <t>บริษัท บิ๊กซี ซูเปอร์เซ็นเตอร์ จำกัด (มหาชน) สาขา บิ๊กซีมินิ ภู่ยอดยิ่ง</t>
  </si>
  <si>
    <t>PPIM19502034</t>
  </si>
  <si>
    <t>บริษัท บิ๊กซี ซูเปอร์เซ็นเตอร์ จำกัด (มหาชน) สาขา บิ๊กซีมินิ ตลาดบุญให้</t>
  </si>
  <si>
    <t>PPIM19502039</t>
  </si>
  <si>
    <t>PPIM19502042</t>
  </si>
  <si>
    <t>บริษัท โรงเส้นหมี่ชอเฮง จำกัด</t>
  </si>
  <si>
    <t>PPIM19502072</t>
  </si>
  <si>
    <t>บริษัท ทรงสมัย ซังฮี้ จำกัด</t>
  </si>
  <si>
    <t>PPIM19501F4E</t>
  </si>
  <si>
    <t>PPIM19502080</t>
  </si>
  <si>
    <t>บริษัท บิ๊กซี ซูเปอร์เซ็นเตอร์ จำกัด (มหาชน) สาขาบิ๊กซีมินิ ซอย แอล เอ ไบซีเคิ้ล</t>
  </si>
  <si>
    <t>PPIM19502085</t>
  </si>
  <si>
    <t>บริษัท บิ๊กซี ซูเปอร์เซ็นเตอร์ จำกัด (มหาชน) สาขา บิ๊กซีมินิ เอื้ออาทรศาลายา 3</t>
  </si>
  <si>
    <t>PPIM19502090</t>
  </si>
  <si>
    <t>PPIM195020A8</t>
  </si>
  <si>
    <t>PPIM195020CA</t>
  </si>
  <si>
    <t>บริษัท บิ๊กซี ซูเปอร์เซ็นเตอร์ จำกัด (มหาชน) สาขาบิ๊กซีมินิแลนซีโอคริปเพชรเกษม81</t>
  </si>
  <si>
    <t>PPIM195020D7</t>
  </si>
  <si>
    <t>PPIM195020E6</t>
  </si>
  <si>
    <t>PPIM195020EF</t>
  </si>
  <si>
    <t>บริษัท อุตสาหกรรมปลาป่นท่าจีน จำกัด</t>
  </si>
  <si>
    <t>PPIM19502116</t>
  </si>
  <si>
    <t>ห้างหุ้นส่วนจำกัด ชุมพรวาริน</t>
  </si>
  <si>
    <t>PPIM19502118</t>
  </si>
  <si>
    <t>PPIM1950211C</t>
  </si>
  <si>
    <t>PPIM19502120</t>
  </si>
  <si>
    <t>PPIM19502121</t>
  </si>
  <si>
    <t>PPIM19502126</t>
  </si>
  <si>
    <t>PPIM19502136</t>
  </si>
  <si>
    <t>บริษัท ซีพี ออลล์ จำกัด (มหาชน) สาขา 5721.ชุมชนศรีบัวบาน</t>
  </si>
  <si>
    <t>PPIM19501ABC</t>
  </si>
  <si>
    <t>PPIM19502158</t>
  </si>
  <si>
    <t>PPIM1950215B</t>
  </si>
  <si>
    <t>PPIM19502172</t>
  </si>
  <si>
    <t>นายไพศาล ผุยหนองโพธิ์</t>
  </si>
  <si>
    <t>PPIM1950136E</t>
  </si>
  <si>
    <t>PPIM19502181</t>
  </si>
  <si>
    <t>PPIM19502187</t>
  </si>
  <si>
    <t>PPIM1950218A</t>
  </si>
  <si>
    <t>บริษัท ต.สยามคอมเมอร์เชียล จำกัด</t>
  </si>
  <si>
    <t>PPIM19501B9C</t>
  </si>
  <si>
    <t>PPIM1950208C</t>
  </si>
  <si>
    <t>PPIM195021D7</t>
  </si>
  <si>
    <t>บริษัท ซีพี ออลล์ จำกัด (มหาชน) สาขา 17493.ท่ารถเดิมบางนางบวช</t>
  </si>
  <si>
    <t>PPIM19501315</t>
  </si>
  <si>
    <t>PPIM195021F2</t>
  </si>
  <si>
    <t>บริษัท วี.เอ็ม.ผลิตภัณฑ์พลาสติก จำกัด</t>
  </si>
  <si>
    <t>PPIM195021FC</t>
  </si>
  <si>
    <t>PPIM19502215</t>
  </si>
  <si>
    <t>PPIM195019CC</t>
  </si>
  <si>
    <t>บริษัท ว่านไท่ อินเตอร์เนชั่นแนล เทรดดิ้ง จำกัด</t>
  </si>
  <si>
    <t>PPIM19502261</t>
  </si>
  <si>
    <t>PPIM195022A0</t>
  </si>
  <si>
    <t>บริษัท บิ๊กซี ซูเปอร์เซ็นเตอร์ จำกัด (มหาชน) สาขา บิ๊กซีมินิ ตลาดนัดลำพยา</t>
  </si>
  <si>
    <t>PPIM195022A3</t>
  </si>
  <si>
    <t>บริษัท บิ๊กซี ซูเปอร์เซ็นเตอร์ จำกัด (มหาชน) สาขา บิ๊กซีมินิ หมู่บ้านเมืองยิ้ม</t>
  </si>
  <si>
    <t>PPIM195022C8</t>
  </si>
  <si>
    <t>นาย ปิติฐิติยา ดิลกพรหิรัณย์</t>
  </si>
  <si>
    <t>PPIM195022F6</t>
  </si>
  <si>
    <t>PPIM1950231C</t>
  </si>
  <si>
    <t>PPIM19502329</t>
  </si>
  <si>
    <t>PPIM1950233D</t>
  </si>
  <si>
    <t>PPIM19502349</t>
  </si>
  <si>
    <t>PPIM1950234B</t>
  </si>
  <si>
    <t>PPIM1950234F</t>
  </si>
  <si>
    <t>บริษัท ซีพี ออลล์ จำกัด (มหาชน) สาขา 10332.บ้านศาลายา 3</t>
  </si>
  <si>
    <t>PPIM19502353</t>
  </si>
  <si>
    <t>บริษัท ซีพี ออลล์ จำกัด (มหาชน) สาขา 11277.คลองมะเดื่อ 9</t>
  </si>
  <si>
    <t>PPIM19502356</t>
  </si>
  <si>
    <t>PPIM1950235B</t>
  </si>
  <si>
    <t>PPIM1950235F</t>
  </si>
  <si>
    <t>บริษัท ซีพี ออลล์ จำกัด (มหาชน) สาขา 11551.หนองงูเหลือม</t>
  </si>
  <si>
    <t>PPIM19502362</t>
  </si>
  <si>
    <t>PPIM19502366</t>
  </si>
  <si>
    <t>บริษัท ซีพี ออลล์ จำกัด (มหาชน) สาขา 16543.บางงาม (ศรีประจันต์)</t>
  </si>
  <si>
    <t>PPIM19502367</t>
  </si>
  <si>
    <t>PPIM19502368</t>
  </si>
  <si>
    <t>บริษัท ซีพี ออลล์ จำกัด (มหาชน) สาขา 16633.อัมพวัน (สองพี่น้อง)</t>
  </si>
  <si>
    <t>PPIM1950236B</t>
  </si>
  <si>
    <t>บริษัท ซีพี ออลล์ จำกัด (มหาชน) สาขา 17552.ตลาดท่าเสด็จ</t>
  </si>
  <si>
    <t>PPIM1950236C</t>
  </si>
  <si>
    <t>บริษัท ซีพี ออลล์ จำกัด (มหาชน) สาขา 17717.ถนนศูนย์ราชการนครปฐม</t>
  </si>
  <si>
    <t>PPIM1950236D</t>
  </si>
  <si>
    <t>บริษัท ซีพี ออลล์ จำกัด (มหาชน) สาขา 17750.ซอยคลองใหม่ (สามพราน)</t>
  </si>
  <si>
    <t>PPIM19502370</t>
  </si>
  <si>
    <t>PPIM19502371</t>
  </si>
  <si>
    <t>บริษัท ซีพี ออลล์ จำกัด (มหาชน) สาขา 18055.ชุมชนวังน้ำเขียว (กำแพงแสน)</t>
  </si>
  <si>
    <t>PPIM19502374</t>
  </si>
  <si>
    <t>บริษัท ซีพี ออลล์ จำกัด (มหาชน) สาขา 18060.พระราม2 เอกชัย(สมุทรสาคร)</t>
  </si>
  <si>
    <t>PPIM19502378</t>
  </si>
  <si>
    <t>บริษัท ซีพี ออลล์ จำกัด (มหาชน) สาขา 18063.ชุมชนรางหมัน (กำแพงแสน)</t>
  </si>
  <si>
    <t>PPIM19502379</t>
  </si>
  <si>
    <t>บริษัท ซีพี ออลล์ จำกัด (มหาชน) สาขา 18125.ชุมชนตะค่า</t>
  </si>
  <si>
    <t>PPIM1950237B</t>
  </si>
  <si>
    <t>นายมานะ กาญจนแสนส่ง</t>
  </si>
  <si>
    <t>PPIM1850467B</t>
  </si>
  <si>
    <t>PPIM1950238C</t>
  </si>
  <si>
    <t>PPIM19501100</t>
  </si>
  <si>
    <t>ห้างหุ้นส่วนจำกัด ยู.พี.เอช. อินเซนต์ (ประเทศไทย)</t>
  </si>
  <si>
    <t>PPIM1950239D</t>
  </si>
  <si>
    <t>PPIM195023A0</t>
  </si>
  <si>
    <t>PPIM195023A3</t>
  </si>
  <si>
    <t>PPIM195023A6</t>
  </si>
  <si>
    <t>PPIM195023B3</t>
  </si>
  <si>
    <t>PPIM195023DE</t>
  </si>
  <si>
    <t>บริษัท ซีพี ออลล์ จำกัด (มหาชน) สาขา 16650.เปโตร-ดงเกตุ</t>
  </si>
  <si>
    <t>PPIM195023E3</t>
  </si>
  <si>
    <t>บริษัท ซีพี ออลล์ จำกัด (มหาชน) สาขา 16799.สวนหลวง ซอย4</t>
  </si>
  <si>
    <t>PPIM195023E6</t>
  </si>
  <si>
    <t>บริษัท ซีพี ออลล์ จำกัด (มหาชน) สาขา 16858.ตลาดรุ่งเมธา (เทพนรรัตน์)</t>
  </si>
  <si>
    <t>PPIM195023FD</t>
  </si>
  <si>
    <t>บริษัท เคแพค อินดัสทรี จำกัด</t>
  </si>
  <si>
    <t>PPIM19502401</t>
  </si>
  <si>
    <t>นายพันธนันท์ วรัตน์พจน์</t>
  </si>
  <si>
    <t>PPIM19502416</t>
  </si>
  <si>
    <t>บริษัท ดัชมิลล์ จำกัด</t>
  </si>
  <si>
    <t>PPIM19502420</t>
  </si>
  <si>
    <t>PPIM1950249A</t>
  </si>
  <si>
    <t>บริษัท ป.สยามนิตติ้ง แฟคตอรี่ จำกัด</t>
  </si>
  <si>
    <t>PPIM195024C1</t>
  </si>
  <si>
    <t>PPIM19502548</t>
  </si>
  <si>
    <t>PPIM1950255A</t>
  </si>
  <si>
    <t>นายสมัย ศรีเดชภวิศ</t>
  </si>
  <si>
    <t>PPIM19502571</t>
  </si>
  <si>
    <t>บริษัท เอ 54 จำกัด</t>
  </si>
  <si>
    <t>PPIM1950257E</t>
  </si>
  <si>
    <t>PPIM19502584</t>
  </si>
  <si>
    <t>PPIM19502585</t>
  </si>
  <si>
    <t>PPIM19502588</t>
  </si>
  <si>
    <t>PPIM1950258A</t>
  </si>
  <si>
    <t>PPIM1950258E</t>
  </si>
  <si>
    <t>PPIM19502591</t>
  </si>
  <si>
    <t>PPIM19502593</t>
  </si>
  <si>
    <t>PPIM19502598</t>
  </si>
  <si>
    <t>PPIM19502599</t>
  </si>
  <si>
    <t>PPIM1950259B</t>
  </si>
  <si>
    <t>PPIM1950259D</t>
  </si>
  <si>
    <t>PPIM195025A0</t>
  </si>
  <si>
    <t>PPIM195025A1</t>
  </si>
  <si>
    <t>PPIM195025A3</t>
  </si>
  <si>
    <t>PPIM195025A6</t>
  </si>
  <si>
    <t>PPIM195025AA</t>
  </si>
  <si>
    <t>PPIM195025AB</t>
  </si>
  <si>
    <t>PPIM195025AD</t>
  </si>
  <si>
    <t>PPIM195025AE</t>
  </si>
  <si>
    <t>PPIM195025B1</t>
  </si>
  <si>
    <t>PPIM195025B8</t>
  </si>
  <si>
    <t>PPIM195025C3</t>
  </si>
  <si>
    <t>PPIM195025E0</t>
  </si>
  <si>
    <t>บริษัท ยูเนียน อินต้า จำกัด</t>
  </si>
  <si>
    <t>PPIM195025E2</t>
  </si>
  <si>
    <t>PPIM195025E3</t>
  </si>
  <si>
    <t>PPIM195025EB</t>
  </si>
  <si>
    <t>PPIM1950262B</t>
  </si>
  <si>
    <t>PPIM19502636</t>
  </si>
  <si>
    <t>นายพชร ศรีมหาเอก</t>
  </si>
  <si>
    <t>PPIM1950269A</t>
  </si>
  <si>
    <t>บริษัท เจริญโภคภัณฑ์อาหาร จำกัด(มหาชน)</t>
  </si>
  <si>
    <t>PPIM195026AA</t>
  </si>
  <si>
    <t>PPIM195026DA</t>
  </si>
  <si>
    <t>PPIM195026EB</t>
  </si>
  <si>
    <t>บริษัท โรงแรมริเวอร์แคว จำกัด</t>
  </si>
  <si>
    <t>PPIM195026F7</t>
  </si>
  <si>
    <t>บริษัท วิทย์คอร์ป โปรดักส์ จำกัด</t>
  </si>
  <si>
    <t>PPIM19502700</t>
  </si>
  <si>
    <t>บริษัท โตด้า พีวีซี เลเธอร์ จำกัด</t>
  </si>
  <si>
    <t>PPIM19502744</t>
  </si>
  <si>
    <t>น.ส.กุลธิดา โพธิบุตร</t>
  </si>
  <si>
    <t>PPIM19502749</t>
  </si>
  <si>
    <t>บริษัท โฟร์ยูทู โค จำกัด</t>
  </si>
  <si>
    <t>PPIM1950274A</t>
  </si>
  <si>
    <t>บริษัท เกียต้าไดคาสติ้ง จำกัด</t>
  </si>
  <si>
    <t>PPIM1950275F</t>
  </si>
  <si>
    <t>PPIM19502763</t>
  </si>
  <si>
    <t>บริษัท ไทยโปรเกรส สตีล จำกัด</t>
  </si>
  <si>
    <t>PPIM19502766</t>
  </si>
  <si>
    <t>PPIM19502769</t>
  </si>
  <si>
    <t>บริษัท ไทยสมุทร เคเบิ้ล จำกัด</t>
  </si>
  <si>
    <t>PPIM19501A4B</t>
  </si>
  <si>
    <t>PPIM195017BE</t>
  </si>
  <si>
    <t>บริษัท เจนเนอรัล เบฟเวอร์เรจ จำกัด</t>
  </si>
  <si>
    <t>PPIM1950278C</t>
  </si>
  <si>
    <t>บริษัท แกรนด์ เลเบิล จำกัด</t>
  </si>
  <si>
    <t>PPIM19502809</t>
  </si>
  <si>
    <t>PPIM19502816</t>
  </si>
  <si>
    <t>PPIM19502817</t>
  </si>
  <si>
    <t>PPIM1950281A</t>
  </si>
  <si>
    <t>บริษัท พรอมท์ ซินเซียร์ จำกัด</t>
  </si>
  <si>
    <t>PPIM19502825</t>
  </si>
  <si>
    <t>บริษัท เกษมชัยฟู๊ด จำ กัด</t>
  </si>
  <si>
    <t>PPIM1950282E</t>
  </si>
  <si>
    <t>PPIM19502832</t>
  </si>
  <si>
    <t>บริษัท มิตซู ส.อรุณ จำกัด</t>
  </si>
  <si>
    <t>PPIM19500490</t>
  </si>
  <si>
    <t>PPIM195028A0</t>
  </si>
  <si>
    <t>นายเศรษฐพล ไกรคุณาศัย</t>
  </si>
  <si>
    <t>PPIM195028A1</t>
  </si>
  <si>
    <t>บริษัท สหวิทย์เอ็ดดูเคชั่น จำกัด</t>
  </si>
  <si>
    <t>PPIM1950209F</t>
  </si>
  <si>
    <t>บริษัท ทีทีเอ็น มอเตอร์ จำกัด</t>
  </si>
  <si>
    <t>PPIM195028B3</t>
  </si>
  <si>
    <t>บริษัท เอส.บี.-ซีร่า จำกัด</t>
  </si>
  <si>
    <t>PPIM195028B4</t>
  </si>
  <si>
    <t>PPIM195028D1</t>
  </si>
  <si>
    <t>ห้างหุ้นส่วนจำกัด โรงสีไฟ ป.เฟื่องฟูธัญญกิจ</t>
  </si>
  <si>
    <t>PPIM1950172D</t>
  </si>
  <si>
    <t>บริษัท เจริญอุตสาหกรรม จำกัด (มหาชน)</t>
  </si>
  <si>
    <t>PPIM19502945</t>
  </si>
  <si>
    <t>PPIM19502954</t>
  </si>
  <si>
    <t>บริษัท มิตรผล ไบโอฟูเอล จำกัด</t>
  </si>
  <si>
    <t>PPIM1950296D</t>
  </si>
  <si>
    <t>PPIM1950296F</t>
  </si>
  <si>
    <t>บริษัท ซีพีเอฟ ฟู้ด แอนด์ เบฟเวอร์เรจ จำกัด</t>
  </si>
  <si>
    <t>PPIM19502970</t>
  </si>
  <si>
    <t>PPIM195029B0</t>
  </si>
  <si>
    <t>บริษัท อีซูซุอึ้งง่วนไต๋สุพรรณ จำกัด</t>
  </si>
  <si>
    <t>PPIM19502A1E</t>
  </si>
  <si>
    <t>บริษัท ฟีนิกซ์ เมดิคอล คอร์ปอเรชั่น จำกัด</t>
  </si>
  <si>
    <t>PPIM19502AD6</t>
  </si>
  <si>
    <t>ห้างหุ้นส่วนจำกัด ซี.ซี.ฟู้ดแลนด์</t>
  </si>
  <si>
    <t>PPIM19502AE3</t>
  </si>
  <si>
    <t>PPIM19502AF0</t>
  </si>
  <si>
    <t>PPIM195017E8</t>
  </si>
  <si>
    <t>บริษัท เอ็ม เอ็ม พี อินเตอร์เนชั่นแนล จำกัด</t>
  </si>
  <si>
    <t>PPIM1950195D</t>
  </si>
  <si>
    <t>PPIM19502B7C</t>
  </si>
  <si>
    <t>PPIM195018C8</t>
  </si>
  <si>
    <t>PPIM19500EB8</t>
  </si>
  <si>
    <t>PPIM195018E9</t>
  </si>
  <si>
    <t>PPIM19502BBE</t>
  </si>
  <si>
    <t>PPIM19502BCC</t>
  </si>
  <si>
    <t>บริษัท ผสอ.ก3 จำกัด</t>
  </si>
  <si>
    <t>PPIM19502BCF</t>
  </si>
  <si>
    <t>PPIM19502315</t>
  </si>
  <si>
    <t>PPIM19502318</t>
  </si>
  <si>
    <t>PPIM19502302</t>
  </si>
  <si>
    <t>PPIM19502527</t>
  </si>
  <si>
    <t>PPIM19502C1E</t>
  </si>
  <si>
    <t>บริษัท เอ บี ดี กาญจน์ จำกัด</t>
  </si>
  <si>
    <t>PPIM19502C1F</t>
  </si>
  <si>
    <t>ห้างหุ้นส่วนจำกัด สำนักพิมพ์ฟิสิกส์เซ็นเตอร์</t>
  </si>
  <si>
    <t>PPIM19502C27</t>
  </si>
  <si>
    <t>บริษัท ทดสอบ จำกัด</t>
  </si>
  <si>
    <t>PPIM1950258B</t>
  </si>
  <si>
    <t>PPIM19502393</t>
  </si>
  <si>
    <t>PPIM195025C1</t>
  </si>
  <si>
    <t>PPIM19501F6B</t>
  </si>
  <si>
    <t>PPIM195022FB</t>
  </si>
  <si>
    <t>บริษัท พันธ์กิจการ (มุ้ยเฮง 1996) มาร์เก็ตติ้ง จํากัด</t>
  </si>
  <si>
    <t>PPIM19502CA1</t>
  </si>
  <si>
    <t>PPIM195029E6</t>
  </si>
  <si>
    <t>สมาคมส่งเสริมและพัฒนาการศึกษาจังหวัดสมุทรสาคร</t>
  </si>
  <si>
    <t>PPIM1950207A</t>
  </si>
  <si>
    <t>PPIM195025D5</t>
  </si>
  <si>
    <t>นายกวินวัชร์ วัชรฐิติดิษฐากุล</t>
  </si>
  <si>
    <t>PPIM19502CB1</t>
  </si>
  <si>
    <t>โรงพยาบาลกรุงเทพคริสเตียนนครปฐม</t>
  </si>
  <si>
    <t>PPIM1950279B</t>
  </si>
  <si>
    <t>บริษัท สมจินตนาพลาสติก จำกัด</t>
  </si>
  <si>
    <t>PPIM195023B1</t>
  </si>
  <si>
    <t>PPIM19502CB9</t>
  </si>
  <si>
    <t>PPIM195021A1</t>
  </si>
  <si>
    <t>PPIM19502CC5</t>
  </si>
  <si>
    <t>PPIM195027C2</t>
  </si>
  <si>
    <t>PPIM19501E04</t>
  </si>
  <si>
    <t>PPIM195025AC</t>
  </si>
  <si>
    <t>นายภาสกร มะธุเสน</t>
  </si>
  <si>
    <t>PPIM19502D2C</t>
  </si>
  <si>
    <t>โรงเรียนภาวนาภิมณฑ์พิทยา</t>
  </si>
  <si>
    <t>PPIM19502545</t>
  </si>
  <si>
    <t>PPIM19501939</t>
  </si>
  <si>
    <t>PPIM19502838</t>
  </si>
  <si>
    <t>PPIM19502A20</t>
  </si>
  <si>
    <t>บริษัท ไลน์เมกเกอร์ เอ็นจิเนียริ่ง จำกัด</t>
  </si>
  <si>
    <t>PPIM19502A8D</t>
  </si>
  <si>
    <t>นางสาวสุทธิรัตน์ อยู่วิทยา</t>
  </si>
  <si>
    <t>PPIM19502A89</t>
  </si>
  <si>
    <t>PPIM1950263D</t>
  </si>
  <si>
    <t>PPIM19502D65</t>
  </si>
  <si>
    <t>PPIM19501473</t>
  </si>
  <si>
    <t>PPIM19502946</t>
  </si>
  <si>
    <t>PPIM19502823</t>
  </si>
  <si>
    <t>PPIM195024F7</t>
  </si>
  <si>
    <t>บริษัท พหูสูตร จำกัด</t>
  </si>
  <si>
    <t>PPIM19502DBE</t>
  </si>
  <si>
    <t>บริษัท บิ๊กซี ซูเปอร์เซ็นเตอร์ จำกัด (มหาชน)</t>
  </si>
  <si>
    <t>PPIM19502B8F</t>
  </si>
  <si>
    <t>นายอนันตชัย คุณานันทกุล</t>
  </si>
  <si>
    <t>PPIM1950193D</t>
  </si>
  <si>
    <t>PPIM19502C6F</t>
  </si>
  <si>
    <t>โรงพยาบาลหนองหญ้าไซ</t>
  </si>
  <si>
    <t>PPIM19502DF6</t>
  </si>
  <si>
    <t>บริษัท ซีพี ออลล์ จำกัด(มหาชน) สาขา 5722 สาขา หนองรี</t>
  </si>
  <si>
    <t>PPIM19501B58</t>
  </si>
  <si>
    <t>บริษัท แอบโซลูท พริ้นท์ แอนด์ แพค จำกัด</t>
  </si>
  <si>
    <t>PPIM195022B0</t>
  </si>
  <si>
    <t>PPIM19502E0D</t>
  </si>
  <si>
    <t>PPIM19502E1F</t>
  </si>
  <si>
    <t>PPIM1950250D</t>
  </si>
  <si>
    <t>บริษัท พี.ยูนีไทย จำกัด</t>
  </si>
  <si>
    <t>PPIM195023E5</t>
  </si>
  <si>
    <t>PPIM19502E27</t>
  </si>
  <si>
    <t>บริษัท คาวันญ่า กรุ๊ป เอเชีย จำกัด</t>
  </si>
  <si>
    <t>PPIM19501F07</t>
  </si>
  <si>
    <t>บริษัท เภสัชกรรมศรีประสิทธิ์ จำกัด</t>
  </si>
  <si>
    <t>PPIM1950115B</t>
  </si>
  <si>
    <t>PPIM19501B9D</t>
  </si>
  <si>
    <t>PPIM19502DF1</t>
  </si>
  <si>
    <t>บริษัท อีโก้ แบ็ค จํากัด</t>
  </si>
  <si>
    <t>PPIM19501FED</t>
  </si>
  <si>
    <t>PPIM19502788</t>
  </si>
  <si>
    <t>PPIM19502DAA</t>
  </si>
  <si>
    <t>PPIM19502E8C</t>
  </si>
  <si>
    <t>บริษัท เอ็กซ์เซลแพคเกจจิ้ง จำกัด</t>
  </si>
  <si>
    <t>PPIM19502E91</t>
  </si>
  <si>
    <t>PPIM1950201C</t>
  </si>
  <si>
    <t>PPIM19501F8C</t>
  </si>
  <si>
    <t>PPIM19502ACF</t>
  </si>
  <si>
    <t>นายประสงค์ ขาวมานิตย์</t>
  </si>
  <si>
    <t>PPIM19502EB1</t>
  </si>
  <si>
    <t>PPIM19502560</t>
  </si>
  <si>
    <t>PPIM1950293B</t>
  </si>
  <si>
    <t>PPIM19502760</t>
  </si>
  <si>
    <t>PPIM19502ADE</t>
  </si>
  <si>
    <t>PPIM19502CB8</t>
  </si>
  <si>
    <t>PPIM19502EC1</t>
  </si>
  <si>
    <t>์บริษัท เอ็มพีพียูนิตี้โปรดักส์จำกัด</t>
  </si>
  <si>
    <t>PPIM19502EA0</t>
  </si>
  <si>
    <t>PPIM19502E9D</t>
  </si>
  <si>
    <t>PPIM19502C2C</t>
  </si>
  <si>
    <t>PPIM1950275C</t>
  </si>
  <si>
    <t>PPIM19502828</t>
  </si>
  <si>
    <t>PPIM19502D41</t>
  </si>
  <si>
    <t>PPIM19502E6C</t>
  </si>
  <si>
    <t>PPIM19501D6E</t>
  </si>
  <si>
    <t>PPIM19501AD7</t>
  </si>
  <si>
    <t>PPIM19502AA8</t>
  </si>
  <si>
    <t>PPIM195025D0</t>
  </si>
  <si>
    <t>PPIM19502AE9</t>
  </si>
  <si>
    <t>บริษัท ไทยเอ้กเซลแคนแวส จำกัด</t>
  </si>
  <si>
    <t>PPIM19502AEE</t>
  </si>
  <si>
    <t>PPIM19502F1D</t>
  </si>
  <si>
    <t>PPIM19502F1F</t>
  </si>
  <si>
    <t>บริษัท เอฟเวอร์ไชน์นิ่ง อินเกรเดียน จำกัด</t>
  </si>
  <si>
    <t>PPIM1950185D</t>
  </si>
  <si>
    <t>PPIM19502F1A</t>
  </si>
  <si>
    <t>นายขจรเกียรติ์ ทองฉัตร</t>
  </si>
  <si>
    <t>PPIM19501D6B</t>
  </si>
  <si>
    <t>บริษัท บางจาก คอร์ปอเรชั่น จำกัด(มหาชน)</t>
  </si>
  <si>
    <t>PPIM19502F4E</t>
  </si>
  <si>
    <t>PPIM195029D9</t>
  </si>
  <si>
    <t>PPIM19502F55</t>
  </si>
  <si>
    <t>บริษัท ซี.เจ. เอ็กซ์เพรสกรุ๊ป จำกัด</t>
  </si>
  <si>
    <t>PPIM19502F70</t>
  </si>
  <si>
    <t>บริษัท ซี.เจ. เอ็กซ์เพรสกรุ๊ป จำกัด (สาขาบ้านควาย)</t>
  </si>
  <si>
    <t>PPIM195027CA</t>
  </si>
  <si>
    <t>PPIM195027DC</t>
  </si>
  <si>
    <t>PPIM19502FA3</t>
  </si>
  <si>
    <t>PPIM19502FA8</t>
  </si>
  <si>
    <t>บริษัท ฮ็อทแอนด์คูลแชมเบอร์ ไดคัสติ้ง จำกัด</t>
  </si>
  <si>
    <t>PPIM19502F94</t>
  </si>
  <si>
    <t>PPIM19502DCF</t>
  </si>
  <si>
    <t>บริษัท ช.เอราวัณ คอมเพล็กซ์ จำกัด</t>
  </si>
  <si>
    <t>PPIM19502D03</t>
  </si>
  <si>
    <t>PPIM19502F3E</t>
  </si>
  <si>
    <t>PPIM19502FB6</t>
  </si>
  <si>
    <t>PPIM19502FC9</t>
  </si>
  <si>
    <t>บริษัท ซี.เจ. เอ็กซ์เพรสกรุ๊ป จำกัด (สาขานครชื่นชุ่ม)</t>
  </si>
  <si>
    <t>PPIM19502FCE</t>
  </si>
  <si>
    <t>บริษัท ซี.เจ. เอ็กซ์เพรส กรุ๊ป จํากัด (สาขาตลาดดอนปรู)</t>
  </si>
  <si>
    <t>PPIM19502D1E</t>
  </si>
  <si>
    <t>PPIM19502E3F</t>
  </si>
  <si>
    <t>PPIM19502FE4</t>
  </si>
  <si>
    <t>PPIM19502FEC</t>
  </si>
  <si>
    <t>บริษัท ซี.เจ. เอ็กซ์เพรส กรุ๊ป จำกัด(ทุ่งมะสังข์)</t>
  </si>
  <si>
    <t>PPIM1950210A</t>
  </si>
  <si>
    <t>PPIM19502858</t>
  </si>
  <si>
    <t>บริษัท สินเเพทย์ กาญจนบุรี จำกัด</t>
  </si>
  <si>
    <t>PPIM19502A2F</t>
  </si>
  <si>
    <t>PPIM19502D45</t>
  </si>
  <si>
    <t>PPIM19503019</t>
  </si>
  <si>
    <t>PPIM195024FC</t>
  </si>
  <si>
    <t>บริษัท ไทยฮาร์ท ฟู้ดส์ จำกัด</t>
  </si>
  <si>
    <t>PPIM19502A43</t>
  </si>
  <si>
    <t>PPIM19502D61</t>
  </si>
  <si>
    <t>PPIM195028D8</t>
  </si>
  <si>
    <t>PPIM195028E6</t>
  </si>
  <si>
    <t>PPIM195028E3</t>
  </si>
  <si>
    <t>PPIM195028E0</t>
  </si>
  <si>
    <t>PPIM195027A8</t>
  </si>
  <si>
    <t>PPIM19501F44</t>
  </si>
  <si>
    <t>PPIM1950306C</t>
  </si>
  <si>
    <t>บริษัท เอส.วาย.จี. เครื่องจักรกล จำกัด</t>
  </si>
  <si>
    <t>PPIM19503090</t>
  </si>
  <si>
    <t>นายขจรศักดิ์ สุธีดวงสมร</t>
  </si>
  <si>
    <t>PPIM19503098</t>
  </si>
  <si>
    <t>นาย ภาสกร มะธุเสน</t>
  </si>
  <si>
    <t>PPIM1950309A</t>
  </si>
  <si>
    <t>บริษัท ซีโต้ เมทอล จำกัด</t>
  </si>
  <si>
    <t>PPIM195025A2</t>
  </si>
  <si>
    <t>PPIM19502FA9</t>
  </si>
  <si>
    <t>PPIM19502AE1</t>
  </si>
  <si>
    <t>บริษัท โซโนะริกุ (ไทยแลนด์) จำกัด</t>
  </si>
  <si>
    <t>PPIM19502868</t>
  </si>
  <si>
    <t>PPIM195030C7</t>
  </si>
  <si>
    <t>พบโชค ศักดาสุคนธ์</t>
  </si>
  <si>
    <t>PPIM195030DD</t>
  </si>
  <si>
    <t>นายพบโชค ศักดาสุคนธ์</t>
  </si>
  <si>
    <t>PPIM195030E2</t>
  </si>
  <si>
    <t>PPIM19502F51</t>
  </si>
  <si>
    <t>PPIM19503004</t>
  </si>
  <si>
    <t>PPIM19502D70</t>
  </si>
  <si>
    <t>บริษัท ซันเปเปอร์ แพคเกจจิ้ง 59 จำกัด</t>
  </si>
  <si>
    <t>PPIM19503141</t>
  </si>
  <si>
    <t>PPIM1950314E</t>
  </si>
  <si>
    <t>บริษัท ชัยจินดา ซีฟู้ด จำกัด</t>
  </si>
  <si>
    <t>PPIM19502D11</t>
  </si>
  <si>
    <t>PPIM19503181</t>
  </si>
  <si>
    <t>PPIM195024BA</t>
  </si>
  <si>
    <t>PPIM195024DF</t>
  </si>
  <si>
    <t>PPIM19501732</t>
  </si>
  <si>
    <t>PPIM19502732</t>
  </si>
  <si>
    <t>บริษัท บิ๊กซี ซูเปอร์เซ็นเตอร์ จำกัด (มหาชน) สาขา บิ๊กซีมินิ เทศบาลบางปลาซอย 7</t>
  </si>
  <si>
    <t>PPIM19502733</t>
  </si>
  <si>
    <t>บริษัท บิ๊กซี ซูเปอร์เซ็นเตอร์ จำกัด (มหาชน) สาขา บิ๊กซีมินิ เลียบคลองเทพกาญจนา</t>
  </si>
  <si>
    <t>PPIM19501C88</t>
  </si>
  <si>
    <t>PPIM19502771</t>
  </si>
  <si>
    <t>PPIM19501D63</t>
  </si>
  <si>
    <t>บริษัท บิ๊กซี ซูเปอร์เซ็นเตอร์ จำกัด (มหาชน) สาขา บิ๊กซีมินิ ถนนเจษฎาวิถี</t>
  </si>
  <si>
    <t>PPIM19501D99</t>
  </si>
  <si>
    <t>บริษัท บิ๊กซี ซูเปอร์เซ็นเตอร์ จำกัด (มหาชน) สาขา บิ๊กซีมินิ หมู่บ้านกิตติชัย 18</t>
  </si>
  <si>
    <t>PPIM195031A2</t>
  </si>
  <si>
    <t>PPIM19501E31</t>
  </si>
  <si>
    <t>บริษัท บิ๊กซี ซูเปอร์เซ็นเตอร์ จำกัด (มหาชน) สาขา บิ๊กซีมินิ บ้านหัวนา</t>
  </si>
  <si>
    <t>PPIM195020BC</t>
  </si>
  <si>
    <t>บริษัท ซีพี ออลล์ จำกัด (มหาชน) สาขา PTTOR พระราม 2 กม.20</t>
  </si>
  <si>
    <t>PPIM19502F61</t>
  </si>
  <si>
    <t>PPIM195024CE</t>
  </si>
  <si>
    <t>PPIM19503200</t>
  </si>
  <si>
    <t>PPIM19503044</t>
  </si>
  <si>
    <t>บริษัท ต้าซิน เอ็นเตอร์ไพรส์ จำกัด</t>
  </si>
  <si>
    <t>PPIM19502E07</t>
  </si>
  <si>
    <t>PPIM19502151</t>
  </si>
  <si>
    <t>บริษัท ยูนิค ไมนิ่ง เซอร์วิสเซส จำกัด (มหาชน)</t>
  </si>
  <si>
    <t>PPIM19502E53</t>
  </si>
  <si>
    <t>นางสาวยุพา สามสูงเนิน</t>
  </si>
  <si>
    <t>PPIM19503263</t>
  </si>
  <si>
    <t>โรงพยาบาลพหลพลพยุหเสนา</t>
  </si>
  <si>
    <t>PPIM19502F89</t>
  </si>
  <si>
    <t>บริษัท บีทีวาย ฟู้ด จำกัด</t>
  </si>
  <si>
    <t>PPIM1950327D</t>
  </si>
  <si>
    <t>บริษัท โลตัส แมทแทรส จำกัด</t>
  </si>
  <si>
    <t>PPIM19502D78</t>
  </si>
  <si>
    <t>PPIM19502D62</t>
  </si>
  <si>
    <t>PPIM195022A5</t>
  </si>
  <si>
    <t>บริษัท แฟนซี เวิลด์ จำกัด</t>
  </si>
  <si>
    <t>PPIM19502D52</t>
  </si>
  <si>
    <t>PPIM19502872</t>
  </si>
  <si>
    <t>PPIM1950328B</t>
  </si>
  <si>
    <t>PPIM19503290</t>
  </si>
  <si>
    <t>PPIM1950329B</t>
  </si>
  <si>
    <t>PPIM19503226</t>
  </si>
  <si>
    <t>PPIM1950326B</t>
  </si>
  <si>
    <t>PPIM19502AF2</t>
  </si>
  <si>
    <t>บริษัท วัฒนารุ่งเรืองการโยธา จำกัด</t>
  </si>
  <si>
    <t>PPIM19502C9C</t>
  </si>
  <si>
    <t>บริษัท เอสซีจี ซิเมนต์-ผลิตภัณฑ์ก่อสร้าง จำกัด</t>
  </si>
  <si>
    <t>PPIM1950309C</t>
  </si>
  <si>
    <t>PPIM1950214A</t>
  </si>
  <si>
    <t>PPIM195032DD</t>
  </si>
  <si>
    <t>นายวราวุธ บำรุงพันธุ์</t>
  </si>
  <si>
    <t>PPIM19502CD4</t>
  </si>
  <si>
    <t>PPIM19502BF3</t>
  </si>
  <si>
    <t>PPIM19501C87</t>
  </si>
  <si>
    <t>PPIM19501CA9</t>
  </si>
  <si>
    <t>บริษัท บิ๊กซี ซูเปอร์เซ็นเตอร์ จำกัด (มหาชน) สาขา 22692 ตลาดคลองสี่วาพาสวัสดิ์</t>
  </si>
  <si>
    <t>PPIM19502BAE</t>
  </si>
  <si>
    <t>บริษัท ธนาพลาสแพค จำกัด</t>
  </si>
  <si>
    <t>PPIM195026C4</t>
  </si>
  <si>
    <t>บริษัท แพ็คฟู้ด จำกัด (มหาชน)</t>
  </si>
  <si>
    <t>PPIM19502CE6</t>
  </si>
  <si>
    <t>บริษัท ที.ซี.เทคโนโลยี แอนด์ คอนซูมเมอร์ จำกัด</t>
  </si>
  <si>
    <t>PPIM19503332</t>
  </si>
  <si>
    <t>บริษัท ดี.บี.ยูนิฟอร์ม จำกัด</t>
  </si>
  <si>
    <t>PPIM195026EE</t>
  </si>
  <si>
    <t>บริษัท บิ๊กซี ซูเปอร์เซ็นเตอร์ จำกัด (มหาชน) สาขา 22385 บิ๊กซีมินิ หนองบัวกาญจน์</t>
  </si>
  <si>
    <t>PPIM19502DF2</t>
  </si>
  <si>
    <t>บริษัท แสงชัย สตีล เวอร์ค จำกัด</t>
  </si>
  <si>
    <t>PPIM19502B1C</t>
  </si>
  <si>
    <t>PPIM19501908</t>
  </si>
  <si>
    <t>PPIM1950333F</t>
  </si>
  <si>
    <t>PPIM19503374</t>
  </si>
  <si>
    <t>PPIM19502FA1</t>
  </si>
  <si>
    <t>PPIM19502A09</t>
  </si>
  <si>
    <t>PPIM195029AE</t>
  </si>
  <si>
    <t>PPIM1950275E</t>
  </si>
  <si>
    <t>PPIM195023D5</t>
  </si>
  <si>
    <t>บริษัท ซีพีดี ซอว์มิลล์ จำกัด</t>
  </si>
  <si>
    <t>PPIM195023D4</t>
  </si>
  <si>
    <t>PPIM1950304E</t>
  </si>
  <si>
    <t>PPIM195030E5</t>
  </si>
  <si>
    <t>PPIM195030E3</t>
  </si>
  <si>
    <t>PPIM195032A2</t>
  </si>
  <si>
    <t>PPIM195030CC</t>
  </si>
  <si>
    <t>PPIM1950341A</t>
  </si>
  <si>
    <t>PPIM19503427</t>
  </si>
  <si>
    <t>PPIM195022A2</t>
  </si>
  <si>
    <t>PPIM19502F21</t>
  </si>
  <si>
    <t>PPIM1950306D</t>
  </si>
  <si>
    <t>PPIM195032C9</t>
  </si>
  <si>
    <t>บริษัท เล้ง ซีโต้ จำกัด</t>
  </si>
  <si>
    <t>PPIM195012EF</t>
  </si>
  <si>
    <t>PPIM1950298F</t>
  </si>
  <si>
    <t>บริษัท เอส.เอส.ดี.พลาสติคส์ อินดัสตรีส์ จำกัด</t>
  </si>
  <si>
    <t>PPIM195028B2</t>
  </si>
  <si>
    <t>PPIM19503475</t>
  </si>
  <si>
    <t>บริษัท สามมิตรมอเตอร์สแมนูแฟตเจอริง จำกัด</t>
  </si>
  <si>
    <t>PPIM19503359</t>
  </si>
  <si>
    <t>โรงพยาบาลสมเด็จพระปิยมหาราชรมณียเขต</t>
  </si>
  <si>
    <t>PPIM19503425</t>
  </si>
  <si>
    <t>นาย สมจิตต์ ศรส่ง</t>
  </si>
  <si>
    <t>PPIM1950349A</t>
  </si>
  <si>
    <t>PPIM1950290E</t>
  </si>
  <si>
    <t>PPIM195034AB</t>
  </si>
  <si>
    <t>บริษัท พัฒนา 4599 อิควิพเม้นท์ จำกัด</t>
  </si>
  <si>
    <t>PPIM195034B3</t>
  </si>
  <si>
    <t>นายศิริทล บุตรแก้ว</t>
  </si>
  <si>
    <t>PPIM195034BB</t>
  </si>
  <si>
    <t>PPIM19502EEF</t>
  </si>
  <si>
    <t>PPIM195034E8</t>
  </si>
  <si>
    <t>บริษัท ซีพี ออลล์ จำกัด (มหาชน) สาขา 7928.บางปลาม้า</t>
  </si>
  <si>
    <t>PPIM195034EA</t>
  </si>
  <si>
    <t>PPIM195034F2</t>
  </si>
  <si>
    <t>PPIM195034F5</t>
  </si>
  <si>
    <t>PPIM195034F7</t>
  </si>
  <si>
    <t>PPIM195034F9</t>
  </si>
  <si>
    <t>PPIM195034FC</t>
  </si>
  <si>
    <t>PPIM195034FE</t>
  </si>
  <si>
    <t>PPIM19503503</t>
  </si>
  <si>
    <t>PPIM19503504</t>
  </si>
  <si>
    <t>PPIM19503506</t>
  </si>
  <si>
    <t>PPIM19503398</t>
  </si>
  <si>
    <t>PPIM1950352C</t>
  </si>
  <si>
    <t>PPIM19503534</t>
  </si>
  <si>
    <t>บริษัท เอ็กซเพรส พลาสแพค (ประเทศไทย) จำกัด</t>
  </si>
  <si>
    <t>PPIM19502FBD</t>
  </si>
  <si>
    <t>บริษัท เอสเค โพลี จำกัด</t>
  </si>
  <si>
    <t>PPIM19502F57</t>
  </si>
  <si>
    <t>บริษัท บี.พี.เค. พลาสติก จำกัด</t>
  </si>
  <si>
    <t>PPIM19501C5D</t>
  </si>
  <si>
    <t>PPIM19503563</t>
  </si>
  <si>
    <t>บริษัท นครปฐม ฮอนด้า ออโตโมบิล จำกัด</t>
  </si>
  <si>
    <t>PPIM19503565</t>
  </si>
  <si>
    <t>บริษัท พีซีเอฟ ปติญา อุตสาหกรรม จำกัด</t>
  </si>
  <si>
    <t>PPIM1950356F</t>
  </si>
  <si>
    <t>PPIM19503573</t>
  </si>
  <si>
    <t>PPIM19503532</t>
  </si>
  <si>
    <t>บริษัท เจริญพิกุลทองพลาสติก จำกัด</t>
  </si>
  <si>
    <t>PPIM19503577</t>
  </si>
  <si>
    <t>PPIM1950357A</t>
  </si>
  <si>
    <t>PPIM19503596</t>
  </si>
  <si>
    <t>บริษัท ซีพี ออลล์ จำกัด (มหาชน) สาขา 16976.ซอยเทพนรรัตน์ (สมุทรสาคร)</t>
  </si>
  <si>
    <t>PPIM19503412</t>
  </si>
  <si>
    <t>PPIM1950359F</t>
  </si>
  <si>
    <t>บริษัท ซีพี ออลล์ จำกัด (มหาชน) สาขา 17249.หนองสองห้อง-โพหัก</t>
  </si>
  <si>
    <t>PPIM195032D9</t>
  </si>
  <si>
    <t>บริษัท เค-เฟรช จำกัด</t>
  </si>
  <si>
    <t>PPIM195035A2</t>
  </si>
  <si>
    <t>บริษัท ซีพี ออลล์ จำกัด (มหาชน) สาขา 17309.เอื้ออาทรติดนิคม (คลองปีกนก)</t>
  </si>
  <si>
    <t>PPIM195035A7</t>
  </si>
  <si>
    <t>บริษัท ซีพี ออลล์ จำกัด (มหาชน) สาขา 17312.ถนนพันท้าย-พระราม2</t>
  </si>
  <si>
    <t>PPIM195035A9</t>
  </si>
  <si>
    <t>มหาวิทยาลัยราชภัฏนครปฐม</t>
  </si>
  <si>
    <t>PPIM195035AE</t>
  </si>
  <si>
    <t>บริษัท ซีพี ออลล์ จำกัด (มหาชน) สาขา 17488.พันธุวงศ์-ท่าเสา</t>
  </si>
  <si>
    <t>PPIM195035B1</t>
  </si>
  <si>
    <t>บริษัท ซีพี ออลล์ จำกัด (มหาชน) สาขา 17502.บางบอน5 ซอย5</t>
  </si>
  <si>
    <t>PPIM19502F16</t>
  </si>
  <si>
    <t>PPIM19502E63</t>
  </si>
  <si>
    <t>PPIM195035C3</t>
  </si>
  <si>
    <t>บริษัท ซีพี ออลล์ จำกัด (มหาชน) สาขา 17541.สำนักส่งเสริมและฝึกอบรม กำแพงแสน</t>
  </si>
  <si>
    <t>PPIM195035C5</t>
  </si>
  <si>
    <t>บริษัท ซีพี ออลล์ จำกัด (มหาชน) สาขา 17751.ชุมชนห้วยม่วง (กำแพงแสน)</t>
  </si>
  <si>
    <t>PPIM195035C9</t>
  </si>
  <si>
    <t>PPIM19502ADB</t>
  </si>
  <si>
    <t>บริษัท ซีพี แอ็กซ์ตร้า จำกัด (มหาชน) (สำนักงานใหญ่)</t>
  </si>
  <si>
    <t>PPIM19503530</t>
  </si>
  <si>
    <t>บริษัท จี้เฉิง จำกัด</t>
  </si>
  <si>
    <t>PPIM1950355E</t>
  </si>
  <si>
    <t>PPIM195031A8</t>
  </si>
  <si>
    <t>บริษัท จิระมัย จำกัด</t>
  </si>
  <si>
    <t>PPIM1950360B</t>
  </si>
  <si>
    <t>บริษัท วาสิฏฐี ซิตี้ จำกัด</t>
  </si>
  <si>
    <t>PPIM19503121</t>
  </si>
  <si>
    <t>PPIM19503627</t>
  </si>
  <si>
    <t>วิทยาลัยสงฆ์สิริกาญจนาราม</t>
  </si>
  <si>
    <t>PPIM19503568</t>
  </si>
  <si>
    <t>PPIM19502CC3</t>
  </si>
  <si>
    <t>PPIM1950362D</t>
  </si>
  <si>
    <t>PPIM1950357B</t>
  </si>
  <si>
    <t>PPIM19503588</t>
  </si>
  <si>
    <t>PPIM19503592</t>
  </si>
  <si>
    <t>บริษัท ซีพี ออลล์ จำกัด (มหาชน) สาขา 16883.ซอยบ้านปลายคลองครุ(สมุทรสาคร)</t>
  </si>
  <si>
    <t>PPIM19503599</t>
  </si>
  <si>
    <t>บริษัท ซีพี ออลล์ จำกัด (มหาชน) สาขา 17038.ซอยไผ่เตย (นครปฐม)</t>
  </si>
  <si>
    <t>PPIM1950359C</t>
  </si>
  <si>
    <t>บริษัท ซีพี ออลล์ จำกัด (มหาชน) สาขา 17242.ชุมชนลาดตาล(สุพรรณบุรี)</t>
  </si>
  <si>
    <t>PPIM195035A1</t>
  </si>
  <si>
    <t>บริษัท ซีพี ออลล์ จำกัด (มหาชน) สาขา 17272.บ้านแพ้ว(หลักสาม)</t>
  </si>
  <si>
    <t>PPIM195035C7</t>
  </si>
  <si>
    <t>บริษัท ซีพี ออลล์ จำกัด (มหาชน) สาขา 17921.ลานตากฟ้า (นครชัยศรี)</t>
  </si>
  <si>
    <t>PPIM195032E4</t>
  </si>
  <si>
    <t>PPIM195035CB</t>
  </si>
  <si>
    <t>PPIM1950364F</t>
  </si>
  <si>
    <t>PPIM19503655</t>
  </si>
  <si>
    <t>PPIM19503661</t>
  </si>
  <si>
    <t>สำนก่อสร้างชลประทานขนาดกลางที่ 13 กองพัฒนาแหล่งน้ำขนาดกลาง</t>
  </si>
  <si>
    <t>PPIM19503664</t>
  </si>
  <si>
    <t>PPIM19502CF8</t>
  </si>
  <si>
    <t>PPIM1950367D</t>
  </si>
  <si>
    <t>บริษัท สามไทย สแตนเลส จำกัด</t>
  </si>
  <si>
    <t>PPIM1950367E</t>
  </si>
  <si>
    <t>PPIM195030D2</t>
  </si>
  <si>
    <t>PPIM1950368A</t>
  </si>
  <si>
    <t>บริษัท เอส.แอล.เรดิเอเตอร์ จำกัด</t>
  </si>
  <si>
    <t>PPIM1950368B</t>
  </si>
  <si>
    <t>บริษัท โรงน้ำแข็งมาบแค จำกัด</t>
  </si>
  <si>
    <t>PPIM19502F98</t>
  </si>
  <si>
    <t>PPIM19503678</t>
  </si>
  <si>
    <t>บริษัท เอส ไอ บี เทรดดิ้ง จำกัด</t>
  </si>
  <si>
    <t>PPIM19503349</t>
  </si>
  <si>
    <t>ห้างหุ้นส่วนจำกัด แชมป์เฮงดีมีสุข ดีมากดีที่สุด</t>
  </si>
  <si>
    <t>PPIM1950365A</t>
  </si>
  <si>
    <t>บริษัท ซี.เจ. เอ็กซ์เพรสกรุ๊ป จำกัด (สาขาแยกเคหะการเกษตร)</t>
  </si>
  <si>
    <t>PPIM195035DE</t>
  </si>
  <si>
    <t>บริษัท เจียมพัฒนาเท็กซ์ไทล์ส จำกัด</t>
  </si>
  <si>
    <t>PPIM19501AC8</t>
  </si>
  <si>
    <t>PPIM195036B6</t>
  </si>
  <si>
    <t>PPIM19503561</t>
  </si>
  <si>
    <t>PPIM19502D85</t>
  </si>
  <si>
    <t>PPIM19501DEA</t>
  </si>
  <si>
    <t>PPIM1950375D</t>
  </si>
  <si>
    <t>PPIM195037A8</t>
  </si>
  <si>
    <t>บริษัท อีสัน พลาสติก จำกัด</t>
  </si>
  <si>
    <t>PPIM195037B1</t>
  </si>
  <si>
    <t>PPIM195037B4</t>
  </si>
  <si>
    <t>บริษัท แพนฟู้ด จำกัด</t>
  </si>
  <si>
    <t>PPIM195037D0</t>
  </si>
  <si>
    <t>PPIM195037DA</t>
  </si>
  <si>
    <t>โรงพยาบาลเจ้าคุณไพบูลย์ พนมทวน</t>
  </si>
  <si>
    <t>PPIM195033DE</t>
  </si>
  <si>
    <t>PPIM19503737</t>
  </si>
  <si>
    <t>PPIM19503715</t>
  </si>
  <si>
    <t>PPIM1950372D</t>
  </si>
  <si>
    <t>PPIM1950372F</t>
  </si>
  <si>
    <t>PPIM19503732</t>
  </si>
  <si>
    <t>PPIM1950378D</t>
  </si>
  <si>
    <t>PPIM1950361F</t>
  </si>
  <si>
    <t>บริษัท ก.รัตนกฤต จำกัด</t>
  </si>
  <si>
    <t>PPIM195037B6</t>
  </si>
  <si>
    <t>ห้างหุ้นส่วนจำกัด นิวรสทิพย์</t>
  </si>
  <si>
    <t>PPIM19503288</t>
  </si>
  <si>
    <t>PPIM195037FF</t>
  </si>
  <si>
    <t>PPIM1950381D</t>
  </si>
  <si>
    <t>PPIM19501A43</t>
  </si>
  <si>
    <t>PPIM195036CF</t>
  </si>
  <si>
    <t>บริษัท จงฉี (ประเทศไทย) จำกัด</t>
  </si>
  <si>
    <t>PPIM195036C1</t>
  </si>
  <si>
    <t>PPIM19503844</t>
  </si>
  <si>
    <t>บริษัท ชาร์ฟ ฟอร์มูเลเตอร์ จำกัด</t>
  </si>
  <si>
    <t>PPIM1950384C</t>
  </si>
  <si>
    <t>PPIM195035A5</t>
  </si>
  <si>
    <t>บริษัท บ้านนราทร จำกัด</t>
  </si>
  <si>
    <t>PPIM1950388C</t>
  </si>
  <si>
    <t>บริษัท เอื้อนฤมล จำกัด</t>
  </si>
  <si>
    <t>PPIM195032E0</t>
  </si>
  <si>
    <t>PPIM19503836</t>
  </si>
  <si>
    <t>บริษัท ทีซีไอ เทรนด์ กรุ๊ป จำกัด</t>
  </si>
  <si>
    <t>PPIM195033BC</t>
  </si>
  <si>
    <t>PPIM195032F3</t>
  </si>
  <si>
    <t>PPIM195033B1</t>
  </si>
  <si>
    <t>PPIM195038F8</t>
  </si>
  <si>
    <t>บริษัท ปรีดา พร็อพเพอร์ตี้เมเนจเมนท์ จำกัด</t>
  </si>
  <si>
    <t>PPIM195038FC</t>
  </si>
  <si>
    <t>บริษัท บีเอฟซี แอร์ บับเบิล แอนด์ เทป แฟคทอรี่ จำกัด</t>
  </si>
  <si>
    <t>PPIM19503900</t>
  </si>
  <si>
    <t>บริษัท พริ้นท์ ดีว่าส์ จำกัด</t>
  </si>
  <si>
    <t>PPIM195033C3</t>
  </si>
  <si>
    <t>PPIM195033BF</t>
  </si>
  <si>
    <t>PPIM195034D1</t>
  </si>
  <si>
    <t>PPIM19503294</t>
  </si>
  <si>
    <t>PPIM1950393E</t>
  </si>
  <si>
    <t>PPIM19501E7D</t>
  </si>
  <si>
    <t>บริษัท ปัญจพลไฟเบอร์คอนเทนเนอร์ จำกัด</t>
  </si>
  <si>
    <t>PPIM19503940</t>
  </si>
  <si>
    <t>นางสาวสวนีย์ แก้วนวล</t>
  </si>
  <si>
    <t>PPIM19503949</t>
  </si>
  <si>
    <t>PPIM1950395A</t>
  </si>
  <si>
    <t>PPIM1950395F</t>
  </si>
  <si>
    <t>PPIM19503960</t>
  </si>
  <si>
    <t>บริษัท ไร่ขิงพลาสติกรีไซเคิล จำกัด</t>
  </si>
  <si>
    <t>PPIM1950396B</t>
  </si>
  <si>
    <t>PPIM1950396C</t>
  </si>
  <si>
    <t>PPIM19503985</t>
  </si>
  <si>
    <t>PPIM19503990</t>
  </si>
  <si>
    <t>PPIM19503992</t>
  </si>
  <si>
    <t>บริษัท สามปฐมชัย จำกัด</t>
  </si>
  <si>
    <t>PPIM195039C9</t>
  </si>
  <si>
    <t>PPIM195033BA</t>
  </si>
  <si>
    <t>PPIM195039ED</t>
  </si>
  <si>
    <t>บริษัท ที.เอส.ที.อินเตอร์ โปรดักส์ จำกัด</t>
  </si>
  <si>
    <t>PPIM195039EE</t>
  </si>
  <si>
    <t>PPIM195039FE</t>
  </si>
  <si>
    <t>PPIM19503A0C</t>
  </si>
  <si>
    <t>นาง รวีรัตน์ เกียรติวรางค์กุล</t>
  </si>
  <si>
    <t>PPIM19503A09</t>
  </si>
  <si>
    <t>บริษัท สตีล ดี จำกัด</t>
  </si>
  <si>
    <t>PPIM195039EB</t>
  </si>
  <si>
    <t>PPIM1950331D</t>
  </si>
  <si>
    <t>PPIM195039C2</t>
  </si>
  <si>
    <t>บริษัท ชวกน จำกัด</t>
  </si>
  <si>
    <t>PPIM195039B2</t>
  </si>
  <si>
    <t>PPIM195039D0</t>
  </si>
  <si>
    <t>PPIM19503A4E</t>
  </si>
  <si>
    <t>นาง รวีรัตน์ เกียรติวรางต์กุล</t>
  </si>
  <si>
    <t>PPIM19503A66</t>
  </si>
  <si>
    <t>PPIM19503A71</t>
  </si>
  <si>
    <t>PPIM19503700</t>
  </si>
  <si>
    <t>สำนักงานก่อสร้างชลประทานขนาดกลางที่ 13 กองพัฒนาแหล่งน้ำขนาดกลาง</t>
  </si>
  <si>
    <t>PPIM19503A90</t>
  </si>
  <si>
    <t>บริษัท แสนคำ พรีคาสท์ จำกัด</t>
  </si>
  <si>
    <t>PPIM19503750</t>
  </si>
  <si>
    <t>ห้างหุ้นส่วนจำกัด หงีเซงฮง โพลีพลาส</t>
  </si>
  <si>
    <t>PPIM19503614</t>
  </si>
  <si>
    <t>PPIM19503AC1</t>
  </si>
  <si>
    <t>PPIM19503B0D</t>
  </si>
  <si>
    <t>PPIM19503B10</t>
  </si>
  <si>
    <t>PPIM195033F6</t>
  </si>
  <si>
    <t>PPIM19503A03</t>
  </si>
  <si>
    <t>PPIM19503B38</t>
  </si>
  <si>
    <t>PPIM19503B8E</t>
  </si>
  <si>
    <t>PPIM19503B94</t>
  </si>
  <si>
    <t>บริษัท พีเอส เรดิเอเตอร์ เซอร์วิส จำกัด</t>
  </si>
  <si>
    <t>PPIM19503BA0</t>
  </si>
  <si>
    <t>บริษัท เจ.ซี.พี.อุตสาหกรรม จำกัด</t>
  </si>
  <si>
    <t>PPIM19503BA4</t>
  </si>
  <si>
    <t>PPIM19503BC7</t>
  </si>
  <si>
    <t>บริษัท โอเซี่ยน อินดัสตรี้ จำกัด</t>
  </si>
  <si>
    <t>PPIM19503BCB</t>
  </si>
  <si>
    <t>PPIM19503B98</t>
  </si>
  <si>
    <t>PPIM195036CD</t>
  </si>
  <si>
    <t>PPIM19503C27</t>
  </si>
  <si>
    <t>PPIM19503B99</t>
  </si>
  <si>
    <t>PPIM19502FCD</t>
  </si>
  <si>
    <t>บริษัทซี โบนันซ่า ฟู้ดส์ จำกัด</t>
  </si>
  <si>
    <t>PPIM19503BBD</t>
  </si>
  <si>
    <t>PPIM19503B9A</t>
  </si>
  <si>
    <t>PPIM19503681</t>
  </si>
  <si>
    <t>PPIM19503A76</t>
  </si>
  <si>
    <t>PPIM19503C5E</t>
  </si>
  <si>
    <t>นายอัครเดช เกตุพันธ์</t>
  </si>
  <si>
    <t>PPIM19502AA5</t>
  </si>
  <si>
    <t>PPIM19503D28</t>
  </si>
  <si>
    <t>PPIM1950315F</t>
  </si>
  <si>
    <t>บริษัท โรงสีมิ่งมงคลเจริญธัญญา จำกัด</t>
  </si>
  <si>
    <t>PPIM19503995</t>
  </si>
  <si>
    <t>PPIM19503D40</t>
  </si>
  <si>
    <t>บริษัท ไทยโพลีอะคริลิค จำกัด(มหาชน)</t>
  </si>
  <si>
    <t>PPIM19503AD2</t>
  </si>
  <si>
    <t>PPIM19503C91</t>
  </si>
  <si>
    <t>PPIM1950394A</t>
  </si>
  <si>
    <t>บริษัท ย่งเซ่งฮงอุตสาหกรรม จำกัด</t>
  </si>
  <si>
    <t>PPIM1950226D</t>
  </si>
  <si>
    <t>PPIM19503DAC</t>
  </si>
  <si>
    <t>PPIM19503CAE</t>
  </si>
  <si>
    <t>บริษัท ไทย ฟู้ดส์ เฟรซ มาร์เก็ต จำกัด (สาขาตลาดฟ้าใส047)</t>
  </si>
  <si>
    <t>PPIM19503CDD</t>
  </si>
  <si>
    <t>บริษัท ไทย ฟู้ดส์ เฟรซ มาร์เก็ต จำกัด (สาขาตลาดมีโชค240)</t>
  </si>
  <si>
    <t>PPIM19503CE0</t>
  </si>
  <si>
    <t>บริษัท ไทย ฟู้ดส์ เฟรซ มาร์เก็ต จำกัด (สาขาตลาดดอนหวาย023)</t>
  </si>
  <si>
    <t>PPIM19503CFF</t>
  </si>
  <si>
    <t>บริษัท ไทย ฟู้ดส์ เฟรซ มาร์เก็ต จำกัด (สาขาตลาดดิโอโซน083)</t>
  </si>
  <si>
    <t>PPIM19503D18</t>
  </si>
  <si>
    <t>PPIM19502572</t>
  </si>
  <si>
    <t>PPIM19503A1D</t>
  </si>
  <si>
    <t>PPIM19503DBE</t>
  </si>
  <si>
    <t>บริษัท ไทย คอเรเซีย จำกัด</t>
  </si>
  <si>
    <t>PPIM19503E11</t>
  </si>
  <si>
    <t>PPIM19503E4A</t>
  </si>
  <si>
    <t>PPIM19503DF6</t>
  </si>
  <si>
    <t>PPIM19503E6F</t>
  </si>
  <si>
    <t>บริษัท มิสเตอร์ ดี.ไอ.วาย.(กรุงเทพ)จำกัด</t>
  </si>
  <si>
    <t>PPIM19503CF1</t>
  </si>
  <si>
    <t>นางสุกัลยา สุขชื่น</t>
  </si>
  <si>
    <t>PPIM19503E7E</t>
  </si>
  <si>
    <t>นายวรวุฒิ โรจนภัทรากุล</t>
  </si>
  <si>
    <t>PPIM19503E9E</t>
  </si>
  <si>
    <t>PPIM19503D3D</t>
  </si>
  <si>
    <t>บริษัท เพชรเจริญ การช่าง 2519 จํากัด</t>
  </si>
  <si>
    <t>PPIM19501DA9</t>
  </si>
  <si>
    <t>บริษัท เบสท์พลาสติก เทคโนโลยี จำกัด</t>
  </si>
  <si>
    <t>PPIM19503B11</t>
  </si>
  <si>
    <t>บริษัท วิริยะกิจอุตสาหกรรมพลาสติก จำกัด</t>
  </si>
  <si>
    <t>PPIM19503E41</t>
  </si>
  <si>
    <t>บริษัท มาวิน พลาสติค จำกัด</t>
  </si>
  <si>
    <t>PPIM19502A6E</t>
  </si>
  <si>
    <t>PPIM19503525</t>
  </si>
  <si>
    <t>PPIM19503D13</t>
  </si>
  <si>
    <t>บริษัท ซ๋งเยี้ย (ประเทศไทย) จำกัด</t>
  </si>
  <si>
    <t>PPIM19503F9B</t>
  </si>
  <si>
    <t>บริษัท อีซูซุอึ่งง่วนไต๋นครปฐม จำกัด</t>
  </si>
  <si>
    <t>PPIM19503C6A</t>
  </si>
  <si>
    <t>PPIM195039D7</t>
  </si>
  <si>
    <t>บริษัท เนอร์วาน่าฟูดส์แอนด์ คอมเมิช อินเตอร์เนชั่นแนล จำกัด</t>
  </si>
  <si>
    <t>PPIM19503DD5</t>
  </si>
  <si>
    <t>บริษัท แก้วกรุงไทย จำกัด</t>
  </si>
  <si>
    <t>PPIM19503F41</t>
  </si>
  <si>
    <t>บริษัท พีเอ็นดี. แอสเสท จำกัด</t>
  </si>
  <si>
    <t>PPIM19503F7F</t>
  </si>
  <si>
    <t>บริษัท เจ วาย เท็กซ์ไทล์ เทรดดิ้ง จำกัด</t>
  </si>
  <si>
    <t>PPIM19503BEB</t>
  </si>
  <si>
    <t>โรงเรียนถาวรวิทยา</t>
  </si>
  <si>
    <t>PPIM19503A7F</t>
  </si>
  <si>
    <t>PPIM19503FE4</t>
  </si>
  <si>
    <t>PPIM19503F1F</t>
  </si>
  <si>
    <t>PPIM19504015</t>
  </si>
  <si>
    <t>PPIM19503054</t>
  </si>
  <si>
    <t>PPIM19504027</t>
  </si>
  <si>
    <t>PPIM1950406B</t>
  </si>
  <si>
    <t>PPIM19503684</t>
  </si>
  <si>
    <t>บริษัท ซี โบนันซ่า ฟู้ดส์ จำกัด</t>
  </si>
  <si>
    <t>PPIM19503134</t>
  </si>
  <si>
    <t>PPIM19503922</t>
  </si>
  <si>
    <t>PPIM19503B0F</t>
  </si>
  <si>
    <t>PPIM19503CE3</t>
  </si>
  <si>
    <t>บริษัท ฟรุตตี้ดราย จำกัด</t>
  </si>
  <si>
    <t>PPIM19503872</t>
  </si>
  <si>
    <t>PPIM195040C3</t>
  </si>
  <si>
    <t>บริษัท ไทย ฟู้ดส์เฟรซ มาร์เก็ต จำกัด (สาขากำแพงแสน115)</t>
  </si>
  <si>
    <t>PPIM195040A5</t>
  </si>
  <si>
    <t>บริษัท ไทย ฟู้ดส์เฟรซ มาร์เก็ต จำกัด (สาขาตลาดธันยา อ้อมใหญ่093)</t>
  </si>
  <si>
    <t>PPIM195040AF</t>
  </si>
  <si>
    <t>บริษัท ไทย ฟู้ดส์ เฟรซ มาร์เก็ต จำกัด (สาขานครชัยศรี125)</t>
  </si>
  <si>
    <t>PPIM195040BA</t>
  </si>
  <si>
    <t>บริษัท ไทย ฟู้ดส์เฟรซ มาร์เก็ต จำกัด (สาขาตลาดขุนแผน155)</t>
  </si>
  <si>
    <t>PPIM1950396E</t>
  </si>
  <si>
    <t>PPIM195040D8</t>
  </si>
  <si>
    <t>PPIM19504030</t>
  </si>
  <si>
    <t>PPIM195040F6</t>
  </si>
  <si>
    <t>PPIM19503DF5</t>
  </si>
  <si>
    <t>บริษัท ซง ทง ไท่ จำกัด</t>
  </si>
  <si>
    <t>PPIM19503502</t>
  </si>
  <si>
    <t>PPIM19503D7A</t>
  </si>
  <si>
    <t>นายสมพงษ์ ทรัพย์ส่งแสง</t>
  </si>
  <si>
    <t>PPIM195040DB</t>
  </si>
  <si>
    <t>บริษัท ไทย ฟู้ดส์เฟรซ มาร์เก็ต จำกัด (สาขาพระแท่นดงรัง132)</t>
  </si>
  <si>
    <t>PPIM19503D67</t>
  </si>
  <si>
    <t>สหกรณ์การเกษตรดอนตูม จำกัด</t>
  </si>
  <si>
    <t>PPIM195040DE</t>
  </si>
  <si>
    <t>บริษัท ไทย ฟู้ดส์เฟรซ มาร์เก็ต จำกัด (สาขาหนองปรือ139)</t>
  </si>
  <si>
    <t>PPIM195040E0</t>
  </si>
  <si>
    <t>บริษัท ไทย ฟู้ดส์เฟรซ มาร์เก็ต จำกัด (สาขาบ่อพลอย141)</t>
  </si>
  <si>
    <t>PPIM195041CE</t>
  </si>
  <si>
    <t>PPIM195040DA</t>
  </si>
  <si>
    <t>บริษัท สังวาลย์อิเลคทริค จำกัด</t>
  </si>
  <si>
    <t>PPIM195041DF</t>
  </si>
  <si>
    <t>นาย ขจรศักดิ์ สุธีดวงสมร</t>
  </si>
  <si>
    <t>PPIM19503C98</t>
  </si>
  <si>
    <t>PPIM19503A80</t>
  </si>
  <si>
    <t>PPIM19504207</t>
  </si>
  <si>
    <t>บริษัท ไทย ฟู้ดส์ เฟรซ มาร์เก็ต จำกัด (สาขากำแพงแสน115)</t>
  </si>
  <si>
    <t>PPIM19503EDA</t>
  </si>
  <si>
    <t>บริษัท พีซี ฟู้ด เซอร์วิส จำกัด</t>
  </si>
  <si>
    <t>PPIM19504186</t>
  </si>
  <si>
    <t>บริษัท ปิโตเลียมไทยคอร์ปอเรชั่น จำกัด</t>
  </si>
  <si>
    <t>PPIM195034FD</t>
  </si>
  <si>
    <t>PPIM19504224</t>
  </si>
  <si>
    <t>นางสาวจิตติมา ทรัพย์ไพบูลย์</t>
  </si>
  <si>
    <t>PPIM19503E1C</t>
  </si>
  <si>
    <t>PPIM19504184</t>
  </si>
  <si>
    <t>PPIM19504180</t>
  </si>
  <si>
    <t>PPIM19504239</t>
  </si>
  <si>
    <t>บริษัท อำนวยการ์เม้นท์</t>
  </si>
  <si>
    <t>PPIM19503E9D</t>
  </si>
  <si>
    <t>PPIM19504259</t>
  </si>
  <si>
    <t>บริษัท วี.เอส.ฮีททรีทเม้นต์ จำกัด</t>
  </si>
  <si>
    <t>PPIM19504160</t>
  </si>
  <si>
    <t>ที่ว่าการอำเภอบางเลน</t>
  </si>
  <si>
    <t>PPIM19504273</t>
  </si>
  <si>
    <t>PPIM195042C4</t>
  </si>
  <si>
    <t>PPIM195040E9</t>
  </si>
  <si>
    <t>PPIM1950422E</t>
  </si>
  <si>
    <t>ห้างหุ้นส่วนจำกัด ลวดสยามอุตสาหกรรม</t>
  </si>
  <si>
    <t>PPIM19503D52</t>
  </si>
  <si>
    <t>PPIM195041C5</t>
  </si>
  <si>
    <t>PPIM19503AA6</t>
  </si>
  <si>
    <t>PPIM19504332</t>
  </si>
  <si>
    <t>PPIM19504140</t>
  </si>
  <si>
    <t>นายสุรชัย มีหมื่นไวย</t>
  </si>
  <si>
    <t>PPIM1950414E</t>
  </si>
  <si>
    <t>นายพงศ์สิน นิรันดร์ฐิตินาท</t>
  </si>
  <si>
    <t>PPIM19504086</t>
  </si>
  <si>
    <t>PPIM19504351</t>
  </si>
  <si>
    <t>PPIM19504357</t>
  </si>
  <si>
    <t>บริษัท ซีพี ออลล์ จำกัด(มหาชน) สาขา 07439 สาขา หนองปรือ</t>
  </si>
  <si>
    <t>PPIM19504358</t>
  </si>
  <si>
    <t>บริษัท ซีพี ออลล์ จำกัด(มหาชน) สาขา 07593 สาขา ด่านมะขามเตี้ย</t>
  </si>
  <si>
    <t>PPIM19503A39</t>
  </si>
  <si>
    <t>บริษัท อุตสาหกรรมเเป้งเหรียญทอง จำกัด</t>
  </si>
  <si>
    <t>PPIM1950435F</t>
  </si>
  <si>
    <t>บริษัท ซีพี ออลล์ จำกัด(มหาชน) สาขา 11434 สาขา หนองตากยา</t>
  </si>
  <si>
    <t>PPIM19504360</t>
  </si>
  <si>
    <t>บริษัท ซีพี ออลล์ จำกัด(มหาชน) สาขา 17121 สาขา พังตรุ</t>
  </si>
  <si>
    <t>PPIM1950436B</t>
  </si>
  <si>
    <t>บริษัท ณรงค์ เมทเท็ล เวอร์ค จำกัด</t>
  </si>
  <si>
    <t>PPIM195035A8</t>
  </si>
  <si>
    <t>PPIM19503D32</t>
  </si>
  <si>
    <t>PPIM19502EB3</t>
  </si>
  <si>
    <t>PPIM19504396</t>
  </si>
  <si>
    <t>PPIM1950345B</t>
  </si>
  <si>
    <t>บริษัท พัฒนาโฟรเซ่นฟู้ด จำกัด</t>
  </si>
  <si>
    <t>PPIM195043D1</t>
  </si>
  <si>
    <t>PPIM195043DA</t>
  </si>
  <si>
    <t>PPIM195043E6</t>
  </si>
  <si>
    <t>PPIM195042B6</t>
  </si>
  <si>
    <t>บริษัท โชคชัยธนไพศาล จำกัด</t>
  </si>
  <si>
    <t>PPIM195040C9</t>
  </si>
  <si>
    <t>บริษัท ประเสริฐสมบูรณ์ เท็กไทล์ จำกัด</t>
  </si>
  <si>
    <t>PPIM19504106</t>
  </si>
  <si>
    <t>บริษัท เลาขวัญ วอเตอร์ (ประเทศไทย)จำกัด</t>
  </si>
  <si>
    <t>PPIM19503DCC</t>
  </si>
  <si>
    <t>PPIM19504308</t>
  </si>
  <si>
    <t>PPIM195042E2</t>
  </si>
  <si>
    <t>บริษัท เมอเจอร์ อลูมินั่ม จำกัด</t>
  </si>
  <si>
    <t>PPIM19504482</t>
  </si>
  <si>
    <t>PPIM1950448A</t>
  </si>
  <si>
    <t>PPIM195040D2</t>
  </si>
  <si>
    <t>PPIM195044A9</t>
  </si>
  <si>
    <t>บริษัท รุ่งสยามนิตติ้ง จำกัด</t>
  </si>
  <si>
    <t>PPIM195044EA</t>
  </si>
  <si>
    <t>บริษัท เถิงธงพาณิชย์ พลาสติก จำกัด</t>
  </si>
  <si>
    <t>PPIM19504500</t>
  </si>
  <si>
    <t>บริษัท ซีพี ออลล์ จำกัด(มหาชน) สาขา 16794 สาขา ท่าเสาลาดหญ้า</t>
  </si>
  <si>
    <t>PPIM19504401</t>
  </si>
  <si>
    <t>PPIM1950457D</t>
  </si>
  <si>
    <t>PPIM1950457F</t>
  </si>
  <si>
    <t>ห้างหุ้นส่วนจำกัด ใบโพธิ์ธุรกิจและอุตสาหกรรม</t>
  </si>
  <si>
    <t>PPIM195045AA</t>
  </si>
  <si>
    <t>PPIM195040C0</t>
  </si>
  <si>
    <t>บริษัท เอเซียนแปซิฟิคแคน จำกัด</t>
  </si>
  <si>
    <t>PPIM19504609</t>
  </si>
  <si>
    <t>PPIM1950438E</t>
  </si>
  <si>
    <t>PPIM19504617</t>
  </si>
  <si>
    <t>บริษัท เซ็นเตอร์ แพค จำกัด</t>
  </si>
  <si>
    <t>PPIM1950438D</t>
  </si>
  <si>
    <t>PPIM19504389</t>
  </si>
  <si>
    <t>PPIM19504381</t>
  </si>
  <si>
    <t>PPIM1950437B</t>
  </si>
  <si>
    <t>PPIM19504376</t>
  </si>
  <si>
    <t>PPIM19504348</t>
  </si>
  <si>
    <t>PPIM19504346</t>
  </si>
  <si>
    <t>PPIM1950433F</t>
  </si>
  <si>
    <t>PPIM1950433E</t>
  </si>
  <si>
    <t>PPIM1950433A</t>
  </si>
  <si>
    <t>PPIM19504337</t>
  </si>
  <si>
    <t>PPIM195042BA</t>
  </si>
  <si>
    <t>ห้างหุ้นส่วนจำกัด วี พี ซี พลาสเทค</t>
  </si>
  <si>
    <t>PPIM1950433C</t>
  </si>
  <si>
    <t>นางสุภาภร ผดุงตันตระกูล</t>
  </si>
  <si>
    <t>PPIM19504417</t>
  </si>
  <si>
    <t>บริษัท เฟลคซ์-ไอเบิล พลาส จำกัด</t>
  </si>
  <si>
    <t>PPIM195046CD</t>
  </si>
  <si>
    <t>PPIM195046E3</t>
  </si>
  <si>
    <t>PPIM19504383</t>
  </si>
  <si>
    <t>PPIM19504045</t>
  </si>
  <si>
    <t>PPIM19504752</t>
  </si>
  <si>
    <t>บริษัท อำนวยการ์เม้นท์ จำกัด</t>
  </si>
  <si>
    <t>PPIM19504477</t>
  </si>
  <si>
    <t>บริษัท พรีแพค ประเทศไทย จำกัด</t>
  </si>
  <si>
    <t>PPIM1950455E</t>
  </si>
  <si>
    <t>บริษัท ทรี เนเบอร์ จำกัด</t>
  </si>
  <si>
    <t>PPIM19504780</t>
  </si>
  <si>
    <t>PPIM19501E83</t>
  </si>
  <si>
    <t>PPIM19504799</t>
  </si>
  <si>
    <t>PPIM1950479A</t>
  </si>
  <si>
    <t>PPIM1950479B</t>
  </si>
  <si>
    <t>PPIM19504612</t>
  </si>
  <si>
    <t>นางสายพิน สร้อยศรีขำ</t>
  </si>
  <si>
    <t>PPIM19504254</t>
  </si>
  <si>
    <t>PPIM19504557</t>
  </si>
  <si>
    <t>นายนพปฎล ภูษิตราภรณ์</t>
  </si>
  <si>
    <t>PPIM19504873</t>
  </si>
  <si>
    <t>PPIM19504877</t>
  </si>
  <si>
    <t>วัดเทวสังฆารามพระอารามหลวง (หอพระประวัติสมเด็จพระญาณสังวร)</t>
  </si>
  <si>
    <t>PPIM195048A8</t>
  </si>
  <si>
    <t>PPIM195041F7</t>
  </si>
  <si>
    <t>PPIM195048EA</t>
  </si>
  <si>
    <t>PPIM195048FA</t>
  </si>
  <si>
    <t>บริษัท ซีเจ มาร์ท จำกัด</t>
  </si>
  <si>
    <t>PPIM1950490A</t>
  </si>
  <si>
    <t>PPIM1950490E</t>
  </si>
  <si>
    <t>บริษัท เกรทฟู๊ด (ดิไฮเดชั่น) จำกัด</t>
  </si>
  <si>
    <t>PPIM19504928</t>
  </si>
  <si>
    <t>PPIM195049AB</t>
  </si>
  <si>
    <t>บริษัท เกรทฟู้ท (ไบโอเคม) จำกัด</t>
  </si>
  <si>
    <t>PPIM19504566</t>
  </si>
  <si>
    <t>PPIM195047C3</t>
  </si>
  <si>
    <t>PPIM19504798</t>
  </si>
  <si>
    <t>PPIM19504797</t>
  </si>
  <si>
    <t>PPIM19504A1A</t>
  </si>
  <si>
    <t>บริษัท ที่นอนปีนังกาญ จำกัด</t>
  </si>
  <si>
    <t>PPIM195047C5</t>
  </si>
  <si>
    <t>PPIM19504A3B</t>
  </si>
  <si>
    <t>บริษัท เอส แอล พี พิกฟาร์ม จำกัด</t>
  </si>
  <si>
    <t>PPIM19504298</t>
  </si>
  <si>
    <t>PPIM195047DE</t>
  </si>
  <si>
    <t>PPIM19504857</t>
  </si>
  <si>
    <t>บริษัท ขจรกุลกวิน ฟู้ดส์ เทรดดิ้ง จำกัด</t>
  </si>
  <si>
    <t>PPIM19504418</t>
  </si>
  <si>
    <t>PPIM19502EA3</t>
  </si>
  <si>
    <t>PPIM19504AB7</t>
  </si>
  <si>
    <t>น.ส.ธิดาพร คงกระจ่าง</t>
  </si>
  <si>
    <t>PPIM19504AB8</t>
  </si>
  <si>
    <t>PPIM19504ACB</t>
  </si>
  <si>
    <t>PPIM19504ACF</t>
  </si>
  <si>
    <t>นางสาว สุจิตรา ทารส</t>
  </si>
  <si>
    <t>PPIM19504AD0</t>
  </si>
  <si>
    <t>บริษัท แสงไทยอุตสาหกรรม จำกัด</t>
  </si>
  <si>
    <t>PPIM19504AF9</t>
  </si>
  <si>
    <t>วี.เอส.ฮีททรีทเม้นต์ จำกัด</t>
  </si>
  <si>
    <t>PPIM19504829</t>
  </si>
  <si>
    <t>บริษัท ซี.เค.อี.แอนด์ เอส.จำกัด</t>
  </si>
  <si>
    <t>PPIM195043E2</t>
  </si>
  <si>
    <t>บริษัท กิจเจริญ เอ็นจิเนียริ่ง อีเลคทริค จำกัด (มหาชน)</t>
  </si>
  <si>
    <t>PPIM1950485E</t>
  </si>
  <si>
    <t>บริษัท โล้วเฮงหมงมอเตอร์ จำกัด</t>
  </si>
  <si>
    <t>PPIM19504841</t>
  </si>
  <si>
    <t>บริษัท เค พี มาสเตอร์ จำกัด</t>
  </si>
  <si>
    <t>PPIM1950435D</t>
  </si>
  <si>
    <t>บริษัท รวมชัยมัลติเทรด จำกัด</t>
  </si>
  <si>
    <t>PPIM19504B6A</t>
  </si>
  <si>
    <t>PPIM19504A56</t>
  </si>
  <si>
    <t>PPIM19504AA1</t>
  </si>
  <si>
    <t>PPIM19504B27</t>
  </si>
  <si>
    <t>PPIM1950356E</t>
  </si>
  <si>
    <t>บริษัท โรแลนด์ ดิจิตอล กรุ๊ป (ไทยแลนด์) จำกัด</t>
  </si>
  <si>
    <t>PPIM19504C0D</t>
  </si>
  <si>
    <t>บริษัท ซีเจ มาร์ท จำกัด (สาขาบางแม่หม้าย)</t>
  </si>
  <si>
    <t>PPIM1950487E</t>
  </si>
  <si>
    <t>PPIM19504B28</t>
  </si>
  <si>
    <t>PPIM19504A1F</t>
  </si>
  <si>
    <t>บริษัท เอส แอล พี โพลทรีย์ฟาร์ม จำกัด</t>
  </si>
  <si>
    <t>PPIM1950475B</t>
  </si>
  <si>
    <t>PPIM1950450C</t>
  </si>
  <si>
    <t>บริษัท อีซูซุอึ้งง่วนไต๋นครปฐม จำกัด</t>
  </si>
  <si>
    <t>PPIM195045BF</t>
  </si>
  <si>
    <t>PPIM195047B1</t>
  </si>
  <si>
    <t>วัดโคกเขมา</t>
  </si>
  <si>
    <t>PPIM19504C77</t>
  </si>
  <si>
    <t>นายเศวก ธรรมศิริพงษ์</t>
  </si>
  <si>
    <t>PPIM19504905</t>
  </si>
  <si>
    <t>บริษัท พีเอส สตีล โปรเซสซิ่ง เซ็นเตอร์ จำกัด</t>
  </si>
  <si>
    <t>PPIM195048FE</t>
  </si>
  <si>
    <t>PPIM195049F6</t>
  </si>
  <si>
    <t>บริษัท เซ็นเตอร์ คอนเทนเนอร์ จำกัด</t>
  </si>
  <si>
    <t>PPIM19504CA8</t>
  </si>
  <si>
    <t>บริษัท เอสที เฟอร์ิทิลิตี้ จำกัด</t>
  </si>
  <si>
    <t>PPIM19504880</t>
  </si>
  <si>
    <t>PPIM19504D32</t>
  </si>
  <si>
    <t>บริษัท แสงตะวันการพิมพ์ (1994) จำกัด</t>
  </si>
  <si>
    <t>PPIM19504575</t>
  </si>
  <si>
    <t>PPIM19504D47</t>
  </si>
  <si>
    <t>PPIM19504D5A</t>
  </si>
  <si>
    <t>PPIM1950462C</t>
  </si>
  <si>
    <t>PPIM195047F8</t>
  </si>
  <si>
    <t>PPIM195045F6</t>
  </si>
  <si>
    <t>บริษัท คอมโพสิทโซล จำกัด</t>
  </si>
  <si>
    <t>PPIM19504D9A</t>
  </si>
  <si>
    <t>บริษัท ซี.เจ. เอ็กซ์เพรส กรุ๊ป จำกัด (สาขา นครชุ่มชื่น)</t>
  </si>
  <si>
    <t>PPIM19504DA8</t>
  </si>
  <si>
    <t>PPIM19504C69</t>
  </si>
  <si>
    <t>บริษัท บี.อี.ฟู้ดส์ จำกัด</t>
  </si>
  <si>
    <t>PPIM19504DD1</t>
  </si>
  <si>
    <t>บริษัท อินทรา พรแพค จำกัด</t>
  </si>
  <si>
    <t>PPIM19504DF6</t>
  </si>
  <si>
    <t>บริษัท ซีรอเยลอาหารทะเล จำกัด</t>
  </si>
  <si>
    <t>PPIM195045B8</t>
  </si>
  <si>
    <t>บริษัท ไทยโพลีอะคริลิค จำกัด (มหาชน)</t>
  </si>
  <si>
    <t>PPIM19504E26</t>
  </si>
  <si>
    <t>บริษัท ซี.เจ. เอ็กซ์เพรส กรุ๊ป จำกัด (สาขา ทุ่งมะสังข์)</t>
  </si>
  <si>
    <t>PPIM19504E43</t>
  </si>
  <si>
    <t>บริษัท สามชัยอุตสาหกรรม จำกัด</t>
  </si>
  <si>
    <t>PPIM19504E8A</t>
  </si>
  <si>
    <t>PPIM19504E91</t>
  </si>
  <si>
    <t>PPIM19504E9F</t>
  </si>
  <si>
    <t>บริษัท พงศ์พารา รับเบอร์ จำกัด</t>
  </si>
  <si>
    <t>PPIM19504EA3</t>
  </si>
  <si>
    <t>บริษัท ไทยคลีนวอเตอร์ไลฟ์ จำกัด</t>
  </si>
  <si>
    <t>PPIM19504EAB</t>
  </si>
  <si>
    <t>บริษัท วาไรตี้ ฟู้ดส์ อินเตอร์เนชั่นแนล จำกัด</t>
  </si>
  <si>
    <t>PPIM19504EAD</t>
  </si>
  <si>
    <t>PPIM19504EB2</t>
  </si>
  <si>
    <t>PPIM19504AEE</t>
  </si>
  <si>
    <t>บริษัท ซี.เจ. เอ็กซ์เพรส กรุ๊ป จำกัด (สาขา ห้วยพลู)</t>
  </si>
  <si>
    <t>PPIM19504B11</t>
  </si>
  <si>
    <t>บริษัท ซี.เจ. เอ็กซ์เพรส กรุ๊ป จำกัด (สาขา บ้านควาย)</t>
  </si>
  <si>
    <t>PPIM195049EF</t>
  </si>
  <si>
    <t>PPIM19504ED7</t>
  </si>
  <si>
    <t>PPIM19504EEB</t>
  </si>
  <si>
    <t>นางสาวสุจิตรา ทารส</t>
  </si>
  <si>
    <t>PPIM19504A22</t>
  </si>
  <si>
    <t>นายเอนก อุบล</t>
  </si>
  <si>
    <t>PPIM19504F3B</t>
  </si>
  <si>
    <t>PPIM1950484B</t>
  </si>
  <si>
    <t>บริษัท เอบิซ อินเตอร์กรุ๊ป จำกัด</t>
  </si>
  <si>
    <t>PPIM195046E1</t>
  </si>
  <si>
    <t>PPIM195047CD</t>
  </si>
  <si>
    <t>บริษัท นราธิป ไรซ์มิล 1989 จำกัด</t>
  </si>
  <si>
    <t>PPIM19504A6E</t>
  </si>
  <si>
    <t>PPIM19504786</t>
  </si>
  <si>
    <t>บริษัท เอเซีย โพลีแซคส์ จำกัด</t>
  </si>
  <si>
    <t>PPIM19504FD2</t>
  </si>
  <si>
    <t>องค์การบริหารส่วนตำบลกฤษณา บ้านลำทองหลางหมู่ที่2</t>
  </si>
  <si>
    <t>PPIM19504FD6</t>
  </si>
  <si>
    <t>องค์การบริหารส่วนตำบลหมู่ที่ 2 ระบบประปาหมู่ที่2</t>
  </si>
  <si>
    <t>PPIM195045C1</t>
  </si>
  <si>
    <t>บริษัท ไอซ์ เทคโนโลยี พรอไพรทารี จำกัด</t>
  </si>
  <si>
    <t>PPIM19504FE1</t>
  </si>
  <si>
    <t>องค์การบริหารส่วนตำบลกฤษณา ระบบประปาหมู่ที่7</t>
  </si>
  <si>
    <t>PPIM19504FED</t>
  </si>
  <si>
    <t>องค์การบริหารส่วนตำบลกฤษณา ระบบประปาหมู่ที่6</t>
  </si>
  <si>
    <t>PPIM19504FF0</t>
  </si>
  <si>
    <t>ศูนย์พัฒนาเด็กเล็กกฤษณา</t>
  </si>
  <si>
    <t>PPIM19504FFE</t>
  </si>
  <si>
    <t>PPIM19504950</t>
  </si>
  <si>
    <t>PPIM19505040</t>
  </si>
  <si>
    <t>PPIM19504E27</t>
  </si>
  <si>
    <t>PPIM19504735</t>
  </si>
  <si>
    <t>PPIM19504663</t>
  </si>
  <si>
    <t>แพน โอเรียนท์ เอ็นเนอยี่ (สยาม)ลิมิเต็ด</t>
  </si>
  <si>
    <t>PPIM195050A7</t>
  </si>
  <si>
    <t>PPIM195050B2</t>
  </si>
  <si>
    <t>นางสาวพูนพัฒน์ หนูนุรักษ์</t>
  </si>
  <si>
    <t>PPIM195050B3</t>
  </si>
  <si>
    <t>PPIM195050BB</t>
  </si>
  <si>
    <t>บริษัท บิ๊กเบน เคมีคอล จำกัด</t>
  </si>
  <si>
    <t>PPIM19504ED2</t>
  </si>
  <si>
    <t>PPIM195050C1</t>
  </si>
  <si>
    <t>สำนักงานเทศบาลตำบลท่าจีน</t>
  </si>
  <si>
    <t>PPIM195050D5</t>
  </si>
  <si>
    <t>PPIM1950511A</t>
  </si>
  <si>
    <t>PPIM19504DD3</t>
  </si>
  <si>
    <t>นางสาว ศศิธร สุนทรวารี</t>
  </si>
  <si>
    <t>PPIM19505146</t>
  </si>
  <si>
    <t>PPIM19505179</t>
  </si>
  <si>
    <t>PPIM1950455F</t>
  </si>
  <si>
    <t>บริษัท ซีพี แอ็กซ์ตร้า จำกัด (มหาชน) (สำนักงานใหญ่) โลตัสสาขานครปฐม 2</t>
  </si>
  <si>
    <t>PPIM195051B7</t>
  </si>
  <si>
    <t>นางเบญจวรรณ มุกเสถียร</t>
  </si>
  <si>
    <t>PPIM195051B9</t>
  </si>
  <si>
    <t>บริษัท ไทยนำ โพลีแพค จำกัด</t>
  </si>
  <si>
    <t>PPIM195051BD</t>
  </si>
  <si>
    <t>นายพิชาต เกษสาคร</t>
  </si>
  <si>
    <t>PPIM195051BE</t>
  </si>
  <si>
    <t>นางสาวเลิศลักษณ์ เพรชนรชาติ</t>
  </si>
  <si>
    <t>PPIM195051CB</t>
  </si>
  <si>
    <t>นาย สันติ เย็นสบาย</t>
  </si>
  <si>
    <t>PPIM195051D4</t>
  </si>
  <si>
    <t>PPIM195051E0</t>
  </si>
  <si>
    <t>PPIM195051F4</t>
  </si>
  <si>
    <t>PPIM19505201</t>
  </si>
  <si>
    <t>บริษัท ศรีนานาพร มาร์เก็ตติ้ง จำกัด (มหาชน)</t>
  </si>
  <si>
    <t>PPIM1950505B</t>
  </si>
  <si>
    <t>บริษัท วี.พี.ไทยอินเตอร์เทรด จำกัด</t>
  </si>
  <si>
    <t>PPIM19504E86</t>
  </si>
  <si>
    <t>PPIM19504A0F</t>
  </si>
  <si>
    <t>PPIM19504F2C</t>
  </si>
  <si>
    <t>บริษัท ซันเวนดิ้ง เทคโนโลยี จำกัด (มหาชน)</t>
  </si>
  <si>
    <t>PPIM19505098</t>
  </si>
  <si>
    <t>บริษัท กู๊ดลัค โปรดักท์ จำกัด</t>
  </si>
  <si>
    <t>PPIM19505296</t>
  </si>
  <si>
    <t>PPIM19504FC1</t>
  </si>
  <si>
    <t>PPIM19504FC3</t>
  </si>
  <si>
    <t>PPIM195052C9</t>
  </si>
  <si>
    <t>บริษัท สุภาออร์คิดส์ อินเตอร์แลบ จำกัด</t>
  </si>
  <si>
    <t>PPIM195052E4</t>
  </si>
  <si>
    <t>โรงพยาบาลพหลพลพยุหเสนา(เฟส2)</t>
  </si>
  <si>
    <t>PPIM19505303</t>
  </si>
  <si>
    <t>นางสาวกัญญาวรรณ์ วรนิยมพันธุ์</t>
  </si>
  <si>
    <t>PPIM1950530E</t>
  </si>
  <si>
    <t>นางสาวอรดี นิยมพันธ์</t>
  </si>
  <si>
    <t>PPIM195049EA</t>
  </si>
  <si>
    <t>PPIM19505326</t>
  </si>
  <si>
    <t>บริษัท นิยมพันธ์ จำกัด</t>
  </si>
  <si>
    <t>PPIM1950532A</t>
  </si>
  <si>
    <t>บริษัท ฮิตซ์ เมเนจเมนท์ จำกัด</t>
  </si>
  <si>
    <t>PPIM195051DE</t>
  </si>
  <si>
    <t>บริษัท เอ็นที ฟู้ด อินเตอร์เทรดจำกัด</t>
  </si>
  <si>
    <t>PPIM19505332</t>
  </si>
  <si>
    <t>บริษัท แพน โอเรียนท์ เอ็นเนอยี่ (สยาม) ลิมิเต็ด</t>
  </si>
  <si>
    <t>PPIM19505338</t>
  </si>
  <si>
    <t>บริษัท ไดอารี่ สวีท จำกัด</t>
  </si>
  <si>
    <t>PPIM1950533B</t>
  </si>
  <si>
    <t>บริษัท ระฆังทอง พลาสติก จำกัด</t>
  </si>
  <si>
    <t>PPIM19504B7C</t>
  </si>
  <si>
    <t>โรงพยาบาลบ้านแพ้ว (องค์การมหาชน)</t>
  </si>
  <si>
    <t>PPIM19505340</t>
  </si>
  <si>
    <t>PPIM19504AFE</t>
  </si>
  <si>
    <t>PPIM19504F2B</t>
  </si>
  <si>
    <t>บริษัท เอ็ม เอ็น คอนโดทาวน์ จำกัด</t>
  </si>
  <si>
    <t>PPIM1950538D</t>
  </si>
  <si>
    <t>บริษัท ซี.เจ. เอ็กซ์เพรส กรุ๊ป จำกัด (สาขาเพชรเกษม 122)</t>
  </si>
  <si>
    <t>PPIM1950538E</t>
  </si>
  <si>
    <t>PPIM1950539A</t>
  </si>
  <si>
    <t>บริษัท นัสโก้ ซานิทารีแวร์(ประเทศไทย) จำกัด</t>
  </si>
  <si>
    <t>PPIM1950539B</t>
  </si>
  <si>
    <t>PPIM19505363</t>
  </si>
  <si>
    <t>บริษัท เค.เอ็ม.ที.ฟาร์มจำกัด</t>
  </si>
  <si>
    <t>PPIM195053D1</t>
  </si>
  <si>
    <t>บริษัท ซีอาร์ซี ไทวัสดุ จำกัด (สาขามหาชัย)</t>
  </si>
  <si>
    <t>PPIM195053D2</t>
  </si>
  <si>
    <t>PPIM19504F37</t>
  </si>
  <si>
    <t>PPIM1950509A</t>
  </si>
  <si>
    <t>บริษัท บุญเสริม ฟาร์ม จำกัด</t>
  </si>
  <si>
    <t>PPIM19505403</t>
  </si>
  <si>
    <t>PPIM19504A11</t>
  </si>
  <si>
    <t>PPIM1950540E</t>
  </si>
  <si>
    <t>PPIM19504FD8</t>
  </si>
  <si>
    <t>บริษัท สยาม ยูเคเอฟ จำกัด</t>
  </si>
  <si>
    <t>PPIM1950505D</t>
  </si>
  <si>
    <t>PPIM19504E40</t>
  </si>
  <si>
    <t>บริษัท บิวตี้ครีเอทีฟ จำกัด</t>
  </si>
  <si>
    <t>PPIM1950503E</t>
  </si>
  <si>
    <t>บริษัท ออคิด เลช จำกัด</t>
  </si>
  <si>
    <t>PPIM1950541C</t>
  </si>
  <si>
    <t>PPIM1950548A</t>
  </si>
  <si>
    <t>PPIM1950540A</t>
  </si>
  <si>
    <t>PPIM1950542E</t>
  </si>
  <si>
    <t>นางสาวณปภัช สุขตะกั่ว</t>
  </si>
  <si>
    <t>PPIM195051AC</t>
  </si>
  <si>
    <t>บริษัท ส. ชัยวารีห้องเย็น จำกัด</t>
  </si>
  <si>
    <t>PPIM1950513F</t>
  </si>
  <si>
    <t>บริษัท อุตสาหกรรมน้ำตาลสุพรรณบุรี จำกัด</t>
  </si>
  <si>
    <t>PPIM19505048</t>
  </si>
  <si>
    <t>PPIM1950542A</t>
  </si>
  <si>
    <t>PPIM19504F4D</t>
  </si>
  <si>
    <t>บริษัท เฟิสท์ รับเบอร์ จำกัด</t>
  </si>
  <si>
    <t>PPIM19505476</t>
  </si>
  <si>
    <t>PPIM195046FA</t>
  </si>
  <si>
    <t>บริษัท โรบินสัน จำกัด (มหาชน) สาขาสุพรรณบุรี</t>
  </si>
  <si>
    <t>PPIM195046F8</t>
  </si>
  <si>
    <t>บริษัท โรบินสัน จำกัด (มหาชน)สาขากาญจนบุรี</t>
  </si>
  <si>
    <t>PPIM19505206</t>
  </si>
  <si>
    <t>PPIM195051FB</t>
  </si>
  <si>
    <t>PPIM195040B8</t>
  </si>
  <si>
    <t>PPIM19505565</t>
  </si>
  <si>
    <t>บริษัท พิกุลทอง พลาสติก จำกัด</t>
  </si>
  <si>
    <t>PPIM1950556A</t>
  </si>
  <si>
    <t>PPIM195024A0</t>
  </si>
  <si>
    <t>บริษัท ริเวอร์แคว อินเตอร์เนชั่นแนล อุตสาหกรรมอาหาร จำกัด</t>
  </si>
  <si>
    <t>PPIM1950551C</t>
  </si>
  <si>
    <t>PPIM195055CE</t>
  </si>
  <si>
    <t>PPIM1950547C</t>
  </si>
  <si>
    <t>บริษัท จรุงรัตน์ จำกัด</t>
  </si>
  <si>
    <t>PPIM195052C2</t>
  </si>
  <si>
    <t>PPIM195055D4</t>
  </si>
  <si>
    <t>PPIM19504AD6</t>
  </si>
  <si>
    <t>บริษัท เอไอ เอนเนอร์จี จำกัด (มหาชน)</t>
  </si>
  <si>
    <t>PPIM19504F23</t>
  </si>
  <si>
    <t>บริษัท ไทยนาโอกะ ฟาร์มาซูติคอล จำกัด</t>
  </si>
  <si>
    <t>PPIM19505399</t>
  </si>
  <si>
    <t>บริษัท พีวายเค. ทูล แอนด์ ดาย จำกัด</t>
  </si>
  <si>
    <t>PPIM195055E8</t>
  </si>
  <si>
    <t>บริษัท โรงงานวุ้นเส้นท่าเรือ ฟู้ด โปรดัคท์ จำกัด</t>
  </si>
  <si>
    <t>PPIM195055FD</t>
  </si>
  <si>
    <t>นายพหล ธิตยางกรุวงศ์</t>
  </si>
  <si>
    <t>PPIM19505366</t>
  </si>
  <si>
    <t>บริษัท พรของแม่ฮีโน่ 888 จำกัด</t>
  </si>
  <si>
    <t>PPIM19505364</t>
  </si>
  <si>
    <t>PPIM1950469A</t>
  </si>
  <si>
    <t>PPIM19505420</t>
  </si>
  <si>
    <t>องค์การบริหารส่วนตำบลอำแพง</t>
  </si>
  <si>
    <t>PPIM19505598</t>
  </si>
  <si>
    <t>บริษัท เจ.เมทัล โซลูชั่น จำกัด</t>
  </si>
  <si>
    <t>PPIM19501E74</t>
  </si>
  <si>
    <t>PPIM19504EDD</t>
  </si>
  <si>
    <t>บริษัท พงศ์พาราโคดัน โพลิเมอร์จำกัด</t>
  </si>
  <si>
    <t>PPIM1950562E</t>
  </si>
  <si>
    <t>PPIM19505632</t>
  </si>
  <si>
    <t>PPIM19505639</t>
  </si>
  <si>
    <t>PPIM195052B0</t>
  </si>
  <si>
    <t>PPIM19505644</t>
  </si>
  <si>
    <t>PPIM19505651</t>
  </si>
  <si>
    <t>ห้างหุ้นส่วนจำกัด กลวัต เอ็นจิเนียริ่ง แอนด์ ซัพพลาย</t>
  </si>
  <si>
    <t>PPIM195050DF</t>
  </si>
  <si>
    <t>บริษัท เซ็นทรัล โกลด์ จำกัด</t>
  </si>
  <si>
    <t>PPIM1950566B</t>
  </si>
  <si>
    <t>บริษัทนี้ บริษัท ไทยมณี คราฟท์ จำกัด</t>
  </si>
  <si>
    <t>PPIM1950566F</t>
  </si>
  <si>
    <t>บริษัท ไทยมณี คราฟท์ จำกัด</t>
  </si>
  <si>
    <t>PPIM19505695</t>
  </si>
  <si>
    <t>PPIM195053EA</t>
  </si>
  <si>
    <t>บริษัท เอ็นเค โกล์บ จำกัด</t>
  </si>
  <si>
    <t>PPIM195056AA</t>
  </si>
  <si>
    <t>บริษัท โรงสีดิลก อินเตอร์ไรซ์</t>
  </si>
  <si>
    <t>PPIM195056B0</t>
  </si>
  <si>
    <t>PPIM19505271</t>
  </si>
  <si>
    <t>PPIM19505757</t>
  </si>
  <si>
    <t>นายสมชาย จรัสชัยวรรณา</t>
  </si>
  <si>
    <t>PPIM195057A8</t>
  </si>
  <si>
    <t>ชญาณิศา เมฆพัฒน์</t>
  </si>
  <si>
    <t>PPIM195058A6</t>
  </si>
  <si>
    <t>นายรหัท ชวกรณ์โกศล</t>
  </si>
  <si>
    <t>PPIM19505A2C</t>
  </si>
  <si>
    <t>นายอภิชัย ฉัตรเฉลิมกิจ</t>
  </si>
  <si>
    <t>PPIM19505A37</t>
  </si>
  <si>
    <t>นางวิลาวัณย์ ธัญเมธารัตน์</t>
  </si>
  <si>
    <t>PPIM1950591F</t>
  </si>
  <si>
    <t>นายเจษฎา ทวีวรรณ</t>
  </si>
  <si>
    <t>PPIM19505A96</t>
  </si>
  <si>
    <t>ปาณิสรา พลชำนิ</t>
  </si>
  <si>
    <t>PPIM1950593D</t>
  </si>
  <si>
    <t>น.ส.ต้น สุวรรณะ</t>
  </si>
  <si>
    <t>PPIM19505A39</t>
  </si>
  <si>
    <t>PPIM19505CB0</t>
  </si>
  <si>
    <t>นายธนากร วชิรปรีชาพงษ์</t>
  </si>
  <si>
    <t>PPIM195055EC</t>
  </si>
  <si>
    <t>นายลิขิต คำชมภู</t>
  </si>
  <si>
    <t>PPIM195057C6</t>
  </si>
  <si>
    <t>นายธิติ ชัยธัมมะปกรณ์</t>
  </si>
  <si>
    <t>PPIM195057CE</t>
  </si>
  <si>
    <t>PPIM19505860</t>
  </si>
  <si>
    <t>บริษัท ชัยโย แอท โฮม จำกัด</t>
  </si>
  <si>
    <t>PPIM19505862</t>
  </si>
  <si>
    <t>บริษัท ชัยโยคอนกรีต</t>
  </si>
  <si>
    <t>PPIM1950586F</t>
  </si>
  <si>
    <t>ห้างหุ่นส่วนจำกัด ชัยโยคอนกรีต</t>
  </si>
  <si>
    <t>PPIM19505B6E</t>
  </si>
  <si>
    <t>องค์การบริหารส่วนตำบลลานตากฟ้า</t>
  </si>
  <si>
    <t>PPIM19505CB9</t>
  </si>
  <si>
    <t>นายปิยพงษ์ กำลังงาม</t>
  </si>
  <si>
    <t>PPIM19505871</t>
  </si>
  <si>
    <t>นายสุนันเทพ พึ่งอุทัย</t>
  </si>
  <si>
    <t>PPIM19505996</t>
  </si>
  <si>
    <t>PPIM19505A0E</t>
  </si>
  <si>
    <t>ห้างหุ้นส่วนจำกัด เรือนแก้ว อพาร์ทเมนท์</t>
  </si>
  <si>
    <t>PPIM19505719</t>
  </si>
  <si>
    <t>PPIM1950571D</t>
  </si>
  <si>
    <t>PPIM19505743</t>
  </si>
  <si>
    <t>PPIM19505774</t>
  </si>
  <si>
    <t>นายธนกร ปิยธำรงรัตน์</t>
  </si>
  <si>
    <t>PPIM19505810</t>
  </si>
  <si>
    <t>PPIM1950590A</t>
  </si>
  <si>
    <t>นายไชโย จิบโคกหวาย</t>
  </si>
  <si>
    <t>PPIM19505924</t>
  </si>
  <si>
    <t>นางสาวยิ่งลักณ์ ตั้งพิกุลทอง</t>
  </si>
  <si>
    <t>PPIM1950592E</t>
  </si>
  <si>
    <t>PPIM19505932</t>
  </si>
  <si>
    <t>PPIM19505934</t>
  </si>
  <si>
    <t>PPIM19505937</t>
  </si>
  <si>
    <t>PPIM19505938</t>
  </si>
  <si>
    <t>PPIM1950594A</t>
  </si>
  <si>
    <t>PPIM19505967</t>
  </si>
  <si>
    <t>นางสาวศรัญญา ศรีมีลาภ</t>
  </si>
  <si>
    <t>PPIM19505AEA</t>
  </si>
  <si>
    <t>นายนนทสิทธิ์ วัฒนพิทักษ์พงศ์</t>
  </si>
  <si>
    <t>PPIM19505A78</t>
  </si>
  <si>
    <t>PPIM19505CD1</t>
  </si>
  <si>
    <t>นายณัฐพงศ์ เจิมศรีเเจ่มจันทร์</t>
  </si>
  <si>
    <t>PPIM1950589F</t>
  </si>
  <si>
    <t>นายสมชาย ศรีอีนยู้</t>
  </si>
  <si>
    <t>PPIM19505918</t>
  </si>
  <si>
    <t>รัตนา มณีน้อย</t>
  </si>
  <si>
    <t>PPIM19505919</t>
  </si>
  <si>
    <t>สมชาย เฉลิมกลิ่น</t>
  </si>
  <si>
    <t>PPIM19505A53</t>
  </si>
  <si>
    <t>นายเกรียงศักดิ์ เทดี</t>
  </si>
  <si>
    <t>PPIM185001E7</t>
  </si>
  <si>
    <t>สมชาติ สองสี</t>
  </si>
  <si>
    <t>กฟอ.ดอนตูม</t>
  </si>
  <si>
    <t>PPIM18500F62</t>
  </si>
  <si>
    <t>นาย สมชาติ สองสี</t>
  </si>
  <si>
    <t>PPIM1850122D</t>
  </si>
  <si>
    <t>นายบุญชู สุขสถาพรเลิศ</t>
  </si>
  <si>
    <t>PPIM185016F2</t>
  </si>
  <si>
    <t>บริษัท เอสพี-วัน พียูรูฟส์ จำกัด</t>
  </si>
  <si>
    <t>PPIM185016F3</t>
  </si>
  <si>
    <t>PPIM1850233D</t>
  </si>
  <si>
    <t>นาง เฉลียว รุ่งทวีชัย</t>
  </si>
  <si>
    <t>PPIM18502EF5</t>
  </si>
  <si>
    <t>นางสาวกาญจนา แก้วอำไพ</t>
  </si>
  <si>
    <t>PPIM185033DA</t>
  </si>
  <si>
    <t>ที่ทำการปกครอง อำเภอดอนตูม</t>
  </si>
  <si>
    <t>PPIM18503E9A</t>
  </si>
  <si>
    <t>PPIM18504842</t>
  </si>
  <si>
    <t>PPIM19501293</t>
  </si>
  <si>
    <t>นางสาว ภรัณภัทร ประสงค์ทรัพย์</t>
  </si>
  <si>
    <t>PPIM195023F9</t>
  </si>
  <si>
    <t>นางนิสากุล พันธ์คง</t>
  </si>
  <si>
    <t>PPIM195026CB</t>
  </si>
  <si>
    <t>นาง อารีย์พร ปรีชาแสงจันทร์</t>
  </si>
  <si>
    <t>PPIM1950156C</t>
  </si>
  <si>
    <t>นายกมล สังกะ</t>
  </si>
  <si>
    <t>PPIM19503259</t>
  </si>
  <si>
    <t>นายณัฐวรรธน์ หวังเจริญลาภ</t>
  </si>
  <si>
    <t>PPIM19503585</t>
  </si>
  <si>
    <t>นายพล เถื่อนเมือง</t>
  </si>
  <si>
    <t>PPIM19503D43</t>
  </si>
  <si>
    <t>นาง อารีย์ วงค์เนตร</t>
  </si>
  <si>
    <t>PPIM19503E17</t>
  </si>
  <si>
    <t>นายพสิษฐ์ สุขเกษม</t>
  </si>
  <si>
    <t>PPIM19503AA5</t>
  </si>
  <si>
    <t>นายอนุรักษ์ มารุ่ง</t>
  </si>
  <si>
    <t>PPIM19504759</t>
  </si>
  <si>
    <t>นางธัญญพัทธ์ นิติโชติทรัพย์</t>
  </si>
  <si>
    <t>PPIM195054A3</t>
  </si>
  <si>
    <t>นายอรรถนิติ มีถาวร</t>
  </si>
  <si>
    <t>PPIM195058BA</t>
  </si>
  <si>
    <t>สำนักงานเทศบาลตำบลสามง่าม</t>
  </si>
  <si>
    <t>PPIM19505A97</t>
  </si>
  <si>
    <t>นาย บุญเลิศ นัดสูงวงศ์</t>
  </si>
  <si>
    <t>PPIM19505736</t>
  </si>
  <si>
    <t>องค์การบริหารส่วนตำบลศาลายา</t>
  </si>
  <si>
    <t>PPIM19505751</t>
  </si>
  <si>
    <t>นางสาว บุษบาทิพย์ ประเสริฐศักดิ์</t>
  </si>
  <si>
    <t>PPIM19505C0A</t>
  </si>
  <si>
    <t>นาย ชนน สุขสิริทรัพย์กลุ</t>
  </si>
  <si>
    <t>PPIM19505C55</t>
  </si>
  <si>
    <t>บริษัท เค็พเลอร์ อินเตอร์เนชั่นแนลจำกัด</t>
  </si>
  <si>
    <t>กฟจ.สมุทรสาค</t>
  </si>
  <si>
    <t>PPIM19505671</t>
  </si>
  <si>
    <t>นาย ศิริชัย ปัทมรพีพรรณ</t>
  </si>
  <si>
    <t>PPIM1950577F</t>
  </si>
  <si>
    <t>PPIM195057DA</t>
  </si>
  <si>
    <t>PPIM19505820</t>
  </si>
  <si>
    <t>PPIM1950586C</t>
  </si>
  <si>
    <t>บริษัท เอ.เอ.อพาร์ทเม้นท์ จำกัด</t>
  </si>
  <si>
    <t>PPIM19505A66</t>
  </si>
  <si>
    <t>บริษัท เจ.เค.ซัพพลาย แอนด์ แมชชีนเนอรี่ จำกัด</t>
  </si>
  <si>
    <t>PPIM19505615</t>
  </si>
  <si>
    <t>นายบรรเทิง พุทธคาวี</t>
  </si>
  <si>
    <t>PPIM1950578F</t>
  </si>
  <si>
    <t>PPIM19505864</t>
  </si>
  <si>
    <t>PPIM19505886</t>
  </si>
  <si>
    <t>น.ส.อภิญญา สุวรรณวงษ์</t>
  </si>
  <si>
    <t>PPIM19505887</t>
  </si>
  <si>
    <t>นายเอกรัตน์ สิทธิชาติบูรณะ</t>
  </si>
  <si>
    <t>PPIM1950562A</t>
  </si>
  <si>
    <t>PPIM19505A3A</t>
  </si>
  <si>
    <t>นางสาวอภิญญา สุวรรณวงษ์</t>
  </si>
  <si>
    <t>PPIM19505A4B</t>
  </si>
  <si>
    <t>PPIM19505AB9</t>
  </si>
  <si>
    <t>สมพร ทรัพย์เกษตรกิจ</t>
  </si>
  <si>
    <t>PPIM19505ABA</t>
  </si>
  <si>
    <t>PPIM19505AD0</t>
  </si>
  <si>
    <t>PPIM19505B15</t>
  </si>
  <si>
    <t>PPIM19505BCE</t>
  </si>
  <si>
    <t>นาวิน เส็งสมวงศ์</t>
  </si>
  <si>
    <t>PPIM19505A45</t>
  </si>
  <si>
    <t>PPIM19505BD6</t>
  </si>
  <si>
    <t>PPIM19505C18</t>
  </si>
  <si>
    <t>นายประมุข หนูเทพย์</t>
  </si>
  <si>
    <t>PPIM1950579D</t>
  </si>
  <si>
    <t>PPIM19505C2B</t>
  </si>
  <si>
    <t>PPIM19505A42</t>
  </si>
  <si>
    <t>นายนพ วงษ์ถนอม</t>
  </si>
  <si>
    <t>PPIM19505A44</t>
  </si>
  <si>
    <t>บริษัท พีแอนด์ดับบลิว โซโลชั่นเทคโนโลยี จำกัด</t>
  </si>
  <si>
    <t>PPIM19505C98</t>
  </si>
  <si>
    <t>นายบุญเลิศ แตงเอี่ยม</t>
  </si>
  <si>
    <t>PPIM195058B7</t>
  </si>
  <si>
    <t>นายไชยันต์ เจียมสินกุล</t>
  </si>
  <si>
    <t>PPIM195058DB</t>
  </si>
  <si>
    <t>นายวินัย วุฒิสิริวรภัทร์</t>
  </si>
  <si>
    <t>PPIM19505983</t>
  </si>
  <si>
    <t>น.ส. นภัสนันท์ จันทร์สมบูรณ์</t>
  </si>
  <si>
    <t>PPIM19505A9B</t>
  </si>
  <si>
    <t>นายศักดิ์ชัย นิมิตรปัญญา</t>
  </si>
  <si>
    <t>PPIM19505AA7</t>
  </si>
  <si>
    <t>นางสาวเปมิศา นวลพิน</t>
  </si>
  <si>
    <t>กฟจ.กาญจนบุ</t>
  </si>
  <si>
    <t>PPIM1950579A</t>
  </si>
  <si>
    <t>น.ส.ประนอม แย้มทองคำ</t>
  </si>
  <si>
    <t>PPIM1950598D</t>
  </si>
  <si>
    <t>นางสุภาณี วิชัยสินธ์ุ</t>
  </si>
  <si>
    <t>PPIM19505AE4</t>
  </si>
  <si>
    <t>นางสาวนันทวรรณ ฟักเขียว</t>
  </si>
  <si>
    <t>PPIM195057AE</t>
  </si>
  <si>
    <t>นคพงษ์ ตันติปิธรรม</t>
  </si>
  <si>
    <t>PPIM19505C31</t>
  </si>
  <si>
    <t>นางวรรณี ขันอาสา</t>
  </si>
  <si>
    <t>PPIM19505BCB</t>
  </si>
  <si>
    <t>PPIM19505C8A</t>
  </si>
  <si>
    <t>นางสาววัลภา โพธิ์ทอง</t>
  </si>
  <si>
    <t>PPIM195056CB</t>
  </si>
  <si>
    <t>PPIM19505786</t>
  </si>
  <si>
    <t>PPIM1950589A</t>
  </si>
  <si>
    <t>นายประเวศ ปิยะพันธ์</t>
  </si>
  <si>
    <t>PPIM19505B55</t>
  </si>
  <si>
    <t>PPIM19505BA0</t>
  </si>
  <si>
    <t>นาย อำพน พิสิฐพิพัฒนา</t>
  </si>
  <si>
    <t>PPIM19505C93</t>
  </si>
  <si>
    <t>PPIM19505C9D</t>
  </si>
  <si>
    <t>นางสาว นุชนาฏ เผื่อนผาด</t>
  </si>
  <si>
    <t>PPIM195055F6</t>
  </si>
  <si>
    <t>นาง บุปผา อรภักดี</t>
  </si>
  <si>
    <t>PPIM195056C0</t>
  </si>
  <si>
    <t>นาย เกรียง เทพสุธา</t>
  </si>
  <si>
    <t>PPIM195056C1</t>
  </si>
  <si>
    <t>PPIM195057F5</t>
  </si>
  <si>
    <t>PPIM19505851</t>
  </si>
  <si>
    <t>นายณรงค์ศักดิ์ เลิศศรีสุขสันต์</t>
  </si>
  <si>
    <t>PPIM19505928</t>
  </si>
  <si>
    <t>PPIM1950592D</t>
  </si>
  <si>
    <t>PPIM19505930</t>
  </si>
  <si>
    <t>PPIM19505935</t>
  </si>
  <si>
    <t>PPIM19505940</t>
  </si>
  <si>
    <t>ศูนย์พัฒนาเด็กเล็ก อบต.กฤษณา</t>
  </si>
  <si>
    <t>PPIM19505ACD</t>
  </si>
  <si>
    <t>PPIM19505B0F</t>
  </si>
  <si>
    <t>นายอมร นูสารี</t>
  </si>
  <si>
    <t>PPIM19505B84</t>
  </si>
  <si>
    <t>น.ส.กนกวรรณ ใบศรี</t>
  </si>
  <si>
    <t>PPIM19505BBC</t>
  </si>
  <si>
    <t>น.ส.นภัชชา แก้วกระจ่าง</t>
  </si>
  <si>
    <t>PPIM19505C6E</t>
  </si>
  <si>
    <t>นายฉลวย สำราญพันธุ์</t>
  </si>
  <si>
    <t>PPIM19505614</t>
  </si>
  <si>
    <t>PPIM1950580D</t>
  </si>
  <si>
    <t>องค์การบริหารส่วนตำบลพลับพลาไชย</t>
  </si>
  <si>
    <t>PPIM19505A5E</t>
  </si>
  <si>
    <t>เทศบาลตำบลเจดีย์</t>
  </si>
  <si>
    <t>PPIM19505A71</t>
  </si>
  <si>
    <t>นายสมพล อึ้งมณีภรณ์</t>
  </si>
  <si>
    <t>PPIM19505B37</t>
  </si>
  <si>
    <t>PPIM19505B85</t>
  </si>
  <si>
    <t>PPIM19505BB9</t>
  </si>
  <si>
    <t>PPIM19505BE1</t>
  </si>
  <si>
    <t>PPIM19505BF5</t>
  </si>
  <si>
    <t>นายเทียมฝัด พุทธจักรศรี</t>
  </si>
  <si>
    <t>PPIM19505C4C</t>
  </si>
  <si>
    <t>นายภาษิต ละสัน</t>
  </si>
  <si>
    <t>PPIM195056FE</t>
  </si>
  <si>
    <t>วรลักษณ์ ฟักน้อย</t>
  </si>
  <si>
    <t>PPIM19505806</t>
  </si>
  <si>
    <t>นางพรทิพย์ พุทธาประทีป</t>
  </si>
  <si>
    <t>PPIM19505809</t>
  </si>
  <si>
    <t>นายสมพงษ์ เกตุพูนทอง</t>
  </si>
  <si>
    <t>PPIM1950590E</t>
  </si>
  <si>
    <t>นายยุทธนา รัตนธน</t>
  </si>
  <si>
    <t>PPIM1950599D</t>
  </si>
  <si>
    <t>บ้านวังยาว</t>
  </si>
  <si>
    <t>PPIM195059BB</t>
  </si>
  <si>
    <t>โรงเรียนบ้านวังยาว(สูบน้ำบาดาลและโรงกรองน้ำ)</t>
  </si>
  <si>
    <t>PPIM19505A5A</t>
  </si>
  <si>
    <t>ศูนย์พัฒนาเด็กเล็กเทศบาล ตำบลด่านช้าง</t>
  </si>
  <si>
    <t>PPIM195056F1</t>
  </si>
  <si>
    <t>นายเอี่ยม ดุษฎีพฤฒิพันธุ์</t>
  </si>
  <si>
    <t>PPIM1950571C</t>
  </si>
  <si>
    <t>PPIM1950572B</t>
  </si>
  <si>
    <t>PPIM1950574B</t>
  </si>
  <si>
    <t>นายชัชพงษ์ กุลกฤษฎา</t>
  </si>
  <si>
    <t>PPIM19505784</t>
  </si>
  <si>
    <t>PPIM19505785</t>
  </si>
  <si>
    <t>PPIM195057AD</t>
  </si>
  <si>
    <t>PPIM195057C5</t>
  </si>
  <si>
    <t>PPIM195057F4</t>
  </si>
  <si>
    <t>PPIM19505802</t>
  </si>
  <si>
    <t>ห้างหุ้นส่วนจำกัดโรงสีรังสรรค์พืชผล</t>
  </si>
  <si>
    <t>PPIM1950582C</t>
  </si>
  <si>
    <t>PPIM19505847</t>
  </si>
  <si>
    <t>บริษัท เอ็กซ์เซล ซุปเปอร์แพค จำกัด</t>
  </si>
  <si>
    <t>เชื่อมต่อแล้ว</t>
  </si>
  <si>
    <t>ยังไม่เชื่อมต่อ</t>
  </si>
  <si>
    <t>%</t>
  </si>
  <si>
    <t>พื้นที่</t>
  </si>
  <si>
    <t>รวม (MW)</t>
  </si>
  <si>
    <t>สนญ.</t>
  </si>
  <si>
    <t>น.1</t>
  </si>
  <si>
    <t>น.2</t>
  </si>
  <si>
    <t>น.3</t>
  </si>
  <si>
    <t>ฉ.1</t>
  </si>
  <si>
    <t>ฉ.2</t>
  </si>
  <si>
    <t>ฉ.3</t>
  </si>
  <si>
    <t>ก.1</t>
  </si>
  <si>
    <t>ก.2</t>
  </si>
  <si>
    <t>ก.3</t>
  </si>
  <si>
    <t>ต.1</t>
  </si>
  <si>
    <t>ต.2</t>
  </si>
  <si>
    <t>ต.3</t>
  </si>
  <si>
    <t>n/a</t>
  </si>
  <si>
    <t>PPIM19505854</t>
  </si>
  <si>
    <t>PPIM19505875</t>
  </si>
  <si>
    <t>บจก.พี แอนด์ เอ็ม สวิทซ์บอร์ด</t>
  </si>
  <si>
    <t>PPIM19505777</t>
  </si>
  <si>
    <t>บริษัท ฮ่าวอี้ อินเตอร์เนชั่นแนล จำกัด</t>
  </si>
  <si>
    <t>PPIM195058D4</t>
  </si>
  <si>
    <t>PPIM1950593E</t>
  </si>
  <si>
    <t>PPIM19505944</t>
  </si>
  <si>
    <t>บริษัท ดลวณิช จำกัด</t>
  </si>
  <si>
    <t>PPIM1950573B</t>
  </si>
  <si>
    <t>PPIM1950595B</t>
  </si>
  <si>
    <t>PPIM1950595C</t>
  </si>
  <si>
    <t>บริษัท เอ็น เอส แอล อุตสาหกรรม จำกัด</t>
  </si>
  <si>
    <t>PPIM1950599A</t>
  </si>
  <si>
    <t>บริษัท สยามพรีเสิร์ฟฟู้ดส์ จำกัด</t>
  </si>
  <si>
    <t>PPIM195057E5</t>
  </si>
  <si>
    <t>นายสมพร กสิโอฬาร</t>
  </si>
  <si>
    <t>PPIM195056F0</t>
  </si>
  <si>
    <t>PPIM19505728</t>
  </si>
  <si>
    <t>PPIM195059C9</t>
  </si>
  <si>
    <t>บริษัท เกรทฟู๊ด (ดิไฮเดชั่น) จำกัด</t>
  </si>
  <si>
    <t>PPIM195059D3</t>
  </si>
  <si>
    <t>บริษัท เกรทฟู้ด (ไบโอเคม) จำกัด</t>
  </si>
  <si>
    <t>PPIM195059D8</t>
  </si>
  <si>
    <t>เทศบาลตำบลท่าจีน</t>
  </si>
  <si>
    <t>PPIM195059DE</t>
  </si>
  <si>
    <t>โรงเรียนกระทุ่มแบน "วิเศษสมุทคุณ"</t>
  </si>
  <si>
    <t>PPIM19505A03</t>
  </si>
  <si>
    <t>บริษัท ดี.พี.วินเนอร์อินเตอร์เนชั่นแนล จำกัด</t>
  </si>
  <si>
    <t>PPIM19505A24</t>
  </si>
  <si>
    <t>PPIM19505A2F</t>
  </si>
  <si>
    <t>PPIM19505A32</t>
  </si>
  <si>
    <t>บริษัท ศรีชงโค จำกัด</t>
  </si>
  <si>
    <t>PPIM19505A76</t>
  </si>
  <si>
    <t>บริษัท รุ่งสยามการ์เม้นท์ จำกัด</t>
  </si>
  <si>
    <t>PPIM19505A77</t>
  </si>
  <si>
    <t>บริษัท ไคซุน เอ็นเตอร์ไพรซ์ จำกัด</t>
  </si>
  <si>
    <t>PPIM19505740</t>
  </si>
  <si>
    <t>PPIM19505A89</t>
  </si>
  <si>
    <t>นายจันทวัฒน์ เมฆวรรณกร</t>
  </si>
  <si>
    <t>PPIM19505AC5</t>
  </si>
  <si>
    <t>บริษัท ไซก้า คอร์ปอเรชั่น จำกัด</t>
  </si>
  <si>
    <t>PPIM19505B04</t>
  </si>
  <si>
    <t>โรงพยาบาลกำแพงแสน</t>
  </si>
  <si>
    <t>PPIM19505B10</t>
  </si>
  <si>
    <t>PPIM19505B1C</t>
  </si>
  <si>
    <t>PPIM19505B23</t>
  </si>
  <si>
    <t>บริษัท ซีเจ มาร์ท จำกัด (สาขาศุภมงคล)</t>
  </si>
  <si>
    <t>PPIM19505B49</t>
  </si>
  <si>
    <t>บริษัท ฮาร์มเลส ฮาร์เวสท์ (ไทยแลนด์) จำกัด</t>
  </si>
  <si>
    <t>PPIM19505B50</t>
  </si>
  <si>
    <t>PPIM19505B51</t>
  </si>
  <si>
    <t>PPIM19505B53</t>
  </si>
  <si>
    <t>PPIM19505B54</t>
  </si>
  <si>
    <t>น.ส. ทิพย์นพภา อนันต์มณีศรี</t>
  </si>
  <si>
    <t>PPIM195057EC</t>
  </si>
  <si>
    <t>PPIM19505B5E</t>
  </si>
  <si>
    <t>บริษัท ที.เค.เบ็ลท์ จำกัด</t>
  </si>
  <si>
    <t>PPIM19505B66</t>
  </si>
  <si>
    <t>บริษัท เอสพีพี พาวเดอร์ จำกัด</t>
  </si>
  <si>
    <t>PPIM19505B7C</t>
  </si>
  <si>
    <t>บริษัท พรจิตรา กล่องกระดาษ จำกัด</t>
  </si>
  <si>
    <t>PPIM195057F0</t>
  </si>
  <si>
    <t>PPIM19505BAA</t>
  </si>
  <si>
    <t>บริษัท ปตท.สผ. อินเตอร์เนชั่นแนล จำกัด</t>
  </si>
  <si>
    <t>PPIM19505BAD</t>
  </si>
  <si>
    <t>PPIM1950585C</t>
  </si>
  <si>
    <t>PPIM19505BDE</t>
  </si>
  <si>
    <t>บริษัท ซีอาร์ซี ไทวัสดุ จำกัด (สาขาสุพรรณบุรี)</t>
  </si>
  <si>
    <t>PPIM19505968</t>
  </si>
  <si>
    <t>ห้างหุ้นส่วนจำกัด กู๊ดไทม์มหาชัยกรุ๊ป</t>
  </si>
  <si>
    <t>PPIM19505A3B</t>
  </si>
  <si>
    <t>PPIM195058E9</t>
  </si>
  <si>
    <t>บริษัท โอเชี่ยนเกท เอ็นเตอร์ไพรซ์ จำกัด</t>
  </si>
  <si>
    <t>PPIM19505BFC</t>
  </si>
  <si>
    <t>PPIM19505C03</t>
  </si>
  <si>
    <t>PPIM19505C09</t>
  </si>
  <si>
    <t>PPIM19505C0C</t>
  </si>
  <si>
    <t>PPIM19505C2F</t>
  </si>
  <si>
    <t>PPIM19505C44</t>
  </si>
  <si>
    <t>บริษัท สยามไทย โกลบอล จำกัด</t>
  </si>
  <si>
    <t>PPIM19505C4E</t>
  </si>
  <si>
    <t>ห้างหุ้นส่วนจำกัด ตวงทองการพิมพ์และบรรจุภัณฑ์</t>
  </si>
  <si>
    <t>PPIM195058BB</t>
  </si>
  <si>
    <t>PPIM19505C59</t>
  </si>
  <si>
    <t>บริษัท พรประทีปการทอ จำกัด</t>
  </si>
  <si>
    <t>PPIM19505BD3</t>
  </si>
  <si>
    <t>บริษัท ไทย ฟู้ดส์ เฟรซ มาร์เก็ต จำกัด (สาขาตลาดไผ่ขวาง170)</t>
  </si>
  <si>
    <t>PPIM19505BC4</t>
  </si>
  <si>
    <t>บริษัท ไทย ฟู้ดส์ เฟรซ มาร์เก็ต จำกัด (สาขาดอนเจดีย์310)</t>
  </si>
  <si>
    <t>PPIM19505BCC</t>
  </si>
  <si>
    <t>บริษัท ไทย ฟู้ดส์ เฟรซ มาร์เก็ต จำกัด (สาขาตลาดบ้านไร่ ศรีประจันต์303)</t>
  </si>
  <si>
    <t>PPIM19505BD0</t>
  </si>
  <si>
    <t>บริษัท ไทย ฟู้ดส์ เฟรซ มาร์เก็ต จำกัด (สาขาสองพี่น้อง171)</t>
  </si>
  <si>
    <t>PPIM19505CA1</t>
  </si>
  <si>
    <t>บริษัท เบนซ์เพชรรัตน์ จำกัด</t>
  </si>
  <si>
    <t>PPIM19505CAF</t>
  </si>
  <si>
    <t>ห้างหุ้นส่วนจำกัด เอกชัยศูนย์ล้อ 1997</t>
  </si>
  <si>
    <t>PPIM19505A56</t>
  </si>
  <si>
    <t>PPIM19505CEC</t>
  </si>
  <si>
    <t>บริษัท สถาพรมาเก็ตติ้ง จำกัด</t>
  </si>
  <si>
    <t>PPIM19505CEF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</si>
</sst>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charset val="222"/>
      <scheme val="minor"/>
    </font>
    <font>
      <sz val="14"/>
      <color theme="1"/>
      <name val="Sarabun"/>
    </font>
    <font>
      <u/>
      <sz val="11"/>
      <color theme="10"/>
      <name val="Calibri"/>
      <family val="2"/>
      <charset val="222"/>
      <scheme val="minor"/>
    </font>
    <font>
      <sz val="16"/>
      <color theme="1"/>
      <name val="AngsanaUPC"/>
      <family val="1"/>
      <charset val="222"/>
    </font>
    <font>
      <sz val="16"/>
      <color theme="1"/>
      <name val="AngsanaUPC"/>
      <family val="1"/>
    </font>
    <font>
      <sz val="16"/>
      <color theme="1"/>
      <name val="Angsana New"/>
      <family val="1"/>
    </font>
    <font>
      <b/>
      <sz val="16"/>
      <color theme="1"/>
      <name val="AngsanaUPC"/>
      <family val="1"/>
    </font>
    <font>
      <sz val="16"/>
      <color rgb="FFFF0000"/>
      <name val="AngsanaUPC"/>
      <family val="1"/>
    </font>
    <font>
      <sz val="16"/>
      <name val="AngsanaUPC"/>
      <family val="1"/>
    </font>
    <font>
      <sz val="14"/>
      <color rgb="FF212121"/>
      <name val="Sarabun"/>
    </font>
    <font>
      <sz val="16"/>
      <color theme="1"/>
      <name val="TH SarabunPSK"/>
      <family val="2"/>
    </font>
    <font>
      <sz val="14"/>
      <color rgb="FF334155"/>
      <name val="Arial"/>
      <family val="2"/>
    </font>
    <font>
      <sz val="14"/>
      <color rgb="FF1E293B"/>
      <name val="Arial"/>
      <family val="2"/>
    </font>
    <font>
      <b/>
      <sz val="11"/>
      <color rgb="FFB91C1C"/>
      <name val="Arial"/>
      <family val="2"/>
    </font>
    <font>
      <b/>
      <sz val="11"/>
      <color rgb="FFC2410C"/>
      <name val="Arial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rgb="FFFF0000"/>
      <name val="TH Sarabun New"/>
      <family val="2"/>
    </font>
    <font>
      <sz val="16"/>
      <color rgb="FFFF0000"/>
      <name val="TH Sarabun New"/>
      <family val="2"/>
    </font>
    <font>
      <sz val="16"/>
      <name val="TH Sarabun New"/>
      <family val="2"/>
    </font>
    <font>
      <b/>
      <sz val="15"/>
      <color theme="1"/>
      <name val="TH Sarabun New"/>
      <family val="2"/>
    </font>
    <font>
      <sz val="16"/>
      <color theme="0"/>
      <name val="TH Sarabun New"/>
      <family val="2"/>
    </font>
    <font>
      <b/>
      <sz val="13.9"/>
      <color theme="1"/>
      <name val="TH Sarabun New"/>
      <family val="2"/>
    </font>
    <font>
      <b/>
      <sz val="14.5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4"/>
      <color rgb="FFFF0000"/>
      <name val="TH Sarabun New"/>
      <family val="2"/>
    </font>
    <font>
      <b/>
      <sz val="14"/>
      <color theme="9" tint="0.79998168889431442"/>
      <name val="TH Sarabun New"/>
      <family val="2"/>
    </font>
    <font>
      <b/>
      <sz val="14"/>
      <name val="TH Sarabun New"/>
      <family val="2"/>
    </font>
    <font>
      <b/>
      <sz val="20"/>
      <color theme="1"/>
      <name val="TH Sarabun New"/>
      <family val="2"/>
    </font>
    <font>
      <b/>
      <sz val="20"/>
      <color rgb="FFFF0000"/>
      <name val="TH Sarabun New"/>
      <family val="2"/>
    </font>
    <font>
      <b/>
      <sz val="20"/>
      <name val="TH Sarabun New"/>
      <family val="2"/>
    </font>
    <font>
      <b/>
      <sz val="22"/>
      <color theme="1"/>
      <name val="TH Sarabun New"/>
      <family val="2"/>
    </font>
    <font>
      <sz val="16"/>
      <color theme="9" tint="0.79998168889431442"/>
      <name val="AngsanaUPC"/>
      <family val="1"/>
    </font>
    <font>
      <sz val="14"/>
      <color rgb="FF212121"/>
      <name val="TH Sarabun New"/>
      <family val="2"/>
    </font>
    <font>
      <sz val="11"/>
      <color theme="1"/>
      <name val="TH Sarabun New"/>
      <family val="2"/>
    </font>
    <font>
      <sz val="14"/>
      <color rgb="FF334155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DBEF"/>
        <bgColor indexed="64"/>
      </patternFill>
    </fill>
    <fill>
      <patternFill patternType="solid">
        <fgColor rgb="FFDED9FF"/>
        <bgColor indexed="64"/>
      </patternFill>
    </fill>
    <fill>
      <patternFill patternType="solid">
        <fgColor rgb="FFDAFEE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2121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2E8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 indent="1"/>
    </xf>
    <xf numFmtId="2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9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49" fontId="3" fillId="0" borderId="0" xfId="0" applyNumberFormat="1" applyFont="1" applyAlignment="1">
      <alignment horizontal="right"/>
    </xf>
    <xf numFmtId="0" fontId="9" fillId="2" borderId="1" xfId="0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2" borderId="3" xfId="0" applyFont="1" applyFill="1" applyBorder="1" applyAlignment="1">
      <alignment horizontal="right" vertical="center" wrapText="1" indent="1"/>
    </xf>
    <xf numFmtId="22" fontId="11" fillId="2" borderId="3" xfId="0" applyNumberFormat="1" applyFont="1" applyFill="1" applyBorder="1" applyAlignment="1">
      <alignment horizontal="right" vertical="center" wrapText="1" indent="1"/>
    </xf>
    <xf numFmtId="0" fontId="2" fillId="2" borderId="3" xfId="1" applyFill="1" applyBorder="1" applyAlignment="1">
      <alignment horizontal="right" vertical="center" wrapText="1" indent="1"/>
    </xf>
    <xf numFmtId="0" fontId="12" fillId="2" borderId="3" xfId="0" applyFont="1" applyFill="1" applyBorder="1" applyAlignment="1">
      <alignment horizontal="right" vertical="center" wrapText="1" indent="1"/>
    </xf>
    <xf numFmtId="22" fontId="12" fillId="2" borderId="3" xfId="0" applyNumberFormat="1" applyFont="1" applyFill="1" applyBorder="1" applyAlignment="1">
      <alignment horizontal="right" vertical="center" wrapText="1" indent="1"/>
    </xf>
    <xf numFmtId="0" fontId="13" fillId="2" borderId="3" xfId="0" applyFont="1" applyFill="1" applyBorder="1" applyAlignment="1">
      <alignment horizontal="right" vertical="center" wrapText="1" indent="1"/>
    </xf>
    <xf numFmtId="0" fontId="3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right" vertical="center" wrapText="1" indent="1"/>
    </xf>
    <xf numFmtId="0" fontId="15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7" fillId="6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49" fontId="21" fillId="10" borderId="2" xfId="0" applyNumberFormat="1" applyFont="1" applyFill="1" applyBorder="1" applyAlignment="1">
      <alignment horizontal="center" vertical="center"/>
    </xf>
    <xf numFmtId="0" fontId="19" fillId="13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28" fillId="15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0" xfId="0" applyFont="1" applyFill="1" applyAlignment="1">
      <alignment vertical="center" wrapText="1"/>
    </xf>
    <xf numFmtId="0" fontId="24" fillId="6" borderId="0" xfId="0" applyFont="1" applyFill="1" applyAlignment="1">
      <alignment vertical="center" wrapText="1"/>
    </xf>
    <xf numFmtId="0" fontId="24" fillId="7" borderId="0" xfId="0" applyFont="1" applyFill="1" applyAlignment="1">
      <alignment horizontal="center" vertical="center" wrapText="1"/>
    </xf>
    <xf numFmtId="0" fontId="17" fillId="15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19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3" fillId="10" borderId="2" xfId="0" applyNumberFormat="1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8" fillId="14" borderId="2" xfId="0" applyNumberFormat="1" applyFont="1" applyFill="1" applyBorder="1" applyAlignment="1">
      <alignment horizontal="center"/>
    </xf>
    <xf numFmtId="49" fontId="33" fillId="10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17" borderId="2" xfId="0" applyFont="1" applyFill="1" applyBorder="1" applyAlignment="1">
      <alignment horizontal="center"/>
    </xf>
    <xf numFmtId="2" fontId="29" fillId="19" borderId="2" xfId="0" applyNumberFormat="1" applyFont="1" applyFill="1" applyBorder="1" applyAlignment="1">
      <alignment horizontal="center" vertical="center"/>
    </xf>
    <xf numFmtId="49" fontId="8" fillId="12" borderId="2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right"/>
    </xf>
    <xf numFmtId="1" fontId="8" fillId="14" borderId="2" xfId="0" applyNumberFormat="1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25" fillId="8" borderId="2" xfId="0" applyNumberFormat="1" applyFont="1" applyFill="1" applyBorder="1" applyAlignment="1">
      <alignment horizontal="center" vertical="center" wrapText="1"/>
    </xf>
    <xf numFmtId="0" fontId="27" fillId="10" borderId="2" xfId="0" applyNumberFormat="1" applyFont="1" applyFill="1" applyBorder="1" applyAlignment="1">
      <alignment horizontal="center" vertical="center" wrapText="1"/>
    </xf>
    <xf numFmtId="0" fontId="4" fillId="8" borderId="2" xfId="0" applyNumberFormat="1" applyFont="1" applyFill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15" fillId="8" borderId="2" xfId="0" applyNumberFormat="1" applyFont="1" applyFill="1" applyBorder="1" applyAlignment="1">
      <alignment horizontal="center" vertical="center"/>
    </xf>
    <xf numFmtId="0" fontId="17" fillId="0" borderId="2" xfId="0" applyNumberFormat="1" applyFont="1" applyBorder="1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/>
    </xf>
    <xf numFmtId="0" fontId="17" fillId="11" borderId="2" xfId="0" applyNumberFormat="1" applyFont="1" applyFill="1" applyBorder="1" applyAlignment="1">
      <alignment horizontal="center" vertical="center"/>
    </xf>
    <xf numFmtId="0" fontId="29" fillId="19" borderId="2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1" fontId="8" fillId="12" borderId="2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1" fontId="15" fillId="8" borderId="2" xfId="0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left" vertical="center" wrapText="1" indent="1"/>
    </xf>
    <xf numFmtId="0" fontId="34" fillId="2" borderId="1" xfId="0" applyFont="1" applyFill="1" applyBorder="1" applyAlignment="1">
      <alignment horizontal="center" vertical="center" wrapText="1"/>
    </xf>
    <xf numFmtId="0" fontId="35" fillId="0" borderId="0" xfId="0" applyFont="1"/>
    <xf numFmtId="0" fontId="15" fillId="0" borderId="0" xfId="0" applyFont="1"/>
    <xf numFmtId="1" fontId="29" fillId="19" borderId="2" xfId="0" applyNumberFormat="1" applyFont="1" applyFill="1" applyBorder="1" applyAlignment="1">
      <alignment horizontal="center" vertical="center"/>
    </xf>
    <xf numFmtId="1" fontId="31" fillId="19" borderId="2" xfId="0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right" vertical="center" wrapText="1" indent="1"/>
    </xf>
    <xf numFmtId="0" fontId="36" fillId="2" borderId="0" xfId="0" applyFont="1" applyFill="1" applyAlignment="1">
      <alignment horizontal="center" vertical="center" wrapText="1"/>
    </xf>
    <xf numFmtId="0" fontId="11" fillId="2" borderId="3" xfId="0" applyFont="1" applyFill="1" applyBorder="1" applyAlignment="1">
      <alignment vertical="center" wrapText="1"/>
    </xf>
    <xf numFmtId="3" fontId="11" fillId="2" borderId="3" xfId="0" applyNumberFormat="1" applyFont="1" applyFill="1" applyBorder="1" applyAlignment="1">
      <alignment vertical="center" wrapText="1"/>
    </xf>
    <xf numFmtId="4" fontId="11" fillId="2" borderId="3" xfId="0" applyNumberFormat="1" applyFont="1" applyFill="1" applyBorder="1" applyAlignment="1">
      <alignment vertical="center" wrapText="1"/>
    </xf>
    <xf numFmtId="0" fontId="3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D9FF"/>
      <color rgb="FFDAFEE3"/>
      <color rgb="FFFDDBE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rgbClr val="00B05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800">
                <a:solidFill>
                  <a:srgbClr val="00B050"/>
                </a:solidFill>
              </a:rPr>
              <a:t>สถานะผู้ยี่นขอขนานไฟกับ </a:t>
            </a:r>
            <a:r>
              <a:rPr lang="en-US" sz="1800">
                <a:solidFill>
                  <a:srgbClr val="00B050"/>
                </a:solidFill>
              </a:rPr>
              <a:t>PEA </a:t>
            </a:r>
            <a:r>
              <a:rPr lang="th-TH" sz="1800">
                <a:solidFill>
                  <a:srgbClr val="00B050"/>
                </a:solidFill>
              </a:rPr>
              <a:t>บนระบบ </a:t>
            </a:r>
            <a:r>
              <a:rPr lang="en-US" sz="1800">
                <a:solidFill>
                  <a:srgbClr val="00B050"/>
                </a:solidFill>
              </a:rPr>
              <a:t>PPIM </a:t>
            </a:r>
            <a:r>
              <a:rPr lang="th-TH" sz="1800">
                <a:solidFill>
                  <a:srgbClr val="00B050"/>
                </a:solidFill>
              </a:rPr>
              <a:t>ของ กฟฟ.พื้นที่จังหวัดนครปฐม (กรณีไม่เกิน 20 </a:t>
            </a:r>
            <a:r>
              <a:rPr lang="en-US" sz="1800">
                <a:solidFill>
                  <a:srgbClr val="00B050"/>
                </a:solidFill>
              </a:rPr>
              <a:t>kW)</a:t>
            </a:r>
          </a:p>
        </c:rich>
      </c:tx>
      <c:layout>
        <c:manualLayout>
          <c:xMode val="edge"/>
          <c:yMode val="edge"/>
          <c:x val="0.13571531842765586"/>
          <c:y val="1.2084592145015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rgbClr val="00B05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68'!$B$2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68'!$B$3:$B$8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</c:v>
                </c:pt>
                <c:pt idx="3">
                  <c:v>24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C-4251-B801-0C04958B0766}"/>
            </c:ext>
          </c:extLst>
        </c:ser>
        <c:ser>
          <c:idx val="1"/>
          <c:order val="1"/>
          <c:tx>
            <c:strRef>
              <c:f>'สรุป 1 ธค 68'!$C$2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68'!$C$3:$C$8</c:f>
              <c:numCache>
                <c:formatCode>General</c:formatCode>
                <c:ptCount val="6"/>
                <c:pt idx="0">
                  <c:v>50</c:v>
                </c:pt>
                <c:pt idx="1">
                  <c:v>58</c:v>
                </c:pt>
                <c:pt idx="2">
                  <c:v>44</c:v>
                </c:pt>
                <c:pt idx="3">
                  <c:v>214</c:v>
                </c:pt>
                <c:pt idx="4">
                  <c:v>8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C-4251-B801-0C04958B0766}"/>
            </c:ext>
          </c:extLst>
        </c:ser>
        <c:ser>
          <c:idx val="2"/>
          <c:order val="2"/>
          <c:tx>
            <c:strRef>
              <c:f>'สรุป 1 ธค 68'!$D$2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68'!$D$3:$D$8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C-4251-B801-0C04958B0766}"/>
            </c:ext>
          </c:extLst>
        </c:ser>
        <c:ser>
          <c:idx val="3"/>
          <c:order val="3"/>
          <c:tx>
            <c:strRef>
              <c:f>'สรุป 1 ธค 68'!$E$2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68'!$E$3:$E$8</c:f>
              <c:numCache>
                <c:formatCode>General</c:formatCode>
                <c:ptCount val="6"/>
                <c:pt idx="0">
                  <c:v>44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 formatCode="@">
                  <c:v>1</c:v>
                </c:pt>
                <c:pt idx="5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EC-4251-B801-0C04958B0766}"/>
            </c:ext>
          </c:extLst>
        </c:ser>
        <c:ser>
          <c:idx val="4"/>
          <c:order val="4"/>
          <c:tx>
            <c:strRef>
              <c:f>'สรุป 1 ธค 68'!$F$2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68'!$F$3:$F$8</c:f>
              <c:numCache>
                <c:formatCode>General</c:formatCode>
                <c:ptCount val="6"/>
                <c:pt idx="0" formatCode="@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13</c:v>
                </c:pt>
                <c:pt idx="5" formatCode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C-4251-B801-0C04958B0766}"/>
            </c:ext>
          </c:extLst>
        </c:ser>
        <c:ser>
          <c:idx val="5"/>
          <c:order val="5"/>
          <c:tx>
            <c:strRef>
              <c:f>'สรุป 1 ธค 68'!$G$2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68'!$G$3:$G$8</c:f>
              <c:numCache>
                <c:formatCode>General</c:formatCode>
                <c:ptCount val="6"/>
                <c:pt idx="0">
                  <c:v>17</c:v>
                </c:pt>
                <c:pt idx="1">
                  <c:v>2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EC-4251-B801-0C04958B0766}"/>
            </c:ext>
          </c:extLst>
        </c:ser>
        <c:ser>
          <c:idx val="6"/>
          <c:order val="6"/>
          <c:tx>
            <c:strRef>
              <c:f>'สรุป 1 ธค 68'!$H$2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68'!$H$3:$H$8</c:f>
              <c:numCache>
                <c:formatCode>General</c:formatCode>
                <c:ptCount val="6"/>
                <c:pt idx="0" formatCode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EC-4251-B801-0C04958B0766}"/>
            </c:ext>
          </c:extLst>
        </c:ser>
        <c:ser>
          <c:idx val="7"/>
          <c:order val="7"/>
          <c:tx>
            <c:strRef>
              <c:f>'สรุป 1 ธค 68'!$I$2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68'!$I$3:$I$8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EC-4251-B801-0C04958B0766}"/>
            </c:ext>
          </c:extLst>
        </c:ser>
        <c:ser>
          <c:idx val="8"/>
          <c:order val="8"/>
          <c:tx>
            <c:strRef>
              <c:f>'สรุป 1 ธค 68'!$J$2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68'!$J$3:$J$8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EC-4251-B801-0C04958B0766}"/>
            </c:ext>
          </c:extLst>
        </c:ser>
        <c:ser>
          <c:idx val="9"/>
          <c:order val="9"/>
          <c:tx>
            <c:strRef>
              <c:f>'สรุป 1 ธค 68'!$K$2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68'!$K$3:$K$8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EC-4251-B801-0C04958B0766}"/>
            </c:ext>
          </c:extLst>
        </c:ser>
        <c:ser>
          <c:idx val="10"/>
          <c:order val="10"/>
          <c:tx>
            <c:strRef>
              <c:f>'สรุป 1 ธค 68'!$L$2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68'!$A$3:$A$8</c:f>
              <c:strCache>
                <c:ptCount val="6"/>
                <c:pt idx="0">
                  <c:v>กฟส.เมืองนครปฐม</c:v>
                </c:pt>
                <c:pt idx="1">
                  <c:v>กฟส.นครชัยศรี</c:v>
                </c:pt>
                <c:pt idx="2">
                  <c:v>กฟส กำแพงแสน</c:v>
                </c:pt>
                <c:pt idx="3">
                  <c:v>กฟส สามพราน</c:v>
                </c:pt>
                <c:pt idx="4">
                  <c:v>กฟส บางเลน</c:v>
                </c:pt>
                <c:pt idx="5">
                  <c:v>กฟส พุทธมณฑล</c:v>
                </c:pt>
              </c:strCache>
            </c:strRef>
          </c:cat>
          <c:val>
            <c:numRef>
              <c:f>'สรุป 1 ธค 68'!$L$3:$L$8</c:f>
              <c:numCache>
                <c:formatCode>General</c:formatCode>
                <c:ptCount val="6"/>
                <c:pt idx="0">
                  <c:v>132</c:v>
                </c:pt>
                <c:pt idx="1">
                  <c:v>25</c:v>
                </c:pt>
                <c:pt idx="2">
                  <c:v>26</c:v>
                </c:pt>
                <c:pt idx="3">
                  <c:v>44</c:v>
                </c:pt>
                <c:pt idx="4">
                  <c:v>5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EC-4251-B801-0C04958B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83165727"/>
        <c:axId val="574950879"/>
      </c:barChart>
      <c:catAx>
        <c:axId val="68316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74950879"/>
        <c:crosses val="autoZero"/>
        <c:auto val="1"/>
        <c:lblAlgn val="ctr"/>
        <c:lblOffset val="100"/>
        <c:noMultiLvlLbl val="0"/>
      </c:catAx>
      <c:valAx>
        <c:axId val="574950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83165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70C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2000" b="1">
                <a:solidFill>
                  <a:srgbClr val="0070C0"/>
                </a:solidFill>
              </a:rPr>
              <a:t>สถานะผู้ยี่นขอขนานไฟกับ </a:t>
            </a:r>
            <a:r>
              <a:rPr lang="en-US" sz="2000" b="1">
                <a:solidFill>
                  <a:srgbClr val="0070C0"/>
                </a:solidFill>
              </a:rPr>
              <a:t>PEA </a:t>
            </a:r>
            <a:r>
              <a:rPr lang="th-TH" sz="2000" b="1">
                <a:solidFill>
                  <a:srgbClr val="0070C0"/>
                </a:solidFill>
              </a:rPr>
              <a:t>บนระบบ </a:t>
            </a:r>
            <a:r>
              <a:rPr lang="en-US" sz="2000" b="1">
                <a:solidFill>
                  <a:srgbClr val="0070C0"/>
                </a:solidFill>
              </a:rPr>
              <a:t>PPIM </a:t>
            </a:r>
            <a:r>
              <a:rPr lang="th-TH" sz="2000" b="1">
                <a:solidFill>
                  <a:srgbClr val="0070C0"/>
                </a:solidFill>
              </a:rPr>
              <a:t>ของ กฟฟ.พื้นที่สมุทรสาคร</a:t>
            </a:r>
            <a:r>
              <a:rPr lang="th-TH" sz="2000" b="1" baseline="0">
                <a:solidFill>
                  <a:srgbClr val="0070C0"/>
                </a:solidFill>
              </a:rPr>
              <a:t> </a:t>
            </a:r>
            <a:r>
              <a:rPr lang="th-TH" sz="2000" b="1">
                <a:solidFill>
                  <a:srgbClr val="0070C0"/>
                </a:solidFill>
              </a:rPr>
              <a:t>(กรณีไม่เกิน 20 </a:t>
            </a:r>
            <a:r>
              <a:rPr lang="en-US" sz="2000" b="1">
                <a:solidFill>
                  <a:srgbClr val="0070C0"/>
                </a:solidFill>
              </a:rPr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70C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68'!$B$10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68'!$B$11:$B$15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5-4029-8971-AB341707AE35}"/>
            </c:ext>
          </c:extLst>
        </c:ser>
        <c:ser>
          <c:idx val="1"/>
          <c:order val="1"/>
          <c:tx>
            <c:strRef>
              <c:f>'สรุป 1 ธค 68'!$C$10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68'!$C$11:$C$15</c:f>
              <c:numCache>
                <c:formatCode>General</c:formatCode>
                <c:ptCount val="5"/>
                <c:pt idx="0">
                  <c:v>50</c:v>
                </c:pt>
                <c:pt idx="1">
                  <c:v>284</c:v>
                </c:pt>
                <c:pt idx="2">
                  <c:v>11</c:v>
                </c:pt>
                <c:pt idx="3">
                  <c:v>19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5-4029-8971-AB341707AE35}"/>
            </c:ext>
          </c:extLst>
        </c:ser>
        <c:ser>
          <c:idx val="2"/>
          <c:order val="2"/>
          <c:tx>
            <c:strRef>
              <c:f>'สรุป 1 ธค 68'!$D$10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68'!$D$11:$D$15</c:f>
              <c:numCache>
                <c:formatCode>General</c:formatCode>
                <c:ptCount val="5"/>
                <c:pt idx="0" formatCode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35-4029-8971-AB341707AE35}"/>
            </c:ext>
          </c:extLst>
        </c:ser>
        <c:ser>
          <c:idx val="3"/>
          <c:order val="3"/>
          <c:tx>
            <c:strRef>
              <c:f>'สรุป 1 ธค 68'!$E$10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68'!$E$11:$E$15</c:f>
              <c:numCache>
                <c:formatCode>@</c:formatCode>
                <c:ptCount val="5"/>
                <c:pt idx="0">
                  <c:v>12</c:v>
                </c:pt>
                <c:pt idx="1">
                  <c:v>3</c:v>
                </c:pt>
                <c:pt idx="2">
                  <c:v>10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35-4029-8971-AB341707AE35}"/>
            </c:ext>
          </c:extLst>
        </c:ser>
        <c:ser>
          <c:idx val="4"/>
          <c:order val="4"/>
          <c:tx>
            <c:strRef>
              <c:f>'สรุป 1 ธค 68'!$F$10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68'!$F$11:$F$15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35-4029-8971-AB341707AE35}"/>
            </c:ext>
          </c:extLst>
        </c:ser>
        <c:ser>
          <c:idx val="5"/>
          <c:order val="5"/>
          <c:tx>
            <c:strRef>
              <c:f>'สรุป 1 ธค 68'!$G$10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68'!$G$11:$G$15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9</c:v>
                </c:pt>
                <c:pt idx="3">
                  <c:v>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35-4029-8971-AB341707AE35}"/>
            </c:ext>
          </c:extLst>
        </c:ser>
        <c:ser>
          <c:idx val="6"/>
          <c:order val="6"/>
          <c:tx>
            <c:strRef>
              <c:f>'สรุป 1 ธค 68'!$H$10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68'!$H$11:$H$15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35-4029-8971-AB341707AE35}"/>
            </c:ext>
          </c:extLst>
        </c:ser>
        <c:ser>
          <c:idx val="7"/>
          <c:order val="7"/>
          <c:tx>
            <c:strRef>
              <c:f>'สรุป 1 ธค 68'!$I$10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68'!$I$11:$I$15</c:f>
              <c:numCache>
                <c:formatCode>General</c:formatCode>
                <c:ptCount val="5"/>
                <c:pt idx="0">
                  <c:v>17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35-4029-8971-AB341707AE35}"/>
            </c:ext>
          </c:extLst>
        </c:ser>
        <c:ser>
          <c:idx val="8"/>
          <c:order val="8"/>
          <c:tx>
            <c:strRef>
              <c:f>'สรุป 1 ธค 68'!$J$10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68'!$J$11:$J$15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35-4029-8971-AB341707AE35}"/>
            </c:ext>
          </c:extLst>
        </c:ser>
        <c:ser>
          <c:idx val="9"/>
          <c:order val="9"/>
          <c:tx>
            <c:strRef>
              <c:f>'สรุป 1 ธค 68'!$K$10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68'!$K$11:$K$15</c:f>
              <c:numCache>
                <c:formatCode>General</c:formatCode>
                <c:ptCount val="5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35-4029-8971-AB341707AE35}"/>
            </c:ext>
          </c:extLst>
        </c:ser>
        <c:ser>
          <c:idx val="10"/>
          <c:order val="10"/>
          <c:tx>
            <c:strRef>
              <c:f>'สรุป 1 ธค 68'!$L$10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68'!$A$11:$A$15</c:f>
              <c:strCache>
                <c:ptCount val="5"/>
                <c:pt idx="0">
                  <c:v>กฟส.เมืองสมุทรสาคร</c:v>
                </c:pt>
                <c:pt idx="1">
                  <c:v>กฟส.อ้อมน้อย</c:v>
                </c:pt>
                <c:pt idx="2">
                  <c:v>กฟส.กระทุ่มแบน</c:v>
                </c:pt>
                <c:pt idx="3">
                  <c:v>กฟส.สมุทรสาคร 2</c:v>
                </c:pt>
                <c:pt idx="4">
                  <c:v>กฟส.โคกขาม</c:v>
                </c:pt>
              </c:strCache>
            </c:strRef>
          </c:cat>
          <c:val>
            <c:numRef>
              <c:f>'สรุป 1 ธค 68'!$L$11:$L$15</c:f>
              <c:numCache>
                <c:formatCode>General</c:formatCode>
                <c:ptCount val="5"/>
                <c:pt idx="0">
                  <c:v>103</c:v>
                </c:pt>
                <c:pt idx="1">
                  <c:v>24</c:v>
                </c:pt>
                <c:pt idx="2">
                  <c:v>23</c:v>
                </c:pt>
                <c:pt idx="3">
                  <c:v>24</c:v>
                </c:pt>
                <c:pt idx="4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35-4029-8971-AB341707A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567187951"/>
        <c:axId val="574953375"/>
      </c:barChart>
      <c:catAx>
        <c:axId val="567187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74953375"/>
        <c:crosses val="autoZero"/>
        <c:auto val="1"/>
        <c:lblAlgn val="ctr"/>
        <c:lblOffset val="100"/>
        <c:noMultiLvlLbl val="0"/>
      </c:catAx>
      <c:valAx>
        <c:axId val="57495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567187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7030A0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sz="1800" b="1">
                <a:solidFill>
                  <a:srgbClr val="7030A0"/>
                </a:solidFill>
              </a:rPr>
              <a:t>สถานะผู้ยี่นขอขนานไฟกับ </a:t>
            </a:r>
            <a:r>
              <a:rPr lang="en-US" sz="1800" b="1">
                <a:solidFill>
                  <a:srgbClr val="7030A0"/>
                </a:solidFill>
              </a:rPr>
              <a:t>PEA </a:t>
            </a:r>
            <a:r>
              <a:rPr lang="th-TH" sz="1800" b="1">
                <a:solidFill>
                  <a:srgbClr val="7030A0"/>
                </a:solidFill>
              </a:rPr>
              <a:t>บนระบบ </a:t>
            </a:r>
            <a:r>
              <a:rPr lang="en-US" sz="1800" b="1">
                <a:solidFill>
                  <a:srgbClr val="7030A0"/>
                </a:solidFill>
              </a:rPr>
              <a:t>PPIM </a:t>
            </a:r>
            <a:r>
              <a:rPr lang="th-TH" sz="1800" b="1">
                <a:solidFill>
                  <a:srgbClr val="7030A0"/>
                </a:solidFill>
              </a:rPr>
              <a:t>ของ กฟฟ.พื้นที่กาญจนบุรี (กรณีไม่เกิน 20 </a:t>
            </a:r>
            <a:r>
              <a:rPr lang="en-US" sz="1800" b="1">
                <a:solidFill>
                  <a:srgbClr val="7030A0"/>
                </a:solidFill>
              </a:rPr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7030A0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68'!$B$17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68'!$B$18:$B$20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E-45C7-BDF3-DF3F52FA7200}"/>
            </c:ext>
          </c:extLst>
        </c:ser>
        <c:ser>
          <c:idx val="1"/>
          <c:order val="1"/>
          <c:tx>
            <c:strRef>
              <c:f>'สรุป 1 ธค 68'!$C$17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68'!$C$18:$C$20</c:f>
              <c:numCache>
                <c:formatCode>General</c:formatCode>
                <c:ptCount val="3"/>
                <c:pt idx="0">
                  <c:v>146</c:v>
                </c:pt>
                <c:pt idx="1">
                  <c:v>25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E-45C7-BDF3-DF3F52FA7200}"/>
            </c:ext>
          </c:extLst>
        </c:ser>
        <c:ser>
          <c:idx val="2"/>
          <c:order val="2"/>
          <c:tx>
            <c:strRef>
              <c:f>'สรุป 1 ธค 68'!$D$17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68'!$D$18:$D$20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E-45C7-BDF3-DF3F52FA7200}"/>
            </c:ext>
          </c:extLst>
        </c:ser>
        <c:ser>
          <c:idx val="3"/>
          <c:order val="3"/>
          <c:tx>
            <c:strRef>
              <c:f>'สรุป 1 ธค 68'!$E$17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68'!$E$18:$E$20</c:f>
              <c:numCache>
                <c:formatCode>@</c:formatCode>
                <c:ptCount val="3"/>
                <c:pt idx="0">
                  <c:v>16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AE-45C7-BDF3-DF3F52FA7200}"/>
            </c:ext>
          </c:extLst>
        </c:ser>
        <c:ser>
          <c:idx val="4"/>
          <c:order val="4"/>
          <c:tx>
            <c:strRef>
              <c:f>'สรุป 1 ธค 68'!$F$17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68'!$F$18:$F$20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AE-45C7-BDF3-DF3F52FA7200}"/>
            </c:ext>
          </c:extLst>
        </c:ser>
        <c:ser>
          <c:idx val="5"/>
          <c:order val="5"/>
          <c:tx>
            <c:strRef>
              <c:f>'สรุป 1 ธค 68'!$G$17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68'!$G$18:$G$20</c:f>
              <c:numCache>
                <c:formatCode>General</c:formatCode>
                <c:ptCount val="3"/>
                <c:pt idx="0">
                  <c:v>14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AE-45C7-BDF3-DF3F52FA7200}"/>
            </c:ext>
          </c:extLst>
        </c:ser>
        <c:ser>
          <c:idx val="6"/>
          <c:order val="6"/>
          <c:tx>
            <c:strRef>
              <c:f>'สรุป 1 ธค 68'!$H$17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68'!$H$18:$H$20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AE-45C7-BDF3-DF3F52FA7200}"/>
            </c:ext>
          </c:extLst>
        </c:ser>
        <c:ser>
          <c:idx val="7"/>
          <c:order val="7"/>
          <c:tx>
            <c:strRef>
              <c:f>'สรุป 1 ธค 68'!$I$17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68'!$I$18:$I$20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AE-45C7-BDF3-DF3F52FA7200}"/>
            </c:ext>
          </c:extLst>
        </c:ser>
        <c:ser>
          <c:idx val="8"/>
          <c:order val="8"/>
          <c:tx>
            <c:strRef>
              <c:f>'สรุป 1 ธค 68'!$J$17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68'!$J$18:$J$20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AE-45C7-BDF3-DF3F52FA7200}"/>
            </c:ext>
          </c:extLst>
        </c:ser>
        <c:ser>
          <c:idx val="9"/>
          <c:order val="9"/>
          <c:tx>
            <c:strRef>
              <c:f>'สรุป 1 ธค 68'!$K$17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68'!$K$18:$K$20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AE-45C7-BDF3-DF3F52FA7200}"/>
            </c:ext>
          </c:extLst>
        </c:ser>
        <c:ser>
          <c:idx val="10"/>
          <c:order val="10"/>
          <c:tx>
            <c:strRef>
              <c:f>'สรุป 1 ธค 68'!$L$17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68'!$A$18:$A$20</c:f>
              <c:strCache>
                <c:ptCount val="3"/>
                <c:pt idx="0">
                  <c:v>กฟส.เมืองกาญจนบุรี</c:v>
                </c:pt>
                <c:pt idx="1">
                  <c:v>กฟส.บ่อพลอย</c:v>
                </c:pt>
                <c:pt idx="2">
                  <c:v>กฟส.ท่ามะกา</c:v>
                </c:pt>
              </c:strCache>
            </c:strRef>
          </c:cat>
          <c:val>
            <c:numRef>
              <c:f>'สรุป 1 ธค 68'!$L$18:$L$20</c:f>
              <c:numCache>
                <c:formatCode>General</c:formatCode>
                <c:ptCount val="3"/>
                <c:pt idx="0">
                  <c:v>114</c:v>
                </c:pt>
                <c:pt idx="1">
                  <c:v>23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AE-45C7-BDF3-DF3F52FA7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893532223"/>
        <c:axId val="817540479"/>
      </c:barChart>
      <c:catAx>
        <c:axId val="893532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17540479"/>
        <c:crosses val="autoZero"/>
        <c:auto val="1"/>
        <c:lblAlgn val="ctr"/>
        <c:lblOffset val="100"/>
        <c:noMultiLvlLbl val="0"/>
      </c:catAx>
      <c:valAx>
        <c:axId val="81754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935322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th-TH" b="1">
                <a:solidFill>
                  <a:schemeClr val="accent2">
                    <a:lumMod val="75000"/>
                  </a:schemeClr>
                </a:solidFill>
              </a:rPr>
              <a:t>สถานะผู้ยี่นขอขนานไฟกับ 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PEA </a:t>
            </a:r>
            <a:r>
              <a:rPr lang="th-TH" b="1">
                <a:solidFill>
                  <a:schemeClr val="accent2">
                    <a:lumMod val="75000"/>
                  </a:schemeClr>
                </a:solidFill>
              </a:rPr>
              <a:t>บนระบบ 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PPIM </a:t>
            </a:r>
            <a:r>
              <a:rPr lang="th-TH" b="1">
                <a:solidFill>
                  <a:schemeClr val="accent2">
                    <a:lumMod val="75000"/>
                  </a:schemeClr>
                </a:solidFill>
              </a:rPr>
              <a:t>ของ กฟฟ.พื้นที่สุพรรณบุรี (กรณีไม่เกิน 20 </a:t>
            </a: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'สรุป 1 ธค 68'!$B$22</c:f>
              <c:strCache>
                <c:ptCount val="1"/>
                <c:pt idx="0">
                  <c:v>รอตรวจสอบแบบคำขอ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68'!$B$23:$B$25</c:f>
              <c:numCache>
                <c:formatCode>General</c:formatCode>
                <c:ptCount val="3"/>
                <c:pt idx="0">
                  <c:v>9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9-4FA1-BDD0-528C04CA35FA}"/>
            </c:ext>
          </c:extLst>
        </c:ser>
        <c:ser>
          <c:idx val="1"/>
          <c:order val="1"/>
          <c:tx>
            <c:strRef>
              <c:f>'สรุป 1 ธค 68'!$C$22</c:f>
              <c:strCache>
                <c:ptCount val="1"/>
                <c:pt idx="0">
                  <c:v>ยกเลิก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68'!$C$23:$C$25</c:f>
              <c:numCache>
                <c:formatCode>General</c:formatCode>
                <c:ptCount val="3"/>
                <c:pt idx="0">
                  <c:v>57</c:v>
                </c:pt>
                <c:pt idx="1">
                  <c:v>43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D9-4FA1-BDD0-528C04CA35FA}"/>
            </c:ext>
          </c:extLst>
        </c:ser>
        <c:ser>
          <c:idx val="2"/>
          <c:order val="2"/>
          <c:tx>
            <c:strRef>
              <c:f>'สรุป 1 ธค 68'!$D$22</c:f>
              <c:strCache>
                <c:ptCount val="1"/>
                <c:pt idx="0">
                  <c:v>รอผู้ยื่นคำขอส่งเอกสารแก้ไข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68'!$D$23:$D$25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D9-4FA1-BDD0-528C04CA35FA}"/>
            </c:ext>
          </c:extLst>
        </c:ser>
        <c:ser>
          <c:idx val="3"/>
          <c:order val="3"/>
          <c:tx>
            <c:strRef>
              <c:f>'สรุป 1 ธค 68'!$E$22</c:f>
              <c:strCache>
                <c:ptCount val="1"/>
                <c:pt idx="0">
                  <c:v>รอชำระเงิน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68'!$E$23:$E$25</c:f>
              <c:numCache>
                <c:formatCode>@</c:formatCode>
                <c:ptCount val="3"/>
                <c:pt idx="0">
                  <c:v>31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D9-4FA1-BDD0-528C04CA35FA}"/>
            </c:ext>
          </c:extLst>
        </c:ser>
        <c:ser>
          <c:idx val="4"/>
          <c:order val="4"/>
          <c:tx>
            <c:strRef>
              <c:f>'สรุป 1 ธค 68'!$F$22</c:f>
              <c:strCache>
                <c:ptCount val="1"/>
                <c:pt idx="0">
                  <c:v>รออนุมัติเชื่อมต่อ/รับพิจารณา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68'!$F$23:$F$25</c:f>
              <c:numCache>
                <c:formatCode>General</c:formatCode>
                <c:ptCount val="3"/>
                <c:pt idx="0">
                  <c:v>1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D9-4FA1-BDD0-528C04CA35FA}"/>
            </c:ext>
          </c:extLst>
        </c:ser>
        <c:ser>
          <c:idx val="5"/>
          <c:order val="5"/>
          <c:tx>
            <c:strRef>
              <c:f>'สรุป 1 ธค 68'!$G$22</c:f>
              <c:strCache>
                <c:ptCount val="1"/>
                <c:pt idx="0">
                  <c:v>รอดำเนินการหลังอนุมัติเชื่อมต่อ/รับพิจารณา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68'!$G$23:$G$25</c:f>
              <c:numCache>
                <c:formatCode>General</c:formatCode>
                <c:ptCount val="3"/>
                <c:pt idx="0">
                  <c:v>29</c:v>
                </c:pt>
                <c:pt idx="1">
                  <c:v>14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D9-4FA1-BDD0-528C04CA35FA}"/>
            </c:ext>
          </c:extLst>
        </c:ser>
        <c:ser>
          <c:idx val="6"/>
          <c:order val="6"/>
          <c:tx>
            <c:strRef>
              <c:f>'สรุป 1 ธค 68'!$H$22</c:f>
              <c:strCache>
                <c:ptCount val="1"/>
                <c:pt idx="0">
                  <c:v>รอแก้ไขเอกสารหลังอนุมัติเชื่อมต่อ / รับพิจารณา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68'!$H$23:$H$25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D9-4FA1-BDD0-528C04CA35FA}"/>
            </c:ext>
          </c:extLst>
        </c:ser>
        <c:ser>
          <c:idx val="7"/>
          <c:order val="7"/>
          <c:tx>
            <c:strRef>
              <c:f>'สรุป 1 ธค 68'!$I$22</c:f>
              <c:strCache>
                <c:ptCount val="1"/>
                <c:pt idx="0">
                  <c:v>รอตรวจสอบระบบผลิต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68'!$I$23:$I$25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D9-4FA1-BDD0-528C04CA35FA}"/>
            </c:ext>
          </c:extLst>
        </c:ser>
        <c:ser>
          <c:idx val="8"/>
          <c:order val="8"/>
          <c:tx>
            <c:strRef>
              <c:f>'สรุป 1 ธค 68'!$J$22</c:f>
              <c:strCache>
                <c:ptCount val="1"/>
                <c:pt idx="0">
                  <c:v>รอทดสอบเชื่อมต่อ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68'!$J$23:$J$25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D9-4FA1-BDD0-528C04CA35FA}"/>
            </c:ext>
          </c:extLst>
        </c:ser>
        <c:ser>
          <c:idx val="9"/>
          <c:order val="9"/>
          <c:tx>
            <c:strRef>
              <c:f>'สรุป 1 ธค 68'!$K$22</c:f>
              <c:strCache>
                <c:ptCount val="1"/>
                <c:pt idx="0">
                  <c:v>รออนุมัติแจ้งวันเริ่มเชื่อมต่อ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68'!$K$23:$K$25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D9-4FA1-BDD0-528C04CA35FA}"/>
            </c:ext>
          </c:extLst>
        </c:ser>
        <c:ser>
          <c:idx val="10"/>
          <c:order val="10"/>
          <c:tx>
            <c:strRef>
              <c:f>'สรุป 1 ธค 68'!$L$22</c:f>
              <c:strCache>
                <c:ptCount val="1"/>
                <c:pt idx="0">
                  <c:v>เชื่อมต่อเรียบร้อยแล้ว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'สรุป 1 ธค 68'!$A$23:$A$25</c:f>
              <c:strCache>
                <c:ptCount val="3"/>
                <c:pt idx="0">
                  <c:v>กฟส.เมืองสุพรรณบุรี</c:v>
                </c:pt>
                <c:pt idx="1">
                  <c:v>กฟอ.อู่ทอง</c:v>
                </c:pt>
                <c:pt idx="2">
                  <c:v>กฟอ.เดิมบาง</c:v>
                </c:pt>
              </c:strCache>
            </c:strRef>
          </c:cat>
          <c:val>
            <c:numRef>
              <c:f>'สรุป 1 ธค 68'!$L$23:$L$25</c:f>
              <c:numCache>
                <c:formatCode>General</c:formatCode>
                <c:ptCount val="3"/>
                <c:pt idx="0">
                  <c:v>87</c:v>
                </c:pt>
                <c:pt idx="1">
                  <c:v>25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D9-4FA1-BDD0-528C04CA3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665726575"/>
        <c:axId val="814469679"/>
      </c:barChart>
      <c:catAx>
        <c:axId val="66572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814469679"/>
        <c:crosses val="autoZero"/>
        <c:auto val="1"/>
        <c:lblAlgn val="ctr"/>
        <c:lblOffset val="100"/>
        <c:noMultiLvlLbl val="0"/>
      </c:catAx>
      <c:valAx>
        <c:axId val="81446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  <c:crossAx val="6657265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H Sarabun New" panose="020B0500040200020003" pitchFamily="34" charset="-34"/>
          <a:cs typeface="TH Sarabun New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th-TH" sz="2400"/>
              <a:t>สถานะผู้ยี่นขอขนานไฟกับ </a:t>
            </a:r>
            <a:r>
              <a:rPr lang="en-US" sz="2400"/>
              <a:t>PEA </a:t>
            </a:r>
            <a:r>
              <a:rPr lang="th-TH" sz="2400"/>
              <a:t>บนระบบ </a:t>
            </a:r>
            <a:r>
              <a:rPr lang="en-US" sz="2400"/>
              <a:t>PPIM </a:t>
            </a:r>
            <a:r>
              <a:rPr lang="th-TH" sz="2400"/>
              <a:t>ของ </a:t>
            </a:r>
            <a:br>
              <a:rPr lang="th-TH" sz="2400"/>
            </a:br>
            <a:r>
              <a:rPr lang="th-TH" sz="2400"/>
              <a:t>กฟฟ.พื้นที่ กฟก.3 (กรณีไม่เกิน 20 </a:t>
            </a:r>
            <a:r>
              <a:rPr lang="en-US" sz="2400"/>
              <a:t>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'สรุป 1 ธค 68'!$A$28</c:f>
              <c:strCache>
                <c:ptCount val="1"/>
                <c:pt idx="0">
                  <c:v>รวม กฟฟ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'สรุป 1 ธค 68'!$B$27:$L$27</c:f>
              <c:strCache>
                <c:ptCount val="11"/>
                <c:pt idx="0">
                  <c:v>รอตรวจสอบแบบคำขอ</c:v>
                </c:pt>
                <c:pt idx="1">
                  <c:v>ยกเลิก</c:v>
                </c:pt>
                <c:pt idx="2">
                  <c:v>รอผู้ยื่นคำขอส่งเอกสารแก้ไข</c:v>
                </c:pt>
                <c:pt idx="3">
                  <c:v>รอชำระเงิน</c:v>
                </c:pt>
                <c:pt idx="4">
                  <c:v>รออนุมัติเชื่อมต่อ/รับพิจารณา</c:v>
                </c:pt>
                <c:pt idx="5">
                  <c:v>รอดำเนินการหลังอนุมัติเชื่อมต่อ/รับพิจารณา</c:v>
                </c:pt>
                <c:pt idx="6">
                  <c:v>รอแก้ไขเอกสารหลังอนุมัติเชื่อมต่อ / รับพิจารณา</c:v>
                </c:pt>
                <c:pt idx="7">
                  <c:v>รอตรวจสอบระบบผลิต</c:v>
                </c:pt>
                <c:pt idx="8">
                  <c:v>รอทดสอบเชื่อมต่อ</c:v>
                </c:pt>
                <c:pt idx="9">
                  <c:v>รออนุมัติแจ้งวันเริ่มเชื่อมต่อ</c:v>
                </c:pt>
                <c:pt idx="10">
                  <c:v>เชื่อมต่อเรียบร้อยแล้ว</c:v>
                </c:pt>
              </c:strCache>
            </c:strRef>
          </c:cat>
          <c:val>
            <c:numRef>
              <c:f>'สรุป 1 ธค 68'!$B$28:$L$28</c:f>
              <c:numCache>
                <c:formatCode>General</c:formatCode>
                <c:ptCount val="11"/>
                <c:pt idx="0">
                  <c:v>111</c:v>
                </c:pt>
                <c:pt idx="1">
                  <c:v>1142</c:v>
                </c:pt>
                <c:pt idx="2">
                  <c:v>7</c:v>
                </c:pt>
                <c:pt idx="3">
                  <c:v>143</c:v>
                </c:pt>
                <c:pt idx="4">
                  <c:v>46</c:v>
                </c:pt>
                <c:pt idx="5">
                  <c:v>143</c:v>
                </c:pt>
                <c:pt idx="6">
                  <c:v>15</c:v>
                </c:pt>
                <c:pt idx="7">
                  <c:v>59</c:v>
                </c:pt>
                <c:pt idx="8">
                  <c:v>0</c:v>
                </c:pt>
                <c:pt idx="9">
                  <c:v>7</c:v>
                </c:pt>
                <c:pt idx="10">
                  <c:v>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A-46DA-B7B8-A19E27F671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33278623"/>
        <c:axId val="802428815"/>
      </c:barChart>
      <c:catAx>
        <c:axId val="93327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802428815"/>
        <c:crosses val="autoZero"/>
        <c:auto val="1"/>
        <c:lblAlgn val="ctr"/>
        <c:lblOffset val="100"/>
        <c:noMultiLvlLbl val="0"/>
      </c:catAx>
      <c:valAx>
        <c:axId val="80242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3327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671792</xdr:colOff>
      <xdr:row>1</xdr:row>
      <xdr:rowOff>10486</xdr:rowOff>
    </xdr:from>
    <xdr:to>
      <xdr:col>22</xdr:col>
      <xdr:colOff>180574</xdr:colOff>
      <xdr:row>18</xdr:row>
      <xdr:rowOff>198665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298556</xdr:colOff>
      <xdr:row>0</xdr:row>
      <xdr:rowOff>419421</xdr:rowOff>
    </xdr:from>
    <xdr:to>
      <xdr:col>29</xdr:col>
      <xdr:colOff>203948</xdr:colOff>
      <xdr:row>18</xdr:row>
      <xdr:rowOff>81005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38378</xdr:colOff>
      <xdr:row>0</xdr:row>
      <xdr:rowOff>388844</xdr:rowOff>
    </xdr:from>
    <xdr:to>
      <xdr:col>41</xdr:col>
      <xdr:colOff>476809</xdr:colOff>
      <xdr:row>18</xdr:row>
      <xdr:rowOff>21853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604001</xdr:colOff>
      <xdr:row>0</xdr:row>
      <xdr:rowOff>407894</xdr:rowOff>
    </xdr:from>
    <xdr:to>
      <xdr:col>56</xdr:col>
      <xdr:colOff>302559</xdr:colOff>
      <xdr:row>18</xdr:row>
      <xdr:rowOff>26614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437031</xdr:colOff>
      <xdr:row>0</xdr:row>
      <xdr:rowOff>393325</xdr:rowOff>
    </xdr:from>
    <xdr:to>
      <xdr:col>69</xdr:col>
      <xdr:colOff>459440</xdr:colOff>
      <xdr:row>18</xdr:row>
      <xdr:rowOff>11205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183696</xdr:rowOff>
        </xdr:from>
        <xdr:to>
          <xdr:col>0</xdr:col>
          <xdr:colOff>161925</xdr:colOff>
          <xdr:row>30</xdr:row>
          <xdr:rowOff>345621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4482</xdr:rowOff>
        </xdr:from>
        <xdr:to>
          <xdr:col>0</xdr:col>
          <xdr:colOff>190500</xdr:colOff>
          <xdr:row>9</xdr:row>
          <xdr:rowOff>194982</xdr:rowOff>
        </xdr:to>
        <xdr:sp macro="" textlink="">
          <xdr:nvSpPr>
            <xdr:cNvPr id="9217" name="Control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435429</xdr:rowOff>
        </xdr:from>
        <xdr:to>
          <xdr:col>0</xdr:col>
          <xdr:colOff>161925</xdr:colOff>
          <xdr:row>8</xdr:row>
          <xdr:rowOff>134711</xdr:rowOff>
        </xdr:to>
        <xdr:sp macro="" textlink="">
          <xdr:nvSpPr>
            <xdr:cNvPr id="10241" name="Control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355787</xdr:rowOff>
        </xdr:from>
        <xdr:to>
          <xdr:col>0</xdr:col>
          <xdr:colOff>190500</xdr:colOff>
          <xdr:row>9</xdr:row>
          <xdr:rowOff>75640</xdr:rowOff>
        </xdr:to>
        <xdr:sp macro="" textlink="">
          <xdr:nvSpPr>
            <xdr:cNvPr id="11265" name="Control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439511</xdr:rowOff>
        </xdr:from>
        <xdr:to>
          <xdr:col>0</xdr:col>
          <xdr:colOff>161925</xdr:colOff>
          <xdr:row>9</xdr:row>
          <xdr:rowOff>138794</xdr:rowOff>
        </xdr:to>
        <xdr:sp macro="" textlink="">
          <xdr:nvSpPr>
            <xdr:cNvPr id="12289" name="Control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6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345621</xdr:rowOff>
        </xdr:from>
        <xdr:to>
          <xdr:col>0</xdr:col>
          <xdr:colOff>161925</xdr:colOff>
          <xdr:row>14</xdr:row>
          <xdr:rowOff>44903</xdr:rowOff>
        </xdr:to>
        <xdr:sp macro="" textlink="">
          <xdr:nvSpPr>
            <xdr:cNvPr id="13313" name="Control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7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438150</xdr:rowOff>
        </xdr:from>
        <xdr:to>
          <xdr:col>0</xdr:col>
          <xdr:colOff>161925</xdr:colOff>
          <xdr:row>37</xdr:row>
          <xdr:rowOff>137432</xdr:rowOff>
        </xdr:to>
        <xdr:sp macro="" textlink="">
          <xdr:nvSpPr>
            <xdr:cNvPr id="14337" name="Control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904875</xdr:rowOff>
        </xdr:from>
        <xdr:to>
          <xdr:col>0</xdr:col>
          <xdr:colOff>161925</xdr:colOff>
          <xdr:row>14</xdr:row>
          <xdr:rowOff>141514</xdr:rowOff>
        </xdr:to>
        <xdr:sp macro="" textlink="">
          <xdr:nvSpPr>
            <xdr:cNvPr id="15361" name="Control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9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345621</xdr:rowOff>
        </xdr:from>
        <xdr:to>
          <xdr:col>0</xdr:col>
          <xdr:colOff>161925</xdr:colOff>
          <xdr:row>7</xdr:row>
          <xdr:rowOff>44903</xdr:rowOff>
        </xdr:to>
        <xdr:sp macro="" textlink="">
          <xdr:nvSpPr>
            <xdr:cNvPr id="16385" name="Control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A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444954</xdr:rowOff>
        </xdr:from>
        <xdr:to>
          <xdr:col>0</xdr:col>
          <xdr:colOff>161925</xdr:colOff>
          <xdr:row>8</xdr:row>
          <xdr:rowOff>144236</xdr:rowOff>
        </xdr:to>
        <xdr:sp macro="" textlink="">
          <xdr:nvSpPr>
            <xdr:cNvPr id="17409" name="Control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B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58271</xdr:rowOff>
        </xdr:from>
        <xdr:to>
          <xdr:col>0</xdr:col>
          <xdr:colOff>190500</xdr:colOff>
          <xdr:row>11</xdr:row>
          <xdr:rowOff>248771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C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311604</xdr:rowOff>
        </xdr:from>
        <xdr:to>
          <xdr:col>0</xdr:col>
          <xdr:colOff>161925</xdr:colOff>
          <xdr:row>22</xdr:row>
          <xdr:rowOff>10886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D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356507</xdr:rowOff>
        </xdr:from>
        <xdr:to>
          <xdr:col>0</xdr:col>
          <xdr:colOff>161925</xdr:colOff>
          <xdr:row>5</xdr:row>
          <xdr:rowOff>55789</xdr:rowOff>
        </xdr:to>
        <xdr:sp macro="" textlink="">
          <xdr:nvSpPr>
            <xdr:cNvPr id="20481" name="Control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F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438150</xdr:rowOff>
        </xdr:from>
        <xdr:to>
          <xdr:col>0</xdr:col>
          <xdr:colOff>161925</xdr:colOff>
          <xdr:row>11</xdr:row>
          <xdr:rowOff>137432</xdr:rowOff>
        </xdr:to>
        <xdr:sp macro="" textlink="">
          <xdr:nvSpPr>
            <xdr:cNvPr id="21505" name="Control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0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341219</xdr:rowOff>
        </xdr:from>
        <xdr:to>
          <xdr:col>0</xdr:col>
          <xdr:colOff>190500</xdr:colOff>
          <xdr:row>9</xdr:row>
          <xdr:rowOff>61072</xdr:rowOff>
        </xdr:to>
        <xdr:sp macro="" textlink="">
          <xdr:nvSpPr>
            <xdr:cNvPr id="7169" name="Control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1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341219</xdr:rowOff>
        </xdr:from>
        <xdr:to>
          <xdr:col>0</xdr:col>
          <xdr:colOff>190500</xdr:colOff>
          <xdr:row>9</xdr:row>
          <xdr:rowOff>61072</xdr:rowOff>
        </xdr:to>
        <xdr:sp macro="" textlink="">
          <xdr:nvSpPr>
            <xdr:cNvPr id="7170" name="Control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1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435429</xdr:rowOff>
        </xdr:from>
        <xdr:to>
          <xdr:col>0</xdr:col>
          <xdr:colOff>161925</xdr:colOff>
          <xdr:row>8</xdr:row>
          <xdr:rowOff>134711</xdr:rowOff>
        </xdr:to>
        <xdr:sp macro="" textlink="">
          <xdr:nvSpPr>
            <xdr:cNvPr id="22529" name="Control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2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pim-intra.pea.co.th:4434/request/PPIM195017E8" TargetMode="External"/><Relationship Id="rId170" Type="http://schemas.openxmlformats.org/officeDocument/2006/relationships/hyperlink" Target="https://ppim-intra.pea.co.th:4434/request/PPIM185010FE" TargetMode="External"/><Relationship Id="rId987" Type="http://schemas.openxmlformats.org/officeDocument/2006/relationships/hyperlink" Target="https://ppim-intra.pea.co.th:4434/request/PPIM185037E6" TargetMode="External"/><Relationship Id="rId847" Type="http://schemas.openxmlformats.org/officeDocument/2006/relationships/hyperlink" Target="https://ppim-intra.pea.co.th:4434/request/PPIM185041AE" TargetMode="External"/><Relationship Id="rId1477" Type="http://schemas.openxmlformats.org/officeDocument/2006/relationships/hyperlink" Target="https://ppim-intra.pea.co.th:4434/request/PPIM19501489" TargetMode="External"/><Relationship Id="rId1684" Type="http://schemas.openxmlformats.org/officeDocument/2006/relationships/hyperlink" Target="https://ppim-intra.pea.co.th:4434/request/PPIM195020D7" TargetMode="External"/><Relationship Id="rId1891" Type="http://schemas.openxmlformats.org/officeDocument/2006/relationships/hyperlink" Target="https://ppim-intra.pea.co.th:4434/request/PPIM19502DAA" TargetMode="External"/><Relationship Id="rId2528" Type="http://schemas.openxmlformats.org/officeDocument/2006/relationships/hyperlink" Target="https://ppim-intra.pea.co.th:4434/request/PPIM19505048" TargetMode="External"/><Relationship Id="rId707" Type="http://schemas.openxmlformats.org/officeDocument/2006/relationships/hyperlink" Target="https://ppim-intra.pea.co.th:4434/request/PPIM18503328" TargetMode="External"/><Relationship Id="rId914" Type="http://schemas.openxmlformats.org/officeDocument/2006/relationships/hyperlink" Target="https://ppim-intra.pea.co.th:4434/request/PPIM185045D4" TargetMode="External"/><Relationship Id="rId1337" Type="http://schemas.openxmlformats.org/officeDocument/2006/relationships/hyperlink" Target="https://ppim-intra.pea.co.th:4434/request/PPIM19500E57" TargetMode="External"/><Relationship Id="rId1544" Type="http://schemas.openxmlformats.org/officeDocument/2006/relationships/hyperlink" Target="https://ppim-intra.pea.co.th:4434/request/PPIM1950181F" TargetMode="External"/><Relationship Id="rId1751" Type="http://schemas.openxmlformats.org/officeDocument/2006/relationships/hyperlink" Target="https://ppim-intra.pea.co.th:4434/request/PPIM19502416" TargetMode="External"/><Relationship Id="rId43" Type="http://schemas.openxmlformats.org/officeDocument/2006/relationships/hyperlink" Target="https://ppim-intra.pea.co.th:4434/request/PPIM185003CD" TargetMode="External"/><Relationship Id="rId1404" Type="http://schemas.openxmlformats.org/officeDocument/2006/relationships/hyperlink" Target="https://ppim-intra.pea.co.th:4434/request/PPIM1850252F" TargetMode="External"/><Relationship Id="rId1611" Type="http://schemas.openxmlformats.org/officeDocument/2006/relationships/hyperlink" Target="https://ppim-intra.pea.co.th:4434/request/PPIM19501C4A" TargetMode="External"/><Relationship Id="rId497" Type="http://schemas.openxmlformats.org/officeDocument/2006/relationships/hyperlink" Target="https://ppim-intra.pea.co.th:4434/request/PPIM1850261A" TargetMode="External"/><Relationship Id="rId2178" Type="http://schemas.openxmlformats.org/officeDocument/2006/relationships/hyperlink" Target="https://ppim-intra.pea.co.th:4434/request/PPIM195039ED" TargetMode="External"/><Relationship Id="rId2385" Type="http://schemas.openxmlformats.org/officeDocument/2006/relationships/hyperlink" Target="https://ppim-intra.pea.co.th:4434/request/PPIM195047C3" TargetMode="External"/><Relationship Id="rId357" Type="http://schemas.openxmlformats.org/officeDocument/2006/relationships/hyperlink" Target="https://ppim-intra.pea.co.th:4434/request/PPIM18501DA4" TargetMode="External"/><Relationship Id="rId1194" Type="http://schemas.openxmlformats.org/officeDocument/2006/relationships/hyperlink" Target="https://ppim-intra.pea.co.th:4434/request/PPIM19500A0A" TargetMode="External"/><Relationship Id="rId2038" Type="http://schemas.openxmlformats.org/officeDocument/2006/relationships/hyperlink" Target="https://ppim-intra.pea.co.th:4434/request/PPIM1950306D" TargetMode="External"/><Relationship Id="rId2592" Type="http://schemas.openxmlformats.org/officeDocument/2006/relationships/hyperlink" Target="https://ppim-intra.pea.co.th:4434/request/PPIM195057E5" TargetMode="External"/><Relationship Id="rId217" Type="http://schemas.openxmlformats.org/officeDocument/2006/relationships/hyperlink" Target="https://ppim-intra.pea.co.th:4434/request/PPIM18501459" TargetMode="External"/><Relationship Id="rId564" Type="http://schemas.openxmlformats.org/officeDocument/2006/relationships/hyperlink" Target="https://ppim-intra.pea.co.th:4434/request/PPIM1850298F" TargetMode="External"/><Relationship Id="rId771" Type="http://schemas.openxmlformats.org/officeDocument/2006/relationships/hyperlink" Target="https://ppim-intra.pea.co.th:4434/request/PPIM18503A21" TargetMode="External"/><Relationship Id="rId2245" Type="http://schemas.openxmlformats.org/officeDocument/2006/relationships/hyperlink" Target="https://ppim-intra.pea.co.th:4434/request/PPIM19503E41" TargetMode="External"/><Relationship Id="rId2452" Type="http://schemas.openxmlformats.org/officeDocument/2006/relationships/hyperlink" Target="https://ppim-intra.pea.co.th:4434/request/PPIM19504EEB" TargetMode="External"/><Relationship Id="rId424" Type="http://schemas.openxmlformats.org/officeDocument/2006/relationships/hyperlink" Target="https://ppim-intra.pea.co.th:4434/request/PPIM18502270" TargetMode="External"/><Relationship Id="rId631" Type="http://schemas.openxmlformats.org/officeDocument/2006/relationships/hyperlink" Target="https://ppim-intra.pea.co.th:4434/request/PPIM18502CF2" TargetMode="External"/><Relationship Id="rId1054" Type="http://schemas.openxmlformats.org/officeDocument/2006/relationships/hyperlink" Target="https://ppim-intra.pea.co.th:4434/request/PPIM18502A62" TargetMode="External"/><Relationship Id="rId1261" Type="http://schemas.openxmlformats.org/officeDocument/2006/relationships/hyperlink" Target="https://ppim-intra.pea.co.th:4434/request/PPIM19500BB0" TargetMode="External"/><Relationship Id="rId2105" Type="http://schemas.openxmlformats.org/officeDocument/2006/relationships/hyperlink" Target="https://ppim-intra.pea.co.th:4434/request/PPIM195035C7" TargetMode="External"/><Relationship Id="rId2312" Type="http://schemas.openxmlformats.org/officeDocument/2006/relationships/hyperlink" Target="https://ppim-intra.pea.co.th:4434/request/PPIM19504357" TargetMode="External"/><Relationship Id="rId1121" Type="http://schemas.openxmlformats.org/officeDocument/2006/relationships/hyperlink" Target="https://ppim-intra.pea.co.th:4434/request/PPIM19500332" TargetMode="External"/><Relationship Id="rId1938" Type="http://schemas.openxmlformats.org/officeDocument/2006/relationships/hyperlink" Target="https://ppim-intra.pea.co.th:4434/request/PPIM19502E3F" TargetMode="External"/><Relationship Id="rId281" Type="http://schemas.openxmlformats.org/officeDocument/2006/relationships/hyperlink" Target="https://ppim-intra.pea.co.th:4434/request/PPIM185003FB" TargetMode="External"/><Relationship Id="rId141" Type="http://schemas.openxmlformats.org/officeDocument/2006/relationships/hyperlink" Target="https://ppim-intra.pea.co.th:4434/request/PPIM18500D43" TargetMode="External"/><Relationship Id="rId7" Type="http://schemas.openxmlformats.org/officeDocument/2006/relationships/hyperlink" Target="https://ppim-intra.pea.co.th:4434/request/PPIM18500122" TargetMode="External"/><Relationship Id="rId958" Type="http://schemas.openxmlformats.org/officeDocument/2006/relationships/hyperlink" Target="https://ppim-intra.pea.co.th:4434/request/PPIM185048C1" TargetMode="External"/><Relationship Id="rId1588" Type="http://schemas.openxmlformats.org/officeDocument/2006/relationships/hyperlink" Target="https://ppim-intra.pea.co.th:4434/request/PPIM19501A25" TargetMode="External"/><Relationship Id="rId1795" Type="http://schemas.openxmlformats.org/officeDocument/2006/relationships/hyperlink" Target="https://ppim-intra.pea.co.th:4434/request/PPIM1950275F" TargetMode="External"/><Relationship Id="rId2639" Type="http://schemas.openxmlformats.org/officeDocument/2006/relationships/hyperlink" Target="https://ppim-intra.pea.co.th:4434/request/PPIM19505C09" TargetMode="External"/><Relationship Id="rId87" Type="http://schemas.openxmlformats.org/officeDocument/2006/relationships/hyperlink" Target="https://ppim-intra.pea.co.th:4434/request/PPIM18500779" TargetMode="External"/><Relationship Id="rId818" Type="http://schemas.openxmlformats.org/officeDocument/2006/relationships/hyperlink" Target="https://ppim-intra.pea.co.th:4434/request/PPIM18503DFB" TargetMode="External"/><Relationship Id="rId1448" Type="http://schemas.openxmlformats.org/officeDocument/2006/relationships/hyperlink" Target="https://ppim-intra.pea.co.th:4434/request/PPIM195011B4" TargetMode="External"/><Relationship Id="rId1655" Type="http://schemas.openxmlformats.org/officeDocument/2006/relationships/hyperlink" Target="https://ppim-intra.pea.co.th:4434/request/PPIM19501F23" TargetMode="External"/><Relationship Id="rId1308" Type="http://schemas.openxmlformats.org/officeDocument/2006/relationships/hyperlink" Target="https://ppim-intra.pea.co.th:4434/request/PPIM19500DED" TargetMode="External"/><Relationship Id="rId1862" Type="http://schemas.openxmlformats.org/officeDocument/2006/relationships/hyperlink" Target="https://ppim-intra.pea.co.th:4434/request/PPIM19502545" TargetMode="External"/><Relationship Id="rId1515" Type="http://schemas.openxmlformats.org/officeDocument/2006/relationships/hyperlink" Target="https://ppim-intra.pea.co.th:4434/request/PPIM1950170E" TargetMode="External"/><Relationship Id="rId1722" Type="http://schemas.openxmlformats.org/officeDocument/2006/relationships/hyperlink" Target="https://ppim-intra.pea.co.th:4434/request/PPIM19502356" TargetMode="External"/><Relationship Id="rId14" Type="http://schemas.openxmlformats.org/officeDocument/2006/relationships/hyperlink" Target="https://ppim-intra.pea.co.th:4434/request/PPIM185001A0" TargetMode="External"/><Relationship Id="rId2289" Type="http://schemas.openxmlformats.org/officeDocument/2006/relationships/hyperlink" Target="https://ppim-intra.pea.co.th:4434/request/PPIM19503EDA" TargetMode="External"/><Relationship Id="rId2496" Type="http://schemas.openxmlformats.org/officeDocument/2006/relationships/hyperlink" Target="https://ppim-intra.pea.co.th:4434/request/PPIM195052E4" TargetMode="External"/><Relationship Id="rId468" Type="http://schemas.openxmlformats.org/officeDocument/2006/relationships/hyperlink" Target="https://ppim-intra.pea.co.th:4434/request/PPIM185023A8" TargetMode="External"/><Relationship Id="rId675" Type="http://schemas.openxmlformats.org/officeDocument/2006/relationships/hyperlink" Target="https://ppim-intra.pea.co.th:4434/request/PPIM185030E0" TargetMode="External"/><Relationship Id="rId882" Type="http://schemas.openxmlformats.org/officeDocument/2006/relationships/hyperlink" Target="https://ppim-intra.pea.co.th:4434/request/PPIM18504384" TargetMode="External"/><Relationship Id="rId1098" Type="http://schemas.openxmlformats.org/officeDocument/2006/relationships/hyperlink" Target="https://ppim-intra.pea.co.th:4434/request/PPIM18503AE1" TargetMode="External"/><Relationship Id="rId2149" Type="http://schemas.openxmlformats.org/officeDocument/2006/relationships/hyperlink" Target="https://ppim-intra.pea.co.th:4434/request/PPIM19503844" TargetMode="External"/><Relationship Id="rId2356" Type="http://schemas.openxmlformats.org/officeDocument/2006/relationships/hyperlink" Target="https://ppim-intra.pea.co.th:4434/request/PPIM19504337" TargetMode="External"/><Relationship Id="rId2563" Type="http://schemas.openxmlformats.org/officeDocument/2006/relationships/hyperlink" Target="https://ppim-intra.pea.co.th:4434/request/PPIM19505784" TargetMode="External"/><Relationship Id="rId328" Type="http://schemas.openxmlformats.org/officeDocument/2006/relationships/hyperlink" Target="https://ppim-intra.pea.co.th:4434/request/PPIM18501066" TargetMode="External"/><Relationship Id="rId535" Type="http://schemas.openxmlformats.org/officeDocument/2006/relationships/hyperlink" Target="https://ppim-intra.pea.co.th:4434/request/PPIM1850287D" TargetMode="External"/><Relationship Id="rId742" Type="http://schemas.openxmlformats.org/officeDocument/2006/relationships/hyperlink" Target="https://ppim-intra.pea.co.th:4434/request/PPIM1850371D" TargetMode="External"/><Relationship Id="rId1165" Type="http://schemas.openxmlformats.org/officeDocument/2006/relationships/hyperlink" Target="https://ppim-intra.pea.co.th:4434/request/PPIM19500931" TargetMode="External"/><Relationship Id="rId1372" Type="http://schemas.openxmlformats.org/officeDocument/2006/relationships/hyperlink" Target="https://ppim-intra.pea.co.th:4434/request/PPIM19500A7A" TargetMode="External"/><Relationship Id="rId2009" Type="http://schemas.openxmlformats.org/officeDocument/2006/relationships/hyperlink" Target="https://ppim-intra.pea.co.th:4434/request/PPIM19502CD4" TargetMode="External"/><Relationship Id="rId2216" Type="http://schemas.openxmlformats.org/officeDocument/2006/relationships/hyperlink" Target="https://ppim-intra.pea.co.th:4434/request/PPIM19503C5E" TargetMode="External"/><Relationship Id="rId2423" Type="http://schemas.openxmlformats.org/officeDocument/2006/relationships/hyperlink" Target="https://ppim-intra.pea.co.th:4434/request/PPIM195049F6" TargetMode="External"/><Relationship Id="rId2630" Type="http://schemas.openxmlformats.org/officeDocument/2006/relationships/hyperlink" Target="https://ppim-intra.pea.co.th:4434/request/PPIM1950585C" TargetMode="External"/><Relationship Id="rId602" Type="http://schemas.openxmlformats.org/officeDocument/2006/relationships/hyperlink" Target="https://ppim-intra.pea.co.th:4434/request/PPIM18502B72" TargetMode="External"/><Relationship Id="rId1025" Type="http://schemas.openxmlformats.org/officeDocument/2006/relationships/hyperlink" Target="https://ppim-intra.pea.co.th:4434/request/PPIM1950032B" TargetMode="External"/><Relationship Id="rId1232" Type="http://schemas.openxmlformats.org/officeDocument/2006/relationships/hyperlink" Target="https://ppim-intra.pea.co.th:4434/request/PPIM19500AD1" TargetMode="External"/><Relationship Id="rId185" Type="http://schemas.openxmlformats.org/officeDocument/2006/relationships/hyperlink" Target="https://ppim-intra.pea.co.th:4434/request/PPIM185011A4" TargetMode="External"/><Relationship Id="rId1909" Type="http://schemas.openxmlformats.org/officeDocument/2006/relationships/hyperlink" Target="https://ppim-intra.pea.co.th:4434/request/PPIM19502D41" TargetMode="External"/><Relationship Id="rId392" Type="http://schemas.openxmlformats.org/officeDocument/2006/relationships/hyperlink" Target="https://ppim-intra.pea.co.th:4434/request/PPIM1850202B" TargetMode="External"/><Relationship Id="rId2073" Type="http://schemas.openxmlformats.org/officeDocument/2006/relationships/hyperlink" Target="https://ppim-intra.pea.co.th:4434/request/PPIM19503532" TargetMode="External"/><Relationship Id="rId2280" Type="http://schemas.openxmlformats.org/officeDocument/2006/relationships/hyperlink" Target="https://ppim-intra.pea.co.th:4434/request/PPIM19503D67" TargetMode="External"/><Relationship Id="rId252" Type="http://schemas.openxmlformats.org/officeDocument/2006/relationships/hyperlink" Target="https://ppim-intra.pea.co.th:4434/request/PPIM18501796" TargetMode="External"/><Relationship Id="rId2140" Type="http://schemas.openxmlformats.org/officeDocument/2006/relationships/hyperlink" Target="https://ppim-intra.pea.co.th:4434/request/PPIM1950378D" TargetMode="External"/><Relationship Id="rId112" Type="http://schemas.openxmlformats.org/officeDocument/2006/relationships/hyperlink" Target="https://ppim-intra.pea.co.th:4434/request/PPIM185009ED" TargetMode="External"/><Relationship Id="rId1699" Type="http://schemas.openxmlformats.org/officeDocument/2006/relationships/hyperlink" Target="https://ppim-intra.pea.co.th:4434/request/PPIM19502181" TargetMode="External"/><Relationship Id="rId2000" Type="http://schemas.openxmlformats.org/officeDocument/2006/relationships/hyperlink" Target="https://ppim-intra.pea.co.th:4434/request/PPIM19503290" TargetMode="External"/><Relationship Id="rId929" Type="http://schemas.openxmlformats.org/officeDocument/2006/relationships/hyperlink" Target="https://ppim-intra.pea.co.th:4434/request/PPIM185046FE" TargetMode="External"/><Relationship Id="rId1559" Type="http://schemas.openxmlformats.org/officeDocument/2006/relationships/hyperlink" Target="https://ppim-intra.pea.co.th:4434/request/PPIM195018AC" TargetMode="External"/><Relationship Id="rId1766" Type="http://schemas.openxmlformats.org/officeDocument/2006/relationships/hyperlink" Target="https://ppim-intra.pea.co.th:4434/request/PPIM19502598" TargetMode="External"/><Relationship Id="rId1973" Type="http://schemas.openxmlformats.org/officeDocument/2006/relationships/hyperlink" Target="https://ppim-intra.pea.co.th:4434/request/PPIM195024BA" TargetMode="External"/><Relationship Id="rId58" Type="http://schemas.openxmlformats.org/officeDocument/2006/relationships/hyperlink" Target="https://ppim-intra.pea.co.th:4434/request/PPIM185004D9" TargetMode="External"/><Relationship Id="rId1419" Type="http://schemas.openxmlformats.org/officeDocument/2006/relationships/hyperlink" Target="https://ppim-intra.pea.co.th:4434/request/PPIM19500F19" TargetMode="External"/><Relationship Id="rId1626" Type="http://schemas.openxmlformats.org/officeDocument/2006/relationships/hyperlink" Target="https://ppim-intra.pea.co.th:4434/request/PPIM19501D49" TargetMode="External"/><Relationship Id="rId1833" Type="http://schemas.openxmlformats.org/officeDocument/2006/relationships/hyperlink" Target="https://ppim-intra.pea.co.th:4434/request/PPIM19502BBE" TargetMode="External"/><Relationship Id="rId1900" Type="http://schemas.openxmlformats.org/officeDocument/2006/relationships/hyperlink" Target="https://ppim-intra.pea.co.th:4434/request/PPIM19502760" TargetMode="External"/><Relationship Id="rId579" Type="http://schemas.openxmlformats.org/officeDocument/2006/relationships/hyperlink" Target="https://ppim-intra.pea.co.th:4434/request/PPIM185029EC" TargetMode="External"/><Relationship Id="rId786" Type="http://schemas.openxmlformats.org/officeDocument/2006/relationships/hyperlink" Target="https://ppim-intra.pea.co.th:4434/request/PPIM18503A9B" TargetMode="External"/><Relationship Id="rId993" Type="http://schemas.openxmlformats.org/officeDocument/2006/relationships/hyperlink" Target="https://ppim-intra.pea.co.th:4434/request/PPIM195000D6" TargetMode="External"/><Relationship Id="rId2467" Type="http://schemas.openxmlformats.org/officeDocument/2006/relationships/hyperlink" Target="https://ppim-intra.pea.co.th:4434/request/PPIM19504950" TargetMode="External"/><Relationship Id="rId439" Type="http://schemas.openxmlformats.org/officeDocument/2006/relationships/hyperlink" Target="https://ppim-intra.pea.co.th:4434/request/PPIM18501AE0" TargetMode="External"/><Relationship Id="rId646" Type="http://schemas.openxmlformats.org/officeDocument/2006/relationships/hyperlink" Target="https://ppim-intra.pea.co.th:4434/request/PPIM18502E33" TargetMode="External"/><Relationship Id="rId1069" Type="http://schemas.openxmlformats.org/officeDocument/2006/relationships/hyperlink" Target="https://ppim-intra.pea.co.th:4434/request/PPIM19500517" TargetMode="External"/><Relationship Id="rId1276" Type="http://schemas.openxmlformats.org/officeDocument/2006/relationships/hyperlink" Target="https://ppim-intra.pea.co.th:4434/request/PPIM18504860" TargetMode="External"/><Relationship Id="rId1483" Type="http://schemas.openxmlformats.org/officeDocument/2006/relationships/hyperlink" Target="https://ppim-intra.pea.co.th:4434/request/PPIM19500347" TargetMode="External"/><Relationship Id="rId2327" Type="http://schemas.openxmlformats.org/officeDocument/2006/relationships/hyperlink" Target="https://ppim-intra.pea.co.th:4434/request/PPIM195040C9" TargetMode="External"/><Relationship Id="rId506" Type="http://schemas.openxmlformats.org/officeDocument/2006/relationships/hyperlink" Target="https://ppim-intra.pea.co.th:4434/request/PPIM185026A6" TargetMode="External"/><Relationship Id="rId853" Type="http://schemas.openxmlformats.org/officeDocument/2006/relationships/hyperlink" Target="https://ppim-intra.pea.co.th:4434/request/PPIM18504215" TargetMode="External"/><Relationship Id="rId1136" Type="http://schemas.openxmlformats.org/officeDocument/2006/relationships/hyperlink" Target="https://ppim-intra.pea.co.th:4434/request/PPIM18504876" TargetMode="External"/><Relationship Id="rId1690" Type="http://schemas.openxmlformats.org/officeDocument/2006/relationships/hyperlink" Target="https://ppim-intra.pea.co.th:4434/request/PPIM19502120" TargetMode="External"/><Relationship Id="rId2534" Type="http://schemas.openxmlformats.org/officeDocument/2006/relationships/hyperlink" Target="https://ppim-intra.pea.co.th:4434/request/PPIM195040B8" TargetMode="External"/><Relationship Id="rId713" Type="http://schemas.openxmlformats.org/officeDocument/2006/relationships/hyperlink" Target="https://ppim-intra.pea.co.th:4434/request/PPIM185033E9" TargetMode="External"/><Relationship Id="rId920" Type="http://schemas.openxmlformats.org/officeDocument/2006/relationships/hyperlink" Target="https://ppim-intra.pea.co.th:4434/request/PPIM18504618" TargetMode="External"/><Relationship Id="rId1343" Type="http://schemas.openxmlformats.org/officeDocument/2006/relationships/hyperlink" Target="https://ppim-intra.pea.co.th:4434/request/PPIM19500E6B" TargetMode="External"/><Relationship Id="rId1550" Type="http://schemas.openxmlformats.org/officeDocument/2006/relationships/hyperlink" Target="https://ppim-intra.pea.co.th:4434/request/PPIM19501833" TargetMode="External"/><Relationship Id="rId2601" Type="http://schemas.openxmlformats.org/officeDocument/2006/relationships/hyperlink" Target="https://ppim-intra.pea.co.th:4434/request/PPIM195053EA" TargetMode="External"/><Relationship Id="rId1203" Type="http://schemas.openxmlformats.org/officeDocument/2006/relationships/hyperlink" Target="https://ppim-intra.pea.co.th:4434/request/PPIM19500A3C" TargetMode="External"/><Relationship Id="rId1410" Type="http://schemas.openxmlformats.org/officeDocument/2006/relationships/hyperlink" Target="https://ppim-intra.pea.co.th:4434/request/PPIM19501164" TargetMode="External"/><Relationship Id="rId296" Type="http://schemas.openxmlformats.org/officeDocument/2006/relationships/hyperlink" Target="https://ppim-intra.pea.co.th:4434/request/PPIM18501B69" TargetMode="External"/><Relationship Id="rId2184" Type="http://schemas.openxmlformats.org/officeDocument/2006/relationships/hyperlink" Target="https://ppim-intra.pea.co.th:4434/request/PPIM1950331D" TargetMode="External"/><Relationship Id="rId2391" Type="http://schemas.openxmlformats.org/officeDocument/2006/relationships/hyperlink" Target="https://ppim-intra.pea.co.th:4434/request/PPIM19504298" TargetMode="External"/><Relationship Id="rId156" Type="http://schemas.openxmlformats.org/officeDocument/2006/relationships/hyperlink" Target="https://ppim-intra.pea.co.th:4434/request/PPIM18500FDB" TargetMode="External"/><Relationship Id="rId363" Type="http://schemas.openxmlformats.org/officeDocument/2006/relationships/hyperlink" Target="https://ppim-intra.pea.co.th:4434/request/PPIM18501E00" TargetMode="External"/><Relationship Id="rId570" Type="http://schemas.openxmlformats.org/officeDocument/2006/relationships/hyperlink" Target="https://ppim-intra.pea.co.th:4434/request/PPIM18501EFF" TargetMode="External"/><Relationship Id="rId2044" Type="http://schemas.openxmlformats.org/officeDocument/2006/relationships/hyperlink" Target="https://ppim-intra.pea.co.th:4434/request/PPIM19503359" TargetMode="External"/><Relationship Id="rId2251" Type="http://schemas.openxmlformats.org/officeDocument/2006/relationships/hyperlink" Target="https://ppim-intra.pea.co.th:4434/request/PPIM195039D7" TargetMode="External"/><Relationship Id="rId223" Type="http://schemas.openxmlformats.org/officeDocument/2006/relationships/hyperlink" Target="https://ppim-intra.pea.co.th:4434/request/PPIM18501555" TargetMode="External"/><Relationship Id="rId430" Type="http://schemas.openxmlformats.org/officeDocument/2006/relationships/hyperlink" Target="https://ppim-intra.pea.co.th:4434/request/PPIM185022E4" TargetMode="External"/><Relationship Id="rId1060" Type="http://schemas.openxmlformats.org/officeDocument/2006/relationships/hyperlink" Target="https://ppim-intra.pea.co.th:4434/request/PPIM1950049B" TargetMode="External"/><Relationship Id="rId2111" Type="http://schemas.openxmlformats.org/officeDocument/2006/relationships/hyperlink" Target="https://ppim-intra.pea.co.th:4434/request/PPIM19503664" TargetMode="External"/><Relationship Id="rId1877" Type="http://schemas.openxmlformats.org/officeDocument/2006/relationships/hyperlink" Target="https://ppim-intra.pea.co.th:4434/request/PPIM19502C6F" TargetMode="External"/><Relationship Id="rId1737" Type="http://schemas.openxmlformats.org/officeDocument/2006/relationships/hyperlink" Target="https://ppim-intra.pea.co.th:4434/request/PPIM1950237B" TargetMode="External"/><Relationship Id="rId1944" Type="http://schemas.openxmlformats.org/officeDocument/2006/relationships/hyperlink" Target="https://ppim-intra.pea.co.th:4434/request/PPIM19502D45" TargetMode="External"/><Relationship Id="rId29" Type="http://schemas.openxmlformats.org/officeDocument/2006/relationships/hyperlink" Target="https://ppim-intra.pea.co.th:4434/request/PPIM185002C7" TargetMode="External"/><Relationship Id="rId1804" Type="http://schemas.openxmlformats.org/officeDocument/2006/relationships/hyperlink" Target="https://ppim-intra.pea.co.th:4434/request/PPIM19502817" TargetMode="External"/><Relationship Id="rId897" Type="http://schemas.openxmlformats.org/officeDocument/2006/relationships/hyperlink" Target="https://ppim-intra.pea.co.th:4434/request/PPIM185044DB" TargetMode="External"/><Relationship Id="rId2578" Type="http://schemas.openxmlformats.org/officeDocument/2006/relationships/hyperlink" Target="https://ppim-intra.pea.co.th:4434/request/PPIM195051D4" TargetMode="External"/><Relationship Id="rId757" Type="http://schemas.openxmlformats.org/officeDocument/2006/relationships/hyperlink" Target="https://ppim-intra.pea.co.th:4434/request/PPIM18502E76" TargetMode="External"/><Relationship Id="rId964" Type="http://schemas.openxmlformats.org/officeDocument/2006/relationships/hyperlink" Target="https://ppim-intra.pea.co.th:4434/request/PPIM18504948" TargetMode="External"/><Relationship Id="rId1387" Type="http://schemas.openxmlformats.org/officeDocument/2006/relationships/hyperlink" Target="https://ppim-intra.pea.co.th:4434/request/PPIM195010B5" TargetMode="External"/><Relationship Id="rId1594" Type="http://schemas.openxmlformats.org/officeDocument/2006/relationships/hyperlink" Target="https://ppim-intra.pea.co.th:4434/request/PPIM19501AAC" TargetMode="External"/><Relationship Id="rId2438" Type="http://schemas.openxmlformats.org/officeDocument/2006/relationships/hyperlink" Target="https://ppim-intra.pea.co.th:4434/request/PPIM195045B8" TargetMode="External"/><Relationship Id="rId2645" Type="http://schemas.openxmlformats.org/officeDocument/2006/relationships/hyperlink" Target="https://ppim-intra.pea.co.th:4434/request/PPIM19505C59" TargetMode="External"/><Relationship Id="rId93" Type="http://schemas.openxmlformats.org/officeDocument/2006/relationships/hyperlink" Target="https://ppim-intra.pea.co.th:4434/request/PPIM18500818" TargetMode="External"/><Relationship Id="rId617" Type="http://schemas.openxmlformats.org/officeDocument/2006/relationships/hyperlink" Target="https://ppim-intra.pea.co.th:4434/request/PPIM1850220B" TargetMode="External"/><Relationship Id="rId824" Type="http://schemas.openxmlformats.org/officeDocument/2006/relationships/hyperlink" Target="https://ppim-intra.pea.co.th:4434/request/PPIM18503EAA" TargetMode="External"/><Relationship Id="rId1247" Type="http://schemas.openxmlformats.org/officeDocument/2006/relationships/hyperlink" Target="https://ppim-intra.pea.co.th:4434/request/PPIM19500B35" TargetMode="External"/><Relationship Id="rId1454" Type="http://schemas.openxmlformats.org/officeDocument/2006/relationships/hyperlink" Target="https://ppim-intra.pea.co.th:4434/request/PPIM19501370" TargetMode="External"/><Relationship Id="rId1661" Type="http://schemas.openxmlformats.org/officeDocument/2006/relationships/hyperlink" Target="https://ppim-intra.pea.co.th:4434/request/PPIM1950138B" TargetMode="External"/><Relationship Id="rId2505" Type="http://schemas.openxmlformats.org/officeDocument/2006/relationships/hyperlink" Target="https://ppim-intra.pea.co.th:4434/request/PPIM19504B7C" TargetMode="External"/><Relationship Id="rId1107" Type="http://schemas.openxmlformats.org/officeDocument/2006/relationships/hyperlink" Target="https://ppim-intra.pea.co.th:4434/request/PPIM18503FD1" TargetMode="External"/><Relationship Id="rId1314" Type="http://schemas.openxmlformats.org/officeDocument/2006/relationships/hyperlink" Target="https://ppim-intra.pea.co.th:4434/request/PPIM19500DF5" TargetMode="External"/><Relationship Id="rId1521" Type="http://schemas.openxmlformats.org/officeDocument/2006/relationships/hyperlink" Target="https://ppim-intra.pea.co.th:4434/request/PPIM19501754" TargetMode="External"/><Relationship Id="rId20" Type="http://schemas.openxmlformats.org/officeDocument/2006/relationships/hyperlink" Target="https://ppim-intra.pea.co.th:4434/request/PPIM185001EC" TargetMode="External"/><Relationship Id="rId2088" Type="http://schemas.openxmlformats.org/officeDocument/2006/relationships/hyperlink" Target="https://ppim-intra.pea.co.th:4434/request/PPIM195035C9" TargetMode="External"/><Relationship Id="rId2295" Type="http://schemas.openxmlformats.org/officeDocument/2006/relationships/hyperlink" Target="https://ppim-intra.pea.co.th:4434/request/PPIM19504180" TargetMode="External"/><Relationship Id="rId267" Type="http://schemas.openxmlformats.org/officeDocument/2006/relationships/hyperlink" Target="https://ppim-intra.pea.co.th:4434/request/PPIM1850189B" TargetMode="External"/><Relationship Id="rId474" Type="http://schemas.openxmlformats.org/officeDocument/2006/relationships/hyperlink" Target="https://ppim-intra.pea.co.th:4434/request/PPIM18500C6D" TargetMode="External"/><Relationship Id="rId2155" Type="http://schemas.openxmlformats.org/officeDocument/2006/relationships/hyperlink" Target="https://ppim-intra.pea.co.th:4434/request/PPIM195033BC" TargetMode="External"/><Relationship Id="rId127" Type="http://schemas.openxmlformats.org/officeDocument/2006/relationships/hyperlink" Target="https://ppim-intra.pea.co.th:4434/request/PPIM18500B00" TargetMode="External"/><Relationship Id="rId681" Type="http://schemas.openxmlformats.org/officeDocument/2006/relationships/hyperlink" Target="https://ppim-intra.pea.co.th:4434/request/PPIM1850314C" TargetMode="External"/><Relationship Id="rId2362" Type="http://schemas.openxmlformats.org/officeDocument/2006/relationships/hyperlink" Target="https://ppim-intra.pea.co.th:4434/request/PPIM19504383" TargetMode="External"/><Relationship Id="rId334" Type="http://schemas.openxmlformats.org/officeDocument/2006/relationships/hyperlink" Target="https://ppim-intra.pea.co.th:4434/request/PPIM18501D0A" TargetMode="External"/><Relationship Id="rId541" Type="http://schemas.openxmlformats.org/officeDocument/2006/relationships/hyperlink" Target="https://ppim-intra.pea.co.th:4434/request/PPIM1850288D" TargetMode="External"/><Relationship Id="rId1171" Type="http://schemas.openxmlformats.org/officeDocument/2006/relationships/hyperlink" Target="https://ppim-intra.pea.co.th:4434/request/PPIM19500965" TargetMode="External"/><Relationship Id="rId2015" Type="http://schemas.openxmlformats.org/officeDocument/2006/relationships/hyperlink" Target="https://ppim-intra.pea.co.th:4434/request/PPIM19502CE6" TargetMode="External"/><Relationship Id="rId2222" Type="http://schemas.openxmlformats.org/officeDocument/2006/relationships/hyperlink" Target="https://ppim-intra.pea.co.th:4434/request/PPIM19503AD2" TargetMode="External"/><Relationship Id="rId401" Type="http://schemas.openxmlformats.org/officeDocument/2006/relationships/hyperlink" Target="https://ppim-intra.pea.co.th:4434/request/PPIM1850160C" TargetMode="External"/><Relationship Id="rId1031" Type="http://schemas.openxmlformats.org/officeDocument/2006/relationships/hyperlink" Target="https://ppim-intra.pea.co.th:4434/request/PPIM18503E92" TargetMode="External"/><Relationship Id="rId1988" Type="http://schemas.openxmlformats.org/officeDocument/2006/relationships/hyperlink" Target="https://ppim-intra.pea.co.th:4434/request/PPIM19502E07" TargetMode="External"/><Relationship Id="rId1848" Type="http://schemas.openxmlformats.org/officeDocument/2006/relationships/hyperlink" Target="https://ppim-intra.pea.co.th:4434/request/PPIM19502CA1" TargetMode="External"/><Relationship Id="rId191" Type="http://schemas.openxmlformats.org/officeDocument/2006/relationships/hyperlink" Target="https://ppim-intra.pea.co.th:4434/request/PPIM185011DB" TargetMode="External"/><Relationship Id="rId1708" Type="http://schemas.openxmlformats.org/officeDocument/2006/relationships/hyperlink" Target="https://ppim-intra.pea.co.th:4434/request/PPIM19502215" TargetMode="External"/><Relationship Id="rId1915" Type="http://schemas.openxmlformats.org/officeDocument/2006/relationships/hyperlink" Target="https://ppim-intra.pea.co.th:4434/request/PPIM19502AE9" TargetMode="External"/><Relationship Id="rId868" Type="http://schemas.openxmlformats.org/officeDocument/2006/relationships/hyperlink" Target="https://ppim-intra.pea.co.th:4434/request/PPIM185042CC" TargetMode="External"/><Relationship Id="rId1498" Type="http://schemas.openxmlformats.org/officeDocument/2006/relationships/hyperlink" Target="https://ppim-intra.pea.co.th:4434/request/PPIM1950163C" TargetMode="External"/><Relationship Id="rId2549" Type="http://schemas.openxmlformats.org/officeDocument/2006/relationships/hyperlink" Target="https://ppim-intra.pea.co.th:4434/request/PPIM19505644" TargetMode="External"/><Relationship Id="rId728" Type="http://schemas.openxmlformats.org/officeDocument/2006/relationships/hyperlink" Target="https://ppim-intra.pea.co.th:4434/request/PPIM185035EC" TargetMode="External"/><Relationship Id="rId935" Type="http://schemas.openxmlformats.org/officeDocument/2006/relationships/hyperlink" Target="https://ppim-intra.pea.co.th:4434/request/PPIM18504724" TargetMode="External"/><Relationship Id="rId1358" Type="http://schemas.openxmlformats.org/officeDocument/2006/relationships/hyperlink" Target="https://ppim-intra.pea.co.th:4434/request/PPIM19500C72" TargetMode="External"/><Relationship Id="rId1565" Type="http://schemas.openxmlformats.org/officeDocument/2006/relationships/hyperlink" Target="https://ppim-intra.pea.co.th:4434/request/PPIM195018D5" TargetMode="External"/><Relationship Id="rId1772" Type="http://schemas.openxmlformats.org/officeDocument/2006/relationships/hyperlink" Target="https://ppim-intra.pea.co.th:4434/request/PPIM195025A3" TargetMode="External"/><Relationship Id="rId2409" Type="http://schemas.openxmlformats.org/officeDocument/2006/relationships/hyperlink" Target="https://ppim-intra.pea.co.th:4434/request/PPIM19504AA1" TargetMode="External"/><Relationship Id="rId2616" Type="http://schemas.openxmlformats.org/officeDocument/2006/relationships/hyperlink" Target="https://ppim-intra.pea.co.th:4434/request/PPIM19505B49" TargetMode="External"/><Relationship Id="rId64" Type="http://schemas.openxmlformats.org/officeDocument/2006/relationships/hyperlink" Target="https://ppim-intra.pea.co.th:4434/request/PPIM18500602" TargetMode="External"/><Relationship Id="rId1218" Type="http://schemas.openxmlformats.org/officeDocument/2006/relationships/hyperlink" Target="https://ppim-intra.pea.co.th:4434/request/PPIM18502F7A" TargetMode="External"/><Relationship Id="rId1425" Type="http://schemas.openxmlformats.org/officeDocument/2006/relationships/hyperlink" Target="https://ppim-intra.pea.co.th:4434/request/PPIM195001BA" TargetMode="External"/><Relationship Id="rId1632" Type="http://schemas.openxmlformats.org/officeDocument/2006/relationships/hyperlink" Target="https://ppim-intra.pea.co.th:4434/request/PPIM19501DA8" TargetMode="External"/><Relationship Id="rId2199" Type="http://schemas.openxmlformats.org/officeDocument/2006/relationships/hyperlink" Target="https://ppim-intra.pea.co.th:4434/request/PPIM19503A03" TargetMode="External"/><Relationship Id="rId378" Type="http://schemas.openxmlformats.org/officeDocument/2006/relationships/hyperlink" Target="https://ppim-intra.pea.co.th:4434/request/PPIM18500CBA" TargetMode="External"/><Relationship Id="rId585" Type="http://schemas.openxmlformats.org/officeDocument/2006/relationships/hyperlink" Target="https://ppim-intra.pea.co.th:4434/request/PPIM18502A2E" TargetMode="External"/><Relationship Id="rId792" Type="http://schemas.openxmlformats.org/officeDocument/2006/relationships/hyperlink" Target="https://ppim-intra.pea.co.th:4434/request/PPIM18503BB9" TargetMode="External"/><Relationship Id="rId2059" Type="http://schemas.openxmlformats.org/officeDocument/2006/relationships/hyperlink" Target="https://ppim-intra.pea.co.th:4434/request/PPIM195034FE" TargetMode="External"/><Relationship Id="rId2266" Type="http://schemas.openxmlformats.org/officeDocument/2006/relationships/hyperlink" Target="https://ppim-intra.pea.co.th:4434/request/PPIM19503B0F" TargetMode="External"/><Relationship Id="rId2473" Type="http://schemas.openxmlformats.org/officeDocument/2006/relationships/hyperlink" Target="https://ppim-intra.pea.co.th:4434/request/PPIM195050B2" TargetMode="External"/><Relationship Id="rId238" Type="http://schemas.openxmlformats.org/officeDocument/2006/relationships/hyperlink" Target="https://ppim-intra.pea.co.th:4434/request/PPIM1850163B" TargetMode="External"/><Relationship Id="rId445" Type="http://schemas.openxmlformats.org/officeDocument/2006/relationships/hyperlink" Target="https://ppim-intra.pea.co.th:4434/request/PPIM18502326" TargetMode="External"/><Relationship Id="rId652" Type="http://schemas.openxmlformats.org/officeDocument/2006/relationships/hyperlink" Target="https://ppim-intra.pea.co.th:4434/request/PPIM18502613" TargetMode="External"/><Relationship Id="rId1075" Type="http://schemas.openxmlformats.org/officeDocument/2006/relationships/hyperlink" Target="https://ppim-intra.pea.co.th:4434/request/PPIM19500555" TargetMode="External"/><Relationship Id="rId1282" Type="http://schemas.openxmlformats.org/officeDocument/2006/relationships/hyperlink" Target="https://ppim-intra.pea.co.th:4434/request/PPIM19500A2D" TargetMode="External"/><Relationship Id="rId2126" Type="http://schemas.openxmlformats.org/officeDocument/2006/relationships/hyperlink" Target="https://ppim-intra.pea.co.th:4434/request/PPIM19502D85" TargetMode="External"/><Relationship Id="rId2333" Type="http://schemas.openxmlformats.org/officeDocument/2006/relationships/hyperlink" Target="https://ppim-intra.pea.co.th:4434/request/PPIM1950448A" TargetMode="External"/><Relationship Id="rId2540" Type="http://schemas.openxmlformats.org/officeDocument/2006/relationships/hyperlink" Target="https://ppim-intra.pea.co.th:4434/request/PPIM195055D4" TargetMode="External"/><Relationship Id="rId305" Type="http://schemas.openxmlformats.org/officeDocument/2006/relationships/hyperlink" Target="https://ppim-intra.pea.co.th:4434/request/PPIM18501C13" TargetMode="External"/><Relationship Id="rId512" Type="http://schemas.openxmlformats.org/officeDocument/2006/relationships/hyperlink" Target="https://ppim-intra.pea.co.th:4434/request/PPIM18501A73" TargetMode="External"/><Relationship Id="rId1142" Type="http://schemas.openxmlformats.org/officeDocument/2006/relationships/hyperlink" Target="https://ppim-intra.pea.co.th:4434/request/PPIM19500887" TargetMode="External"/><Relationship Id="rId2400" Type="http://schemas.openxmlformats.org/officeDocument/2006/relationships/hyperlink" Target="https://ppim-intra.pea.co.th:4434/request/PPIM19504AD0" TargetMode="External"/><Relationship Id="rId1002" Type="http://schemas.openxmlformats.org/officeDocument/2006/relationships/hyperlink" Target="https://ppim-intra.pea.co.th:4434/request/PPIM1950016B" TargetMode="External"/><Relationship Id="rId1959" Type="http://schemas.openxmlformats.org/officeDocument/2006/relationships/hyperlink" Target="https://ppim-intra.pea.co.th:4434/request/PPIM195025A2" TargetMode="External"/><Relationship Id="rId1819" Type="http://schemas.openxmlformats.org/officeDocument/2006/relationships/hyperlink" Target="https://ppim-intra.pea.co.th:4434/request/PPIM1950296D" TargetMode="External"/><Relationship Id="rId2190" Type="http://schemas.openxmlformats.org/officeDocument/2006/relationships/hyperlink" Target="https://ppim-intra.pea.co.th:4434/request/PPIM19503A71" TargetMode="External"/><Relationship Id="rId162" Type="http://schemas.openxmlformats.org/officeDocument/2006/relationships/hyperlink" Target="https://ppim-intra.pea.co.th:4434/request/PPIM18501060" TargetMode="External"/><Relationship Id="rId2050" Type="http://schemas.openxmlformats.org/officeDocument/2006/relationships/hyperlink" Target="https://ppim-intra.pea.co.th:4434/request/PPIM195034BB" TargetMode="External"/><Relationship Id="rId979" Type="http://schemas.openxmlformats.org/officeDocument/2006/relationships/hyperlink" Target="https://ppim-intra.pea.co.th:4434/request/PPIM18504A1D" TargetMode="External"/><Relationship Id="rId839" Type="http://schemas.openxmlformats.org/officeDocument/2006/relationships/hyperlink" Target="https://ppim-intra.pea.co.th:4434/request/PPIM185040C9" TargetMode="External"/><Relationship Id="rId1469" Type="http://schemas.openxmlformats.org/officeDocument/2006/relationships/hyperlink" Target="https://ppim-intra.pea.co.th:4434/request/PPIM195013E1" TargetMode="External"/><Relationship Id="rId1676" Type="http://schemas.openxmlformats.org/officeDocument/2006/relationships/hyperlink" Target="https://ppim-intra.pea.co.th:4434/request/PPIM19502039" TargetMode="External"/><Relationship Id="rId1883" Type="http://schemas.openxmlformats.org/officeDocument/2006/relationships/hyperlink" Target="https://ppim-intra.pea.co.th:4434/request/PPIM195023E5" TargetMode="External"/><Relationship Id="rId906" Type="http://schemas.openxmlformats.org/officeDocument/2006/relationships/hyperlink" Target="https://ppim-intra.pea.co.th:4434/request/PPIM185005FC" TargetMode="External"/><Relationship Id="rId1329" Type="http://schemas.openxmlformats.org/officeDocument/2006/relationships/hyperlink" Target="https://ppim-intra.pea.co.th:4434/request/PPIM19500A97" TargetMode="External"/><Relationship Id="rId1536" Type="http://schemas.openxmlformats.org/officeDocument/2006/relationships/hyperlink" Target="https://ppim-intra.pea.co.th:4434/request/PPIM19501308" TargetMode="External"/><Relationship Id="rId1743" Type="http://schemas.openxmlformats.org/officeDocument/2006/relationships/hyperlink" Target="https://ppim-intra.pea.co.th:4434/request/PPIM195023A3" TargetMode="External"/><Relationship Id="rId1950" Type="http://schemas.openxmlformats.org/officeDocument/2006/relationships/hyperlink" Target="https://ppim-intra.pea.co.th:4434/request/PPIM195028E6" TargetMode="External"/><Relationship Id="rId35" Type="http://schemas.openxmlformats.org/officeDocument/2006/relationships/hyperlink" Target="https://ppim-intra.pea.co.th:4434/request/PPIM18500327" TargetMode="External"/><Relationship Id="rId1603" Type="http://schemas.openxmlformats.org/officeDocument/2006/relationships/hyperlink" Target="https://ppim-intra.pea.co.th:4434/request/PPIM19501375" TargetMode="External"/><Relationship Id="rId1810" Type="http://schemas.openxmlformats.org/officeDocument/2006/relationships/hyperlink" Target="https://ppim-intra.pea.co.th:4434/request/PPIM195028A0" TargetMode="External"/><Relationship Id="rId489" Type="http://schemas.openxmlformats.org/officeDocument/2006/relationships/hyperlink" Target="https://ppim-intra.pea.co.th:4434/request/PPIM18500217" TargetMode="External"/><Relationship Id="rId696" Type="http://schemas.openxmlformats.org/officeDocument/2006/relationships/hyperlink" Target="https://ppim-intra.pea.co.th:4434/request/PPIM1850322D" TargetMode="External"/><Relationship Id="rId2377" Type="http://schemas.openxmlformats.org/officeDocument/2006/relationships/hyperlink" Target="https://ppim-intra.pea.co.th:4434/request/PPIM195041F7" TargetMode="External"/><Relationship Id="rId2584" Type="http://schemas.openxmlformats.org/officeDocument/2006/relationships/hyperlink" Target="https://ppim-intra.pea.co.th:4434/request/PPIM19505420" TargetMode="External"/><Relationship Id="rId349" Type="http://schemas.openxmlformats.org/officeDocument/2006/relationships/hyperlink" Target="https://ppim-intra.pea.co.th:4434/request/PPIM18501D77" TargetMode="External"/><Relationship Id="rId556" Type="http://schemas.openxmlformats.org/officeDocument/2006/relationships/hyperlink" Target="https://ppim-intra.pea.co.th:4434/request/PPIM18501D8E" TargetMode="External"/><Relationship Id="rId763" Type="http://schemas.openxmlformats.org/officeDocument/2006/relationships/hyperlink" Target="https://ppim-intra.pea.co.th:4434/request/PPIM18503948" TargetMode="External"/><Relationship Id="rId1186" Type="http://schemas.openxmlformats.org/officeDocument/2006/relationships/hyperlink" Target="https://ppim-intra.pea.co.th:4434/request/PPIM18503FD5" TargetMode="External"/><Relationship Id="rId1393" Type="http://schemas.openxmlformats.org/officeDocument/2006/relationships/hyperlink" Target="https://ppim-intra.pea.co.th:4434/request/PPIM195010D8" TargetMode="External"/><Relationship Id="rId2237" Type="http://schemas.openxmlformats.org/officeDocument/2006/relationships/hyperlink" Target="https://ppim-intra.pea.co.th:4434/request/PPIM19503DF6" TargetMode="External"/><Relationship Id="rId2444" Type="http://schemas.openxmlformats.org/officeDocument/2006/relationships/hyperlink" Target="https://ppim-intra.pea.co.th:4434/request/PPIM19504EA3" TargetMode="External"/><Relationship Id="rId209" Type="http://schemas.openxmlformats.org/officeDocument/2006/relationships/hyperlink" Target="https://ppim-intra.pea.co.th:4434/request/PPIM185013D8" TargetMode="External"/><Relationship Id="rId416" Type="http://schemas.openxmlformats.org/officeDocument/2006/relationships/hyperlink" Target="https://ppim-intra.pea.co.th:4434/request/PPIM185021AF" TargetMode="External"/><Relationship Id="rId970" Type="http://schemas.openxmlformats.org/officeDocument/2006/relationships/hyperlink" Target="https://ppim-intra.pea.co.th:4434/request/PPIM1850483A" TargetMode="External"/><Relationship Id="rId1046" Type="http://schemas.openxmlformats.org/officeDocument/2006/relationships/hyperlink" Target="https://ppim-intra.pea.co.th:4434/request/PPIM185030FA" TargetMode="External"/><Relationship Id="rId1253" Type="http://schemas.openxmlformats.org/officeDocument/2006/relationships/hyperlink" Target="https://ppim-intra.pea.co.th:4434/request/PPIM195006D8" TargetMode="External"/><Relationship Id="rId2651" Type="http://schemas.openxmlformats.org/officeDocument/2006/relationships/hyperlink" Target="https://ppim-intra.pea.co.th:4434/request/PPIM19505CA1" TargetMode="External"/><Relationship Id="rId623" Type="http://schemas.openxmlformats.org/officeDocument/2006/relationships/hyperlink" Target="https://ppim-intra.pea.co.th:4434/request/PPIM18502C6D" TargetMode="External"/><Relationship Id="rId830" Type="http://schemas.openxmlformats.org/officeDocument/2006/relationships/hyperlink" Target="https://ppim-intra.pea.co.th:4434/request/PPIM18503F5D" TargetMode="External"/><Relationship Id="rId1460" Type="http://schemas.openxmlformats.org/officeDocument/2006/relationships/hyperlink" Target="https://ppim-intra.pea.co.th:4434/request/PPIM195013A3" TargetMode="External"/><Relationship Id="rId2304" Type="http://schemas.openxmlformats.org/officeDocument/2006/relationships/hyperlink" Target="https://ppim-intra.pea.co.th:4434/request/PPIM19503D52" TargetMode="External"/><Relationship Id="rId2511" Type="http://schemas.openxmlformats.org/officeDocument/2006/relationships/hyperlink" Target="https://ppim-intra.pea.co.th:4434/request/PPIM1950539A" TargetMode="External"/><Relationship Id="rId1113" Type="http://schemas.openxmlformats.org/officeDocument/2006/relationships/hyperlink" Target="https://ppim-intra.pea.co.th:4434/request/PPIM195007BD" TargetMode="External"/><Relationship Id="rId1320" Type="http://schemas.openxmlformats.org/officeDocument/2006/relationships/hyperlink" Target="https://ppim-intra.pea.co.th:4434/request/PPIM19500E0E" TargetMode="External"/><Relationship Id="rId2094" Type="http://schemas.openxmlformats.org/officeDocument/2006/relationships/hyperlink" Target="https://ppim-intra.pea.co.th:4434/request/PPIM19503121" TargetMode="External"/><Relationship Id="rId273" Type="http://schemas.openxmlformats.org/officeDocument/2006/relationships/hyperlink" Target="https://ppim-intra.pea.co.th:4434/request/PPIM18501998" TargetMode="External"/><Relationship Id="rId480" Type="http://schemas.openxmlformats.org/officeDocument/2006/relationships/hyperlink" Target="https://ppim-intra.pea.co.th:4434/request/PPIM185024A3" TargetMode="External"/><Relationship Id="rId2161" Type="http://schemas.openxmlformats.org/officeDocument/2006/relationships/hyperlink" Target="https://ppim-intra.pea.co.th:4434/request/PPIM195033C3" TargetMode="External"/><Relationship Id="rId133" Type="http://schemas.openxmlformats.org/officeDocument/2006/relationships/hyperlink" Target="https://ppim-intra.pea.co.th:4434/request/PPIM18500C38" TargetMode="External"/><Relationship Id="rId340" Type="http://schemas.openxmlformats.org/officeDocument/2006/relationships/hyperlink" Target="https://ppim-intra.pea.co.th:4434/request/PPIM18501D1B" TargetMode="External"/><Relationship Id="rId2021" Type="http://schemas.openxmlformats.org/officeDocument/2006/relationships/hyperlink" Target="https://ppim-intra.pea.co.th:4434/request/PPIM1950333F" TargetMode="External"/><Relationship Id="rId200" Type="http://schemas.openxmlformats.org/officeDocument/2006/relationships/hyperlink" Target="https://ppim-intra.pea.co.th:4434/request/PPIM1850130D" TargetMode="External"/><Relationship Id="rId1787" Type="http://schemas.openxmlformats.org/officeDocument/2006/relationships/hyperlink" Target="https://ppim-intra.pea.co.th:4434/request/PPIM195026AA" TargetMode="External"/><Relationship Id="rId1994" Type="http://schemas.openxmlformats.org/officeDocument/2006/relationships/hyperlink" Target="https://ppim-intra.pea.co.th:4434/request/PPIM19502D78" TargetMode="External"/><Relationship Id="rId79" Type="http://schemas.openxmlformats.org/officeDocument/2006/relationships/hyperlink" Target="https://ppim-intra.pea.co.th:4434/request/PPIM1850071A" TargetMode="External"/><Relationship Id="rId1647" Type="http://schemas.openxmlformats.org/officeDocument/2006/relationships/hyperlink" Target="https://ppim-intra.pea.co.th:4434/request/PPIM19501EAE" TargetMode="External"/><Relationship Id="rId1854" Type="http://schemas.openxmlformats.org/officeDocument/2006/relationships/hyperlink" Target="https://ppim-intra.pea.co.th:4434/request/PPIM195023B1" TargetMode="External"/><Relationship Id="rId1507" Type="http://schemas.openxmlformats.org/officeDocument/2006/relationships/hyperlink" Target="https://ppim-intra.pea.co.th:4434/request/PPIM195016BD" TargetMode="External"/><Relationship Id="rId1714" Type="http://schemas.openxmlformats.org/officeDocument/2006/relationships/hyperlink" Target="https://ppim-intra.pea.co.th:4434/request/PPIM195022F6" TargetMode="External"/><Relationship Id="rId1921" Type="http://schemas.openxmlformats.org/officeDocument/2006/relationships/hyperlink" Target="https://ppim-intra.pea.co.th:4434/request/PPIM19501D6B" TargetMode="External"/><Relationship Id="rId2488" Type="http://schemas.openxmlformats.org/officeDocument/2006/relationships/hyperlink" Target="https://ppim-intra.pea.co.th:4434/request/PPIM19504E86" TargetMode="External"/><Relationship Id="rId1297" Type="http://schemas.openxmlformats.org/officeDocument/2006/relationships/hyperlink" Target="https://ppim-intra.pea.co.th:4434/request/PPIM19500D72" TargetMode="External"/><Relationship Id="rId667" Type="http://schemas.openxmlformats.org/officeDocument/2006/relationships/hyperlink" Target="https://ppim-intra.pea.co.th:4434/request/PPIM18503039" TargetMode="External"/><Relationship Id="rId874" Type="http://schemas.openxmlformats.org/officeDocument/2006/relationships/hyperlink" Target="https://ppim-intra.pea.co.th:4434/request/PPIM18504314" TargetMode="External"/><Relationship Id="rId2348" Type="http://schemas.openxmlformats.org/officeDocument/2006/relationships/hyperlink" Target="https://ppim-intra.pea.co.th:4434/request/PPIM19504381" TargetMode="External"/><Relationship Id="rId2555" Type="http://schemas.openxmlformats.org/officeDocument/2006/relationships/hyperlink" Target="https://ppim-intra.pea.co.th:4434/request/PPIM195056F1" TargetMode="External"/><Relationship Id="rId527" Type="http://schemas.openxmlformats.org/officeDocument/2006/relationships/hyperlink" Target="https://ppim-intra.pea.co.th:4434/request/PPIM18502818" TargetMode="External"/><Relationship Id="rId734" Type="http://schemas.openxmlformats.org/officeDocument/2006/relationships/hyperlink" Target="https://ppim-intra.pea.co.th:4434/request/PPIM18503685" TargetMode="External"/><Relationship Id="rId941" Type="http://schemas.openxmlformats.org/officeDocument/2006/relationships/hyperlink" Target="https://ppim-intra.pea.co.th:4434/request/PPIM1850447B" TargetMode="External"/><Relationship Id="rId1157" Type="http://schemas.openxmlformats.org/officeDocument/2006/relationships/hyperlink" Target="https://ppim-intra.pea.co.th:4434/request/PPIM18503C7B" TargetMode="External"/><Relationship Id="rId1364" Type="http://schemas.openxmlformats.org/officeDocument/2006/relationships/hyperlink" Target="https://ppim-intra.pea.co.th:4434/request/PPIM19500144" TargetMode="External"/><Relationship Id="rId1571" Type="http://schemas.openxmlformats.org/officeDocument/2006/relationships/hyperlink" Target="https://ppim-intra.pea.co.th:4434/request/PPIM195018F1" TargetMode="External"/><Relationship Id="rId2208" Type="http://schemas.openxmlformats.org/officeDocument/2006/relationships/hyperlink" Target="https://ppim-intra.pea.co.th:4434/request/PPIM195036CD" TargetMode="External"/><Relationship Id="rId2415" Type="http://schemas.openxmlformats.org/officeDocument/2006/relationships/hyperlink" Target="https://ppim-intra.pea.co.th:4434/request/PPIM19504A1F" TargetMode="External"/><Relationship Id="rId2622" Type="http://schemas.openxmlformats.org/officeDocument/2006/relationships/hyperlink" Target="https://ppim-intra.pea.co.th:4434/request/PPIM19505B5E" TargetMode="External"/><Relationship Id="rId70" Type="http://schemas.openxmlformats.org/officeDocument/2006/relationships/hyperlink" Target="https://ppim-intra.pea.co.th:4434/request/PPIM185006C5" TargetMode="External"/><Relationship Id="rId801" Type="http://schemas.openxmlformats.org/officeDocument/2006/relationships/hyperlink" Target="https://ppim-intra.pea.co.th:4434/request/PPIM18503C49" TargetMode="External"/><Relationship Id="rId1017" Type="http://schemas.openxmlformats.org/officeDocument/2006/relationships/hyperlink" Target="https://ppim-intra.pea.co.th:4434/request/PPIM18503C51" TargetMode="External"/><Relationship Id="rId1224" Type="http://schemas.openxmlformats.org/officeDocument/2006/relationships/hyperlink" Target="https://ppim-intra.pea.co.th:4434/request/PPIM19500AAF" TargetMode="External"/><Relationship Id="rId1431" Type="http://schemas.openxmlformats.org/officeDocument/2006/relationships/hyperlink" Target="https://ppim-intra.pea.co.th:4434/request/PPIM1950011D" TargetMode="External"/><Relationship Id="rId177" Type="http://schemas.openxmlformats.org/officeDocument/2006/relationships/hyperlink" Target="https://ppim-intra.pea.co.th:4434/request/PPIM18500222" TargetMode="External"/><Relationship Id="rId384" Type="http://schemas.openxmlformats.org/officeDocument/2006/relationships/hyperlink" Target="https://ppim-intra.pea.co.th:4434/request/PPIM18501FC3" TargetMode="External"/><Relationship Id="rId591" Type="http://schemas.openxmlformats.org/officeDocument/2006/relationships/hyperlink" Target="https://ppim-intra.pea.co.th:4434/request/PPIM18502A9D" TargetMode="External"/><Relationship Id="rId2065" Type="http://schemas.openxmlformats.org/officeDocument/2006/relationships/hyperlink" Target="https://ppim-intra.pea.co.th:4434/request/PPIM19503534" TargetMode="External"/><Relationship Id="rId2272" Type="http://schemas.openxmlformats.org/officeDocument/2006/relationships/hyperlink" Target="https://ppim-intra.pea.co.th:4434/request/PPIM195040BA" TargetMode="External"/><Relationship Id="rId244" Type="http://schemas.openxmlformats.org/officeDocument/2006/relationships/hyperlink" Target="https://ppim-intra.pea.co.th:4434/request/PPIM18501713" TargetMode="External"/><Relationship Id="rId1081" Type="http://schemas.openxmlformats.org/officeDocument/2006/relationships/hyperlink" Target="https://ppim-intra.pea.co.th:4434/request/PPIM19500030" TargetMode="External"/><Relationship Id="rId451" Type="http://schemas.openxmlformats.org/officeDocument/2006/relationships/hyperlink" Target="https://ppim-intra.pea.co.th:4434/request/PPIM18502353" TargetMode="External"/><Relationship Id="rId2132" Type="http://schemas.openxmlformats.org/officeDocument/2006/relationships/hyperlink" Target="https://ppim-intra.pea.co.th:4434/request/PPIM195037D0" TargetMode="External"/><Relationship Id="rId104" Type="http://schemas.openxmlformats.org/officeDocument/2006/relationships/hyperlink" Target="https://ppim-intra.pea.co.th:4434/request/PPIM1850090C" TargetMode="External"/><Relationship Id="rId311" Type="http://schemas.openxmlformats.org/officeDocument/2006/relationships/hyperlink" Target="https://ppim-intra.pea.co.th:4434/request/PPIM18501C3F" TargetMode="External"/><Relationship Id="rId1898" Type="http://schemas.openxmlformats.org/officeDocument/2006/relationships/hyperlink" Target="https://ppim-intra.pea.co.th:4434/request/PPIM19502560" TargetMode="External"/><Relationship Id="rId1758" Type="http://schemas.openxmlformats.org/officeDocument/2006/relationships/hyperlink" Target="https://ppim-intra.pea.co.th:4434/request/PPIM1950257E" TargetMode="External"/><Relationship Id="rId1965" Type="http://schemas.openxmlformats.org/officeDocument/2006/relationships/hyperlink" Target="https://ppim-intra.pea.co.th:4434/request/PPIM195030E2" TargetMode="External"/><Relationship Id="rId1618" Type="http://schemas.openxmlformats.org/officeDocument/2006/relationships/hyperlink" Target="https://ppim-intra.pea.co.th:4434/request/PPIM19501CD6" TargetMode="External"/><Relationship Id="rId1825" Type="http://schemas.openxmlformats.org/officeDocument/2006/relationships/hyperlink" Target="https://ppim-intra.pea.co.th:4434/request/PPIM19502AE3" TargetMode="External"/><Relationship Id="rId2599" Type="http://schemas.openxmlformats.org/officeDocument/2006/relationships/hyperlink" Target="https://ppim-intra.pea.co.th:4434/request/PPIM19505A03" TargetMode="External"/><Relationship Id="rId778" Type="http://schemas.openxmlformats.org/officeDocument/2006/relationships/hyperlink" Target="https://ppim-intra.pea.co.th:4434/request/PPIM18503A6B" TargetMode="External"/><Relationship Id="rId985" Type="http://schemas.openxmlformats.org/officeDocument/2006/relationships/hyperlink" Target="https://ppim-intra.pea.co.th:4434/request/PPIM18503662" TargetMode="External"/><Relationship Id="rId2459" Type="http://schemas.openxmlformats.org/officeDocument/2006/relationships/hyperlink" Target="https://ppim-intra.pea.co.th:4434/request/PPIM19504786" TargetMode="External"/><Relationship Id="rId638" Type="http://schemas.openxmlformats.org/officeDocument/2006/relationships/hyperlink" Target="https://ppim-intra.pea.co.th:4434/request/PPIM18502D83" TargetMode="External"/><Relationship Id="rId845" Type="http://schemas.openxmlformats.org/officeDocument/2006/relationships/hyperlink" Target="https://ppim-intra.pea.co.th:4434/request/PPIM18502378" TargetMode="External"/><Relationship Id="rId1268" Type="http://schemas.openxmlformats.org/officeDocument/2006/relationships/hyperlink" Target="https://ppim-intra.pea.co.th:4434/request/PPIM19500BE6" TargetMode="External"/><Relationship Id="rId1475" Type="http://schemas.openxmlformats.org/officeDocument/2006/relationships/hyperlink" Target="https://ppim-intra.pea.co.th:4434/request/PPIM19501471" TargetMode="External"/><Relationship Id="rId1682" Type="http://schemas.openxmlformats.org/officeDocument/2006/relationships/hyperlink" Target="https://ppim-intra.pea.co.th:4434/request/PPIM19502090" TargetMode="External"/><Relationship Id="rId2319" Type="http://schemas.openxmlformats.org/officeDocument/2006/relationships/hyperlink" Target="https://ppim-intra.pea.co.th:4434/request/PPIM19503D32" TargetMode="External"/><Relationship Id="rId2526" Type="http://schemas.openxmlformats.org/officeDocument/2006/relationships/hyperlink" Target="https://ppim-intra.pea.co.th:4434/request/PPIM1950540A" TargetMode="External"/><Relationship Id="rId705" Type="http://schemas.openxmlformats.org/officeDocument/2006/relationships/hyperlink" Target="https://ppim-intra.pea.co.th:4434/request/PPIM18501CAA" TargetMode="External"/><Relationship Id="rId1128" Type="http://schemas.openxmlformats.org/officeDocument/2006/relationships/hyperlink" Target="https://ppim-intra.pea.co.th:4434/request/PPIM18503DFF" TargetMode="External"/><Relationship Id="rId1335" Type="http://schemas.openxmlformats.org/officeDocument/2006/relationships/hyperlink" Target="https://ppim-intra.pea.co.th:4434/request/PPIM19500E50" TargetMode="External"/><Relationship Id="rId1542" Type="http://schemas.openxmlformats.org/officeDocument/2006/relationships/hyperlink" Target="https://ppim-intra.pea.co.th:4434/request/PPIM1950181B" TargetMode="External"/><Relationship Id="rId912" Type="http://schemas.openxmlformats.org/officeDocument/2006/relationships/hyperlink" Target="https://ppim-intra.pea.co.th:4434/request/PPIM185045C0" TargetMode="External"/><Relationship Id="rId41" Type="http://schemas.openxmlformats.org/officeDocument/2006/relationships/hyperlink" Target="https://ppim-intra.pea.co.th:4434/request/PPIM185003C0" TargetMode="External"/><Relationship Id="rId1402" Type="http://schemas.openxmlformats.org/officeDocument/2006/relationships/hyperlink" Target="https://ppim-intra.pea.co.th:4434/request/PPIM19501146" TargetMode="External"/><Relationship Id="rId288" Type="http://schemas.openxmlformats.org/officeDocument/2006/relationships/hyperlink" Target="https://ppim-intra.pea.co.th:4434/request/PPIM18501ACE" TargetMode="External"/><Relationship Id="rId495" Type="http://schemas.openxmlformats.org/officeDocument/2006/relationships/hyperlink" Target="https://ppim-intra.pea.co.th:4434/request/PPIM18501059" TargetMode="External"/><Relationship Id="rId2176" Type="http://schemas.openxmlformats.org/officeDocument/2006/relationships/hyperlink" Target="https://ppim-intra.pea.co.th:4434/request/PPIM19503992" TargetMode="External"/><Relationship Id="rId2383" Type="http://schemas.openxmlformats.org/officeDocument/2006/relationships/hyperlink" Target="https://ppim-intra.pea.co.th:4434/request/PPIM195049AB" TargetMode="External"/><Relationship Id="rId2590" Type="http://schemas.openxmlformats.org/officeDocument/2006/relationships/hyperlink" Target="https://ppim-intra.pea.co.th:4434/request/PPIM1950599A" TargetMode="External"/><Relationship Id="rId148" Type="http://schemas.openxmlformats.org/officeDocument/2006/relationships/hyperlink" Target="https://ppim-intra.pea.co.th:4434/request/PPIM18500EB1" TargetMode="External"/><Relationship Id="rId355" Type="http://schemas.openxmlformats.org/officeDocument/2006/relationships/hyperlink" Target="https://ppim-intra.pea.co.th:4434/request/PPIM18501D94" TargetMode="External"/><Relationship Id="rId562" Type="http://schemas.openxmlformats.org/officeDocument/2006/relationships/hyperlink" Target="https://ppim-intra.pea.co.th:4434/request/PPIM185024FE" TargetMode="External"/><Relationship Id="rId1192" Type="http://schemas.openxmlformats.org/officeDocument/2006/relationships/hyperlink" Target="https://ppim-intra.pea.co.th:4434/request/PPIM195009E9" TargetMode="External"/><Relationship Id="rId2036" Type="http://schemas.openxmlformats.org/officeDocument/2006/relationships/hyperlink" Target="https://ppim-intra.pea.co.th:4434/request/PPIM195022A2" TargetMode="External"/><Relationship Id="rId2243" Type="http://schemas.openxmlformats.org/officeDocument/2006/relationships/hyperlink" Target="https://ppim-intra.pea.co.th:4434/request/PPIM19501DA9" TargetMode="External"/><Relationship Id="rId2450" Type="http://schemas.openxmlformats.org/officeDocument/2006/relationships/hyperlink" Target="https://ppim-intra.pea.co.th:4434/request/PPIM195049EF" TargetMode="External"/><Relationship Id="rId215" Type="http://schemas.openxmlformats.org/officeDocument/2006/relationships/hyperlink" Target="https://ppim-intra.pea.co.th:4434/request/PPIM1850142D" TargetMode="External"/><Relationship Id="rId422" Type="http://schemas.openxmlformats.org/officeDocument/2006/relationships/hyperlink" Target="https://ppim-intra.pea.co.th:4434/request/PPIM1850224C" TargetMode="External"/><Relationship Id="rId1052" Type="http://schemas.openxmlformats.org/officeDocument/2006/relationships/hyperlink" Target="https://ppim-intra.pea.co.th:4434/request/PPIM19500425" TargetMode="External"/><Relationship Id="rId2103" Type="http://schemas.openxmlformats.org/officeDocument/2006/relationships/hyperlink" Target="https://ppim-intra.pea.co.th:4434/request/PPIM1950359C" TargetMode="External"/><Relationship Id="rId2310" Type="http://schemas.openxmlformats.org/officeDocument/2006/relationships/hyperlink" Target="https://ppim-intra.pea.co.th:4434/request/PPIM19504086" TargetMode="External"/><Relationship Id="rId1869" Type="http://schemas.openxmlformats.org/officeDocument/2006/relationships/hyperlink" Target="https://ppim-intra.pea.co.th:4434/request/PPIM19502D65" TargetMode="External"/><Relationship Id="rId1729" Type="http://schemas.openxmlformats.org/officeDocument/2006/relationships/hyperlink" Target="https://ppim-intra.pea.co.th:4434/request/PPIM1950236B" TargetMode="External"/><Relationship Id="rId1936" Type="http://schemas.openxmlformats.org/officeDocument/2006/relationships/hyperlink" Target="https://ppim-intra.pea.co.th:4434/request/PPIM19502FCE" TargetMode="External"/><Relationship Id="rId5" Type="http://schemas.openxmlformats.org/officeDocument/2006/relationships/hyperlink" Target="https://ppim-intra.pea.co.th:4434/request/PPIM185000D8" TargetMode="External"/><Relationship Id="rId889" Type="http://schemas.openxmlformats.org/officeDocument/2006/relationships/hyperlink" Target="https://ppim-intra.pea.co.th:4434/request/PPIM18504414" TargetMode="External"/><Relationship Id="rId749" Type="http://schemas.openxmlformats.org/officeDocument/2006/relationships/hyperlink" Target="https://ppim-intra.pea.co.th:4434/request/PPIM18502988" TargetMode="External"/><Relationship Id="rId1379" Type="http://schemas.openxmlformats.org/officeDocument/2006/relationships/hyperlink" Target="https://ppim-intra.pea.co.th:4434/request/PPIM19501052" TargetMode="External"/><Relationship Id="rId1586" Type="http://schemas.openxmlformats.org/officeDocument/2006/relationships/hyperlink" Target="https://ppim-intra.pea.co.th:4434/request/PPIM195019BF" TargetMode="External"/><Relationship Id="rId609" Type="http://schemas.openxmlformats.org/officeDocument/2006/relationships/hyperlink" Target="https://ppim-intra.pea.co.th:4434/request/PPIM185023E7" TargetMode="External"/><Relationship Id="rId956" Type="http://schemas.openxmlformats.org/officeDocument/2006/relationships/hyperlink" Target="https://ppim-intra.pea.co.th:4434/request/PPIM1850370B" TargetMode="External"/><Relationship Id="rId1239" Type="http://schemas.openxmlformats.org/officeDocument/2006/relationships/hyperlink" Target="https://ppim-intra.pea.co.th:4434/request/PPIM19500B00" TargetMode="External"/><Relationship Id="rId1793" Type="http://schemas.openxmlformats.org/officeDocument/2006/relationships/hyperlink" Target="https://ppim-intra.pea.co.th:4434/request/PPIM19502749" TargetMode="External"/><Relationship Id="rId2637" Type="http://schemas.openxmlformats.org/officeDocument/2006/relationships/hyperlink" Target="https://ppim-intra.pea.co.th:4434/request/PPIM19505BFC" TargetMode="External"/><Relationship Id="rId85" Type="http://schemas.openxmlformats.org/officeDocument/2006/relationships/hyperlink" Target="https://ppim-intra.pea.co.th:4434/request/PPIM18500741" TargetMode="External"/><Relationship Id="rId816" Type="http://schemas.openxmlformats.org/officeDocument/2006/relationships/hyperlink" Target="https://ppim-intra.pea.co.th:4434/request/PPIM18503DE4" TargetMode="External"/><Relationship Id="rId1446" Type="http://schemas.openxmlformats.org/officeDocument/2006/relationships/hyperlink" Target="https://ppim-intra.pea.co.th:4434/request/PPIM19501313" TargetMode="External"/><Relationship Id="rId1653" Type="http://schemas.openxmlformats.org/officeDocument/2006/relationships/hyperlink" Target="https://ppim-intra.pea.co.th:4434/request/PPIM19501F21" TargetMode="External"/><Relationship Id="rId1860" Type="http://schemas.openxmlformats.org/officeDocument/2006/relationships/hyperlink" Target="https://ppim-intra.pea.co.th:4434/request/PPIM195025AC" TargetMode="External"/><Relationship Id="rId1306" Type="http://schemas.openxmlformats.org/officeDocument/2006/relationships/hyperlink" Target="https://ppim-intra.pea.co.th:4434/request/PPIM19500DEB" TargetMode="External"/><Relationship Id="rId1513" Type="http://schemas.openxmlformats.org/officeDocument/2006/relationships/hyperlink" Target="https://ppim-intra.pea.co.th:4434/request/PPIM19501707" TargetMode="External"/><Relationship Id="rId1720" Type="http://schemas.openxmlformats.org/officeDocument/2006/relationships/hyperlink" Target="https://ppim-intra.pea.co.th:4434/request/PPIM1950234F" TargetMode="External"/><Relationship Id="rId12" Type="http://schemas.openxmlformats.org/officeDocument/2006/relationships/hyperlink" Target="https://ppim-intra.pea.co.th:4434/request/PPIM18500163" TargetMode="External"/><Relationship Id="rId399" Type="http://schemas.openxmlformats.org/officeDocument/2006/relationships/hyperlink" Target="https://ppim-intra.pea.co.th:4434/request/PPIM18501576" TargetMode="External"/><Relationship Id="rId2287" Type="http://schemas.openxmlformats.org/officeDocument/2006/relationships/hyperlink" Target="https://ppim-intra.pea.co.th:4434/request/PPIM19503A80" TargetMode="External"/><Relationship Id="rId2494" Type="http://schemas.openxmlformats.org/officeDocument/2006/relationships/hyperlink" Target="https://ppim-intra.pea.co.th:4434/request/PPIM19504FC3" TargetMode="External"/><Relationship Id="rId259" Type="http://schemas.openxmlformats.org/officeDocument/2006/relationships/hyperlink" Target="https://ppim-intra.pea.co.th:4434/request/PPIM18501800" TargetMode="External"/><Relationship Id="rId466" Type="http://schemas.openxmlformats.org/officeDocument/2006/relationships/hyperlink" Target="https://ppim-intra.pea.co.th:4434/request/PPIM18502387" TargetMode="External"/><Relationship Id="rId673" Type="http://schemas.openxmlformats.org/officeDocument/2006/relationships/hyperlink" Target="https://ppim-intra.pea.co.th:4434/request/PPIM18502000" TargetMode="External"/><Relationship Id="rId880" Type="http://schemas.openxmlformats.org/officeDocument/2006/relationships/hyperlink" Target="https://ppim-intra.pea.co.th:4434/request/PPIM18504375" TargetMode="External"/><Relationship Id="rId1096" Type="http://schemas.openxmlformats.org/officeDocument/2006/relationships/hyperlink" Target="https://ppim-intra.pea.co.th:4434/request/PPIM18504911" TargetMode="External"/><Relationship Id="rId2147" Type="http://schemas.openxmlformats.org/officeDocument/2006/relationships/hyperlink" Target="https://ppim-intra.pea.co.th:4434/request/PPIM195036CF" TargetMode="External"/><Relationship Id="rId2354" Type="http://schemas.openxmlformats.org/officeDocument/2006/relationships/hyperlink" Target="https://ppim-intra.pea.co.th:4434/request/PPIM1950433E" TargetMode="External"/><Relationship Id="rId2561" Type="http://schemas.openxmlformats.org/officeDocument/2006/relationships/hyperlink" Target="https://ppim-intra.pea.co.th:4434/request/PPIM1950469A" TargetMode="External"/><Relationship Id="rId119" Type="http://schemas.openxmlformats.org/officeDocument/2006/relationships/hyperlink" Target="https://ppim-intra.pea.co.th:4434/request/PPIM18500A2B" TargetMode="External"/><Relationship Id="rId326" Type="http://schemas.openxmlformats.org/officeDocument/2006/relationships/hyperlink" Target="https://ppim-intra.pea.co.th:4434/request/PPIM18501CEE" TargetMode="External"/><Relationship Id="rId533" Type="http://schemas.openxmlformats.org/officeDocument/2006/relationships/hyperlink" Target="https://ppim-intra.pea.co.th:4434/request/PPIM185022DA" TargetMode="External"/><Relationship Id="rId1163" Type="http://schemas.openxmlformats.org/officeDocument/2006/relationships/hyperlink" Target="https://ppim-intra.pea.co.th:4434/request/PPIM18501D2E" TargetMode="External"/><Relationship Id="rId1370" Type="http://schemas.openxmlformats.org/officeDocument/2006/relationships/hyperlink" Target="https://ppim-intra.pea.co.th:4434/request/PPIM18504706" TargetMode="External"/><Relationship Id="rId2007" Type="http://schemas.openxmlformats.org/officeDocument/2006/relationships/hyperlink" Target="https://ppim-intra.pea.co.th:4434/request/PPIM1950214A" TargetMode="External"/><Relationship Id="rId2214" Type="http://schemas.openxmlformats.org/officeDocument/2006/relationships/hyperlink" Target="https://ppim-intra.pea.co.th:4434/request/PPIM19503681" TargetMode="External"/><Relationship Id="rId740" Type="http://schemas.openxmlformats.org/officeDocument/2006/relationships/hyperlink" Target="https://ppim-intra.pea.co.th:4434/request/PPIM185036F6" TargetMode="External"/><Relationship Id="rId1023" Type="http://schemas.openxmlformats.org/officeDocument/2006/relationships/hyperlink" Target="https://ppim-intra.pea.co.th:4434/request/PPIM19500310" TargetMode="External"/><Relationship Id="rId2421" Type="http://schemas.openxmlformats.org/officeDocument/2006/relationships/hyperlink" Target="https://ppim-intra.pea.co.th:4434/request/PPIM19504905" TargetMode="External"/><Relationship Id="rId600" Type="http://schemas.openxmlformats.org/officeDocument/2006/relationships/hyperlink" Target="https://ppim-intra.pea.co.th:4434/request/PPIM18502B5F" TargetMode="External"/><Relationship Id="rId1230" Type="http://schemas.openxmlformats.org/officeDocument/2006/relationships/hyperlink" Target="https://ppim-intra.pea.co.th:4434/request/PPIM18503FA8" TargetMode="External"/><Relationship Id="rId183" Type="http://schemas.openxmlformats.org/officeDocument/2006/relationships/hyperlink" Target="https://ppim-intra.pea.co.th:4434/request/PPIM1850118A" TargetMode="External"/><Relationship Id="rId390" Type="http://schemas.openxmlformats.org/officeDocument/2006/relationships/hyperlink" Target="https://ppim-intra.pea.co.th:4434/request/PPIM18502021" TargetMode="External"/><Relationship Id="rId1907" Type="http://schemas.openxmlformats.org/officeDocument/2006/relationships/hyperlink" Target="https://ppim-intra.pea.co.th:4434/request/PPIM1950275C" TargetMode="External"/><Relationship Id="rId2071" Type="http://schemas.openxmlformats.org/officeDocument/2006/relationships/hyperlink" Target="https://ppim-intra.pea.co.th:4434/request/PPIM1950356F" TargetMode="External"/><Relationship Id="rId250" Type="http://schemas.openxmlformats.org/officeDocument/2006/relationships/hyperlink" Target="https://ppim-intra.pea.co.th:4434/request/PPIM1850177D" TargetMode="External"/><Relationship Id="rId110" Type="http://schemas.openxmlformats.org/officeDocument/2006/relationships/hyperlink" Target="https://ppim-intra.pea.co.th:4434/request/PPIM18500973" TargetMode="External"/><Relationship Id="rId1697" Type="http://schemas.openxmlformats.org/officeDocument/2006/relationships/hyperlink" Target="https://ppim-intra.pea.co.th:4434/request/PPIM19502172" TargetMode="External"/><Relationship Id="rId927" Type="http://schemas.openxmlformats.org/officeDocument/2006/relationships/hyperlink" Target="https://ppim-intra.pea.co.th:4434/request/PPIM185046C7" TargetMode="External"/><Relationship Id="rId1557" Type="http://schemas.openxmlformats.org/officeDocument/2006/relationships/hyperlink" Target="https://ppim-intra.pea.co.th:4434/request/PPIM1850455A" TargetMode="External"/><Relationship Id="rId1764" Type="http://schemas.openxmlformats.org/officeDocument/2006/relationships/hyperlink" Target="https://ppim-intra.pea.co.th:4434/request/PPIM19502591" TargetMode="External"/><Relationship Id="rId1971" Type="http://schemas.openxmlformats.org/officeDocument/2006/relationships/hyperlink" Target="https://ppim-intra.pea.co.th:4434/request/PPIM19502D11" TargetMode="External"/><Relationship Id="rId2608" Type="http://schemas.openxmlformats.org/officeDocument/2006/relationships/hyperlink" Target="https://ppim-intra.pea.co.th:4434/request/PPIM19505A89" TargetMode="External"/><Relationship Id="rId56" Type="http://schemas.openxmlformats.org/officeDocument/2006/relationships/hyperlink" Target="https://ppim-intra.pea.co.th:4434/request/PPIM185004BC" TargetMode="External"/><Relationship Id="rId1417" Type="http://schemas.openxmlformats.org/officeDocument/2006/relationships/hyperlink" Target="https://ppim-intra.pea.co.th:4434/request/PPIM185043A4" TargetMode="External"/><Relationship Id="rId1624" Type="http://schemas.openxmlformats.org/officeDocument/2006/relationships/hyperlink" Target="https://ppim-intra.pea.co.th:4434/request/PPIM19501D2C" TargetMode="External"/><Relationship Id="rId1831" Type="http://schemas.openxmlformats.org/officeDocument/2006/relationships/hyperlink" Target="https://ppim-intra.pea.co.th:4434/request/PPIM19500EB8" TargetMode="External"/><Relationship Id="rId1929" Type="http://schemas.openxmlformats.org/officeDocument/2006/relationships/hyperlink" Target="https://ppim-intra.pea.co.th:4434/request/PPIM19502FA8" TargetMode="External"/><Relationship Id="rId2093" Type="http://schemas.openxmlformats.org/officeDocument/2006/relationships/hyperlink" Target="https://ppim-intra.pea.co.th:4434/request/PPIM1950360B" TargetMode="External"/><Relationship Id="rId2398" Type="http://schemas.openxmlformats.org/officeDocument/2006/relationships/hyperlink" Target="https://ppim-intra.pea.co.th:4434/request/PPIM19504ACB" TargetMode="External"/><Relationship Id="rId272" Type="http://schemas.openxmlformats.org/officeDocument/2006/relationships/hyperlink" Target="https://ppim-intra.pea.co.th:4434/request/PPIM18501997" TargetMode="External"/><Relationship Id="rId577" Type="http://schemas.openxmlformats.org/officeDocument/2006/relationships/hyperlink" Target="https://ppim-intra.pea.co.th:4434/request/PPIM185029E9" TargetMode="External"/><Relationship Id="rId2160" Type="http://schemas.openxmlformats.org/officeDocument/2006/relationships/hyperlink" Target="https://ppim-intra.pea.co.th:4434/request/PPIM19503900" TargetMode="External"/><Relationship Id="rId2258" Type="http://schemas.openxmlformats.org/officeDocument/2006/relationships/hyperlink" Target="https://ppim-intra.pea.co.th:4434/request/PPIM19503F1F" TargetMode="External"/><Relationship Id="rId132" Type="http://schemas.openxmlformats.org/officeDocument/2006/relationships/hyperlink" Target="https://ppim-intra.pea.co.th:4434/request/PPIM18500C1D" TargetMode="External"/><Relationship Id="rId784" Type="http://schemas.openxmlformats.org/officeDocument/2006/relationships/hyperlink" Target="https://ppim-intra.pea.co.th:4434/request/PPIM18503A98" TargetMode="External"/><Relationship Id="rId991" Type="http://schemas.openxmlformats.org/officeDocument/2006/relationships/hyperlink" Target="https://ppim-intra.pea.co.th:4434/request/PPIM195000C4" TargetMode="External"/><Relationship Id="rId1067" Type="http://schemas.openxmlformats.org/officeDocument/2006/relationships/hyperlink" Target="https://ppim-intra.pea.co.th:4434/request/PPIM1950050C" TargetMode="External"/><Relationship Id="rId2020" Type="http://schemas.openxmlformats.org/officeDocument/2006/relationships/hyperlink" Target="https://ppim-intra.pea.co.th:4434/request/PPIM19501908" TargetMode="External"/><Relationship Id="rId2465" Type="http://schemas.openxmlformats.org/officeDocument/2006/relationships/hyperlink" Target="https://ppim-intra.pea.co.th:4434/request/PPIM19504FF0" TargetMode="External"/><Relationship Id="rId437" Type="http://schemas.openxmlformats.org/officeDocument/2006/relationships/hyperlink" Target="https://ppim-intra.pea.co.th:4434/request/PPIM18502312" TargetMode="External"/><Relationship Id="rId644" Type="http://schemas.openxmlformats.org/officeDocument/2006/relationships/hyperlink" Target="https://ppim-intra.pea.co.th:4434/request/PPIM18502DD0" TargetMode="External"/><Relationship Id="rId851" Type="http://schemas.openxmlformats.org/officeDocument/2006/relationships/hyperlink" Target="https://ppim-intra.pea.co.th:4434/request/PPIM185041F5" TargetMode="External"/><Relationship Id="rId1274" Type="http://schemas.openxmlformats.org/officeDocument/2006/relationships/hyperlink" Target="https://ppim-intra.pea.co.th:4434/request/PPIM19500C40" TargetMode="External"/><Relationship Id="rId1481" Type="http://schemas.openxmlformats.org/officeDocument/2006/relationships/hyperlink" Target="https://ppim-intra.pea.co.th:4434/request/PPIM1950154F" TargetMode="External"/><Relationship Id="rId1579" Type="http://schemas.openxmlformats.org/officeDocument/2006/relationships/hyperlink" Target="https://ppim-intra.pea.co.th:4434/request/PPIM19501942" TargetMode="External"/><Relationship Id="rId2118" Type="http://schemas.openxmlformats.org/officeDocument/2006/relationships/hyperlink" Target="https://ppim-intra.pea.co.th:4434/request/PPIM19502F98" TargetMode="External"/><Relationship Id="rId2325" Type="http://schemas.openxmlformats.org/officeDocument/2006/relationships/hyperlink" Target="https://ppim-intra.pea.co.th:4434/request/PPIM195043E6" TargetMode="External"/><Relationship Id="rId2532" Type="http://schemas.openxmlformats.org/officeDocument/2006/relationships/hyperlink" Target="https://ppim-intra.pea.co.th:4434/request/PPIM195046FA" TargetMode="External"/><Relationship Id="rId504" Type="http://schemas.openxmlformats.org/officeDocument/2006/relationships/hyperlink" Target="https://ppim-intra.pea.co.th:4434/request/PPIM18502669" TargetMode="External"/><Relationship Id="rId711" Type="http://schemas.openxmlformats.org/officeDocument/2006/relationships/hyperlink" Target="https://ppim-intra.pea.co.th:4434/request/PPIM1850339B" TargetMode="External"/><Relationship Id="rId949" Type="http://schemas.openxmlformats.org/officeDocument/2006/relationships/hyperlink" Target="https://ppim-intra.pea.co.th:4434/request/PPIM18504875" TargetMode="External"/><Relationship Id="rId1134" Type="http://schemas.openxmlformats.org/officeDocument/2006/relationships/hyperlink" Target="https://ppim-intra.pea.co.th:4434/request/PPIM19500843" TargetMode="External"/><Relationship Id="rId1341" Type="http://schemas.openxmlformats.org/officeDocument/2006/relationships/hyperlink" Target="https://ppim-intra.pea.co.th:4434/request/PPIM19500E69" TargetMode="External"/><Relationship Id="rId1786" Type="http://schemas.openxmlformats.org/officeDocument/2006/relationships/hyperlink" Target="https://ppim-intra.pea.co.th:4434/request/PPIM1950269A" TargetMode="External"/><Relationship Id="rId1993" Type="http://schemas.openxmlformats.org/officeDocument/2006/relationships/hyperlink" Target="https://ppim-intra.pea.co.th:4434/request/PPIM1950327D" TargetMode="External"/><Relationship Id="rId78" Type="http://schemas.openxmlformats.org/officeDocument/2006/relationships/hyperlink" Target="https://ppim-intra.pea.co.th:4434/request/PPIM18500719" TargetMode="External"/><Relationship Id="rId809" Type="http://schemas.openxmlformats.org/officeDocument/2006/relationships/hyperlink" Target="https://ppim-intra.pea.co.th:4434/request/PPIM18503D38" TargetMode="External"/><Relationship Id="rId1201" Type="http://schemas.openxmlformats.org/officeDocument/2006/relationships/hyperlink" Target="https://ppim-intra.pea.co.th:4434/request/PPIM18503BE6" TargetMode="External"/><Relationship Id="rId1439" Type="http://schemas.openxmlformats.org/officeDocument/2006/relationships/hyperlink" Target="https://ppim-intra.pea.co.th:4434/request/PPIM19501288" TargetMode="External"/><Relationship Id="rId1646" Type="http://schemas.openxmlformats.org/officeDocument/2006/relationships/hyperlink" Target="https://ppim-intra.pea.co.th:4434/request/PPIM19501EAB" TargetMode="External"/><Relationship Id="rId1853" Type="http://schemas.openxmlformats.org/officeDocument/2006/relationships/hyperlink" Target="https://ppim-intra.pea.co.th:4434/request/PPIM1950279B" TargetMode="External"/><Relationship Id="rId1506" Type="http://schemas.openxmlformats.org/officeDocument/2006/relationships/hyperlink" Target="https://ppim-intra.pea.co.th:4434/request/PPIM195016BC" TargetMode="External"/><Relationship Id="rId1713" Type="http://schemas.openxmlformats.org/officeDocument/2006/relationships/hyperlink" Target="https://ppim-intra.pea.co.th:4434/request/PPIM195022C8" TargetMode="External"/><Relationship Id="rId1920" Type="http://schemas.openxmlformats.org/officeDocument/2006/relationships/hyperlink" Target="https://ppim-intra.pea.co.th:4434/request/PPIM19502F1A" TargetMode="External"/><Relationship Id="rId294" Type="http://schemas.openxmlformats.org/officeDocument/2006/relationships/hyperlink" Target="https://ppim-intra.pea.co.th:4434/request/PPIM1850002D" TargetMode="External"/><Relationship Id="rId2182" Type="http://schemas.openxmlformats.org/officeDocument/2006/relationships/hyperlink" Target="https://ppim-intra.pea.co.th:4434/request/PPIM19503A09" TargetMode="External"/><Relationship Id="rId154" Type="http://schemas.openxmlformats.org/officeDocument/2006/relationships/hyperlink" Target="https://ppim-intra.pea.co.th:4434/request/PPIM18500F99" TargetMode="External"/><Relationship Id="rId361" Type="http://schemas.openxmlformats.org/officeDocument/2006/relationships/hyperlink" Target="https://ppim-intra.pea.co.th:4434/request/PPIM18501DF9" TargetMode="External"/><Relationship Id="rId599" Type="http://schemas.openxmlformats.org/officeDocument/2006/relationships/hyperlink" Target="https://ppim-intra.pea.co.th:4434/request/PPIM18502B2A" TargetMode="External"/><Relationship Id="rId2042" Type="http://schemas.openxmlformats.org/officeDocument/2006/relationships/hyperlink" Target="https://ppim-intra.pea.co.th:4434/request/PPIM195028B2" TargetMode="External"/><Relationship Id="rId2487" Type="http://schemas.openxmlformats.org/officeDocument/2006/relationships/hyperlink" Target="https://ppim-intra.pea.co.th:4434/request/PPIM1950505B" TargetMode="External"/><Relationship Id="rId459" Type="http://schemas.openxmlformats.org/officeDocument/2006/relationships/hyperlink" Target="https://ppim-intra.pea.co.th:4434/request/PPIM18502371" TargetMode="External"/><Relationship Id="rId666" Type="http://schemas.openxmlformats.org/officeDocument/2006/relationships/hyperlink" Target="https://ppim-intra.pea.co.th:4434/request/PPIM1850302B" TargetMode="External"/><Relationship Id="rId873" Type="http://schemas.openxmlformats.org/officeDocument/2006/relationships/hyperlink" Target="https://ppim-intra.pea.co.th:4434/request/PPIM18502352" TargetMode="External"/><Relationship Id="rId1089" Type="http://schemas.openxmlformats.org/officeDocument/2006/relationships/hyperlink" Target="https://ppim-intra.pea.co.th:4434/request/PPIM195006BC" TargetMode="External"/><Relationship Id="rId1296" Type="http://schemas.openxmlformats.org/officeDocument/2006/relationships/hyperlink" Target="https://ppim-intra.pea.co.th:4434/request/PPIM19500D53" TargetMode="External"/><Relationship Id="rId2347" Type="http://schemas.openxmlformats.org/officeDocument/2006/relationships/hyperlink" Target="https://ppim-intra.pea.co.th:4434/request/PPIM19504389" TargetMode="External"/><Relationship Id="rId2554" Type="http://schemas.openxmlformats.org/officeDocument/2006/relationships/hyperlink" Target="https://ppim-intra.pea.co.th:4434/request/PPIM195056AA" TargetMode="External"/><Relationship Id="rId221" Type="http://schemas.openxmlformats.org/officeDocument/2006/relationships/hyperlink" Target="https://ppim-intra.pea.co.th:4434/request/PPIM185014C2" TargetMode="External"/><Relationship Id="rId319" Type="http://schemas.openxmlformats.org/officeDocument/2006/relationships/hyperlink" Target="https://ppim-intra.pea.co.th:4434/request/PPIM18501CAE" TargetMode="External"/><Relationship Id="rId526" Type="http://schemas.openxmlformats.org/officeDocument/2006/relationships/hyperlink" Target="https://ppim-intra.pea.co.th:4434/request/PPIM1850280C" TargetMode="External"/><Relationship Id="rId1156" Type="http://schemas.openxmlformats.org/officeDocument/2006/relationships/hyperlink" Target="https://ppim-intra.pea.co.th:4434/request/PPIM195003F0" TargetMode="External"/><Relationship Id="rId1363" Type="http://schemas.openxmlformats.org/officeDocument/2006/relationships/hyperlink" Target="https://ppim-intra.pea.co.th:4434/request/PPIM19500C7E" TargetMode="External"/><Relationship Id="rId2207" Type="http://schemas.openxmlformats.org/officeDocument/2006/relationships/hyperlink" Target="https://ppim-intra.pea.co.th:4434/request/PPIM19503B98" TargetMode="External"/><Relationship Id="rId733" Type="http://schemas.openxmlformats.org/officeDocument/2006/relationships/hyperlink" Target="https://ppim-intra.pea.co.th:4434/request/PPIM18503638" TargetMode="External"/><Relationship Id="rId940" Type="http://schemas.openxmlformats.org/officeDocument/2006/relationships/hyperlink" Target="https://ppim-intra.pea.co.th:4434/request/PPIM185047CC" TargetMode="External"/><Relationship Id="rId1016" Type="http://schemas.openxmlformats.org/officeDocument/2006/relationships/hyperlink" Target="https://ppim-intra.pea.co.th:4434/request/PPIM18502340" TargetMode="External"/><Relationship Id="rId1570" Type="http://schemas.openxmlformats.org/officeDocument/2006/relationships/hyperlink" Target="https://ppim-intra.pea.co.th:4434/request/PPIM195018F0" TargetMode="External"/><Relationship Id="rId1668" Type="http://schemas.openxmlformats.org/officeDocument/2006/relationships/hyperlink" Target="https://ppim-intra.pea.co.th:4434/request/PPIM19500B60" TargetMode="External"/><Relationship Id="rId1875" Type="http://schemas.openxmlformats.org/officeDocument/2006/relationships/hyperlink" Target="https://ppim-intra.pea.co.th:4434/request/PPIM19502B8F" TargetMode="External"/><Relationship Id="rId2414" Type="http://schemas.openxmlformats.org/officeDocument/2006/relationships/hyperlink" Target="https://ppim-intra.pea.co.th:4434/request/PPIM19504B28" TargetMode="External"/><Relationship Id="rId2621" Type="http://schemas.openxmlformats.org/officeDocument/2006/relationships/hyperlink" Target="https://ppim-intra.pea.co.th:4434/request/PPIM195057EC" TargetMode="External"/><Relationship Id="rId800" Type="http://schemas.openxmlformats.org/officeDocument/2006/relationships/hyperlink" Target="https://ppim-intra.pea.co.th:4434/request/PPIM18503C25" TargetMode="External"/><Relationship Id="rId1223" Type="http://schemas.openxmlformats.org/officeDocument/2006/relationships/hyperlink" Target="https://ppim-intra.pea.co.th:4434/request/PPIM19500AAD" TargetMode="External"/><Relationship Id="rId1430" Type="http://schemas.openxmlformats.org/officeDocument/2006/relationships/hyperlink" Target="https://ppim-intra.pea.co.th:4434/request/PPIM19501208" TargetMode="External"/><Relationship Id="rId1528" Type="http://schemas.openxmlformats.org/officeDocument/2006/relationships/hyperlink" Target="https://ppim-intra.pea.co.th:4434/request/PPIM195017B1" TargetMode="External"/><Relationship Id="rId1735" Type="http://schemas.openxmlformats.org/officeDocument/2006/relationships/hyperlink" Target="https://ppim-intra.pea.co.th:4434/request/PPIM19502378" TargetMode="External"/><Relationship Id="rId1942" Type="http://schemas.openxmlformats.org/officeDocument/2006/relationships/hyperlink" Target="https://ppim-intra.pea.co.th:4434/request/PPIM19502858" TargetMode="External"/><Relationship Id="rId27" Type="http://schemas.openxmlformats.org/officeDocument/2006/relationships/hyperlink" Target="https://ppim-intra.pea.co.th:4434/request/PPIM1850025A" TargetMode="External"/><Relationship Id="rId1802" Type="http://schemas.openxmlformats.org/officeDocument/2006/relationships/hyperlink" Target="https://ppim-intra.pea.co.th:4434/request/PPIM19502809" TargetMode="External"/><Relationship Id="rId176" Type="http://schemas.openxmlformats.org/officeDocument/2006/relationships/hyperlink" Target="https://ppim-intra.pea.co.th:4434/request/PPIM1850116B" TargetMode="External"/><Relationship Id="rId383" Type="http://schemas.openxmlformats.org/officeDocument/2006/relationships/hyperlink" Target="https://ppim-intra.pea.co.th:4434/request/PPIM18500650" TargetMode="External"/><Relationship Id="rId590" Type="http://schemas.openxmlformats.org/officeDocument/2006/relationships/hyperlink" Target="https://ppim-intra.pea.co.th:4434/request/PPIM18502A8A" TargetMode="External"/><Relationship Id="rId2064" Type="http://schemas.openxmlformats.org/officeDocument/2006/relationships/hyperlink" Target="https://ppim-intra.pea.co.th:4434/request/PPIM1950352C" TargetMode="External"/><Relationship Id="rId2271" Type="http://schemas.openxmlformats.org/officeDocument/2006/relationships/hyperlink" Target="https://ppim-intra.pea.co.th:4434/request/PPIM195040AF" TargetMode="External"/><Relationship Id="rId243" Type="http://schemas.openxmlformats.org/officeDocument/2006/relationships/hyperlink" Target="https://ppim-intra.pea.co.th:4434/request/PPIM185016C6" TargetMode="External"/><Relationship Id="rId450" Type="http://schemas.openxmlformats.org/officeDocument/2006/relationships/hyperlink" Target="https://ppim-intra.pea.co.th:4434/request/PPIM185015F2" TargetMode="External"/><Relationship Id="rId688" Type="http://schemas.openxmlformats.org/officeDocument/2006/relationships/hyperlink" Target="https://ppim-intra.pea.co.th:4434/request/PPIM1850318B" TargetMode="External"/><Relationship Id="rId895" Type="http://schemas.openxmlformats.org/officeDocument/2006/relationships/hyperlink" Target="https://ppim-intra.pea.co.th:4434/request/PPIM18504489" TargetMode="External"/><Relationship Id="rId1080" Type="http://schemas.openxmlformats.org/officeDocument/2006/relationships/hyperlink" Target="https://ppim-intra.pea.co.th:4434/request/PPIM1950059B" TargetMode="External"/><Relationship Id="rId2131" Type="http://schemas.openxmlformats.org/officeDocument/2006/relationships/hyperlink" Target="https://ppim-intra.pea.co.th:4434/request/PPIM195037B4" TargetMode="External"/><Relationship Id="rId2369" Type="http://schemas.openxmlformats.org/officeDocument/2006/relationships/hyperlink" Target="https://ppim-intra.pea.co.th:4434/request/PPIM19504799" TargetMode="External"/><Relationship Id="rId2576" Type="http://schemas.openxmlformats.org/officeDocument/2006/relationships/hyperlink" Target="https://ppim-intra.pea.co.th:4434/request/PPIM19505777" TargetMode="External"/><Relationship Id="rId103" Type="http://schemas.openxmlformats.org/officeDocument/2006/relationships/hyperlink" Target="https://ppim-intra.pea.co.th:4434/request/PPIM18500906" TargetMode="External"/><Relationship Id="rId310" Type="http://schemas.openxmlformats.org/officeDocument/2006/relationships/hyperlink" Target="https://ppim-intra.pea.co.th:4434/request/PPIM18501C3E" TargetMode="External"/><Relationship Id="rId548" Type="http://schemas.openxmlformats.org/officeDocument/2006/relationships/hyperlink" Target="https://ppim-intra.pea.co.th:4434/request/PPIM18501043" TargetMode="External"/><Relationship Id="rId755" Type="http://schemas.openxmlformats.org/officeDocument/2006/relationships/hyperlink" Target="https://ppim-intra.pea.co.th:4434/request/PPIM18503883" TargetMode="External"/><Relationship Id="rId962" Type="http://schemas.openxmlformats.org/officeDocument/2006/relationships/hyperlink" Target="https://ppim-intra.pea.co.th:4434/request/PPIM1850491D" TargetMode="External"/><Relationship Id="rId1178" Type="http://schemas.openxmlformats.org/officeDocument/2006/relationships/hyperlink" Target="https://ppim-intra.pea.co.th:4434/request/PPIM19500754" TargetMode="External"/><Relationship Id="rId1385" Type="http://schemas.openxmlformats.org/officeDocument/2006/relationships/hyperlink" Target="https://ppim-intra.pea.co.th:4434/request/PPIM1950109D" TargetMode="External"/><Relationship Id="rId1592" Type="http://schemas.openxmlformats.org/officeDocument/2006/relationships/hyperlink" Target="https://ppim-intra.pea.co.th:4434/request/PPIM19501A89" TargetMode="External"/><Relationship Id="rId2229" Type="http://schemas.openxmlformats.org/officeDocument/2006/relationships/hyperlink" Target="https://ppim-intra.pea.co.th:4434/request/PPIM19503CE0" TargetMode="External"/><Relationship Id="rId2436" Type="http://schemas.openxmlformats.org/officeDocument/2006/relationships/hyperlink" Target="https://ppim-intra.pea.co.th:4434/request/PPIM19504DD1" TargetMode="External"/><Relationship Id="rId2643" Type="http://schemas.openxmlformats.org/officeDocument/2006/relationships/hyperlink" Target="https://ppim-intra.pea.co.th:4434/request/PPIM19505C4E" TargetMode="External"/><Relationship Id="rId91" Type="http://schemas.openxmlformats.org/officeDocument/2006/relationships/hyperlink" Target="https://ppim-intra.pea.co.th:4434/request/PPIM18500812" TargetMode="External"/><Relationship Id="rId408" Type="http://schemas.openxmlformats.org/officeDocument/2006/relationships/hyperlink" Target="https://ppim-intra.pea.co.th:4434/request/PPIM18502190" TargetMode="External"/><Relationship Id="rId615" Type="http://schemas.openxmlformats.org/officeDocument/2006/relationships/hyperlink" Target="https://ppim-intra.pea.co.th:4434/request/PPIM1850233C" TargetMode="External"/><Relationship Id="rId822" Type="http://schemas.openxmlformats.org/officeDocument/2006/relationships/hyperlink" Target="https://ppim-intra.pea.co.th:4434/request/PPIM18503E65" TargetMode="External"/><Relationship Id="rId1038" Type="http://schemas.openxmlformats.org/officeDocument/2006/relationships/hyperlink" Target="https://ppim-intra.pea.co.th:4434/request/PPIM195003AD" TargetMode="External"/><Relationship Id="rId1245" Type="http://schemas.openxmlformats.org/officeDocument/2006/relationships/hyperlink" Target="https://ppim-intra.pea.co.th:4434/request/PPIM19500B2C" TargetMode="External"/><Relationship Id="rId1452" Type="http://schemas.openxmlformats.org/officeDocument/2006/relationships/hyperlink" Target="https://ppim-intra.pea.co.th:4434/request/PPIM195010D3" TargetMode="External"/><Relationship Id="rId1897" Type="http://schemas.openxmlformats.org/officeDocument/2006/relationships/hyperlink" Target="https://ppim-intra.pea.co.th:4434/request/PPIM19502EB1" TargetMode="External"/><Relationship Id="rId2503" Type="http://schemas.openxmlformats.org/officeDocument/2006/relationships/hyperlink" Target="https://ppim-intra.pea.co.th:4434/request/PPIM19505332" TargetMode="External"/><Relationship Id="rId1105" Type="http://schemas.openxmlformats.org/officeDocument/2006/relationships/hyperlink" Target="https://ppim-intra.pea.co.th:4434/request/PPIM18504A23" TargetMode="External"/><Relationship Id="rId1312" Type="http://schemas.openxmlformats.org/officeDocument/2006/relationships/hyperlink" Target="https://ppim-intra.pea.co.th:4434/request/PPIM19500DF3" TargetMode="External"/><Relationship Id="rId1757" Type="http://schemas.openxmlformats.org/officeDocument/2006/relationships/hyperlink" Target="https://ppim-intra.pea.co.th:4434/request/PPIM19502571" TargetMode="External"/><Relationship Id="rId1964" Type="http://schemas.openxmlformats.org/officeDocument/2006/relationships/hyperlink" Target="https://ppim-intra.pea.co.th:4434/request/PPIM195030DD" TargetMode="External"/><Relationship Id="rId49" Type="http://schemas.openxmlformats.org/officeDocument/2006/relationships/hyperlink" Target="https://ppim-intra.pea.co.th:4434/request/PPIM18500403" TargetMode="External"/><Relationship Id="rId1617" Type="http://schemas.openxmlformats.org/officeDocument/2006/relationships/hyperlink" Target="https://ppim-intra.pea.co.th:4434/request/PPIM19501CD3" TargetMode="External"/><Relationship Id="rId1824" Type="http://schemas.openxmlformats.org/officeDocument/2006/relationships/hyperlink" Target="https://ppim-intra.pea.co.th:4434/request/PPIM19502AD6" TargetMode="External"/><Relationship Id="rId198" Type="http://schemas.openxmlformats.org/officeDocument/2006/relationships/hyperlink" Target="https://ppim-intra.pea.co.th:4434/request/PPIM185012FA" TargetMode="External"/><Relationship Id="rId2086" Type="http://schemas.openxmlformats.org/officeDocument/2006/relationships/hyperlink" Target="https://ppim-intra.pea.co.th:4434/request/PPIM195035C3" TargetMode="External"/><Relationship Id="rId2293" Type="http://schemas.openxmlformats.org/officeDocument/2006/relationships/hyperlink" Target="https://ppim-intra.pea.co.th:4434/request/PPIM19503E1C" TargetMode="External"/><Relationship Id="rId2598" Type="http://schemas.openxmlformats.org/officeDocument/2006/relationships/hyperlink" Target="https://ppim-intra.pea.co.th:4434/request/PPIM195059DE" TargetMode="External"/><Relationship Id="rId265" Type="http://schemas.openxmlformats.org/officeDocument/2006/relationships/hyperlink" Target="https://ppim-intra.pea.co.th:4434/request/PPIM18500712" TargetMode="External"/><Relationship Id="rId472" Type="http://schemas.openxmlformats.org/officeDocument/2006/relationships/hyperlink" Target="https://ppim-intra.pea.co.th:4434/request/PPIM185023D7" TargetMode="External"/><Relationship Id="rId2153" Type="http://schemas.openxmlformats.org/officeDocument/2006/relationships/hyperlink" Target="https://ppim-intra.pea.co.th:4434/request/PPIM195032E0" TargetMode="External"/><Relationship Id="rId2360" Type="http://schemas.openxmlformats.org/officeDocument/2006/relationships/hyperlink" Target="https://ppim-intra.pea.co.th:4434/request/PPIM195046CD" TargetMode="External"/><Relationship Id="rId125" Type="http://schemas.openxmlformats.org/officeDocument/2006/relationships/hyperlink" Target="https://ppim-intra.pea.co.th:4434/request/PPIM18500AC9" TargetMode="External"/><Relationship Id="rId332" Type="http://schemas.openxmlformats.org/officeDocument/2006/relationships/hyperlink" Target="https://ppim-intra.pea.co.th:4434/request/PPIM18501D06" TargetMode="External"/><Relationship Id="rId777" Type="http://schemas.openxmlformats.org/officeDocument/2006/relationships/hyperlink" Target="https://ppim-intra.pea.co.th:4434/request/PPIM18503A68" TargetMode="External"/><Relationship Id="rId984" Type="http://schemas.openxmlformats.org/officeDocument/2006/relationships/hyperlink" Target="https://ppim-intra.pea.co.th:4434/request/PPIM1850351D" TargetMode="External"/><Relationship Id="rId2013" Type="http://schemas.openxmlformats.org/officeDocument/2006/relationships/hyperlink" Target="https://ppim-intra.pea.co.th:4434/request/PPIM19502BAE" TargetMode="External"/><Relationship Id="rId2220" Type="http://schemas.openxmlformats.org/officeDocument/2006/relationships/hyperlink" Target="https://ppim-intra.pea.co.th:4434/request/PPIM19503995" TargetMode="External"/><Relationship Id="rId2458" Type="http://schemas.openxmlformats.org/officeDocument/2006/relationships/hyperlink" Target="https://ppim-intra.pea.co.th:4434/request/PPIM19504A6E" TargetMode="External"/><Relationship Id="rId637" Type="http://schemas.openxmlformats.org/officeDocument/2006/relationships/hyperlink" Target="https://ppim-intra.pea.co.th:4434/request/PPIM18502D77" TargetMode="External"/><Relationship Id="rId844" Type="http://schemas.openxmlformats.org/officeDocument/2006/relationships/hyperlink" Target="https://ppim-intra.pea.co.th:4434/request/PPIM18504138" TargetMode="External"/><Relationship Id="rId1267" Type="http://schemas.openxmlformats.org/officeDocument/2006/relationships/hyperlink" Target="https://ppim-intra.pea.co.th:4434/request/PPIM19500B0A" TargetMode="External"/><Relationship Id="rId1474" Type="http://schemas.openxmlformats.org/officeDocument/2006/relationships/hyperlink" Target="https://ppim-intra.pea.co.th:4434/request/PPIM1950144C" TargetMode="External"/><Relationship Id="rId1681" Type="http://schemas.openxmlformats.org/officeDocument/2006/relationships/hyperlink" Target="https://ppim-intra.pea.co.th:4434/request/PPIM19502085" TargetMode="External"/><Relationship Id="rId2318" Type="http://schemas.openxmlformats.org/officeDocument/2006/relationships/hyperlink" Target="https://ppim-intra.pea.co.th:4434/request/PPIM195035A8" TargetMode="External"/><Relationship Id="rId2525" Type="http://schemas.openxmlformats.org/officeDocument/2006/relationships/hyperlink" Target="https://ppim-intra.pea.co.th:4434/request/PPIM1950548A" TargetMode="External"/><Relationship Id="rId704" Type="http://schemas.openxmlformats.org/officeDocument/2006/relationships/hyperlink" Target="https://ppim-intra.pea.co.th:4434/request/PPIM18500488" TargetMode="External"/><Relationship Id="rId911" Type="http://schemas.openxmlformats.org/officeDocument/2006/relationships/hyperlink" Target="https://ppim-intra.pea.co.th:4434/request/PPIM185045B7" TargetMode="External"/><Relationship Id="rId1127" Type="http://schemas.openxmlformats.org/officeDocument/2006/relationships/hyperlink" Target="https://ppim-intra.pea.co.th:4434/request/PPIM19500817" TargetMode="External"/><Relationship Id="rId1334" Type="http://schemas.openxmlformats.org/officeDocument/2006/relationships/hyperlink" Target="https://ppim-intra.pea.co.th:4434/request/PPIM19500E4F" TargetMode="External"/><Relationship Id="rId1541" Type="http://schemas.openxmlformats.org/officeDocument/2006/relationships/hyperlink" Target="https://ppim-intra.pea.co.th:4434/request/PPIM19501810" TargetMode="External"/><Relationship Id="rId1779" Type="http://schemas.openxmlformats.org/officeDocument/2006/relationships/hyperlink" Target="https://ppim-intra.pea.co.th:4434/request/PPIM195025B8" TargetMode="External"/><Relationship Id="rId1986" Type="http://schemas.openxmlformats.org/officeDocument/2006/relationships/hyperlink" Target="https://ppim-intra.pea.co.th:4434/request/PPIM19503200" TargetMode="External"/><Relationship Id="rId40" Type="http://schemas.openxmlformats.org/officeDocument/2006/relationships/hyperlink" Target="https://ppim-intra.pea.co.th:4434/request/PPIM185003BF" TargetMode="External"/><Relationship Id="rId1401" Type="http://schemas.openxmlformats.org/officeDocument/2006/relationships/hyperlink" Target="https://ppim-intra.pea.co.th:4434/request/PPIM19501145" TargetMode="External"/><Relationship Id="rId1639" Type="http://schemas.openxmlformats.org/officeDocument/2006/relationships/hyperlink" Target="https://ppim-intra.pea.co.th:4434/request/PPIM195017CC" TargetMode="External"/><Relationship Id="rId1846" Type="http://schemas.openxmlformats.org/officeDocument/2006/relationships/hyperlink" Target="https://ppim-intra.pea.co.th:4434/request/PPIM19501F6B" TargetMode="External"/><Relationship Id="rId1706" Type="http://schemas.openxmlformats.org/officeDocument/2006/relationships/hyperlink" Target="https://ppim-intra.pea.co.th:4434/request/PPIM195021F2" TargetMode="External"/><Relationship Id="rId1913" Type="http://schemas.openxmlformats.org/officeDocument/2006/relationships/hyperlink" Target="https://ppim-intra.pea.co.th:4434/request/PPIM19502AA8" TargetMode="External"/><Relationship Id="rId287" Type="http://schemas.openxmlformats.org/officeDocument/2006/relationships/hyperlink" Target="https://ppim-intra.pea.co.th:4434/request/PPIM185004E5" TargetMode="External"/><Relationship Id="rId494" Type="http://schemas.openxmlformats.org/officeDocument/2006/relationships/hyperlink" Target="https://ppim-intra.pea.co.th:4434/request/PPIM185025E5" TargetMode="External"/><Relationship Id="rId2175" Type="http://schemas.openxmlformats.org/officeDocument/2006/relationships/hyperlink" Target="https://ppim-intra.pea.co.th:4434/request/PPIM19503990" TargetMode="External"/><Relationship Id="rId2382" Type="http://schemas.openxmlformats.org/officeDocument/2006/relationships/hyperlink" Target="https://ppim-intra.pea.co.th:4434/request/PPIM19504928" TargetMode="External"/><Relationship Id="rId147" Type="http://schemas.openxmlformats.org/officeDocument/2006/relationships/hyperlink" Target="https://ppim-intra.pea.co.th:4434/request/PPIM18500EA9" TargetMode="External"/><Relationship Id="rId354" Type="http://schemas.openxmlformats.org/officeDocument/2006/relationships/hyperlink" Target="https://ppim-intra.pea.co.th:4434/request/PPIM18501D92" TargetMode="External"/><Relationship Id="rId799" Type="http://schemas.openxmlformats.org/officeDocument/2006/relationships/hyperlink" Target="https://ppim-intra.pea.co.th:4434/request/PPIM18503C1E" TargetMode="External"/><Relationship Id="rId1191" Type="http://schemas.openxmlformats.org/officeDocument/2006/relationships/hyperlink" Target="https://ppim-intra.pea.co.th:4434/request/PPIM1950021A" TargetMode="External"/><Relationship Id="rId2035" Type="http://schemas.openxmlformats.org/officeDocument/2006/relationships/hyperlink" Target="https://ppim-intra.pea.co.th:4434/request/PPIM19503427" TargetMode="External"/><Relationship Id="rId561" Type="http://schemas.openxmlformats.org/officeDocument/2006/relationships/hyperlink" Target="https://ppim-intra.pea.co.th:4434/request/PPIM185024FD" TargetMode="External"/><Relationship Id="rId659" Type="http://schemas.openxmlformats.org/officeDocument/2006/relationships/hyperlink" Target="https://ppim-intra.pea.co.th:4434/request/PPIM18502F99" TargetMode="External"/><Relationship Id="rId866" Type="http://schemas.openxmlformats.org/officeDocument/2006/relationships/hyperlink" Target="https://ppim-intra.pea.co.th:4434/request/PPIM18500B22" TargetMode="External"/><Relationship Id="rId1289" Type="http://schemas.openxmlformats.org/officeDocument/2006/relationships/hyperlink" Target="https://ppim-intra.pea.co.th:4434/request/PPIM19500D08" TargetMode="External"/><Relationship Id="rId1496" Type="http://schemas.openxmlformats.org/officeDocument/2006/relationships/hyperlink" Target="https://ppim-intra.pea.co.th:4434/request/PPIM1950162C" TargetMode="External"/><Relationship Id="rId2242" Type="http://schemas.openxmlformats.org/officeDocument/2006/relationships/hyperlink" Target="https://ppim-intra.pea.co.th:4434/request/PPIM19503D3D" TargetMode="External"/><Relationship Id="rId2547" Type="http://schemas.openxmlformats.org/officeDocument/2006/relationships/hyperlink" Target="https://ppim-intra.pea.co.th:4434/request/PPIM19505632" TargetMode="External"/><Relationship Id="rId214" Type="http://schemas.openxmlformats.org/officeDocument/2006/relationships/hyperlink" Target="https://ppim-intra.pea.co.th:4434/request/PPIM1850142C" TargetMode="External"/><Relationship Id="rId421" Type="http://schemas.openxmlformats.org/officeDocument/2006/relationships/hyperlink" Target="https://ppim-intra.pea.co.th:4434/request/PPIM1850224B" TargetMode="External"/><Relationship Id="rId519" Type="http://schemas.openxmlformats.org/officeDocument/2006/relationships/hyperlink" Target="https://ppim-intra.pea.co.th:4434/request/PPIM1850275D" TargetMode="External"/><Relationship Id="rId1051" Type="http://schemas.openxmlformats.org/officeDocument/2006/relationships/hyperlink" Target="https://ppim-intra.pea.co.th:4434/request/PPIM185042F7" TargetMode="External"/><Relationship Id="rId1149" Type="http://schemas.openxmlformats.org/officeDocument/2006/relationships/hyperlink" Target="https://ppim-intra.pea.co.th:4434/request/PPIM195008B4" TargetMode="External"/><Relationship Id="rId1356" Type="http://schemas.openxmlformats.org/officeDocument/2006/relationships/hyperlink" Target="https://ppim-intra.pea.co.th:4434/request/PPIM19500AE7" TargetMode="External"/><Relationship Id="rId2102" Type="http://schemas.openxmlformats.org/officeDocument/2006/relationships/hyperlink" Target="https://ppim-intra.pea.co.th:4434/request/PPIM19503599" TargetMode="External"/><Relationship Id="rId726" Type="http://schemas.openxmlformats.org/officeDocument/2006/relationships/hyperlink" Target="https://ppim-intra.pea.co.th:4434/request/PPIM185035C4" TargetMode="External"/><Relationship Id="rId933" Type="http://schemas.openxmlformats.org/officeDocument/2006/relationships/hyperlink" Target="https://ppim-intra.pea.co.th:4434/request/PPIM1850471A" TargetMode="External"/><Relationship Id="rId1009" Type="http://schemas.openxmlformats.org/officeDocument/2006/relationships/hyperlink" Target="https://ppim-intra.pea.co.th:4434/request/PPIM19500195" TargetMode="External"/><Relationship Id="rId1563" Type="http://schemas.openxmlformats.org/officeDocument/2006/relationships/hyperlink" Target="https://ppim-intra.pea.co.th:4434/request/PPIM195018BA" TargetMode="External"/><Relationship Id="rId1770" Type="http://schemas.openxmlformats.org/officeDocument/2006/relationships/hyperlink" Target="https://ppim-intra.pea.co.th:4434/request/PPIM195025A0" TargetMode="External"/><Relationship Id="rId1868" Type="http://schemas.openxmlformats.org/officeDocument/2006/relationships/hyperlink" Target="https://ppim-intra.pea.co.th:4434/request/PPIM1950263D" TargetMode="External"/><Relationship Id="rId2407" Type="http://schemas.openxmlformats.org/officeDocument/2006/relationships/hyperlink" Target="https://ppim-intra.pea.co.th:4434/request/PPIM19504B6A" TargetMode="External"/><Relationship Id="rId2614" Type="http://schemas.openxmlformats.org/officeDocument/2006/relationships/hyperlink" Target="https://ppim-intra.pea.co.th:4434/request/PPIM195051FB" TargetMode="External"/><Relationship Id="rId62" Type="http://schemas.openxmlformats.org/officeDocument/2006/relationships/hyperlink" Target="https://ppim-intra.pea.co.th:4434/request/PPIM185005D2" TargetMode="External"/><Relationship Id="rId1216" Type="http://schemas.openxmlformats.org/officeDocument/2006/relationships/hyperlink" Target="https://ppim-intra.pea.co.th:4434/request/PPIM19500A86" TargetMode="External"/><Relationship Id="rId1423" Type="http://schemas.openxmlformats.org/officeDocument/2006/relationships/hyperlink" Target="https://ppim-intra.pea.co.th:4434/request/PPIM18504705" TargetMode="External"/><Relationship Id="rId1630" Type="http://schemas.openxmlformats.org/officeDocument/2006/relationships/hyperlink" Target="https://ppim-intra.pea.co.th:4434/request/PPIM19501D7F" TargetMode="External"/><Relationship Id="rId1728" Type="http://schemas.openxmlformats.org/officeDocument/2006/relationships/hyperlink" Target="https://ppim-intra.pea.co.th:4434/request/PPIM19502368" TargetMode="External"/><Relationship Id="rId1935" Type="http://schemas.openxmlformats.org/officeDocument/2006/relationships/hyperlink" Target="https://ppim-intra.pea.co.th:4434/request/PPIM19502FC9" TargetMode="External"/><Relationship Id="rId2197" Type="http://schemas.openxmlformats.org/officeDocument/2006/relationships/hyperlink" Target="https://ppim-intra.pea.co.th:4434/request/PPIM19503B10" TargetMode="External"/><Relationship Id="rId169" Type="http://schemas.openxmlformats.org/officeDocument/2006/relationships/hyperlink" Target="https://ppim-intra.pea.co.th:4434/request/PPIM185010D9" TargetMode="External"/><Relationship Id="rId376" Type="http://schemas.openxmlformats.org/officeDocument/2006/relationships/hyperlink" Target="https://ppim-intra.pea.co.th:4434/request/PPIM185013CB" TargetMode="External"/><Relationship Id="rId583" Type="http://schemas.openxmlformats.org/officeDocument/2006/relationships/hyperlink" Target="https://ppim-intra.pea.co.th:4434/request/PPIM18502A28" TargetMode="External"/><Relationship Id="rId790" Type="http://schemas.openxmlformats.org/officeDocument/2006/relationships/hyperlink" Target="https://ppim-intra.pea.co.th:4434/request/PPIM18503B7A" TargetMode="External"/><Relationship Id="rId2057" Type="http://schemas.openxmlformats.org/officeDocument/2006/relationships/hyperlink" Target="https://ppim-intra.pea.co.th:4434/request/PPIM195034F9" TargetMode="External"/><Relationship Id="rId2264" Type="http://schemas.openxmlformats.org/officeDocument/2006/relationships/hyperlink" Target="https://ppim-intra.pea.co.th:4434/request/PPIM19503134" TargetMode="External"/><Relationship Id="rId2471" Type="http://schemas.openxmlformats.org/officeDocument/2006/relationships/hyperlink" Target="https://ppim-intra.pea.co.th:4434/request/PPIM19504663" TargetMode="External"/><Relationship Id="rId4" Type="http://schemas.openxmlformats.org/officeDocument/2006/relationships/hyperlink" Target="https://ppim-intra.pea.co.th:4434/request/PPIM185000C0" TargetMode="External"/><Relationship Id="rId236" Type="http://schemas.openxmlformats.org/officeDocument/2006/relationships/hyperlink" Target="https://ppim-intra.pea.co.th:4434/request/PPIM18500304" TargetMode="External"/><Relationship Id="rId443" Type="http://schemas.openxmlformats.org/officeDocument/2006/relationships/hyperlink" Target="https://ppim-intra.pea.co.th:4434/request/PPIM18502320" TargetMode="External"/><Relationship Id="rId650" Type="http://schemas.openxmlformats.org/officeDocument/2006/relationships/hyperlink" Target="https://ppim-intra.pea.co.th:4434/request/PPIM18500715" TargetMode="External"/><Relationship Id="rId888" Type="http://schemas.openxmlformats.org/officeDocument/2006/relationships/hyperlink" Target="https://ppim-intra.pea.co.th:4434/request/PPIM1850440B" TargetMode="External"/><Relationship Id="rId1073" Type="http://schemas.openxmlformats.org/officeDocument/2006/relationships/hyperlink" Target="https://ppim-intra.pea.co.th:4434/request/PPIM19500551" TargetMode="External"/><Relationship Id="rId1280" Type="http://schemas.openxmlformats.org/officeDocument/2006/relationships/hyperlink" Target="https://ppim-intra.pea.co.th:4434/request/PPIM19500C68" TargetMode="External"/><Relationship Id="rId2124" Type="http://schemas.openxmlformats.org/officeDocument/2006/relationships/hyperlink" Target="https://ppim-intra.pea.co.th:4434/request/PPIM195036B6" TargetMode="External"/><Relationship Id="rId2331" Type="http://schemas.openxmlformats.org/officeDocument/2006/relationships/hyperlink" Target="https://ppim-intra.pea.co.th:4434/request/PPIM195042E2" TargetMode="External"/><Relationship Id="rId2569" Type="http://schemas.openxmlformats.org/officeDocument/2006/relationships/hyperlink" Target="https://ppim-intra.pea.co.th:4434/request/PPIM1950547C" TargetMode="External"/><Relationship Id="rId303" Type="http://schemas.openxmlformats.org/officeDocument/2006/relationships/hyperlink" Target="https://ppim-intra.pea.co.th:4434/request/PPIM18501C02" TargetMode="External"/><Relationship Id="rId748" Type="http://schemas.openxmlformats.org/officeDocument/2006/relationships/hyperlink" Target="https://ppim-intra.pea.co.th:4434/request/PPIM1850383C" TargetMode="External"/><Relationship Id="rId955" Type="http://schemas.openxmlformats.org/officeDocument/2006/relationships/hyperlink" Target="https://ppim-intra.pea.co.th:4434/request/PPIM18503709" TargetMode="External"/><Relationship Id="rId1140" Type="http://schemas.openxmlformats.org/officeDocument/2006/relationships/hyperlink" Target="https://ppim-intra.pea.co.th:4434/request/PPIM1950087C" TargetMode="External"/><Relationship Id="rId1378" Type="http://schemas.openxmlformats.org/officeDocument/2006/relationships/hyperlink" Target="https://ppim-intra.pea.co.th:4434/request/PPIM19500BA6" TargetMode="External"/><Relationship Id="rId1585" Type="http://schemas.openxmlformats.org/officeDocument/2006/relationships/hyperlink" Target="https://ppim-intra.pea.co.th:4434/request/PPIM195019AE" TargetMode="External"/><Relationship Id="rId1792" Type="http://schemas.openxmlformats.org/officeDocument/2006/relationships/hyperlink" Target="https://ppim-intra.pea.co.th:4434/request/PPIM19502744" TargetMode="External"/><Relationship Id="rId2429" Type="http://schemas.openxmlformats.org/officeDocument/2006/relationships/hyperlink" Target="https://ppim-intra.pea.co.th:4434/request/PPIM19504D5A" TargetMode="External"/><Relationship Id="rId2636" Type="http://schemas.openxmlformats.org/officeDocument/2006/relationships/hyperlink" Target="https://ppim-intra.pea.co.th:4434/request/PPIM195056B0" TargetMode="External"/><Relationship Id="rId84" Type="http://schemas.openxmlformats.org/officeDocument/2006/relationships/hyperlink" Target="https://ppim-intra.pea.co.th:4434/request/PPIM1850073B" TargetMode="External"/><Relationship Id="rId510" Type="http://schemas.openxmlformats.org/officeDocument/2006/relationships/hyperlink" Target="https://ppim-intra.pea.co.th:4434/request/PPIM18500B1D" TargetMode="External"/><Relationship Id="rId608" Type="http://schemas.openxmlformats.org/officeDocument/2006/relationships/hyperlink" Target="https://ppim-intra.pea.co.th:4434/request/PPIM18502B9A" TargetMode="External"/><Relationship Id="rId815" Type="http://schemas.openxmlformats.org/officeDocument/2006/relationships/hyperlink" Target="https://ppim-intra.pea.co.th:4434/request/PPIM18503DDE" TargetMode="External"/><Relationship Id="rId1238" Type="http://schemas.openxmlformats.org/officeDocument/2006/relationships/hyperlink" Target="https://ppim-intra.pea.co.th:4434/request/PPIM19500AFA" TargetMode="External"/><Relationship Id="rId1445" Type="http://schemas.openxmlformats.org/officeDocument/2006/relationships/hyperlink" Target="https://ppim-intra.pea.co.th:4434/request/PPIM1950130D" TargetMode="External"/><Relationship Id="rId1652" Type="http://schemas.openxmlformats.org/officeDocument/2006/relationships/hyperlink" Target="https://ppim-intra.pea.co.th:4434/request/PPIM19501F10" TargetMode="External"/><Relationship Id="rId1000" Type="http://schemas.openxmlformats.org/officeDocument/2006/relationships/hyperlink" Target="https://ppim-intra.pea.co.th:4434/request/PPIM18503BF9" TargetMode="External"/><Relationship Id="rId1305" Type="http://schemas.openxmlformats.org/officeDocument/2006/relationships/hyperlink" Target="https://ppim-intra.pea.co.th:4434/request/PPIM19500C86" TargetMode="External"/><Relationship Id="rId1957" Type="http://schemas.openxmlformats.org/officeDocument/2006/relationships/hyperlink" Target="https://ppim-intra.pea.co.th:4434/request/PPIM19503098" TargetMode="External"/><Relationship Id="rId1512" Type="http://schemas.openxmlformats.org/officeDocument/2006/relationships/hyperlink" Target="https://ppim-intra.pea.co.th:4434/request/PPIM195016F6" TargetMode="External"/><Relationship Id="rId1817" Type="http://schemas.openxmlformats.org/officeDocument/2006/relationships/hyperlink" Target="https://ppim-intra.pea.co.th:4434/request/PPIM19502945" TargetMode="External"/><Relationship Id="rId11" Type="http://schemas.openxmlformats.org/officeDocument/2006/relationships/hyperlink" Target="https://ppim-intra.pea.co.th:4434/request/PPIM18500153" TargetMode="External"/><Relationship Id="rId398" Type="http://schemas.openxmlformats.org/officeDocument/2006/relationships/hyperlink" Target="https://ppim-intra.pea.co.th:4434/request/PPIM185013B2" TargetMode="External"/><Relationship Id="rId2079" Type="http://schemas.openxmlformats.org/officeDocument/2006/relationships/hyperlink" Target="https://ppim-intra.pea.co.th:4434/request/PPIM195035A2" TargetMode="External"/><Relationship Id="rId160" Type="http://schemas.openxmlformats.org/officeDocument/2006/relationships/hyperlink" Target="https://ppim-intra.pea.co.th:4434/request/PPIM18501053" TargetMode="External"/><Relationship Id="rId2286" Type="http://schemas.openxmlformats.org/officeDocument/2006/relationships/hyperlink" Target="https://ppim-intra.pea.co.th:4434/request/PPIM19503C98" TargetMode="External"/><Relationship Id="rId2493" Type="http://schemas.openxmlformats.org/officeDocument/2006/relationships/hyperlink" Target="https://ppim-intra.pea.co.th:4434/request/PPIM19504FC1" TargetMode="External"/><Relationship Id="rId258" Type="http://schemas.openxmlformats.org/officeDocument/2006/relationships/hyperlink" Target="https://ppim-intra.pea.co.th:4434/request/PPIM185017F3" TargetMode="External"/><Relationship Id="rId465" Type="http://schemas.openxmlformats.org/officeDocument/2006/relationships/hyperlink" Target="https://ppim-intra.pea.co.th:4434/request/PPIM18502385" TargetMode="External"/><Relationship Id="rId672" Type="http://schemas.openxmlformats.org/officeDocument/2006/relationships/hyperlink" Target="https://ppim-intra.pea.co.th:4434/request/PPIM1850308D" TargetMode="External"/><Relationship Id="rId1095" Type="http://schemas.openxmlformats.org/officeDocument/2006/relationships/hyperlink" Target="https://ppim-intra.pea.co.th:4434/request/PPIM195002B4" TargetMode="External"/><Relationship Id="rId2146" Type="http://schemas.openxmlformats.org/officeDocument/2006/relationships/hyperlink" Target="https://ppim-intra.pea.co.th:4434/request/PPIM19501A43" TargetMode="External"/><Relationship Id="rId2353" Type="http://schemas.openxmlformats.org/officeDocument/2006/relationships/hyperlink" Target="https://ppim-intra.pea.co.th:4434/request/PPIM1950433F" TargetMode="External"/><Relationship Id="rId2560" Type="http://schemas.openxmlformats.org/officeDocument/2006/relationships/hyperlink" Target="https://ppim-intra.pea.co.th:4434/request/PPIM19505399" TargetMode="External"/><Relationship Id="rId118" Type="http://schemas.openxmlformats.org/officeDocument/2006/relationships/hyperlink" Target="https://ppim-intra.pea.co.th:4434/request/PPIM18500A23" TargetMode="External"/><Relationship Id="rId325" Type="http://schemas.openxmlformats.org/officeDocument/2006/relationships/hyperlink" Target="https://ppim-intra.pea.co.th:4434/request/PPIM18501CED" TargetMode="External"/><Relationship Id="rId532" Type="http://schemas.openxmlformats.org/officeDocument/2006/relationships/hyperlink" Target="https://ppim-intra.pea.co.th:4434/request/PPIM1850284A" TargetMode="External"/><Relationship Id="rId977" Type="http://schemas.openxmlformats.org/officeDocument/2006/relationships/hyperlink" Target="https://ppim-intra.pea.co.th:4434/request/PPIM185049ED" TargetMode="External"/><Relationship Id="rId1162" Type="http://schemas.openxmlformats.org/officeDocument/2006/relationships/hyperlink" Target="https://ppim-intra.pea.co.th:4434/request/PPIM1950047D" TargetMode="External"/><Relationship Id="rId2006" Type="http://schemas.openxmlformats.org/officeDocument/2006/relationships/hyperlink" Target="https://ppim-intra.pea.co.th:4434/request/PPIM1950309C" TargetMode="External"/><Relationship Id="rId2213" Type="http://schemas.openxmlformats.org/officeDocument/2006/relationships/hyperlink" Target="https://ppim-intra.pea.co.th:4434/request/PPIM19503B9A" TargetMode="External"/><Relationship Id="rId2420" Type="http://schemas.openxmlformats.org/officeDocument/2006/relationships/hyperlink" Target="https://ppim-intra.pea.co.th:4434/request/PPIM19504C77" TargetMode="External"/><Relationship Id="rId837" Type="http://schemas.openxmlformats.org/officeDocument/2006/relationships/hyperlink" Target="https://ppim-intra.pea.co.th:4434/request/PPIM1850403D" TargetMode="External"/><Relationship Id="rId1022" Type="http://schemas.openxmlformats.org/officeDocument/2006/relationships/hyperlink" Target="https://ppim-intra.pea.co.th:4434/request/PPIM195002F6" TargetMode="External"/><Relationship Id="rId1467" Type="http://schemas.openxmlformats.org/officeDocument/2006/relationships/hyperlink" Target="https://ppim-intra.pea.co.th:4434/request/PPIM195013DD" TargetMode="External"/><Relationship Id="rId1674" Type="http://schemas.openxmlformats.org/officeDocument/2006/relationships/hyperlink" Target="https://ppim-intra.pea.co.th:4434/request/PPIM19502031" TargetMode="External"/><Relationship Id="rId1881" Type="http://schemas.openxmlformats.org/officeDocument/2006/relationships/hyperlink" Target="https://ppim-intra.pea.co.th:4434/request/PPIM19502E1F" TargetMode="External"/><Relationship Id="rId2518" Type="http://schemas.openxmlformats.org/officeDocument/2006/relationships/hyperlink" Target="https://ppim-intra.pea.co.th:4434/request/PPIM19504A11" TargetMode="External"/><Relationship Id="rId904" Type="http://schemas.openxmlformats.org/officeDocument/2006/relationships/hyperlink" Target="https://ppim-intra.pea.co.th:4434/request/PPIM18504530" TargetMode="External"/><Relationship Id="rId1327" Type="http://schemas.openxmlformats.org/officeDocument/2006/relationships/hyperlink" Target="https://ppim-intra.pea.co.th:4434/request/PPIM19500E19" TargetMode="External"/><Relationship Id="rId1534" Type="http://schemas.openxmlformats.org/officeDocument/2006/relationships/hyperlink" Target="https://ppim-intra.pea.co.th:4434/request/PPIM195017E9" TargetMode="External"/><Relationship Id="rId1741" Type="http://schemas.openxmlformats.org/officeDocument/2006/relationships/hyperlink" Target="https://ppim-intra.pea.co.th:4434/request/PPIM1950239D" TargetMode="External"/><Relationship Id="rId1979" Type="http://schemas.openxmlformats.org/officeDocument/2006/relationships/hyperlink" Target="https://ppim-intra.pea.co.th:4434/request/PPIM19502771" TargetMode="External"/><Relationship Id="rId33" Type="http://schemas.openxmlformats.org/officeDocument/2006/relationships/hyperlink" Target="https://ppim-intra.pea.co.th:4434/request/PPIM18500302" TargetMode="External"/><Relationship Id="rId1601" Type="http://schemas.openxmlformats.org/officeDocument/2006/relationships/hyperlink" Target="https://ppim-intra.pea.co.th:4434/request/PPIM19501B2E" TargetMode="External"/><Relationship Id="rId1839" Type="http://schemas.openxmlformats.org/officeDocument/2006/relationships/hyperlink" Target="https://ppim-intra.pea.co.th:4434/request/PPIM19502527" TargetMode="External"/><Relationship Id="rId182" Type="http://schemas.openxmlformats.org/officeDocument/2006/relationships/hyperlink" Target="https://ppim-intra.pea.co.th:4434/request/PPIM18501187" TargetMode="External"/><Relationship Id="rId1906" Type="http://schemas.openxmlformats.org/officeDocument/2006/relationships/hyperlink" Target="https://ppim-intra.pea.co.th:4434/request/PPIM19502C2C" TargetMode="External"/><Relationship Id="rId487" Type="http://schemas.openxmlformats.org/officeDocument/2006/relationships/hyperlink" Target="https://ppim-intra.pea.co.th:4434/request/PPIM18502552" TargetMode="External"/><Relationship Id="rId694" Type="http://schemas.openxmlformats.org/officeDocument/2006/relationships/hyperlink" Target="https://ppim-intra.pea.co.th:4434/request/PPIM185031E0" TargetMode="External"/><Relationship Id="rId2070" Type="http://schemas.openxmlformats.org/officeDocument/2006/relationships/hyperlink" Target="https://ppim-intra.pea.co.th:4434/request/PPIM19503565" TargetMode="External"/><Relationship Id="rId2168" Type="http://schemas.openxmlformats.org/officeDocument/2006/relationships/hyperlink" Target="https://ppim-intra.pea.co.th:4434/request/PPIM19503949" TargetMode="External"/><Relationship Id="rId2375" Type="http://schemas.openxmlformats.org/officeDocument/2006/relationships/hyperlink" Target="https://ppim-intra.pea.co.th:4434/request/PPIM19504873" TargetMode="External"/><Relationship Id="rId347" Type="http://schemas.openxmlformats.org/officeDocument/2006/relationships/hyperlink" Target="https://ppim-intra.pea.co.th:4434/request/PPIM18501D65" TargetMode="External"/><Relationship Id="rId999" Type="http://schemas.openxmlformats.org/officeDocument/2006/relationships/hyperlink" Target="https://ppim-intra.pea.co.th:4434/request/PPIM18503AAD" TargetMode="External"/><Relationship Id="rId1184" Type="http://schemas.openxmlformats.org/officeDocument/2006/relationships/hyperlink" Target="https://ppim-intra.pea.co.th:4434/request/PPIM18504649" TargetMode="External"/><Relationship Id="rId2028" Type="http://schemas.openxmlformats.org/officeDocument/2006/relationships/hyperlink" Target="https://ppim-intra.pea.co.th:4434/request/PPIM195023D4" TargetMode="External"/><Relationship Id="rId2582" Type="http://schemas.openxmlformats.org/officeDocument/2006/relationships/hyperlink" Target="https://ppim-intra.pea.co.th:4434/request/PPIM1950593E" TargetMode="External"/><Relationship Id="rId554" Type="http://schemas.openxmlformats.org/officeDocument/2006/relationships/hyperlink" Target="https://ppim-intra.pea.co.th:4434/request/PPIM18502919" TargetMode="External"/><Relationship Id="rId761" Type="http://schemas.openxmlformats.org/officeDocument/2006/relationships/hyperlink" Target="https://ppim-intra.pea.co.th:4434/request/PPIM185038DF" TargetMode="External"/><Relationship Id="rId859" Type="http://schemas.openxmlformats.org/officeDocument/2006/relationships/hyperlink" Target="https://ppim-intra.pea.co.th:4434/request/PPIM18502923" TargetMode="External"/><Relationship Id="rId1391" Type="http://schemas.openxmlformats.org/officeDocument/2006/relationships/hyperlink" Target="https://ppim-intra.pea.co.th:4434/request/PPIM195010C2" TargetMode="External"/><Relationship Id="rId1489" Type="http://schemas.openxmlformats.org/officeDocument/2006/relationships/hyperlink" Target="https://ppim-intra.pea.co.th:4434/request/PPIM195015C0" TargetMode="External"/><Relationship Id="rId1696" Type="http://schemas.openxmlformats.org/officeDocument/2006/relationships/hyperlink" Target="https://ppim-intra.pea.co.th:4434/request/PPIM1950215B" TargetMode="External"/><Relationship Id="rId2235" Type="http://schemas.openxmlformats.org/officeDocument/2006/relationships/hyperlink" Target="https://ppim-intra.pea.co.th:4434/request/PPIM19503E11" TargetMode="External"/><Relationship Id="rId2442" Type="http://schemas.openxmlformats.org/officeDocument/2006/relationships/hyperlink" Target="https://ppim-intra.pea.co.th:4434/request/PPIM19504E91" TargetMode="External"/><Relationship Id="rId207" Type="http://schemas.openxmlformats.org/officeDocument/2006/relationships/hyperlink" Target="https://ppim-intra.pea.co.th:4434/request/PPIM185013AE" TargetMode="External"/><Relationship Id="rId414" Type="http://schemas.openxmlformats.org/officeDocument/2006/relationships/hyperlink" Target="https://ppim-intra.pea.co.th:4434/request/PPIM185021A8" TargetMode="External"/><Relationship Id="rId621" Type="http://schemas.openxmlformats.org/officeDocument/2006/relationships/hyperlink" Target="https://ppim-intra.pea.co.th:4434/request/PPIM18502C54" TargetMode="External"/><Relationship Id="rId1044" Type="http://schemas.openxmlformats.org/officeDocument/2006/relationships/hyperlink" Target="https://ppim-intra.pea.co.th:4434/request/PPIM19500405" TargetMode="External"/><Relationship Id="rId1251" Type="http://schemas.openxmlformats.org/officeDocument/2006/relationships/hyperlink" Target="https://ppim-intra.pea.co.th:4434/request/PPIM19500B72" TargetMode="External"/><Relationship Id="rId1349" Type="http://schemas.openxmlformats.org/officeDocument/2006/relationships/hyperlink" Target="https://ppim-intra.pea.co.th:4434/request/PPIM19500E78" TargetMode="External"/><Relationship Id="rId2302" Type="http://schemas.openxmlformats.org/officeDocument/2006/relationships/hyperlink" Target="https://ppim-intra.pea.co.th:4434/request/PPIM195040E9" TargetMode="External"/><Relationship Id="rId719" Type="http://schemas.openxmlformats.org/officeDocument/2006/relationships/hyperlink" Target="https://ppim-intra.pea.co.th:4434/request/PPIM185034CA" TargetMode="External"/><Relationship Id="rId926" Type="http://schemas.openxmlformats.org/officeDocument/2006/relationships/hyperlink" Target="https://ppim-intra.pea.co.th:4434/request/PPIM185046C1" TargetMode="External"/><Relationship Id="rId1111" Type="http://schemas.openxmlformats.org/officeDocument/2006/relationships/hyperlink" Target="https://ppim-intra.pea.co.th:4434/request/PPIM185043FF" TargetMode="External"/><Relationship Id="rId1556" Type="http://schemas.openxmlformats.org/officeDocument/2006/relationships/hyperlink" Target="https://ppim-intra.pea.co.th:4434/request/PPIM19501866" TargetMode="External"/><Relationship Id="rId1763" Type="http://schemas.openxmlformats.org/officeDocument/2006/relationships/hyperlink" Target="https://ppim-intra.pea.co.th:4434/request/PPIM1950258E" TargetMode="External"/><Relationship Id="rId1970" Type="http://schemas.openxmlformats.org/officeDocument/2006/relationships/hyperlink" Target="https://ppim-intra.pea.co.th:4434/request/PPIM1950314E" TargetMode="External"/><Relationship Id="rId2607" Type="http://schemas.openxmlformats.org/officeDocument/2006/relationships/hyperlink" Target="https://ppim-intra.pea.co.th:4434/request/PPIM19505740" TargetMode="External"/><Relationship Id="rId55" Type="http://schemas.openxmlformats.org/officeDocument/2006/relationships/hyperlink" Target="https://ppim-intra.pea.co.th:4434/request/PPIM1850049D" TargetMode="External"/><Relationship Id="rId1209" Type="http://schemas.openxmlformats.org/officeDocument/2006/relationships/hyperlink" Target="https://ppim-intra.pea.co.th:4434/request/PPIM18504568" TargetMode="External"/><Relationship Id="rId1416" Type="http://schemas.openxmlformats.org/officeDocument/2006/relationships/hyperlink" Target="https://ppim-intra.pea.co.th:4434/request/PPIM19501198" TargetMode="External"/><Relationship Id="rId1623" Type="http://schemas.openxmlformats.org/officeDocument/2006/relationships/hyperlink" Target="https://ppim-intra.pea.co.th:4434/request/PPIM19501D0F" TargetMode="External"/><Relationship Id="rId1830" Type="http://schemas.openxmlformats.org/officeDocument/2006/relationships/hyperlink" Target="https://ppim-intra.pea.co.th:4434/request/PPIM195018C8" TargetMode="External"/><Relationship Id="rId1928" Type="http://schemas.openxmlformats.org/officeDocument/2006/relationships/hyperlink" Target="https://ppim-intra.pea.co.th:4434/request/PPIM19502FA3" TargetMode="External"/><Relationship Id="rId2092" Type="http://schemas.openxmlformats.org/officeDocument/2006/relationships/hyperlink" Target="https://ppim-intra.pea.co.th:4434/request/PPIM195031A8" TargetMode="External"/><Relationship Id="rId271" Type="http://schemas.openxmlformats.org/officeDocument/2006/relationships/hyperlink" Target="https://ppim-intra.pea.co.th:4434/request/PPIM18501959" TargetMode="External"/><Relationship Id="rId2397" Type="http://schemas.openxmlformats.org/officeDocument/2006/relationships/hyperlink" Target="https://ppim-intra.pea.co.th:4434/request/PPIM19504AB8" TargetMode="External"/><Relationship Id="rId131" Type="http://schemas.openxmlformats.org/officeDocument/2006/relationships/hyperlink" Target="https://ppim-intra.pea.co.th:4434/request/PPIM18500C06" TargetMode="External"/><Relationship Id="rId369" Type="http://schemas.openxmlformats.org/officeDocument/2006/relationships/hyperlink" Target="https://ppim-intra.pea.co.th:4434/request/PPIM18501E4F" TargetMode="External"/><Relationship Id="rId576" Type="http://schemas.openxmlformats.org/officeDocument/2006/relationships/hyperlink" Target="https://ppim-intra.pea.co.th:4434/request/PPIM185029E4" TargetMode="External"/><Relationship Id="rId783" Type="http://schemas.openxmlformats.org/officeDocument/2006/relationships/hyperlink" Target="https://ppim-intra.pea.co.th:4434/request/PPIM18503A91" TargetMode="External"/><Relationship Id="rId990" Type="http://schemas.openxmlformats.org/officeDocument/2006/relationships/hyperlink" Target="https://ppim-intra.pea.co.th:4434/request/PPIM195000A9" TargetMode="External"/><Relationship Id="rId2257" Type="http://schemas.openxmlformats.org/officeDocument/2006/relationships/hyperlink" Target="https://ppim-intra.pea.co.th:4434/request/PPIM19503FE4" TargetMode="External"/><Relationship Id="rId2464" Type="http://schemas.openxmlformats.org/officeDocument/2006/relationships/hyperlink" Target="https://ppim-intra.pea.co.th:4434/request/PPIM19504FED" TargetMode="External"/><Relationship Id="rId229" Type="http://schemas.openxmlformats.org/officeDocument/2006/relationships/hyperlink" Target="https://ppim-intra.pea.co.th:4434/request/PPIM185015B1" TargetMode="External"/><Relationship Id="rId436" Type="http://schemas.openxmlformats.org/officeDocument/2006/relationships/hyperlink" Target="https://ppim-intra.pea.co.th:4434/request/PPIM18502310" TargetMode="External"/><Relationship Id="rId643" Type="http://schemas.openxmlformats.org/officeDocument/2006/relationships/hyperlink" Target="https://ppim-intra.pea.co.th:4434/request/PPIM1850243C" TargetMode="External"/><Relationship Id="rId1066" Type="http://schemas.openxmlformats.org/officeDocument/2006/relationships/hyperlink" Target="https://ppim-intra.pea.co.th:4434/request/PPIM195004FC" TargetMode="External"/><Relationship Id="rId1273" Type="http://schemas.openxmlformats.org/officeDocument/2006/relationships/hyperlink" Target="https://ppim-intra.pea.co.th:4434/request/PPIM185011C7" TargetMode="External"/><Relationship Id="rId1480" Type="http://schemas.openxmlformats.org/officeDocument/2006/relationships/hyperlink" Target="https://ppim-intra.pea.co.th:4434/request/PPIM195014CA" TargetMode="External"/><Relationship Id="rId2117" Type="http://schemas.openxmlformats.org/officeDocument/2006/relationships/hyperlink" Target="https://ppim-intra.pea.co.th:4434/request/PPIM1950368B" TargetMode="External"/><Relationship Id="rId2324" Type="http://schemas.openxmlformats.org/officeDocument/2006/relationships/hyperlink" Target="https://ppim-intra.pea.co.th:4434/request/PPIM195043DA" TargetMode="External"/><Relationship Id="rId850" Type="http://schemas.openxmlformats.org/officeDocument/2006/relationships/hyperlink" Target="https://ppim-intra.pea.co.th:4434/request/PPIM185041C9" TargetMode="External"/><Relationship Id="rId948" Type="http://schemas.openxmlformats.org/officeDocument/2006/relationships/hyperlink" Target="https://ppim-intra.pea.co.th:4434/request/PPIM1850485B" TargetMode="External"/><Relationship Id="rId1133" Type="http://schemas.openxmlformats.org/officeDocument/2006/relationships/hyperlink" Target="https://ppim-intra.pea.co.th:4434/request/PPIM1950083C" TargetMode="External"/><Relationship Id="rId1578" Type="http://schemas.openxmlformats.org/officeDocument/2006/relationships/hyperlink" Target="https://ppim-intra.pea.co.th:4434/request/PPIM1950193E" TargetMode="External"/><Relationship Id="rId1785" Type="http://schemas.openxmlformats.org/officeDocument/2006/relationships/hyperlink" Target="https://ppim-intra.pea.co.th:4434/request/PPIM19502636" TargetMode="External"/><Relationship Id="rId1992" Type="http://schemas.openxmlformats.org/officeDocument/2006/relationships/hyperlink" Target="https://ppim-intra.pea.co.th:4434/request/PPIM19502F89" TargetMode="External"/><Relationship Id="rId2531" Type="http://schemas.openxmlformats.org/officeDocument/2006/relationships/hyperlink" Target="https://ppim-intra.pea.co.th:4434/request/PPIM19505476" TargetMode="External"/><Relationship Id="rId2629" Type="http://schemas.openxmlformats.org/officeDocument/2006/relationships/hyperlink" Target="https://ppim-intra.pea.co.th:4434/request/PPIM19505BAD" TargetMode="External"/><Relationship Id="rId77" Type="http://schemas.openxmlformats.org/officeDocument/2006/relationships/hyperlink" Target="https://ppim-intra.pea.co.th:4434/request/PPIM18500716" TargetMode="External"/><Relationship Id="rId503" Type="http://schemas.openxmlformats.org/officeDocument/2006/relationships/hyperlink" Target="https://ppim-intra.pea.co.th:4434/request/PPIM18502664" TargetMode="External"/><Relationship Id="rId710" Type="http://schemas.openxmlformats.org/officeDocument/2006/relationships/hyperlink" Target="https://ppim-intra.pea.co.th:4434/request/PPIM1850338B" TargetMode="External"/><Relationship Id="rId808" Type="http://schemas.openxmlformats.org/officeDocument/2006/relationships/hyperlink" Target="https://ppim-intra.pea.co.th:4434/request/PPIM18503CF6" TargetMode="External"/><Relationship Id="rId1340" Type="http://schemas.openxmlformats.org/officeDocument/2006/relationships/hyperlink" Target="https://ppim-intra.pea.co.th:4434/request/PPIM19500E66" TargetMode="External"/><Relationship Id="rId1438" Type="http://schemas.openxmlformats.org/officeDocument/2006/relationships/hyperlink" Target="https://ppim-intra.pea.co.th:4434/request/PPIM19501260" TargetMode="External"/><Relationship Id="rId1645" Type="http://schemas.openxmlformats.org/officeDocument/2006/relationships/hyperlink" Target="https://ppim-intra.pea.co.th:4434/request/PPIM1950185C" TargetMode="External"/><Relationship Id="rId1200" Type="http://schemas.openxmlformats.org/officeDocument/2006/relationships/hyperlink" Target="https://ppim-intra.pea.co.th:4434/request/PPIM1950063C" TargetMode="External"/><Relationship Id="rId1852" Type="http://schemas.openxmlformats.org/officeDocument/2006/relationships/hyperlink" Target="https://ppim-intra.pea.co.th:4434/request/PPIM19502CB1" TargetMode="External"/><Relationship Id="rId1505" Type="http://schemas.openxmlformats.org/officeDocument/2006/relationships/hyperlink" Target="https://ppim-intra.pea.co.th:4434/request/PPIM195016B7" TargetMode="External"/><Relationship Id="rId1712" Type="http://schemas.openxmlformats.org/officeDocument/2006/relationships/hyperlink" Target="https://ppim-intra.pea.co.th:4434/request/PPIM195022A3" TargetMode="External"/><Relationship Id="rId293" Type="http://schemas.openxmlformats.org/officeDocument/2006/relationships/hyperlink" Target="https://ppim-intra.pea.co.th:4434/request/PPIM18501B5A" TargetMode="External"/><Relationship Id="rId2181" Type="http://schemas.openxmlformats.org/officeDocument/2006/relationships/hyperlink" Target="https://ppim-intra.pea.co.th:4434/request/PPIM19503A0C" TargetMode="External"/><Relationship Id="rId153" Type="http://schemas.openxmlformats.org/officeDocument/2006/relationships/hyperlink" Target="https://ppim-intra.pea.co.th:4434/request/PPIM185004F3" TargetMode="External"/><Relationship Id="rId360" Type="http://schemas.openxmlformats.org/officeDocument/2006/relationships/hyperlink" Target="https://ppim-intra.pea.co.th:4434/request/PPIM18501DEF" TargetMode="External"/><Relationship Id="rId598" Type="http://schemas.openxmlformats.org/officeDocument/2006/relationships/hyperlink" Target="https://ppim-intra.pea.co.th:4434/request/PPIM18502B1E" TargetMode="External"/><Relationship Id="rId2041" Type="http://schemas.openxmlformats.org/officeDocument/2006/relationships/hyperlink" Target="https://ppim-intra.pea.co.th:4434/request/PPIM1950298F" TargetMode="External"/><Relationship Id="rId2279" Type="http://schemas.openxmlformats.org/officeDocument/2006/relationships/hyperlink" Target="https://ppim-intra.pea.co.th:4434/request/PPIM195040DB" TargetMode="External"/><Relationship Id="rId2486" Type="http://schemas.openxmlformats.org/officeDocument/2006/relationships/hyperlink" Target="https://ppim-intra.pea.co.th:4434/request/PPIM19505201" TargetMode="External"/><Relationship Id="rId220" Type="http://schemas.openxmlformats.org/officeDocument/2006/relationships/hyperlink" Target="https://ppim-intra.pea.co.th:4434/request/PPIM185014C1" TargetMode="External"/><Relationship Id="rId458" Type="http://schemas.openxmlformats.org/officeDocument/2006/relationships/hyperlink" Target="https://ppim-intra.pea.co.th:4434/request/PPIM18501E4B" TargetMode="External"/><Relationship Id="rId665" Type="http://schemas.openxmlformats.org/officeDocument/2006/relationships/hyperlink" Target="https://ppim-intra.pea.co.th:4434/request/PPIM18503017" TargetMode="External"/><Relationship Id="rId872" Type="http://schemas.openxmlformats.org/officeDocument/2006/relationships/hyperlink" Target="https://ppim-intra.pea.co.th:4434/request/PPIM185042F9" TargetMode="External"/><Relationship Id="rId1088" Type="http://schemas.openxmlformats.org/officeDocument/2006/relationships/hyperlink" Target="https://ppim-intra.pea.co.th:4434/request/PPIM19500689" TargetMode="External"/><Relationship Id="rId1295" Type="http://schemas.openxmlformats.org/officeDocument/2006/relationships/hyperlink" Target="https://ppim-intra.pea.co.th:4434/request/PPIM19500D4F" TargetMode="External"/><Relationship Id="rId2139" Type="http://schemas.openxmlformats.org/officeDocument/2006/relationships/hyperlink" Target="https://ppim-intra.pea.co.th:4434/request/PPIM19503732" TargetMode="External"/><Relationship Id="rId2346" Type="http://schemas.openxmlformats.org/officeDocument/2006/relationships/hyperlink" Target="https://ppim-intra.pea.co.th:4434/request/PPIM1950438D" TargetMode="External"/><Relationship Id="rId2553" Type="http://schemas.openxmlformats.org/officeDocument/2006/relationships/hyperlink" Target="https://ppim-intra.pea.co.th:4434/request/PPIM1950566F" TargetMode="External"/><Relationship Id="rId318" Type="http://schemas.openxmlformats.org/officeDocument/2006/relationships/hyperlink" Target="https://ppim-intra.pea.co.th:4434/request/PPIM18501CA6" TargetMode="External"/><Relationship Id="rId525" Type="http://schemas.openxmlformats.org/officeDocument/2006/relationships/hyperlink" Target="https://ppim-intra.pea.co.th:4434/request/PPIM185027C3" TargetMode="External"/><Relationship Id="rId732" Type="http://schemas.openxmlformats.org/officeDocument/2006/relationships/hyperlink" Target="https://ppim-intra.pea.co.th:4434/request/PPIM18503625" TargetMode="External"/><Relationship Id="rId1155" Type="http://schemas.openxmlformats.org/officeDocument/2006/relationships/hyperlink" Target="https://ppim-intra.pea.co.th:4434/request/PPIM19500905" TargetMode="External"/><Relationship Id="rId1362" Type="http://schemas.openxmlformats.org/officeDocument/2006/relationships/hyperlink" Target="https://ppim-intra.pea.co.th:4434/request/PPIM19500F7F" TargetMode="External"/><Relationship Id="rId2206" Type="http://schemas.openxmlformats.org/officeDocument/2006/relationships/hyperlink" Target="https://ppim-intra.pea.co.th:4434/request/PPIM19503BCB" TargetMode="External"/><Relationship Id="rId2413" Type="http://schemas.openxmlformats.org/officeDocument/2006/relationships/hyperlink" Target="https://ppim-intra.pea.co.th:4434/request/PPIM1950487E" TargetMode="External"/><Relationship Id="rId2620" Type="http://schemas.openxmlformats.org/officeDocument/2006/relationships/hyperlink" Target="https://ppim-intra.pea.co.th:4434/request/PPIM19505B54" TargetMode="External"/><Relationship Id="rId99" Type="http://schemas.openxmlformats.org/officeDocument/2006/relationships/hyperlink" Target="https://ppim-intra.pea.co.th:4434/request/PPIM185008D7" TargetMode="External"/><Relationship Id="rId1015" Type="http://schemas.openxmlformats.org/officeDocument/2006/relationships/hyperlink" Target="https://ppim-intra.pea.co.th:4434/request/PPIM1950027F" TargetMode="External"/><Relationship Id="rId1222" Type="http://schemas.openxmlformats.org/officeDocument/2006/relationships/hyperlink" Target="https://ppim-intra.pea.co.th:4434/request/PPIM19500A27" TargetMode="External"/><Relationship Id="rId1667" Type="http://schemas.openxmlformats.org/officeDocument/2006/relationships/hyperlink" Target="https://ppim-intra.pea.co.th:4434/request/PPIM19501F9E" TargetMode="External"/><Relationship Id="rId1874" Type="http://schemas.openxmlformats.org/officeDocument/2006/relationships/hyperlink" Target="https://ppim-intra.pea.co.th:4434/request/PPIM19502DBE" TargetMode="External"/><Relationship Id="rId1527" Type="http://schemas.openxmlformats.org/officeDocument/2006/relationships/hyperlink" Target="https://ppim-intra.pea.co.th:4434/request/PPIM19501799" TargetMode="External"/><Relationship Id="rId1734" Type="http://schemas.openxmlformats.org/officeDocument/2006/relationships/hyperlink" Target="https://ppim-intra.pea.co.th:4434/request/PPIM19502374" TargetMode="External"/><Relationship Id="rId1941" Type="http://schemas.openxmlformats.org/officeDocument/2006/relationships/hyperlink" Target="https://ppim-intra.pea.co.th:4434/request/PPIM1950210A" TargetMode="External"/><Relationship Id="rId26" Type="http://schemas.openxmlformats.org/officeDocument/2006/relationships/hyperlink" Target="https://ppim-intra.pea.co.th:4434/request/PPIM18500247" TargetMode="External"/><Relationship Id="rId175" Type="http://schemas.openxmlformats.org/officeDocument/2006/relationships/hyperlink" Target="https://ppim-intra.pea.co.th:4434/request/PPIM18501162" TargetMode="External"/><Relationship Id="rId1801" Type="http://schemas.openxmlformats.org/officeDocument/2006/relationships/hyperlink" Target="https://ppim-intra.pea.co.th:4434/request/PPIM1950278C" TargetMode="External"/><Relationship Id="rId382" Type="http://schemas.openxmlformats.org/officeDocument/2006/relationships/hyperlink" Target="https://ppim-intra.pea.co.th:4434/request/PPIM18501F9A" TargetMode="External"/><Relationship Id="rId687" Type="http://schemas.openxmlformats.org/officeDocument/2006/relationships/hyperlink" Target="https://ppim-intra.pea.co.th:4434/request/PPIM18503188" TargetMode="External"/><Relationship Id="rId2063" Type="http://schemas.openxmlformats.org/officeDocument/2006/relationships/hyperlink" Target="https://ppim-intra.pea.co.th:4434/request/PPIM19503398" TargetMode="External"/><Relationship Id="rId2270" Type="http://schemas.openxmlformats.org/officeDocument/2006/relationships/hyperlink" Target="https://ppim-intra.pea.co.th:4434/request/PPIM195040A5" TargetMode="External"/><Relationship Id="rId2368" Type="http://schemas.openxmlformats.org/officeDocument/2006/relationships/hyperlink" Target="https://ppim-intra.pea.co.th:4434/request/PPIM19501E83" TargetMode="External"/><Relationship Id="rId242" Type="http://schemas.openxmlformats.org/officeDocument/2006/relationships/hyperlink" Target="https://ppim-intra.pea.co.th:4434/request/PPIM18501683" TargetMode="External"/><Relationship Id="rId894" Type="http://schemas.openxmlformats.org/officeDocument/2006/relationships/hyperlink" Target="https://ppim-intra.pea.co.th:4434/request/PPIM18501B20" TargetMode="External"/><Relationship Id="rId1177" Type="http://schemas.openxmlformats.org/officeDocument/2006/relationships/hyperlink" Target="https://ppim-intra.pea.co.th:4434/request/PPIM1950097F" TargetMode="External"/><Relationship Id="rId2130" Type="http://schemas.openxmlformats.org/officeDocument/2006/relationships/hyperlink" Target="https://ppim-intra.pea.co.th:4434/request/PPIM195037B1" TargetMode="External"/><Relationship Id="rId2575" Type="http://schemas.openxmlformats.org/officeDocument/2006/relationships/hyperlink" Target="https://ppim-intra.pea.co.th:4434/request/PPIM19505875" TargetMode="External"/><Relationship Id="rId102" Type="http://schemas.openxmlformats.org/officeDocument/2006/relationships/hyperlink" Target="https://ppim-intra.pea.co.th:4434/request/PPIM185008F1" TargetMode="External"/><Relationship Id="rId547" Type="http://schemas.openxmlformats.org/officeDocument/2006/relationships/hyperlink" Target="https://ppim-intra.pea.co.th:4434/request/PPIM185028CC" TargetMode="External"/><Relationship Id="rId754" Type="http://schemas.openxmlformats.org/officeDocument/2006/relationships/hyperlink" Target="https://ppim-intra.pea.co.th:4434/request/PPIM185021EB" TargetMode="External"/><Relationship Id="rId961" Type="http://schemas.openxmlformats.org/officeDocument/2006/relationships/hyperlink" Target="https://ppim-intra.pea.co.th:4434/request/PPIM18504919" TargetMode="External"/><Relationship Id="rId1384" Type="http://schemas.openxmlformats.org/officeDocument/2006/relationships/hyperlink" Target="https://ppim-intra.pea.co.th:4434/request/PPIM19501080" TargetMode="External"/><Relationship Id="rId1591" Type="http://schemas.openxmlformats.org/officeDocument/2006/relationships/hyperlink" Target="https://ppim-intra.pea.co.th:4434/request/PPIM19501A68" TargetMode="External"/><Relationship Id="rId1689" Type="http://schemas.openxmlformats.org/officeDocument/2006/relationships/hyperlink" Target="https://ppim-intra.pea.co.th:4434/request/PPIM1950211C" TargetMode="External"/><Relationship Id="rId2228" Type="http://schemas.openxmlformats.org/officeDocument/2006/relationships/hyperlink" Target="https://ppim-intra.pea.co.th:4434/request/PPIM19503CDD" TargetMode="External"/><Relationship Id="rId2435" Type="http://schemas.openxmlformats.org/officeDocument/2006/relationships/hyperlink" Target="https://ppim-intra.pea.co.th:4434/request/PPIM19504C69" TargetMode="External"/><Relationship Id="rId2642" Type="http://schemas.openxmlformats.org/officeDocument/2006/relationships/hyperlink" Target="https://ppim-intra.pea.co.th:4434/request/PPIM19505C44" TargetMode="External"/><Relationship Id="rId90" Type="http://schemas.openxmlformats.org/officeDocument/2006/relationships/hyperlink" Target="https://ppim-intra.pea.co.th:4434/request/PPIM185007D2" TargetMode="External"/><Relationship Id="rId407" Type="http://schemas.openxmlformats.org/officeDocument/2006/relationships/hyperlink" Target="https://ppim-intra.pea.co.th:4434/request/PPIM18502111" TargetMode="External"/><Relationship Id="rId614" Type="http://schemas.openxmlformats.org/officeDocument/2006/relationships/hyperlink" Target="https://ppim-intra.pea.co.th:4434/request/PPIM18502BFC" TargetMode="External"/><Relationship Id="rId821" Type="http://schemas.openxmlformats.org/officeDocument/2006/relationships/hyperlink" Target="https://ppim-intra.pea.co.th:4434/request/PPIM18503E47" TargetMode="External"/><Relationship Id="rId1037" Type="http://schemas.openxmlformats.org/officeDocument/2006/relationships/hyperlink" Target="https://ppim-intra.pea.co.th:4434/request/PPIM195003AC" TargetMode="External"/><Relationship Id="rId1244" Type="http://schemas.openxmlformats.org/officeDocument/2006/relationships/hyperlink" Target="https://ppim-intra.pea.co.th:4434/request/PPIM19500B29" TargetMode="External"/><Relationship Id="rId1451" Type="http://schemas.openxmlformats.org/officeDocument/2006/relationships/hyperlink" Target="https://ppim-intra.pea.co.th:4434/request/PPIM19501351" TargetMode="External"/><Relationship Id="rId1896" Type="http://schemas.openxmlformats.org/officeDocument/2006/relationships/hyperlink" Target="https://ppim-intra.pea.co.th:4434/request/PPIM19502ACF" TargetMode="External"/><Relationship Id="rId2502" Type="http://schemas.openxmlformats.org/officeDocument/2006/relationships/hyperlink" Target="https://ppim-intra.pea.co.th:4434/request/PPIM195051DE" TargetMode="External"/><Relationship Id="rId919" Type="http://schemas.openxmlformats.org/officeDocument/2006/relationships/hyperlink" Target="https://ppim-intra.pea.co.th:4434/request/PPIM18504604" TargetMode="External"/><Relationship Id="rId1104" Type="http://schemas.openxmlformats.org/officeDocument/2006/relationships/hyperlink" Target="https://ppim-intra.pea.co.th:4434/request/PPIM1950075A" TargetMode="External"/><Relationship Id="rId1311" Type="http://schemas.openxmlformats.org/officeDocument/2006/relationships/hyperlink" Target="https://ppim-intra.pea.co.th:4434/request/PPIM19500DF2" TargetMode="External"/><Relationship Id="rId1549" Type="http://schemas.openxmlformats.org/officeDocument/2006/relationships/hyperlink" Target="https://ppim-intra.pea.co.th:4434/request/PPIM19501830" TargetMode="External"/><Relationship Id="rId1756" Type="http://schemas.openxmlformats.org/officeDocument/2006/relationships/hyperlink" Target="https://ppim-intra.pea.co.th:4434/request/PPIM1950255A" TargetMode="External"/><Relationship Id="rId1963" Type="http://schemas.openxmlformats.org/officeDocument/2006/relationships/hyperlink" Target="https://ppim-intra.pea.co.th:4434/request/PPIM195030C7" TargetMode="External"/><Relationship Id="rId48" Type="http://schemas.openxmlformats.org/officeDocument/2006/relationships/hyperlink" Target="https://ppim-intra.pea.co.th:4434/request/PPIM18500400" TargetMode="External"/><Relationship Id="rId1409" Type="http://schemas.openxmlformats.org/officeDocument/2006/relationships/hyperlink" Target="https://ppim-intra.pea.co.th:4434/request/PPIM19501161" TargetMode="External"/><Relationship Id="rId1616" Type="http://schemas.openxmlformats.org/officeDocument/2006/relationships/hyperlink" Target="https://ppim-intra.pea.co.th:4434/request/PPIM195011F1" TargetMode="External"/><Relationship Id="rId1823" Type="http://schemas.openxmlformats.org/officeDocument/2006/relationships/hyperlink" Target="https://ppim-intra.pea.co.th:4434/request/PPIM19502A1E" TargetMode="External"/><Relationship Id="rId197" Type="http://schemas.openxmlformats.org/officeDocument/2006/relationships/hyperlink" Target="https://ppim-intra.pea.co.th:4434/request/PPIM18501268" TargetMode="External"/><Relationship Id="rId2085" Type="http://schemas.openxmlformats.org/officeDocument/2006/relationships/hyperlink" Target="https://ppim-intra.pea.co.th:4434/request/PPIM19502E63" TargetMode="External"/><Relationship Id="rId2292" Type="http://schemas.openxmlformats.org/officeDocument/2006/relationships/hyperlink" Target="https://ppim-intra.pea.co.th:4434/request/PPIM19504224" TargetMode="External"/><Relationship Id="rId264" Type="http://schemas.openxmlformats.org/officeDocument/2006/relationships/hyperlink" Target="https://ppim-intra.pea.co.th:4434/request/PPIM18501856" TargetMode="External"/><Relationship Id="rId471" Type="http://schemas.openxmlformats.org/officeDocument/2006/relationships/hyperlink" Target="https://ppim-intra.pea.co.th:4434/request/PPIM185023D3" TargetMode="External"/><Relationship Id="rId2152" Type="http://schemas.openxmlformats.org/officeDocument/2006/relationships/hyperlink" Target="https://ppim-intra.pea.co.th:4434/request/PPIM1950388C" TargetMode="External"/><Relationship Id="rId2597" Type="http://schemas.openxmlformats.org/officeDocument/2006/relationships/hyperlink" Target="https://ppim-intra.pea.co.th:4434/request/PPIM195059D8" TargetMode="External"/><Relationship Id="rId124" Type="http://schemas.openxmlformats.org/officeDocument/2006/relationships/hyperlink" Target="https://ppim-intra.pea.co.th:4434/request/PPIM18500AC5" TargetMode="External"/><Relationship Id="rId569" Type="http://schemas.openxmlformats.org/officeDocument/2006/relationships/hyperlink" Target="https://ppim-intra.pea.co.th:4434/request/PPIM185029BA" TargetMode="External"/><Relationship Id="rId776" Type="http://schemas.openxmlformats.org/officeDocument/2006/relationships/hyperlink" Target="https://ppim-intra.pea.co.th:4434/request/PPIM18503A4A" TargetMode="External"/><Relationship Id="rId983" Type="http://schemas.openxmlformats.org/officeDocument/2006/relationships/hyperlink" Target="https://ppim-intra.pea.co.th:4434/request/PPIM1850351E" TargetMode="External"/><Relationship Id="rId1199" Type="http://schemas.openxmlformats.org/officeDocument/2006/relationships/hyperlink" Target="https://ppim-intra.pea.co.th:4434/request/PPIM19500A16" TargetMode="External"/><Relationship Id="rId2457" Type="http://schemas.openxmlformats.org/officeDocument/2006/relationships/hyperlink" Target="https://ppim-intra.pea.co.th:4434/request/PPIM195047CD" TargetMode="External"/><Relationship Id="rId331" Type="http://schemas.openxmlformats.org/officeDocument/2006/relationships/hyperlink" Target="https://ppim-intra.pea.co.th:4434/request/PPIM18500841" TargetMode="External"/><Relationship Id="rId429" Type="http://schemas.openxmlformats.org/officeDocument/2006/relationships/hyperlink" Target="https://ppim-intra.pea.co.th:4434/request/PPIM185019DB" TargetMode="External"/><Relationship Id="rId636" Type="http://schemas.openxmlformats.org/officeDocument/2006/relationships/hyperlink" Target="https://ppim-intra.pea.co.th:4434/request/PPIM185023E0" TargetMode="External"/><Relationship Id="rId1059" Type="http://schemas.openxmlformats.org/officeDocument/2006/relationships/hyperlink" Target="https://ppim-intra.pea.co.th:4434/request/PPIM19500499" TargetMode="External"/><Relationship Id="rId1266" Type="http://schemas.openxmlformats.org/officeDocument/2006/relationships/hyperlink" Target="https://ppim-intra.pea.co.th:4434/request/PPIM195004F0" TargetMode="External"/><Relationship Id="rId1473" Type="http://schemas.openxmlformats.org/officeDocument/2006/relationships/hyperlink" Target="https://ppim-intra.pea.co.th:4434/request/PPIM19501442" TargetMode="External"/><Relationship Id="rId2012" Type="http://schemas.openxmlformats.org/officeDocument/2006/relationships/hyperlink" Target="https://ppim-intra.pea.co.th:4434/request/PPIM19501CA9" TargetMode="External"/><Relationship Id="rId2317" Type="http://schemas.openxmlformats.org/officeDocument/2006/relationships/hyperlink" Target="https://ppim-intra.pea.co.th:4434/request/PPIM1950436B" TargetMode="External"/><Relationship Id="rId843" Type="http://schemas.openxmlformats.org/officeDocument/2006/relationships/hyperlink" Target="https://ppim-intra.pea.co.th:4434/request/PPIM185025D5" TargetMode="External"/><Relationship Id="rId1126" Type="http://schemas.openxmlformats.org/officeDocument/2006/relationships/hyperlink" Target="https://ppim-intra.pea.co.th:4434/request/PPIM19500810" TargetMode="External"/><Relationship Id="rId1680" Type="http://schemas.openxmlformats.org/officeDocument/2006/relationships/hyperlink" Target="https://ppim-intra.pea.co.th:4434/request/PPIM19502080" TargetMode="External"/><Relationship Id="rId1778" Type="http://schemas.openxmlformats.org/officeDocument/2006/relationships/hyperlink" Target="https://ppim-intra.pea.co.th:4434/request/PPIM195025B1" TargetMode="External"/><Relationship Id="rId1985" Type="http://schemas.openxmlformats.org/officeDocument/2006/relationships/hyperlink" Target="https://ppim-intra.pea.co.th:4434/request/PPIM195024CE" TargetMode="External"/><Relationship Id="rId2524" Type="http://schemas.openxmlformats.org/officeDocument/2006/relationships/hyperlink" Target="https://ppim-intra.pea.co.th:4434/request/PPIM1950541C" TargetMode="External"/><Relationship Id="rId703" Type="http://schemas.openxmlformats.org/officeDocument/2006/relationships/hyperlink" Target="https://ppim-intra.pea.co.th:4434/request/PPIM185032F4" TargetMode="External"/><Relationship Id="rId910" Type="http://schemas.openxmlformats.org/officeDocument/2006/relationships/hyperlink" Target="https://ppim-intra.pea.co.th:4434/request/PPIM185045B3" TargetMode="External"/><Relationship Id="rId1333" Type="http://schemas.openxmlformats.org/officeDocument/2006/relationships/hyperlink" Target="https://ppim-intra.pea.co.th:4434/request/PPIM185042CF" TargetMode="External"/><Relationship Id="rId1540" Type="http://schemas.openxmlformats.org/officeDocument/2006/relationships/hyperlink" Target="https://ppim-intra.pea.co.th:4434/request/PPIM1950180C" TargetMode="External"/><Relationship Id="rId1638" Type="http://schemas.openxmlformats.org/officeDocument/2006/relationships/hyperlink" Target="https://ppim-intra.pea.co.th:4434/request/PPIM19501E0C" TargetMode="External"/><Relationship Id="rId1400" Type="http://schemas.openxmlformats.org/officeDocument/2006/relationships/hyperlink" Target="https://ppim-intra.pea.co.th:4434/request/PPIM19501144" TargetMode="External"/><Relationship Id="rId1845" Type="http://schemas.openxmlformats.org/officeDocument/2006/relationships/hyperlink" Target="https://ppim-intra.pea.co.th:4434/request/PPIM195025C1" TargetMode="External"/><Relationship Id="rId1705" Type="http://schemas.openxmlformats.org/officeDocument/2006/relationships/hyperlink" Target="https://ppim-intra.pea.co.th:4434/request/PPIM19501315" TargetMode="External"/><Relationship Id="rId1912" Type="http://schemas.openxmlformats.org/officeDocument/2006/relationships/hyperlink" Target="https://ppim-intra.pea.co.th:4434/request/PPIM19501AD7" TargetMode="External"/><Relationship Id="rId286" Type="http://schemas.openxmlformats.org/officeDocument/2006/relationships/hyperlink" Target="https://ppim-intra.pea.co.th:4434/request/PPIM18501ABB" TargetMode="External"/><Relationship Id="rId493" Type="http://schemas.openxmlformats.org/officeDocument/2006/relationships/hyperlink" Target="https://ppim-intra.pea.co.th:4434/request/PPIM185025E4" TargetMode="External"/><Relationship Id="rId2174" Type="http://schemas.openxmlformats.org/officeDocument/2006/relationships/hyperlink" Target="https://ppim-intra.pea.co.th:4434/request/PPIM19503985" TargetMode="External"/><Relationship Id="rId2381" Type="http://schemas.openxmlformats.org/officeDocument/2006/relationships/hyperlink" Target="https://ppim-intra.pea.co.th:4434/request/PPIM1950490E" TargetMode="External"/><Relationship Id="rId146" Type="http://schemas.openxmlformats.org/officeDocument/2006/relationships/hyperlink" Target="https://ppim-intra.pea.co.th:4434/request/PPIM18500E95" TargetMode="External"/><Relationship Id="rId353" Type="http://schemas.openxmlformats.org/officeDocument/2006/relationships/hyperlink" Target="https://ppim-intra.pea.co.th:4434/request/PPIM18501D85" TargetMode="External"/><Relationship Id="rId560" Type="http://schemas.openxmlformats.org/officeDocument/2006/relationships/hyperlink" Target="https://ppim-intra.pea.co.th:4434/request/PPIM18501A4A" TargetMode="External"/><Relationship Id="rId798" Type="http://schemas.openxmlformats.org/officeDocument/2006/relationships/hyperlink" Target="https://ppim-intra.pea.co.th:4434/request/PPIM18503C13" TargetMode="External"/><Relationship Id="rId1190" Type="http://schemas.openxmlformats.org/officeDocument/2006/relationships/hyperlink" Target="https://ppim-intra.pea.co.th:4434/request/PPIM195009E1" TargetMode="External"/><Relationship Id="rId2034" Type="http://schemas.openxmlformats.org/officeDocument/2006/relationships/hyperlink" Target="https://ppim-intra.pea.co.th:4434/request/PPIM1950341A" TargetMode="External"/><Relationship Id="rId2241" Type="http://schemas.openxmlformats.org/officeDocument/2006/relationships/hyperlink" Target="https://ppim-intra.pea.co.th:4434/request/PPIM19503E9E" TargetMode="External"/><Relationship Id="rId2479" Type="http://schemas.openxmlformats.org/officeDocument/2006/relationships/hyperlink" Target="https://ppim-intra.pea.co.th:4434/request/PPIM19504DD3" TargetMode="External"/><Relationship Id="rId213" Type="http://schemas.openxmlformats.org/officeDocument/2006/relationships/hyperlink" Target="https://ppim-intra.pea.co.th:4434/request/PPIM18501425" TargetMode="External"/><Relationship Id="rId420" Type="http://schemas.openxmlformats.org/officeDocument/2006/relationships/hyperlink" Target="https://ppim-intra.pea.co.th:4434/request/PPIM18502239" TargetMode="External"/><Relationship Id="rId658" Type="http://schemas.openxmlformats.org/officeDocument/2006/relationships/hyperlink" Target="https://ppim-intra.pea.co.th:4434/request/PPIM18502F8E" TargetMode="External"/><Relationship Id="rId865" Type="http://schemas.openxmlformats.org/officeDocument/2006/relationships/hyperlink" Target="https://ppim-intra.pea.co.th:4434/request/PPIM18501F86" TargetMode="External"/><Relationship Id="rId1050" Type="http://schemas.openxmlformats.org/officeDocument/2006/relationships/hyperlink" Target="https://ppim-intra.pea.co.th:4434/request/PPIM18504234" TargetMode="External"/><Relationship Id="rId1288" Type="http://schemas.openxmlformats.org/officeDocument/2006/relationships/hyperlink" Target="https://ppim-intra.pea.co.th:4434/request/PPIM19500CC4" TargetMode="External"/><Relationship Id="rId1495" Type="http://schemas.openxmlformats.org/officeDocument/2006/relationships/hyperlink" Target="https://ppim-intra.pea.co.th:4434/request/PPIM195006F3" TargetMode="External"/><Relationship Id="rId2101" Type="http://schemas.openxmlformats.org/officeDocument/2006/relationships/hyperlink" Target="https://ppim-intra.pea.co.th:4434/request/PPIM19503592" TargetMode="External"/><Relationship Id="rId2339" Type="http://schemas.openxmlformats.org/officeDocument/2006/relationships/hyperlink" Target="https://ppim-intra.pea.co.th:4434/request/PPIM1950457D" TargetMode="External"/><Relationship Id="rId2546" Type="http://schemas.openxmlformats.org/officeDocument/2006/relationships/hyperlink" Target="https://ppim-intra.pea.co.th:4434/request/PPIM1950562E" TargetMode="External"/><Relationship Id="rId518" Type="http://schemas.openxmlformats.org/officeDocument/2006/relationships/hyperlink" Target="https://ppim-intra.pea.co.th:4434/request/PPIM1850272C" TargetMode="External"/><Relationship Id="rId725" Type="http://schemas.openxmlformats.org/officeDocument/2006/relationships/hyperlink" Target="https://ppim-intra.pea.co.th:4434/request/PPIM18503551" TargetMode="External"/><Relationship Id="rId932" Type="http://schemas.openxmlformats.org/officeDocument/2006/relationships/hyperlink" Target="https://ppim-intra.pea.co.th:4434/request/PPIM18504712" TargetMode="External"/><Relationship Id="rId1148" Type="http://schemas.openxmlformats.org/officeDocument/2006/relationships/hyperlink" Target="https://ppim-intra.pea.co.th:4434/request/PPIM195008B1" TargetMode="External"/><Relationship Id="rId1355" Type="http://schemas.openxmlformats.org/officeDocument/2006/relationships/hyperlink" Target="https://ppim-intra.pea.co.th:4434/request/PPIM19500C69" TargetMode="External"/><Relationship Id="rId1562" Type="http://schemas.openxmlformats.org/officeDocument/2006/relationships/hyperlink" Target="https://ppim-intra.pea.co.th:4434/request/PPIM195018B6" TargetMode="External"/><Relationship Id="rId2406" Type="http://schemas.openxmlformats.org/officeDocument/2006/relationships/hyperlink" Target="https://ppim-intra.pea.co.th:4434/request/PPIM1950435D" TargetMode="External"/><Relationship Id="rId2613" Type="http://schemas.openxmlformats.org/officeDocument/2006/relationships/hyperlink" Target="https://ppim-intra.pea.co.th:4434/request/PPIM19505B23" TargetMode="External"/><Relationship Id="rId1008" Type="http://schemas.openxmlformats.org/officeDocument/2006/relationships/hyperlink" Target="https://ppim-intra.pea.co.th:4434/request/PPIM19500191" TargetMode="External"/><Relationship Id="rId1215" Type="http://schemas.openxmlformats.org/officeDocument/2006/relationships/hyperlink" Target="https://ppim-intra.pea.co.th:4434/request/PPIM18504607" TargetMode="External"/><Relationship Id="rId1422" Type="http://schemas.openxmlformats.org/officeDocument/2006/relationships/hyperlink" Target="https://ppim-intra.pea.co.th:4434/request/PPIM195011BB" TargetMode="External"/><Relationship Id="rId1867" Type="http://schemas.openxmlformats.org/officeDocument/2006/relationships/hyperlink" Target="https://ppim-intra.pea.co.th:4434/request/PPIM19502A89" TargetMode="External"/><Relationship Id="rId61" Type="http://schemas.openxmlformats.org/officeDocument/2006/relationships/hyperlink" Target="https://ppim-intra.pea.co.th:4434/request/PPIM1850058C" TargetMode="External"/><Relationship Id="rId1727" Type="http://schemas.openxmlformats.org/officeDocument/2006/relationships/hyperlink" Target="https://ppim-intra.pea.co.th:4434/request/PPIM19502367" TargetMode="External"/><Relationship Id="rId1934" Type="http://schemas.openxmlformats.org/officeDocument/2006/relationships/hyperlink" Target="https://ppim-intra.pea.co.th:4434/request/PPIM19502FB6" TargetMode="External"/><Relationship Id="rId19" Type="http://schemas.openxmlformats.org/officeDocument/2006/relationships/hyperlink" Target="https://ppim-intra.pea.co.th:4434/request/PPIM185001CF" TargetMode="External"/><Relationship Id="rId2196" Type="http://schemas.openxmlformats.org/officeDocument/2006/relationships/hyperlink" Target="https://ppim-intra.pea.co.th:4434/request/PPIM19503B0D" TargetMode="External"/><Relationship Id="rId168" Type="http://schemas.openxmlformats.org/officeDocument/2006/relationships/hyperlink" Target="https://ppim-intra.pea.co.th:4434/request/PPIM185010A1" TargetMode="External"/><Relationship Id="rId375" Type="http://schemas.openxmlformats.org/officeDocument/2006/relationships/hyperlink" Target="https://ppim-intra.pea.co.th:4434/request/PPIM1850133C" TargetMode="External"/><Relationship Id="rId582" Type="http://schemas.openxmlformats.org/officeDocument/2006/relationships/hyperlink" Target="https://ppim-intra.pea.co.th:4434/request/PPIM18502A1C" TargetMode="External"/><Relationship Id="rId2056" Type="http://schemas.openxmlformats.org/officeDocument/2006/relationships/hyperlink" Target="https://ppim-intra.pea.co.th:4434/request/PPIM195034F7" TargetMode="External"/><Relationship Id="rId2263" Type="http://schemas.openxmlformats.org/officeDocument/2006/relationships/hyperlink" Target="https://ppim-intra.pea.co.th:4434/request/PPIM19503684" TargetMode="External"/><Relationship Id="rId2470" Type="http://schemas.openxmlformats.org/officeDocument/2006/relationships/hyperlink" Target="https://ppim-intra.pea.co.th:4434/request/PPIM19504735" TargetMode="External"/><Relationship Id="rId3" Type="http://schemas.openxmlformats.org/officeDocument/2006/relationships/hyperlink" Target="https://ppim-intra.pea.co.th:4434/request/PPIM18500076" TargetMode="External"/><Relationship Id="rId235" Type="http://schemas.openxmlformats.org/officeDocument/2006/relationships/hyperlink" Target="https://ppim-intra.pea.co.th:4434/request/PPIM18501610" TargetMode="External"/><Relationship Id="rId442" Type="http://schemas.openxmlformats.org/officeDocument/2006/relationships/hyperlink" Target="https://ppim-intra.pea.co.th:4434/request/PPIM1850231E" TargetMode="External"/><Relationship Id="rId887" Type="http://schemas.openxmlformats.org/officeDocument/2006/relationships/hyperlink" Target="https://ppim-intra.pea.co.th:4434/request/PPIM18502C08" TargetMode="External"/><Relationship Id="rId1072" Type="http://schemas.openxmlformats.org/officeDocument/2006/relationships/hyperlink" Target="https://ppim-intra.pea.co.th:4434/request/PPIM1950054A" TargetMode="External"/><Relationship Id="rId2123" Type="http://schemas.openxmlformats.org/officeDocument/2006/relationships/hyperlink" Target="https://ppim-intra.pea.co.th:4434/request/PPIM19501AC8" TargetMode="External"/><Relationship Id="rId2330" Type="http://schemas.openxmlformats.org/officeDocument/2006/relationships/hyperlink" Target="https://ppim-intra.pea.co.th:4434/request/PPIM19504308" TargetMode="External"/><Relationship Id="rId2568" Type="http://schemas.openxmlformats.org/officeDocument/2006/relationships/hyperlink" Target="https://ppim-intra.pea.co.th:4434/request/PPIM195057F4" TargetMode="External"/><Relationship Id="rId302" Type="http://schemas.openxmlformats.org/officeDocument/2006/relationships/hyperlink" Target="https://ppim-intra.pea.co.th:4434/request/PPIM18500AE3" TargetMode="External"/><Relationship Id="rId747" Type="http://schemas.openxmlformats.org/officeDocument/2006/relationships/hyperlink" Target="https://ppim-intra.pea.co.th:4434/request/PPIM18502194" TargetMode="External"/><Relationship Id="rId954" Type="http://schemas.openxmlformats.org/officeDocument/2006/relationships/hyperlink" Target="https://ppim-intra.pea.co.th:4434/request/PPIM185033A6" TargetMode="External"/><Relationship Id="rId1377" Type="http://schemas.openxmlformats.org/officeDocument/2006/relationships/hyperlink" Target="https://ppim-intra.pea.co.th:4434/request/PPIM1950102D" TargetMode="External"/><Relationship Id="rId1584" Type="http://schemas.openxmlformats.org/officeDocument/2006/relationships/hyperlink" Target="https://ppim-intra.pea.co.th:4434/request/PPIM1950198B" TargetMode="External"/><Relationship Id="rId1791" Type="http://schemas.openxmlformats.org/officeDocument/2006/relationships/hyperlink" Target="https://ppim-intra.pea.co.th:4434/request/PPIM19502700" TargetMode="External"/><Relationship Id="rId2428" Type="http://schemas.openxmlformats.org/officeDocument/2006/relationships/hyperlink" Target="https://ppim-intra.pea.co.th:4434/request/PPIM19504D47" TargetMode="External"/><Relationship Id="rId2635" Type="http://schemas.openxmlformats.org/officeDocument/2006/relationships/hyperlink" Target="https://ppim-intra.pea.co.th:4434/request/PPIM195058E9" TargetMode="External"/><Relationship Id="rId83" Type="http://schemas.openxmlformats.org/officeDocument/2006/relationships/hyperlink" Target="https://ppim-intra.pea.co.th:4434/request/PPIM1850073A" TargetMode="External"/><Relationship Id="rId607" Type="http://schemas.openxmlformats.org/officeDocument/2006/relationships/hyperlink" Target="https://ppim-intra.pea.co.th:4434/request/PPIM18502B99" TargetMode="External"/><Relationship Id="rId814" Type="http://schemas.openxmlformats.org/officeDocument/2006/relationships/hyperlink" Target="https://ppim-intra.pea.co.th:4434/request/PPIM18503DD6" TargetMode="External"/><Relationship Id="rId1237" Type="http://schemas.openxmlformats.org/officeDocument/2006/relationships/hyperlink" Target="https://ppim-intra.pea.co.th:4434/request/PPIM19500AF1" TargetMode="External"/><Relationship Id="rId1444" Type="http://schemas.openxmlformats.org/officeDocument/2006/relationships/hyperlink" Target="https://ppim-intra.pea.co.th:4434/request/PPIM195012F5" TargetMode="External"/><Relationship Id="rId1651" Type="http://schemas.openxmlformats.org/officeDocument/2006/relationships/hyperlink" Target="https://ppim-intra.pea.co.th:4434/request/PPIM19501EE4" TargetMode="External"/><Relationship Id="rId1889" Type="http://schemas.openxmlformats.org/officeDocument/2006/relationships/hyperlink" Target="https://ppim-intra.pea.co.th:4434/request/PPIM19501FED" TargetMode="External"/><Relationship Id="rId1304" Type="http://schemas.openxmlformats.org/officeDocument/2006/relationships/hyperlink" Target="https://ppim-intra.pea.co.th:4434/request/PPIM19500DE8" TargetMode="External"/><Relationship Id="rId1511" Type="http://schemas.openxmlformats.org/officeDocument/2006/relationships/hyperlink" Target="https://ppim-intra.pea.co.th:4434/request/PPIM195016F5" TargetMode="External"/><Relationship Id="rId1749" Type="http://schemas.openxmlformats.org/officeDocument/2006/relationships/hyperlink" Target="https://ppim-intra.pea.co.th:4434/request/PPIM195023FD" TargetMode="External"/><Relationship Id="rId1956" Type="http://schemas.openxmlformats.org/officeDocument/2006/relationships/hyperlink" Target="https://ppim-intra.pea.co.th:4434/request/PPIM19503090" TargetMode="External"/><Relationship Id="rId1609" Type="http://schemas.openxmlformats.org/officeDocument/2006/relationships/hyperlink" Target="https://ppim-intra.pea.co.th:4434/request/PPIM1950150A" TargetMode="External"/><Relationship Id="rId1816" Type="http://schemas.openxmlformats.org/officeDocument/2006/relationships/hyperlink" Target="https://ppim-intra.pea.co.th:4434/request/PPIM1950172D" TargetMode="External"/><Relationship Id="rId10" Type="http://schemas.openxmlformats.org/officeDocument/2006/relationships/hyperlink" Target="https://ppim-intra.pea.co.th:4434/request/PPIM1850013C" TargetMode="External"/><Relationship Id="rId397" Type="http://schemas.openxmlformats.org/officeDocument/2006/relationships/hyperlink" Target="https://ppim-intra.pea.co.th:4434/request/PPIM185013AD" TargetMode="External"/><Relationship Id="rId2078" Type="http://schemas.openxmlformats.org/officeDocument/2006/relationships/hyperlink" Target="https://ppim-intra.pea.co.th:4434/request/PPIM1950359F" TargetMode="External"/><Relationship Id="rId2285" Type="http://schemas.openxmlformats.org/officeDocument/2006/relationships/hyperlink" Target="https://ppim-intra.pea.co.th:4434/request/PPIM195041DF" TargetMode="External"/><Relationship Id="rId2492" Type="http://schemas.openxmlformats.org/officeDocument/2006/relationships/hyperlink" Target="https://ppim-intra.pea.co.th:4434/request/PPIM19505296" TargetMode="External"/><Relationship Id="rId257" Type="http://schemas.openxmlformats.org/officeDocument/2006/relationships/hyperlink" Target="https://ppim-intra.pea.co.th:4434/request/PPIM185017CF" TargetMode="External"/><Relationship Id="rId464" Type="http://schemas.openxmlformats.org/officeDocument/2006/relationships/hyperlink" Target="https://ppim-intra.pea.co.th:4434/request/PPIM18502381" TargetMode="External"/><Relationship Id="rId1094" Type="http://schemas.openxmlformats.org/officeDocument/2006/relationships/hyperlink" Target="https://ppim-intra.pea.co.th:4434/request/PPIM195006FB" TargetMode="External"/><Relationship Id="rId2145" Type="http://schemas.openxmlformats.org/officeDocument/2006/relationships/hyperlink" Target="https://ppim-intra.pea.co.th:4434/request/PPIM1950381D" TargetMode="External"/><Relationship Id="rId117" Type="http://schemas.openxmlformats.org/officeDocument/2006/relationships/hyperlink" Target="https://ppim-intra.pea.co.th:4434/request/PPIM18500A1A" TargetMode="External"/><Relationship Id="rId671" Type="http://schemas.openxmlformats.org/officeDocument/2006/relationships/hyperlink" Target="https://ppim-intra.pea.co.th:4434/request/PPIM18503066" TargetMode="External"/><Relationship Id="rId769" Type="http://schemas.openxmlformats.org/officeDocument/2006/relationships/hyperlink" Target="https://ppim-intra.pea.co.th:4434/request/PPIM185039EA" TargetMode="External"/><Relationship Id="rId976" Type="http://schemas.openxmlformats.org/officeDocument/2006/relationships/hyperlink" Target="https://ppim-intra.pea.co.th:4434/request/PPIM185049E9" TargetMode="External"/><Relationship Id="rId1399" Type="http://schemas.openxmlformats.org/officeDocument/2006/relationships/hyperlink" Target="https://ppim-intra.pea.co.th:4434/request/PPIM1950112F" TargetMode="External"/><Relationship Id="rId2352" Type="http://schemas.openxmlformats.org/officeDocument/2006/relationships/hyperlink" Target="https://ppim-intra.pea.co.th:4434/request/PPIM19504346" TargetMode="External"/><Relationship Id="rId324" Type="http://schemas.openxmlformats.org/officeDocument/2006/relationships/hyperlink" Target="https://ppim-intra.pea.co.th:4434/request/PPIM185007BC" TargetMode="External"/><Relationship Id="rId531" Type="http://schemas.openxmlformats.org/officeDocument/2006/relationships/hyperlink" Target="https://ppim-intra.pea.co.th:4434/request/PPIM1850237B" TargetMode="External"/><Relationship Id="rId629" Type="http://schemas.openxmlformats.org/officeDocument/2006/relationships/hyperlink" Target="https://ppim-intra.pea.co.th:4434/request/PPIM18502CC8" TargetMode="External"/><Relationship Id="rId1161" Type="http://schemas.openxmlformats.org/officeDocument/2006/relationships/hyperlink" Target="https://ppim-intra.pea.co.th:4434/request/PPIM19500929" TargetMode="External"/><Relationship Id="rId1259" Type="http://schemas.openxmlformats.org/officeDocument/2006/relationships/hyperlink" Target="https://ppim-intra.pea.co.th:4434/request/PPIM1950083E" TargetMode="External"/><Relationship Id="rId1466" Type="http://schemas.openxmlformats.org/officeDocument/2006/relationships/hyperlink" Target="https://ppim-intra.pea.co.th:4434/request/PPIM195013CA" TargetMode="External"/><Relationship Id="rId2005" Type="http://schemas.openxmlformats.org/officeDocument/2006/relationships/hyperlink" Target="https://ppim-intra.pea.co.th:4434/request/PPIM19502C9C" TargetMode="External"/><Relationship Id="rId2212" Type="http://schemas.openxmlformats.org/officeDocument/2006/relationships/hyperlink" Target="https://ppim-intra.pea.co.th:4434/request/PPIM19503BBD" TargetMode="External"/><Relationship Id="rId836" Type="http://schemas.openxmlformats.org/officeDocument/2006/relationships/hyperlink" Target="https://ppim-intra.pea.co.th:4434/request/PPIM1850401B" TargetMode="External"/><Relationship Id="rId1021" Type="http://schemas.openxmlformats.org/officeDocument/2006/relationships/hyperlink" Target="https://ppim-intra.pea.co.th:4434/request/PPIM185038F6" TargetMode="External"/><Relationship Id="rId1119" Type="http://schemas.openxmlformats.org/officeDocument/2006/relationships/hyperlink" Target="https://ppim-intra.pea.co.th:4434/request/PPIM195007CB" TargetMode="External"/><Relationship Id="rId1673" Type="http://schemas.openxmlformats.org/officeDocument/2006/relationships/hyperlink" Target="https://ppim-intra.pea.co.th:4434/request/PPIM1950202C" TargetMode="External"/><Relationship Id="rId1880" Type="http://schemas.openxmlformats.org/officeDocument/2006/relationships/hyperlink" Target="https://ppim-intra.pea.co.th:4434/request/PPIM195022B0" TargetMode="External"/><Relationship Id="rId1978" Type="http://schemas.openxmlformats.org/officeDocument/2006/relationships/hyperlink" Target="https://ppim-intra.pea.co.th:4434/request/PPIM19501C88" TargetMode="External"/><Relationship Id="rId2517" Type="http://schemas.openxmlformats.org/officeDocument/2006/relationships/hyperlink" Target="https://ppim-intra.pea.co.th:4434/request/PPIM19505403" TargetMode="External"/><Relationship Id="rId903" Type="http://schemas.openxmlformats.org/officeDocument/2006/relationships/hyperlink" Target="https://ppim-intra.pea.co.th:4434/request/PPIM185023DE" TargetMode="External"/><Relationship Id="rId1326" Type="http://schemas.openxmlformats.org/officeDocument/2006/relationships/hyperlink" Target="https://ppim-intra.pea.co.th:4434/request/PPIM19500E16" TargetMode="External"/><Relationship Id="rId1533" Type="http://schemas.openxmlformats.org/officeDocument/2006/relationships/hyperlink" Target="https://ppim-intra.pea.co.th:4434/request/PPIM195017DE" TargetMode="External"/><Relationship Id="rId1740" Type="http://schemas.openxmlformats.org/officeDocument/2006/relationships/hyperlink" Target="https://ppim-intra.pea.co.th:4434/request/PPIM19501100" TargetMode="External"/><Relationship Id="rId32" Type="http://schemas.openxmlformats.org/officeDocument/2006/relationships/hyperlink" Target="https://ppim-intra.pea.co.th:4434/request/PPIM185002E8" TargetMode="External"/><Relationship Id="rId1600" Type="http://schemas.openxmlformats.org/officeDocument/2006/relationships/hyperlink" Target="https://ppim-intra.pea.co.th:4434/request/PPIM19501B2A" TargetMode="External"/><Relationship Id="rId1838" Type="http://schemas.openxmlformats.org/officeDocument/2006/relationships/hyperlink" Target="https://ppim-intra.pea.co.th:4434/request/PPIM19502302" TargetMode="External"/><Relationship Id="rId181" Type="http://schemas.openxmlformats.org/officeDocument/2006/relationships/hyperlink" Target="https://ppim-intra.pea.co.th:4434/request/PPIM18501182" TargetMode="External"/><Relationship Id="rId1905" Type="http://schemas.openxmlformats.org/officeDocument/2006/relationships/hyperlink" Target="https://ppim-intra.pea.co.th:4434/request/PPIM19502E9D" TargetMode="External"/><Relationship Id="rId279" Type="http://schemas.openxmlformats.org/officeDocument/2006/relationships/hyperlink" Target="https://ppim-intra.pea.co.th:4434/request/PPIM185006B6" TargetMode="External"/><Relationship Id="rId486" Type="http://schemas.openxmlformats.org/officeDocument/2006/relationships/hyperlink" Target="https://ppim-intra.pea.co.th:4434/request/PPIM18502542" TargetMode="External"/><Relationship Id="rId693" Type="http://schemas.openxmlformats.org/officeDocument/2006/relationships/hyperlink" Target="https://ppim-intra.pea.co.th:4434/request/PPIM185031C1" TargetMode="External"/><Relationship Id="rId2167" Type="http://schemas.openxmlformats.org/officeDocument/2006/relationships/hyperlink" Target="https://ppim-intra.pea.co.th:4434/request/PPIM19503940" TargetMode="External"/><Relationship Id="rId2374" Type="http://schemas.openxmlformats.org/officeDocument/2006/relationships/hyperlink" Target="https://ppim-intra.pea.co.th:4434/request/PPIM19504557" TargetMode="External"/><Relationship Id="rId2581" Type="http://schemas.openxmlformats.org/officeDocument/2006/relationships/hyperlink" Target="https://ppim-intra.pea.co.th:4434/request/PPIM195058D4" TargetMode="External"/><Relationship Id="rId139" Type="http://schemas.openxmlformats.org/officeDocument/2006/relationships/hyperlink" Target="https://ppim-intra.pea.co.th:4434/request/PPIM18500CF4" TargetMode="External"/><Relationship Id="rId346" Type="http://schemas.openxmlformats.org/officeDocument/2006/relationships/hyperlink" Target="https://ppim-intra.pea.co.th:4434/request/PPIM18501D39" TargetMode="External"/><Relationship Id="rId553" Type="http://schemas.openxmlformats.org/officeDocument/2006/relationships/hyperlink" Target="https://ppim-intra.pea.co.th:4434/request/PPIM18502905" TargetMode="External"/><Relationship Id="rId760" Type="http://schemas.openxmlformats.org/officeDocument/2006/relationships/hyperlink" Target="https://ppim-intra.pea.co.th:4434/request/PPIM18502509" TargetMode="External"/><Relationship Id="rId998" Type="http://schemas.openxmlformats.org/officeDocument/2006/relationships/hyperlink" Target="https://ppim-intra.pea.co.th:4434/request/PPIM19500135" TargetMode="External"/><Relationship Id="rId1183" Type="http://schemas.openxmlformats.org/officeDocument/2006/relationships/hyperlink" Target="https://ppim-intra.pea.co.th:4434/request/PPIM1950010E" TargetMode="External"/><Relationship Id="rId1390" Type="http://schemas.openxmlformats.org/officeDocument/2006/relationships/hyperlink" Target="https://ppim-intra.pea.co.th:4434/request/PPIM19500E3B" TargetMode="External"/><Relationship Id="rId2027" Type="http://schemas.openxmlformats.org/officeDocument/2006/relationships/hyperlink" Target="https://ppim-intra.pea.co.th:4434/request/PPIM195023D5" TargetMode="External"/><Relationship Id="rId2234" Type="http://schemas.openxmlformats.org/officeDocument/2006/relationships/hyperlink" Target="https://ppim-intra.pea.co.th:4434/request/PPIM19503DBE" TargetMode="External"/><Relationship Id="rId2441" Type="http://schemas.openxmlformats.org/officeDocument/2006/relationships/hyperlink" Target="https://ppim-intra.pea.co.th:4434/request/PPIM19504E8A" TargetMode="External"/><Relationship Id="rId206" Type="http://schemas.openxmlformats.org/officeDocument/2006/relationships/hyperlink" Target="https://ppim-intra.pea.co.th:4434/request/PPIM185013A1" TargetMode="External"/><Relationship Id="rId413" Type="http://schemas.openxmlformats.org/officeDocument/2006/relationships/hyperlink" Target="https://ppim-intra.pea.co.th:4434/request/PPIM185021A7" TargetMode="External"/><Relationship Id="rId858" Type="http://schemas.openxmlformats.org/officeDocument/2006/relationships/hyperlink" Target="https://ppim-intra.pea.co.th:4434/request/PPIM185012F4" TargetMode="External"/><Relationship Id="rId1043" Type="http://schemas.openxmlformats.org/officeDocument/2006/relationships/hyperlink" Target="https://ppim-intra.pea.co.th:4434/request/PPIM19500403" TargetMode="External"/><Relationship Id="rId1488" Type="http://schemas.openxmlformats.org/officeDocument/2006/relationships/hyperlink" Target="https://ppim-intra.pea.co.th:4434/request/PPIM195015BE" TargetMode="External"/><Relationship Id="rId1695" Type="http://schemas.openxmlformats.org/officeDocument/2006/relationships/hyperlink" Target="https://ppim-intra.pea.co.th:4434/request/PPIM19502158" TargetMode="External"/><Relationship Id="rId2539" Type="http://schemas.openxmlformats.org/officeDocument/2006/relationships/hyperlink" Target="https://ppim-intra.pea.co.th:4434/request/PPIM195055CE" TargetMode="External"/><Relationship Id="rId620" Type="http://schemas.openxmlformats.org/officeDocument/2006/relationships/hyperlink" Target="https://ppim-intra.pea.co.th:4434/request/PPIM185023D1" TargetMode="External"/><Relationship Id="rId718" Type="http://schemas.openxmlformats.org/officeDocument/2006/relationships/hyperlink" Target="https://ppim-intra.pea.co.th:4434/request/PPIM1850347E" TargetMode="External"/><Relationship Id="rId925" Type="http://schemas.openxmlformats.org/officeDocument/2006/relationships/hyperlink" Target="https://ppim-intra.pea.co.th:4434/request/PPIM185046BC" TargetMode="External"/><Relationship Id="rId1250" Type="http://schemas.openxmlformats.org/officeDocument/2006/relationships/hyperlink" Target="https://ppim-intra.pea.co.th:4434/request/PPIM19500B5A" TargetMode="External"/><Relationship Id="rId1348" Type="http://schemas.openxmlformats.org/officeDocument/2006/relationships/hyperlink" Target="https://ppim-intra.pea.co.th:4434/request/PPIM19500E81" TargetMode="External"/><Relationship Id="rId1555" Type="http://schemas.openxmlformats.org/officeDocument/2006/relationships/hyperlink" Target="https://ppim-intra.pea.co.th:4434/request/PPIM19501861" TargetMode="External"/><Relationship Id="rId1762" Type="http://schemas.openxmlformats.org/officeDocument/2006/relationships/hyperlink" Target="https://ppim-intra.pea.co.th:4434/request/PPIM1950258A" TargetMode="External"/><Relationship Id="rId2301" Type="http://schemas.openxmlformats.org/officeDocument/2006/relationships/hyperlink" Target="https://ppim-intra.pea.co.th:4434/request/PPIM195042C4" TargetMode="External"/><Relationship Id="rId2606" Type="http://schemas.openxmlformats.org/officeDocument/2006/relationships/hyperlink" Target="https://ppim-intra.pea.co.th:4434/request/PPIM19505A77" TargetMode="External"/><Relationship Id="rId1110" Type="http://schemas.openxmlformats.org/officeDocument/2006/relationships/hyperlink" Target="https://ppim-intra.pea.co.th:4434/request/PPIM1950078A" TargetMode="External"/><Relationship Id="rId1208" Type="http://schemas.openxmlformats.org/officeDocument/2006/relationships/hyperlink" Target="https://ppim-intra.pea.co.th:4434/request/PPIM19500A4F" TargetMode="External"/><Relationship Id="rId1415" Type="http://schemas.openxmlformats.org/officeDocument/2006/relationships/hyperlink" Target="https://ppim-intra.pea.co.th:4434/request/PPIM19501195" TargetMode="External"/><Relationship Id="rId54" Type="http://schemas.openxmlformats.org/officeDocument/2006/relationships/hyperlink" Target="https://ppim-intra.pea.co.th:4434/request/PPIM18500476" TargetMode="External"/><Relationship Id="rId1622" Type="http://schemas.openxmlformats.org/officeDocument/2006/relationships/hyperlink" Target="https://ppim-intra.pea.co.th:4434/request/PPIM195016F2" TargetMode="External"/><Relationship Id="rId1927" Type="http://schemas.openxmlformats.org/officeDocument/2006/relationships/hyperlink" Target="https://ppim-intra.pea.co.th:4434/request/PPIM195027DC" TargetMode="External"/><Relationship Id="rId2091" Type="http://schemas.openxmlformats.org/officeDocument/2006/relationships/hyperlink" Target="https://ppim-intra.pea.co.th:4434/request/PPIM1950355E" TargetMode="External"/><Relationship Id="rId2189" Type="http://schemas.openxmlformats.org/officeDocument/2006/relationships/hyperlink" Target="https://ppim-intra.pea.co.th:4434/request/PPIM19503A66" TargetMode="External"/><Relationship Id="rId270" Type="http://schemas.openxmlformats.org/officeDocument/2006/relationships/hyperlink" Target="https://ppim-intra.pea.co.th:4434/request/PPIM18500626" TargetMode="External"/><Relationship Id="rId2396" Type="http://schemas.openxmlformats.org/officeDocument/2006/relationships/hyperlink" Target="https://ppim-intra.pea.co.th:4434/request/PPIM19504AB7" TargetMode="External"/><Relationship Id="rId130" Type="http://schemas.openxmlformats.org/officeDocument/2006/relationships/hyperlink" Target="https://ppim-intra.pea.co.th:4434/request/PPIM18500BDC" TargetMode="External"/><Relationship Id="rId368" Type="http://schemas.openxmlformats.org/officeDocument/2006/relationships/hyperlink" Target="https://ppim-intra.pea.co.th:4434/request/PPIM18501E33" TargetMode="External"/><Relationship Id="rId575" Type="http://schemas.openxmlformats.org/officeDocument/2006/relationships/hyperlink" Target="https://ppim-intra.pea.co.th:4434/request/PPIM18502210" TargetMode="External"/><Relationship Id="rId782" Type="http://schemas.openxmlformats.org/officeDocument/2006/relationships/hyperlink" Target="https://ppim-intra.pea.co.th:4434/request/PPIM18503A8E" TargetMode="External"/><Relationship Id="rId2049" Type="http://schemas.openxmlformats.org/officeDocument/2006/relationships/hyperlink" Target="https://ppim-intra.pea.co.th:4434/request/PPIM195034B3" TargetMode="External"/><Relationship Id="rId2256" Type="http://schemas.openxmlformats.org/officeDocument/2006/relationships/hyperlink" Target="https://ppim-intra.pea.co.th:4434/request/PPIM19503A7F" TargetMode="External"/><Relationship Id="rId2463" Type="http://schemas.openxmlformats.org/officeDocument/2006/relationships/hyperlink" Target="https://ppim-intra.pea.co.th:4434/request/PPIM19504FE1" TargetMode="External"/><Relationship Id="rId228" Type="http://schemas.openxmlformats.org/officeDocument/2006/relationships/hyperlink" Target="https://ppim-intra.pea.co.th:4434/request/PPIM185015AC" TargetMode="External"/><Relationship Id="rId435" Type="http://schemas.openxmlformats.org/officeDocument/2006/relationships/hyperlink" Target="https://ppim-intra.pea.co.th:4434/request/PPIM1850230F" TargetMode="External"/><Relationship Id="rId642" Type="http://schemas.openxmlformats.org/officeDocument/2006/relationships/hyperlink" Target="https://ppim-intra.pea.co.th:4434/request/PPIM18502404" TargetMode="External"/><Relationship Id="rId1065" Type="http://schemas.openxmlformats.org/officeDocument/2006/relationships/hyperlink" Target="https://ppim-intra.pea.co.th:4434/request/PPIM195004F8" TargetMode="External"/><Relationship Id="rId1272" Type="http://schemas.openxmlformats.org/officeDocument/2006/relationships/hyperlink" Target="https://ppim-intra.pea.co.th:4434/request/PPIM19500C30" TargetMode="External"/><Relationship Id="rId2116" Type="http://schemas.openxmlformats.org/officeDocument/2006/relationships/hyperlink" Target="https://ppim-intra.pea.co.th:4434/request/PPIM1950368A" TargetMode="External"/><Relationship Id="rId2323" Type="http://schemas.openxmlformats.org/officeDocument/2006/relationships/hyperlink" Target="https://ppim-intra.pea.co.th:4434/request/PPIM195043D1" TargetMode="External"/><Relationship Id="rId2530" Type="http://schemas.openxmlformats.org/officeDocument/2006/relationships/hyperlink" Target="https://ppim-intra.pea.co.th:4434/request/PPIM19504F4D" TargetMode="External"/><Relationship Id="rId502" Type="http://schemas.openxmlformats.org/officeDocument/2006/relationships/hyperlink" Target="https://ppim-intra.pea.co.th:4434/request/PPIM1850264D" TargetMode="External"/><Relationship Id="rId947" Type="http://schemas.openxmlformats.org/officeDocument/2006/relationships/hyperlink" Target="https://ppim-intra.pea.co.th:4434/request/PPIM18504859" TargetMode="External"/><Relationship Id="rId1132" Type="http://schemas.openxmlformats.org/officeDocument/2006/relationships/hyperlink" Target="https://ppim-intra.pea.co.th:4434/request/PPIM19500832" TargetMode="External"/><Relationship Id="rId1577" Type="http://schemas.openxmlformats.org/officeDocument/2006/relationships/hyperlink" Target="https://ppim-intra.pea.co.th:4434/request/PPIM1950192E" TargetMode="External"/><Relationship Id="rId1784" Type="http://schemas.openxmlformats.org/officeDocument/2006/relationships/hyperlink" Target="https://ppim-intra.pea.co.th:4434/request/PPIM1950262B" TargetMode="External"/><Relationship Id="rId1991" Type="http://schemas.openxmlformats.org/officeDocument/2006/relationships/hyperlink" Target="https://ppim-intra.pea.co.th:4434/request/PPIM19503263" TargetMode="External"/><Relationship Id="rId2628" Type="http://schemas.openxmlformats.org/officeDocument/2006/relationships/hyperlink" Target="https://ppim-intra.pea.co.th:4434/request/PPIM19505BAA" TargetMode="External"/><Relationship Id="rId76" Type="http://schemas.openxmlformats.org/officeDocument/2006/relationships/hyperlink" Target="https://ppim-intra.pea.co.th:4434/request/PPIM18500713" TargetMode="External"/><Relationship Id="rId807" Type="http://schemas.openxmlformats.org/officeDocument/2006/relationships/hyperlink" Target="https://ppim-intra.pea.co.th:4434/request/PPIM18503C92" TargetMode="External"/><Relationship Id="rId1437" Type="http://schemas.openxmlformats.org/officeDocument/2006/relationships/hyperlink" Target="https://ppim-intra.pea.co.th:4434/request/PPIM1950048A" TargetMode="External"/><Relationship Id="rId1644" Type="http://schemas.openxmlformats.org/officeDocument/2006/relationships/hyperlink" Target="https://ppim-intra.pea.co.th:4434/request/PPIM19501EA9" TargetMode="External"/><Relationship Id="rId1851" Type="http://schemas.openxmlformats.org/officeDocument/2006/relationships/hyperlink" Target="https://ppim-intra.pea.co.th:4434/request/PPIM195025D5" TargetMode="External"/><Relationship Id="rId1504" Type="http://schemas.openxmlformats.org/officeDocument/2006/relationships/hyperlink" Target="https://ppim-intra.pea.co.th:4434/request/PPIM195010BF" TargetMode="External"/><Relationship Id="rId1711" Type="http://schemas.openxmlformats.org/officeDocument/2006/relationships/hyperlink" Target="https://ppim-intra.pea.co.th:4434/request/PPIM195022A0" TargetMode="External"/><Relationship Id="rId1949" Type="http://schemas.openxmlformats.org/officeDocument/2006/relationships/hyperlink" Target="https://ppim-intra.pea.co.th:4434/request/PPIM195028D8" TargetMode="External"/><Relationship Id="rId292" Type="http://schemas.openxmlformats.org/officeDocument/2006/relationships/hyperlink" Target="https://ppim-intra.pea.co.th:4434/request/PPIM18501B41" TargetMode="External"/><Relationship Id="rId1809" Type="http://schemas.openxmlformats.org/officeDocument/2006/relationships/hyperlink" Target="https://ppim-intra.pea.co.th:4434/request/PPIM19500490" TargetMode="External"/><Relationship Id="rId597" Type="http://schemas.openxmlformats.org/officeDocument/2006/relationships/hyperlink" Target="https://ppim-intra.pea.co.th:4434/request/PPIM18502B06" TargetMode="External"/><Relationship Id="rId2180" Type="http://schemas.openxmlformats.org/officeDocument/2006/relationships/hyperlink" Target="https://ppim-intra.pea.co.th:4434/request/PPIM195039FE" TargetMode="External"/><Relationship Id="rId2278" Type="http://schemas.openxmlformats.org/officeDocument/2006/relationships/hyperlink" Target="https://ppim-intra.pea.co.th:4434/request/PPIM19503D7A" TargetMode="External"/><Relationship Id="rId2485" Type="http://schemas.openxmlformats.org/officeDocument/2006/relationships/hyperlink" Target="https://ppim-intra.pea.co.th:4434/request/PPIM195051F4" TargetMode="External"/><Relationship Id="rId152" Type="http://schemas.openxmlformats.org/officeDocument/2006/relationships/hyperlink" Target="https://ppim-intra.pea.co.th:4434/request/PPIM18500F16" TargetMode="External"/><Relationship Id="rId457" Type="http://schemas.openxmlformats.org/officeDocument/2006/relationships/hyperlink" Target="https://ppim-intra.pea.co.th:4434/request/PPIM18502365" TargetMode="External"/><Relationship Id="rId1087" Type="http://schemas.openxmlformats.org/officeDocument/2006/relationships/hyperlink" Target="https://ppim-intra.pea.co.th:4434/request/PPIM1850369B" TargetMode="External"/><Relationship Id="rId1294" Type="http://schemas.openxmlformats.org/officeDocument/2006/relationships/hyperlink" Target="https://ppim-intra.pea.co.th:4434/request/PPIM19500D31" TargetMode="External"/><Relationship Id="rId2040" Type="http://schemas.openxmlformats.org/officeDocument/2006/relationships/hyperlink" Target="https://ppim-intra.pea.co.th:4434/request/PPIM195012EF" TargetMode="External"/><Relationship Id="rId2138" Type="http://schemas.openxmlformats.org/officeDocument/2006/relationships/hyperlink" Target="https://ppim-intra.pea.co.th:4434/request/PPIM1950372F" TargetMode="External"/><Relationship Id="rId664" Type="http://schemas.openxmlformats.org/officeDocument/2006/relationships/hyperlink" Target="https://ppim-intra.pea.co.th:4434/request/PPIM185024CA" TargetMode="External"/><Relationship Id="rId871" Type="http://schemas.openxmlformats.org/officeDocument/2006/relationships/hyperlink" Target="https://ppim-intra.pea.co.th:4434/request/PPIM185020A2" TargetMode="External"/><Relationship Id="rId969" Type="http://schemas.openxmlformats.org/officeDocument/2006/relationships/hyperlink" Target="https://ppim-intra.pea.co.th:4434/request/PPIM1850498A" TargetMode="External"/><Relationship Id="rId1599" Type="http://schemas.openxmlformats.org/officeDocument/2006/relationships/hyperlink" Target="https://ppim-intra.pea.co.th:4434/request/PPIM19501B26" TargetMode="External"/><Relationship Id="rId2345" Type="http://schemas.openxmlformats.org/officeDocument/2006/relationships/hyperlink" Target="https://ppim-intra.pea.co.th:4434/request/PPIM19504617" TargetMode="External"/><Relationship Id="rId2552" Type="http://schemas.openxmlformats.org/officeDocument/2006/relationships/hyperlink" Target="https://ppim-intra.pea.co.th:4434/request/PPIM1950566B" TargetMode="External"/><Relationship Id="rId317" Type="http://schemas.openxmlformats.org/officeDocument/2006/relationships/hyperlink" Target="https://ppim-intra.pea.co.th:4434/request/PPIM18501C91" TargetMode="External"/><Relationship Id="rId524" Type="http://schemas.openxmlformats.org/officeDocument/2006/relationships/hyperlink" Target="https://ppim-intra.pea.co.th:4434/request/PPIM185027B6" TargetMode="External"/><Relationship Id="rId731" Type="http://schemas.openxmlformats.org/officeDocument/2006/relationships/hyperlink" Target="https://ppim-intra.pea.co.th:4434/request/PPIM18503611" TargetMode="External"/><Relationship Id="rId1154" Type="http://schemas.openxmlformats.org/officeDocument/2006/relationships/hyperlink" Target="https://ppim-intra.pea.co.th:4434/request/PPIM185046A0" TargetMode="External"/><Relationship Id="rId1361" Type="http://schemas.openxmlformats.org/officeDocument/2006/relationships/hyperlink" Target="https://ppim-intra.pea.co.th:4434/request/PPIM1950025A" TargetMode="External"/><Relationship Id="rId1459" Type="http://schemas.openxmlformats.org/officeDocument/2006/relationships/hyperlink" Target="https://ppim-intra.pea.co.th:4434/request/PPIM19501397" TargetMode="External"/><Relationship Id="rId2205" Type="http://schemas.openxmlformats.org/officeDocument/2006/relationships/hyperlink" Target="https://ppim-intra.pea.co.th:4434/request/PPIM19503BC7" TargetMode="External"/><Relationship Id="rId2412" Type="http://schemas.openxmlformats.org/officeDocument/2006/relationships/hyperlink" Target="https://ppim-intra.pea.co.th:4434/request/PPIM19504C0D" TargetMode="External"/><Relationship Id="rId98" Type="http://schemas.openxmlformats.org/officeDocument/2006/relationships/hyperlink" Target="https://ppim-intra.pea.co.th:4434/request/PPIM185008A0" TargetMode="External"/><Relationship Id="rId829" Type="http://schemas.openxmlformats.org/officeDocument/2006/relationships/hyperlink" Target="https://ppim-intra.pea.co.th:4434/request/PPIM18503F05" TargetMode="External"/><Relationship Id="rId1014" Type="http://schemas.openxmlformats.org/officeDocument/2006/relationships/hyperlink" Target="https://ppim-intra.pea.co.th:4434/request/PPIM19500248" TargetMode="External"/><Relationship Id="rId1221" Type="http://schemas.openxmlformats.org/officeDocument/2006/relationships/hyperlink" Target="https://ppim-intra.pea.co.th:4434/request/PPIM19500AA0" TargetMode="External"/><Relationship Id="rId1666" Type="http://schemas.openxmlformats.org/officeDocument/2006/relationships/hyperlink" Target="https://ppim-intra.pea.co.th:4434/request/PPIM195015EA" TargetMode="External"/><Relationship Id="rId1873" Type="http://schemas.openxmlformats.org/officeDocument/2006/relationships/hyperlink" Target="https://ppim-intra.pea.co.th:4434/request/PPIM195024F7" TargetMode="External"/><Relationship Id="rId1319" Type="http://schemas.openxmlformats.org/officeDocument/2006/relationships/hyperlink" Target="https://ppim-intra.pea.co.th:4434/request/PPIM19500E05" TargetMode="External"/><Relationship Id="rId1526" Type="http://schemas.openxmlformats.org/officeDocument/2006/relationships/hyperlink" Target="https://ppim-intra.pea.co.th:4434/request/PPIM1950178E" TargetMode="External"/><Relationship Id="rId1733" Type="http://schemas.openxmlformats.org/officeDocument/2006/relationships/hyperlink" Target="https://ppim-intra.pea.co.th:4434/request/PPIM19502371" TargetMode="External"/><Relationship Id="rId1940" Type="http://schemas.openxmlformats.org/officeDocument/2006/relationships/hyperlink" Target="https://ppim-intra.pea.co.th:4434/request/PPIM19502FEC" TargetMode="External"/><Relationship Id="rId25" Type="http://schemas.openxmlformats.org/officeDocument/2006/relationships/hyperlink" Target="https://ppim-intra.pea.co.th:4434/request/PPIM18500242" TargetMode="External"/><Relationship Id="rId1800" Type="http://schemas.openxmlformats.org/officeDocument/2006/relationships/hyperlink" Target="https://ppim-intra.pea.co.th:4434/request/PPIM195017BE" TargetMode="External"/><Relationship Id="rId174" Type="http://schemas.openxmlformats.org/officeDocument/2006/relationships/hyperlink" Target="https://ppim-intra.pea.co.th:4434/request/PPIM1850115B" TargetMode="External"/><Relationship Id="rId381" Type="http://schemas.openxmlformats.org/officeDocument/2006/relationships/hyperlink" Target="https://ppim-intra.pea.co.th:4434/request/PPIM18501892" TargetMode="External"/><Relationship Id="rId2062" Type="http://schemas.openxmlformats.org/officeDocument/2006/relationships/hyperlink" Target="https://ppim-intra.pea.co.th:4434/request/PPIM19503506" TargetMode="External"/><Relationship Id="rId241" Type="http://schemas.openxmlformats.org/officeDocument/2006/relationships/hyperlink" Target="https://ppim-intra.pea.co.th:4434/request/PPIM18501669" TargetMode="External"/><Relationship Id="rId479" Type="http://schemas.openxmlformats.org/officeDocument/2006/relationships/hyperlink" Target="https://ppim-intra.pea.co.th:4434/request/PPIM1850246C" TargetMode="External"/><Relationship Id="rId686" Type="http://schemas.openxmlformats.org/officeDocument/2006/relationships/hyperlink" Target="https://ppim-intra.pea.co.th:4434/request/PPIM18503183" TargetMode="External"/><Relationship Id="rId893" Type="http://schemas.openxmlformats.org/officeDocument/2006/relationships/hyperlink" Target="https://ppim-intra.pea.co.th:4434/request/PPIM18504426" TargetMode="External"/><Relationship Id="rId2367" Type="http://schemas.openxmlformats.org/officeDocument/2006/relationships/hyperlink" Target="https://ppim-intra.pea.co.th:4434/request/PPIM19504780" TargetMode="External"/><Relationship Id="rId2574" Type="http://schemas.openxmlformats.org/officeDocument/2006/relationships/hyperlink" Target="https://ppim-intra.pea.co.th:4434/request/PPIM19505854" TargetMode="External"/><Relationship Id="rId339" Type="http://schemas.openxmlformats.org/officeDocument/2006/relationships/hyperlink" Target="https://ppim-intra.pea.co.th:4434/request/PPIM18501D18" TargetMode="External"/><Relationship Id="rId546" Type="http://schemas.openxmlformats.org/officeDocument/2006/relationships/hyperlink" Target="https://ppim-intra.pea.co.th:4434/request/PPIM185028BB" TargetMode="External"/><Relationship Id="rId753" Type="http://schemas.openxmlformats.org/officeDocument/2006/relationships/hyperlink" Target="https://ppim-intra.pea.co.th:4434/request/PPIM1850387A" TargetMode="External"/><Relationship Id="rId1176" Type="http://schemas.openxmlformats.org/officeDocument/2006/relationships/hyperlink" Target="https://ppim-intra.pea.co.th:4434/request/PPIM19500891" TargetMode="External"/><Relationship Id="rId1383" Type="http://schemas.openxmlformats.org/officeDocument/2006/relationships/hyperlink" Target="https://ppim-intra.pea.co.th:4434/request/PPIM1950106C" TargetMode="External"/><Relationship Id="rId2227" Type="http://schemas.openxmlformats.org/officeDocument/2006/relationships/hyperlink" Target="https://ppim-intra.pea.co.th:4434/request/PPIM19503CAE" TargetMode="External"/><Relationship Id="rId2434" Type="http://schemas.openxmlformats.org/officeDocument/2006/relationships/hyperlink" Target="https://ppim-intra.pea.co.th:4434/request/PPIM19504DA8" TargetMode="External"/><Relationship Id="rId101" Type="http://schemas.openxmlformats.org/officeDocument/2006/relationships/hyperlink" Target="https://ppim-intra.pea.co.th:4434/request/PPIM185008EB" TargetMode="External"/><Relationship Id="rId406" Type="http://schemas.openxmlformats.org/officeDocument/2006/relationships/hyperlink" Target="https://ppim-intra.pea.co.th:4434/request/PPIM185013A4" TargetMode="External"/><Relationship Id="rId960" Type="http://schemas.openxmlformats.org/officeDocument/2006/relationships/hyperlink" Target="https://ppim-intra.pea.co.th:4434/request/PPIM185048FE" TargetMode="External"/><Relationship Id="rId1036" Type="http://schemas.openxmlformats.org/officeDocument/2006/relationships/hyperlink" Target="https://ppim-intra.pea.co.th:4434/request/PPIM195003A5" TargetMode="External"/><Relationship Id="rId1243" Type="http://schemas.openxmlformats.org/officeDocument/2006/relationships/hyperlink" Target="https://ppim-intra.pea.co.th:4434/request/PPIM19500B28" TargetMode="External"/><Relationship Id="rId1590" Type="http://schemas.openxmlformats.org/officeDocument/2006/relationships/hyperlink" Target="https://ppim-intra.pea.co.th:4434/request/PPIM19501A53" TargetMode="External"/><Relationship Id="rId1688" Type="http://schemas.openxmlformats.org/officeDocument/2006/relationships/hyperlink" Target="https://ppim-intra.pea.co.th:4434/request/PPIM19502118" TargetMode="External"/><Relationship Id="rId1895" Type="http://schemas.openxmlformats.org/officeDocument/2006/relationships/hyperlink" Target="https://ppim-intra.pea.co.th:4434/request/PPIM19501F8C" TargetMode="External"/><Relationship Id="rId2641" Type="http://schemas.openxmlformats.org/officeDocument/2006/relationships/hyperlink" Target="https://ppim-intra.pea.co.th:4434/request/PPIM19505C2F" TargetMode="External"/><Relationship Id="rId613" Type="http://schemas.openxmlformats.org/officeDocument/2006/relationships/hyperlink" Target="https://ppim-intra.pea.co.th:4434/request/PPIM18502BE9" TargetMode="External"/><Relationship Id="rId820" Type="http://schemas.openxmlformats.org/officeDocument/2006/relationships/hyperlink" Target="https://ppim-intra.pea.co.th:4434/request/PPIM18503E1B" TargetMode="External"/><Relationship Id="rId918" Type="http://schemas.openxmlformats.org/officeDocument/2006/relationships/hyperlink" Target="https://ppim-intra.pea.co.th:4434/request/PPIM18504602" TargetMode="External"/><Relationship Id="rId1450" Type="http://schemas.openxmlformats.org/officeDocument/2006/relationships/hyperlink" Target="https://ppim-intra.pea.co.th:4434/request/PPIM1950134D" TargetMode="External"/><Relationship Id="rId1548" Type="http://schemas.openxmlformats.org/officeDocument/2006/relationships/hyperlink" Target="https://ppim-intra.pea.co.th:4434/request/PPIM1950182E" TargetMode="External"/><Relationship Id="rId1755" Type="http://schemas.openxmlformats.org/officeDocument/2006/relationships/hyperlink" Target="https://ppim-intra.pea.co.th:4434/request/PPIM19502548" TargetMode="External"/><Relationship Id="rId2501" Type="http://schemas.openxmlformats.org/officeDocument/2006/relationships/hyperlink" Target="https://ppim-intra.pea.co.th:4434/request/PPIM1950532A" TargetMode="External"/><Relationship Id="rId1103" Type="http://schemas.openxmlformats.org/officeDocument/2006/relationships/hyperlink" Target="https://ppim-intra.pea.co.th:4434/request/PPIM195001CD" TargetMode="External"/><Relationship Id="rId1310" Type="http://schemas.openxmlformats.org/officeDocument/2006/relationships/hyperlink" Target="https://ppim-intra.pea.co.th:4434/request/PPIM19500DEF" TargetMode="External"/><Relationship Id="rId1408" Type="http://schemas.openxmlformats.org/officeDocument/2006/relationships/hyperlink" Target="https://ppim-intra.pea.co.th:4434/request/PPIM1950115F" TargetMode="External"/><Relationship Id="rId1962" Type="http://schemas.openxmlformats.org/officeDocument/2006/relationships/hyperlink" Target="https://ppim-intra.pea.co.th:4434/request/PPIM19502868" TargetMode="External"/><Relationship Id="rId47" Type="http://schemas.openxmlformats.org/officeDocument/2006/relationships/hyperlink" Target="https://ppim-intra.pea.co.th:4434/request/PPIM185003D9" TargetMode="External"/><Relationship Id="rId1615" Type="http://schemas.openxmlformats.org/officeDocument/2006/relationships/hyperlink" Target="https://ppim-intra.pea.co.th:4434/request/PPIM19501CC4" TargetMode="External"/><Relationship Id="rId1822" Type="http://schemas.openxmlformats.org/officeDocument/2006/relationships/hyperlink" Target="https://ppim-intra.pea.co.th:4434/request/PPIM195029B0" TargetMode="External"/><Relationship Id="rId196" Type="http://schemas.openxmlformats.org/officeDocument/2006/relationships/hyperlink" Target="https://ppim-intra.pea.co.th:4434/request/PPIM18501251" TargetMode="External"/><Relationship Id="rId2084" Type="http://schemas.openxmlformats.org/officeDocument/2006/relationships/hyperlink" Target="https://ppim-intra.pea.co.th:4434/request/PPIM19502F16" TargetMode="External"/><Relationship Id="rId2291" Type="http://schemas.openxmlformats.org/officeDocument/2006/relationships/hyperlink" Target="https://ppim-intra.pea.co.th:4434/request/PPIM195034FD" TargetMode="External"/><Relationship Id="rId263" Type="http://schemas.openxmlformats.org/officeDocument/2006/relationships/hyperlink" Target="https://ppim-intra.pea.co.th:4434/request/PPIM18501845" TargetMode="External"/><Relationship Id="rId470" Type="http://schemas.openxmlformats.org/officeDocument/2006/relationships/hyperlink" Target="https://ppim-intra.pea.co.th:4434/request/PPIM185023CE" TargetMode="External"/><Relationship Id="rId2151" Type="http://schemas.openxmlformats.org/officeDocument/2006/relationships/hyperlink" Target="https://ppim-intra.pea.co.th:4434/request/PPIM195035A5" TargetMode="External"/><Relationship Id="rId2389" Type="http://schemas.openxmlformats.org/officeDocument/2006/relationships/hyperlink" Target="https://ppim-intra.pea.co.th:4434/request/PPIM195047C5" TargetMode="External"/><Relationship Id="rId2596" Type="http://schemas.openxmlformats.org/officeDocument/2006/relationships/hyperlink" Target="https://ppim-intra.pea.co.th:4434/request/PPIM195059D3" TargetMode="External"/><Relationship Id="rId123" Type="http://schemas.openxmlformats.org/officeDocument/2006/relationships/hyperlink" Target="https://ppim-intra.pea.co.th:4434/request/PPIM18500AAE" TargetMode="External"/><Relationship Id="rId330" Type="http://schemas.openxmlformats.org/officeDocument/2006/relationships/hyperlink" Target="https://ppim-intra.pea.co.th:4434/request/PPIM18501CFF" TargetMode="External"/><Relationship Id="rId568" Type="http://schemas.openxmlformats.org/officeDocument/2006/relationships/hyperlink" Target="https://ppim-intra.pea.co.th:4434/request/PPIM185029B3" TargetMode="External"/><Relationship Id="rId775" Type="http://schemas.openxmlformats.org/officeDocument/2006/relationships/hyperlink" Target="https://ppim-intra.pea.co.th:4434/request/PPIM18503A43" TargetMode="External"/><Relationship Id="rId982" Type="http://schemas.openxmlformats.org/officeDocument/2006/relationships/hyperlink" Target="https://ppim-intra.pea.co.th:4434/request/PPIM18503884" TargetMode="External"/><Relationship Id="rId1198" Type="http://schemas.openxmlformats.org/officeDocument/2006/relationships/hyperlink" Target="https://ppim-intra.pea.co.th:4434/request/PPIM19500A12" TargetMode="External"/><Relationship Id="rId2011" Type="http://schemas.openxmlformats.org/officeDocument/2006/relationships/hyperlink" Target="https://ppim-intra.pea.co.th:4434/request/PPIM19501C87" TargetMode="External"/><Relationship Id="rId2249" Type="http://schemas.openxmlformats.org/officeDocument/2006/relationships/hyperlink" Target="https://ppim-intra.pea.co.th:4434/request/PPIM19503F9B" TargetMode="External"/><Relationship Id="rId2456" Type="http://schemas.openxmlformats.org/officeDocument/2006/relationships/hyperlink" Target="https://ppim-intra.pea.co.th:4434/request/PPIM195046E1" TargetMode="External"/><Relationship Id="rId428" Type="http://schemas.openxmlformats.org/officeDocument/2006/relationships/hyperlink" Target="https://ppim-intra.pea.co.th:4434/request/PPIM185022D6" TargetMode="External"/><Relationship Id="rId635" Type="http://schemas.openxmlformats.org/officeDocument/2006/relationships/hyperlink" Target="https://ppim-intra.pea.co.th:4434/request/PPIM18502D48" TargetMode="External"/><Relationship Id="rId842" Type="http://schemas.openxmlformats.org/officeDocument/2006/relationships/hyperlink" Target="https://ppim-intra.pea.co.th:4434/request/PPIM18504130" TargetMode="External"/><Relationship Id="rId1058" Type="http://schemas.openxmlformats.org/officeDocument/2006/relationships/hyperlink" Target="https://ppim-intra.pea.co.th:4434/request/PPIM1950048F" TargetMode="External"/><Relationship Id="rId1265" Type="http://schemas.openxmlformats.org/officeDocument/2006/relationships/hyperlink" Target="https://ppim-intra.pea.co.th:4434/request/PPIM19500BDE" TargetMode="External"/><Relationship Id="rId1472" Type="http://schemas.openxmlformats.org/officeDocument/2006/relationships/hyperlink" Target="https://ppim-intra.pea.co.th:4434/request/PPIM19501423" TargetMode="External"/><Relationship Id="rId2109" Type="http://schemas.openxmlformats.org/officeDocument/2006/relationships/hyperlink" Target="https://ppim-intra.pea.co.th:4434/request/PPIM19503655" TargetMode="External"/><Relationship Id="rId2316" Type="http://schemas.openxmlformats.org/officeDocument/2006/relationships/hyperlink" Target="https://ppim-intra.pea.co.th:4434/request/PPIM19504360" TargetMode="External"/><Relationship Id="rId2523" Type="http://schemas.openxmlformats.org/officeDocument/2006/relationships/hyperlink" Target="https://ppim-intra.pea.co.th:4434/request/PPIM1950503E" TargetMode="External"/><Relationship Id="rId702" Type="http://schemas.openxmlformats.org/officeDocument/2006/relationships/hyperlink" Target="https://ppim-intra.pea.co.th:4434/request/PPIM185032AD" TargetMode="External"/><Relationship Id="rId1125" Type="http://schemas.openxmlformats.org/officeDocument/2006/relationships/hyperlink" Target="https://ppim-intra.pea.co.th:4434/request/PPIM19500214" TargetMode="External"/><Relationship Id="rId1332" Type="http://schemas.openxmlformats.org/officeDocument/2006/relationships/hyperlink" Target="https://ppim-intra.pea.co.th:4434/request/PPIM19500E09" TargetMode="External"/><Relationship Id="rId1777" Type="http://schemas.openxmlformats.org/officeDocument/2006/relationships/hyperlink" Target="https://ppim-intra.pea.co.th:4434/request/PPIM195025AE" TargetMode="External"/><Relationship Id="rId1984" Type="http://schemas.openxmlformats.org/officeDocument/2006/relationships/hyperlink" Target="https://ppim-intra.pea.co.th:4434/request/PPIM19502F61" TargetMode="External"/><Relationship Id="rId69" Type="http://schemas.openxmlformats.org/officeDocument/2006/relationships/hyperlink" Target="https://ppim-intra.pea.co.th:4434/request/PPIM1850069A" TargetMode="External"/><Relationship Id="rId1637" Type="http://schemas.openxmlformats.org/officeDocument/2006/relationships/hyperlink" Target="https://ppim-intra.pea.co.th:4434/request/PPIM19501E0B" TargetMode="External"/><Relationship Id="rId1844" Type="http://schemas.openxmlformats.org/officeDocument/2006/relationships/hyperlink" Target="https://ppim-intra.pea.co.th:4434/request/PPIM19502393" TargetMode="External"/><Relationship Id="rId1704" Type="http://schemas.openxmlformats.org/officeDocument/2006/relationships/hyperlink" Target="https://ppim-intra.pea.co.th:4434/request/PPIM195021D7" TargetMode="External"/><Relationship Id="rId285" Type="http://schemas.openxmlformats.org/officeDocument/2006/relationships/hyperlink" Target="https://ppim-intra.pea.co.th:4434/request/PPIM18501AAB" TargetMode="External"/><Relationship Id="rId1911" Type="http://schemas.openxmlformats.org/officeDocument/2006/relationships/hyperlink" Target="https://ppim-intra.pea.co.th:4434/request/PPIM19501D6E" TargetMode="External"/><Relationship Id="rId492" Type="http://schemas.openxmlformats.org/officeDocument/2006/relationships/hyperlink" Target="https://ppim-intra.pea.co.th:4434/request/PPIM185025B5" TargetMode="External"/><Relationship Id="rId797" Type="http://schemas.openxmlformats.org/officeDocument/2006/relationships/hyperlink" Target="https://ppim-intra.pea.co.th:4434/request/PPIM18503C0A" TargetMode="External"/><Relationship Id="rId2173" Type="http://schemas.openxmlformats.org/officeDocument/2006/relationships/hyperlink" Target="https://ppim-intra.pea.co.th:4434/request/PPIM1950396C" TargetMode="External"/><Relationship Id="rId2380" Type="http://schemas.openxmlformats.org/officeDocument/2006/relationships/hyperlink" Target="https://ppim-intra.pea.co.th:4434/request/PPIM1950490A" TargetMode="External"/><Relationship Id="rId2478" Type="http://schemas.openxmlformats.org/officeDocument/2006/relationships/hyperlink" Target="https://ppim-intra.pea.co.th:4434/request/PPIM1950511A" TargetMode="External"/><Relationship Id="rId145" Type="http://schemas.openxmlformats.org/officeDocument/2006/relationships/hyperlink" Target="https://ppim-intra.pea.co.th:4434/request/PPIM18500E71" TargetMode="External"/><Relationship Id="rId352" Type="http://schemas.openxmlformats.org/officeDocument/2006/relationships/hyperlink" Target="https://ppim-intra.pea.co.th:4434/request/PPIM18501D80" TargetMode="External"/><Relationship Id="rId1287" Type="http://schemas.openxmlformats.org/officeDocument/2006/relationships/hyperlink" Target="https://ppim-intra.pea.co.th:4434/request/PPIM19500CC0" TargetMode="External"/><Relationship Id="rId2033" Type="http://schemas.openxmlformats.org/officeDocument/2006/relationships/hyperlink" Target="https://ppim-intra.pea.co.th:4434/request/PPIM195030CC" TargetMode="External"/><Relationship Id="rId2240" Type="http://schemas.openxmlformats.org/officeDocument/2006/relationships/hyperlink" Target="https://ppim-intra.pea.co.th:4434/request/PPIM19503E7E" TargetMode="External"/><Relationship Id="rId212" Type="http://schemas.openxmlformats.org/officeDocument/2006/relationships/hyperlink" Target="https://ppim-intra.pea.co.th:4434/request/PPIM185003C7" TargetMode="External"/><Relationship Id="rId657" Type="http://schemas.openxmlformats.org/officeDocument/2006/relationships/hyperlink" Target="https://ppim-intra.pea.co.th:4434/request/PPIM18502F64" TargetMode="External"/><Relationship Id="rId864" Type="http://schemas.openxmlformats.org/officeDocument/2006/relationships/hyperlink" Target="https://ppim-intra.pea.co.th:4434/request/PPIM18504273" TargetMode="External"/><Relationship Id="rId1494" Type="http://schemas.openxmlformats.org/officeDocument/2006/relationships/hyperlink" Target="https://ppim-intra.pea.co.th:4434/request/PPIM19501111" TargetMode="External"/><Relationship Id="rId1799" Type="http://schemas.openxmlformats.org/officeDocument/2006/relationships/hyperlink" Target="https://ppim-intra.pea.co.th:4434/request/PPIM19501A4B" TargetMode="External"/><Relationship Id="rId2100" Type="http://schemas.openxmlformats.org/officeDocument/2006/relationships/hyperlink" Target="https://ppim-intra.pea.co.th:4434/request/PPIM19503588" TargetMode="External"/><Relationship Id="rId2338" Type="http://schemas.openxmlformats.org/officeDocument/2006/relationships/hyperlink" Target="https://ppim-intra.pea.co.th:4434/request/PPIM19504401" TargetMode="External"/><Relationship Id="rId2545" Type="http://schemas.openxmlformats.org/officeDocument/2006/relationships/hyperlink" Target="https://ppim-intra.pea.co.th:4434/request/PPIM19504EDD" TargetMode="External"/><Relationship Id="rId517" Type="http://schemas.openxmlformats.org/officeDocument/2006/relationships/hyperlink" Target="https://ppim-intra.pea.co.th:4434/request/PPIM1850225B" TargetMode="External"/><Relationship Id="rId724" Type="http://schemas.openxmlformats.org/officeDocument/2006/relationships/hyperlink" Target="https://ppim-intra.pea.co.th:4434/request/PPIM1850352D" TargetMode="External"/><Relationship Id="rId931" Type="http://schemas.openxmlformats.org/officeDocument/2006/relationships/hyperlink" Target="https://ppim-intra.pea.co.th:4434/request/PPIM1850470F" TargetMode="External"/><Relationship Id="rId1147" Type="http://schemas.openxmlformats.org/officeDocument/2006/relationships/hyperlink" Target="https://ppim-intra.pea.co.th:4434/request/PPIM195008AC" TargetMode="External"/><Relationship Id="rId1354" Type="http://schemas.openxmlformats.org/officeDocument/2006/relationships/hyperlink" Target="https://ppim-intra.pea.co.th:4434/request/PPIM19500F13" TargetMode="External"/><Relationship Id="rId1561" Type="http://schemas.openxmlformats.org/officeDocument/2006/relationships/hyperlink" Target="https://ppim-intra.pea.co.th:4434/request/PPIM1950034F" TargetMode="External"/><Relationship Id="rId2405" Type="http://schemas.openxmlformats.org/officeDocument/2006/relationships/hyperlink" Target="https://ppim-intra.pea.co.th:4434/request/PPIM19504841" TargetMode="External"/><Relationship Id="rId2612" Type="http://schemas.openxmlformats.org/officeDocument/2006/relationships/hyperlink" Target="https://ppim-intra.pea.co.th:4434/request/PPIM19505B1C" TargetMode="External"/><Relationship Id="rId60" Type="http://schemas.openxmlformats.org/officeDocument/2006/relationships/hyperlink" Target="https://ppim-intra.pea.co.th:4434/request/PPIM18500572" TargetMode="External"/><Relationship Id="rId1007" Type="http://schemas.openxmlformats.org/officeDocument/2006/relationships/hyperlink" Target="https://ppim-intra.pea.co.th:4434/request/PPIM1950018B" TargetMode="External"/><Relationship Id="rId1214" Type="http://schemas.openxmlformats.org/officeDocument/2006/relationships/hyperlink" Target="https://ppim-intra.pea.co.th:4434/request/PPIM195005C4" TargetMode="External"/><Relationship Id="rId1421" Type="http://schemas.openxmlformats.org/officeDocument/2006/relationships/hyperlink" Target="https://ppim-intra.pea.co.th:4434/request/PPIM18504099" TargetMode="External"/><Relationship Id="rId1659" Type="http://schemas.openxmlformats.org/officeDocument/2006/relationships/hyperlink" Target="https://ppim-intra.pea.co.th:4434/request/PPIM19501F4A" TargetMode="External"/><Relationship Id="rId1866" Type="http://schemas.openxmlformats.org/officeDocument/2006/relationships/hyperlink" Target="https://ppim-intra.pea.co.th:4434/request/PPIM19502A8D" TargetMode="External"/><Relationship Id="rId1519" Type="http://schemas.openxmlformats.org/officeDocument/2006/relationships/hyperlink" Target="https://ppim-intra.pea.co.th:4434/request/PPIM19501733" TargetMode="External"/><Relationship Id="rId1726" Type="http://schemas.openxmlformats.org/officeDocument/2006/relationships/hyperlink" Target="https://ppim-intra.pea.co.th:4434/request/PPIM19502366" TargetMode="External"/><Relationship Id="rId1933" Type="http://schemas.openxmlformats.org/officeDocument/2006/relationships/hyperlink" Target="https://ppim-intra.pea.co.th:4434/request/PPIM19502F3E" TargetMode="External"/><Relationship Id="rId18" Type="http://schemas.openxmlformats.org/officeDocument/2006/relationships/hyperlink" Target="https://ppim-intra.pea.co.th:4434/request/PPIM185001C9" TargetMode="External"/><Relationship Id="rId2195" Type="http://schemas.openxmlformats.org/officeDocument/2006/relationships/hyperlink" Target="https://ppim-intra.pea.co.th:4434/request/PPIM19503AC1" TargetMode="External"/><Relationship Id="rId167" Type="http://schemas.openxmlformats.org/officeDocument/2006/relationships/hyperlink" Target="https://ppim-intra.pea.co.th:4434/request/PPIM185010A0" TargetMode="External"/><Relationship Id="rId374" Type="http://schemas.openxmlformats.org/officeDocument/2006/relationships/hyperlink" Target="https://ppim-intra.pea.co.th:4434/request/PPIM18501EBA" TargetMode="External"/><Relationship Id="rId581" Type="http://schemas.openxmlformats.org/officeDocument/2006/relationships/hyperlink" Target="https://ppim-intra.pea.co.th:4434/request/PPIM18502A08" TargetMode="External"/><Relationship Id="rId2055" Type="http://schemas.openxmlformats.org/officeDocument/2006/relationships/hyperlink" Target="https://ppim-intra.pea.co.th:4434/request/PPIM195034F5" TargetMode="External"/><Relationship Id="rId2262" Type="http://schemas.openxmlformats.org/officeDocument/2006/relationships/hyperlink" Target="https://ppim-intra.pea.co.th:4434/request/PPIM1950406B" TargetMode="External"/><Relationship Id="rId234" Type="http://schemas.openxmlformats.org/officeDocument/2006/relationships/hyperlink" Target="https://ppim-intra.pea.co.th:4434/request/PPIM185015FD" TargetMode="External"/><Relationship Id="rId679" Type="http://schemas.openxmlformats.org/officeDocument/2006/relationships/hyperlink" Target="https://ppim-intra.pea.co.th:4434/request/PPIM18503133" TargetMode="External"/><Relationship Id="rId886" Type="http://schemas.openxmlformats.org/officeDocument/2006/relationships/hyperlink" Target="https://ppim-intra.pea.co.th:4434/request/PPIM185043DD" TargetMode="External"/><Relationship Id="rId2567" Type="http://schemas.openxmlformats.org/officeDocument/2006/relationships/hyperlink" Target="https://ppim-intra.pea.co.th:4434/request/PPIM195057C5" TargetMode="External"/><Relationship Id="rId2" Type="http://schemas.openxmlformats.org/officeDocument/2006/relationships/hyperlink" Target="https://ppim-intra.pea.co.th:4434/request/PPIM1850005F" TargetMode="External"/><Relationship Id="rId441" Type="http://schemas.openxmlformats.org/officeDocument/2006/relationships/hyperlink" Target="https://ppim-intra.pea.co.th:4434/request/PPIM1850231C" TargetMode="External"/><Relationship Id="rId539" Type="http://schemas.openxmlformats.org/officeDocument/2006/relationships/hyperlink" Target="https://ppim-intra.pea.co.th:4434/request/PPIM1850204E" TargetMode="External"/><Relationship Id="rId746" Type="http://schemas.openxmlformats.org/officeDocument/2006/relationships/hyperlink" Target="https://ppim-intra.pea.co.th:4434/request/PPIM18503820" TargetMode="External"/><Relationship Id="rId1071" Type="http://schemas.openxmlformats.org/officeDocument/2006/relationships/hyperlink" Target="https://ppim-intra.pea.co.th:4434/request/PPIM19500541" TargetMode="External"/><Relationship Id="rId1169" Type="http://schemas.openxmlformats.org/officeDocument/2006/relationships/hyperlink" Target="https://ppim-intra.pea.co.th:4434/request/PPIM19500963" TargetMode="External"/><Relationship Id="rId1376" Type="http://schemas.openxmlformats.org/officeDocument/2006/relationships/hyperlink" Target="https://ppim-intra.pea.co.th:4434/request/PPIM19501022" TargetMode="External"/><Relationship Id="rId1583" Type="http://schemas.openxmlformats.org/officeDocument/2006/relationships/hyperlink" Target="https://ppim-intra.pea.co.th:4434/request/PPIM19501958" TargetMode="External"/><Relationship Id="rId2122" Type="http://schemas.openxmlformats.org/officeDocument/2006/relationships/hyperlink" Target="https://ppim-intra.pea.co.th:4434/request/PPIM195035DE" TargetMode="External"/><Relationship Id="rId2427" Type="http://schemas.openxmlformats.org/officeDocument/2006/relationships/hyperlink" Target="https://ppim-intra.pea.co.th:4434/request/PPIM19504575" TargetMode="External"/><Relationship Id="rId301" Type="http://schemas.openxmlformats.org/officeDocument/2006/relationships/hyperlink" Target="https://ppim-intra.pea.co.th:4434/request/PPIM18501BE5" TargetMode="External"/><Relationship Id="rId953" Type="http://schemas.openxmlformats.org/officeDocument/2006/relationships/hyperlink" Target="https://ppim-intra.pea.co.th:4434/request/PPIM18504887" TargetMode="External"/><Relationship Id="rId1029" Type="http://schemas.openxmlformats.org/officeDocument/2006/relationships/hyperlink" Target="https://ppim-intra.pea.co.th:4434/request/PPIM1950021D" TargetMode="External"/><Relationship Id="rId1236" Type="http://schemas.openxmlformats.org/officeDocument/2006/relationships/hyperlink" Target="https://ppim-intra.pea.co.th:4434/request/PPIM19500AE2" TargetMode="External"/><Relationship Id="rId1790" Type="http://schemas.openxmlformats.org/officeDocument/2006/relationships/hyperlink" Target="https://ppim-intra.pea.co.th:4434/request/PPIM195026F7" TargetMode="External"/><Relationship Id="rId1888" Type="http://schemas.openxmlformats.org/officeDocument/2006/relationships/hyperlink" Target="https://ppim-intra.pea.co.th:4434/request/PPIM19502DF1" TargetMode="External"/><Relationship Id="rId2634" Type="http://schemas.openxmlformats.org/officeDocument/2006/relationships/hyperlink" Target="https://ppim-intra.pea.co.th:4434/request/PPIM19505A3B" TargetMode="External"/><Relationship Id="rId82" Type="http://schemas.openxmlformats.org/officeDocument/2006/relationships/hyperlink" Target="https://ppim-intra.pea.co.th:4434/request/PPIM18500738" TargetMode="External"/><Relationship Id="rId606" Type="http://schemas.openxmlformats.org/officeDocument/2006/relationships/hyperlink" Target="https://ppim-intra.pea.co.th:4434/request/PPIM18502B96" TargetMode="External"/><Relationship Id="rId813" Type="http://schemas.openxmlformats.org/officeDocument/2006/relationships/hyperlink" Target="https://ppim-intra.pea.co.th:4434/request/PPIM18503DC2" TargetMode="External"/><Relationship Id="rId1443" Type="http://schemas.openxmlformats.org/officeDocument/2006/relationships/hyperlink" Target="https://ppim-intra.pea.co.th:4434/request/PPIM195012F4" TargetMode="External"/><Relationship Id="rId1650" Type="http://schemas.openxmlformats.org/officeDocument/2006/relationships/hyperlink" Target="https://ppim-intra.pea.co.th:4434/request/PPIM19501EC0" TargetMode="External"/><Relationship Id="rId1748" Type="http://schemas.openxmlformats.org/officeDocument/2006/relationships/hyperlink" Target="https://ppim-intra.pea.co.th:4434/request/PPIM195023E6" TargetMode="External"/><Relationship Id="rId1303" Type="http://schemas.openxmlformats.org/officeDocument/2006/relationships/hyperlink" Target="https://ppim-intra.pea.co.th:4434/request/PPIM19500DB2" TargetMode="External"/><Relationship Id="rId1510" Type="http://schemas.openxmlformats.org/officeDocument/2006/relationships/hyperlink" Target="https://ppim-intra.pea.co.th:4434/request/PPIM195016E3" TargetMode="External"/><Relationship Id="rId1955" Type="http://schemas.openxmlformats.org/officeDocument/2006/relationships/hyperlink" Target="https://ppim-intra.pea.co.th:4434/request/PPIM1950306C" TargetMode="External"/><Relationship Id="rId1608" Type="http://schemas.openxmlformats.org/officeDocument/2006/relationships/hyperlink" Target="https://ppim-intra.pea.co.th:4434/request/PPIM1950150E" TargetMode="External"/><Relationship Id="rId1815" Type="http://schemas.openxmlformats.org/officeDocument/2006/relationships/hyperlink" Target="https://ppim-intra.pea.co.th:4434/request/PPIM195028D1" TargetMode="External"/><Relationship Id="rId189" Type="http://schemas.openxmlformats.org/officeDocument/2006/relationships/hyperlink" Target="https://ppim-intra.pea.co.th:4434/request/PPIM185011D4" TargetMode="External"/><Relationship Id="rId396" Type="http://schemas.openxmlformats.org/officeDocument/2006/relationships/hyperlink" Target="https://ppim-intra.pea.co.th:4434/request/PPIM185013A5" TargetMode="External"/><Relationship Id="rId2077" Type="http://schemas.openxmlformats.org/officeDocument/2006/relationships/hyperlink" Target="https://ppim-intra.pea.co.th:4434/request/PPIM19503412" TargetMode="External"/><Relationship Id="rId2284" Type="http://schemas.openxmlformats.org/officeDocument/2006/relationships/hyperlink" Target="https://ppim-intra.pea.co.th:4434/request/PPIM195040DA" TargetMode="External"/><Relationship Id="rId2491" Type="http://schemas.openxmlformats.org/officeDocument/2006/relationships/hyperlink" Target="https://ppim-intra.pea.co.th:4434/request/PPIM19505098" TargetMode="External"/><Relationship Id="rId256" Type="http://schemas.openxmlformats.org/officeDocument/2006/relationships/hyperlink" Target="https://ppim-intra.pea.co.th:4434/request/PPIM185017CD" TargetMode="External"/><Relationship Id="rId463" Type="http://schemas.openxmlformats.org/officeDocument/2006/relationships/hyperlink" Target="https://ppim-intra.pea.co.th:4434/request/PPIM18502380" TargetMode="External"/><Relationship Id="rId670" Type="http://schemas.openxmlformats.org/officeDocument/2006/relationships/hyperlink" Target="https://ppim-intra.pea.co.th:4434/request/PPIM1850305D" TargetMode="External"/><Relationship Id="rId1093" Type="http://schemas.openxmlformats.org/officeDocument/2006/relationships/hyperlink" Target="https://ppim-intra.pea.co.th:4434/request/PPIM195006EE" TargetMode="External"/><Relationship Id="rId2144" Type="http://schemas.openxmlformats.org/officeDocument/2006/relationships/hyperlink" Target="https://ppim-intra.pea.co.th:4434/request/PPIM195037FF" TargetMode="External"/><Relationship Id="rId2351" Type="http://schemas.openxmlformats.org/officeDocument/2006/relationships/hyperlink" Target="https://ppim-intra.pea.co.th:4434/request/PPIM19504348" TargetMode="External"/><Relationship Id="rId2589" Type="http://schemas.openxmlformats.org/officeDocument/2006/relationships/hyperlink" Target="https://ppim-intra.pea.co.th:4434/request/PPIM195052B0" TargetMode="External"/><Relationship Id="rId116" Type="http://schemas.openxmlformats.org/officeDocument/2006/relationships/hyperlink" Target="https://ppim-intra.pea.co.th:4434/request/PPIM18500A10" TargetMode="External"/><Relationship Id="rId323" Type="http://schemas.openxmlformats.org/officeDocument/2006/relationships/hyperlink" Target="https://ppim-intra.pea.co.th:4434/request/PPIM18501CD2" TargetMode="External"/><Relationship Id="rId530" Type="http://schemas.openxmlformats.org/officeDocument/2006/relationships/hyperlink" Target="https://ppim-intra.pea.co.th:4434/request/PPIM18502837" TargetMode="External"/><Relationship Id="rId768" Type="http://schemas.openxmlformats.org/officeDocument/2006/relationships/hyperlink" Target="https://ppim-intra.pea.co.th:4434/request/PPIM185039E5" TargetMode="External"/><Relationship Id="rId975" Type="http://schemas.openxmlformats.org/officeDocument/2006/relationships/hyperlink" Target="https://ppim-intra.pea.co.th:4434/request/PPIM185049BA" TargetMode="External"/><Relationship Id="rId1160" Type="http://schemas.openxmlformats.org/officeDocument/2006/relationships/hyperlink" Target="https://ppim-intra.pea.co.th:4434/request/PPIM19500928" TargetMode="External"/><Relationship Id="rId1398" Type="http://schemas.openxmlformats.org/officeDocument/2006/relationships/hyperlink" Target="https://ppim-intra.pea.co.th:4434/request/PPIM1950112D" TargetMode="External"/><Relationship Id="rId2004" Type="http://schemas.openxmlformats.org/officeDocument/2006/relationships/hyperlink" Target="https://ppim-intra.pea.co.th:4434/request/PPIM19502AF2" TargetMode="External"/><Relationship Id="rId2211" Type="http://schemas.openxmlformats.org/officeDocument/2006/relationships/hyperlink" Target="https://ppim-intra.pea.co.th:4434/request/PPIM19502FCD" TargetMode="External"/><Relationship Id="rId2449" Type="http://schemas.openxmlformats.org/officeDocument/2006/relationships/hyperlink" Target="https://ppim-intra.pea.co.th:4434/request/PPIM19504B11" TargetMode="External"/><Relationship Id="rId628" Type="http://schemas.openxmlformats.org/officeDocument/2006/relationships/hyperlink" Target="https://ppim-intra.pea.co.th:4434/request/PPIM18501931" TargetMode="External"/><Relationship Id="rId835" Type="http://schemas.openxmlformats.org/officeDocument/2006/relationships/hyperlink" Target="https://ppim-intra.pea.co.th:4434/request/PPIM18504019" TargetMode="External"/><Relationship Id="rId1258" Type="http://schemas.openxmlformats.org/officeDocument/2006/relationships/hyperlink" Target="https://ppim-intra.pea.co.th:4434/request/PPIM19500474" TargetMode="External"/><Relationship Id="rId1465" Type="http://schemas.openxmlformats.org/officeDocument/2006/relationships/hyperlink" Target="https://ppim-intra.pea.co.th:4434/request/PPIM195013B5" TargetMode="External"/><Relationship Id="rId1672" Type="http://schemas.openxmlformats.org/officeDocument/2006/relationships/hyperlink" Target="https://ppim-intra.pea.co.th:4434/request/PPIM19502007" TargetMode="External"/><Relationship Id="rId2309" Type="http://schemas.openxmlformats.org/officeDocument/2006/relationships/hyperlink" Target="https://ppim-intra.pea.co.th:4434/request/PPIM1950414E" TargetMode="External"/><Relationship Id="rId2516" Type="http://schemas.openxmlformats.org/officeDocument/2006/relationships/hyperlink" Target="https://ppim-intra.pea.co.th:4434/request/PPIM1950509A" TargetMode="External"/><Relationship Id="rId1020" Type="http://schemas.openxmlformats.org/officeDocument/2006/relationships/hyperlink" Target="https://ppim-intra.pea.co.th:4434/request/PPIM195002EA" TargetMode="External"/><Relationship Id="rId1118" Type="http://schemas.openxmlformats.org/officeDocument/2006/relationships/hyperlink" Target="https://ppim-intra.pea.co.th:4434/request/PPIM195007CA" TargetMode="External"/><Relationship Id="rId1325" Type="http://schemas.openxmlformats.org/officeDocument/2006/relationships/hyperlink" Target="https://ppim-intra.pea.co.th:4434/request/PPIM19500E13" TargetMode="External"/><Relationship Id="rId1532" Type="http://schemas.openxmlformats.org/officeDocument/2006/relationships/hyperlink" Target="https://ppim-intra.pea.co.th:4434/request/PPIM195017C4" TargetMode="External"/><Relationship Id="rId1977" Type="http://schemas.openxmlformats.org/officeDocument/2006/relationships/hyperlink" Target="https://ppim-intra.pea.co.th:4434/request/PPIM19502733" TargetMode="External"/><Relationship Id="rId902" Type="http://schemas.openxmlformats.org/officeDocument/2006/relationships/hyperlink" Target="https://ppim-intra.pea.co.th:4434/request/PPIM1850450B" TargetMode="External"/><Relationship Id="rId1837" Type="http://schemas.openxmlformats.org/officeDocument/2006/relationships/hyperlink" Target="https://ppim-intra.pea.co.th:4434/request/PPIM19502318" TargetMode="External"/><Relationship Id="rId31" Type="http://schemas.openxmlformats.org/officeDocument/2006/relationships/hyperlink" Target="https://ppim-intra.pea.co.th:4434/request/PPIM185002E0" TargetMode="External"/><Relationship Id="rId2099" Type="http://schemas.openxmlformats.org/officeDocument/2006/relationships/hyperlink" Target="https://ppim-intra.pea.co.th:4434/request/PPIM1950357B" TargetMode="External"/><Relationship Id="rId180" Type="http://schemas.openxmlformats.org/officeDocument/2006/relationships/hyperlink" Target="https://ppim-intra.pea.co.th:4434/request/PPIM18501181" TargetMode="External"/><Relationship Id="rId278" Type="http://schemas.openxmlformats.org/officeDocument/2006/relationships/hyperlink" Target="https://ppim-intra.pea.co.th:4434/request/PPIM185019DF" TargetMode="External"/><Relationship Id="rId1904" Type="http://schemas.openxmlformats.org/officeDocument/2006/relationships/hyperlink" Target="https://ppim-intra.pea.co.th:4434/request/PPIM19502EA0" TargetMode="External"/><Relationship Id="rId485" Type="http://schemas.openxmlformats.org/officeDocument/2006/relationships/hyperlink" Target="https://ppim-intra.pea.co.th:4434/request/PPIM1850253E" TargetMode="External"/><Relationship Id="rId692" Type="http://schemas.openxmlformats.org/officeDocument/2006/relationships/hyperlink" Target="https://ppim-intra.pea.co.th:4434/request/PPIM185031B5" TargetMode="External"/><Relationship Id="rId2166" Type="http://schemas.openxmlformats.org/officeDocument/2006/relationships/hyperlink" Target="https://ppim-intra.pea.co.th:4434/request/PPIM19501E7D" TargetMode="External"/><Relationship Id="rId2373" Type="http://schemas.openxmlformats.org/officeDocument/2006/relationships/hyperlink" Target="https://ppim-intra.pea.co.th:4434/request/PPIM19504254" TargetMode="External"/><Relationship Id="rId2580" Type="http://schemas.openxmlformats.org/officeDocument/2006/relationships/hyperlink" Target="https://ppim-intra.pea.co.th:4434/request/PPIM1950455F" TargetMode="External"/><Relationship Id="rId138" Type="http://schemas.openxmlformats.org/officeDocument/2006/relationships/hyperlink" Target="https://ppim-intra.pea.co.th:4434/request/PPIM18500CD9" TargetMode="External"/><Relationship Id="rId345" Type="http://schemas.openxmlformats.org/officeDocument/2006/relationships/hyperlink" Target="https://ppim-intra.pea.co.th:4434/request/PPIM18500723" TargetMode="External"/><Relationship Id="rId552" Type="http://schemas.openxmlformats.org/officeDocument/2006/relationships/hyperlink" Target="https://ppim-intra.pea.co.th:4434/request/PPIM18502901" TargetMode="External"/><Relationship Id="rId997" Type="http://schemas.openxmlformats.org/officeDocument/2006/relationships/hyperlink" Target="https://ppim-intra.pea.co.th:4434/request/PPIM1950011E" TargetMode="External"/><Relationship Id="rId1182" Type="http://schemas.openxmlformats.org/officeDocument/2006/relationships/hyperlink" Target="https://ppim-intra.pea.co.th:4434/request/PPIM195006E7" TargetMode="External"/><Relationship Id="rId2026" Type="http://schemas.openxmlformats.org/officeDocument/2006/relationships/hyperlink" Target="https://ppim-intra.pea.co.th:4434/request/PPIM1950275E" TargetMode="External"/><Relationship Id="rId2233" Type="http://schemas.openxmlformats.org/officeDocument/2006/relationships/hyperlink" Target="https://ppim-intra.pea.co.th:4434/request/PPIM19503A1D" TargetMode="External"/><Relationship Id="rId2440" Type="http://schemas.openxmlformats.org/officeDocument/2006/relationships/hyperlink" Target="https://ppim-intra.pea.co.th:4434/request/PPIM19504E43" TargetMode="External"/><Relationship Id="rId205" Type="http://schemas.openxmlformats.org/officeDocument/2006/relationships/hyperlink" Target="https://ppim-intra.pea.co.th:4434/request/PPIM1850016C" TargetMode="External"/><Relationship Id="rId412" Type="http://schemas.openxmlformats.org/officeDocument/2006/relationships/hyperlink" Target="https://ppim-intra.pea.co.th:4434/request/PPIM185021A5" TargetMode="External"/><Relationship Id="rId857" Type="http://schemas.openxmlformats.org/officeDocument/2006/relationships/hyperlink" Target="https://ppim-intra.pea.co.th:4434/request/PPIM18504249" TargetMode="External"/><Relationship Id="rId1042" Type="http://schemas.openxmlformats.org/officeDocument/2006/relationships/hyperlink" Target="https://ppim-intra.pea.co.th:4434/request/PPIM1850352C" TargetMode="External"/><Relationship Id="rId1487" Type="http://schemas.openxmlformats.org/officeDocument/2006/relationships/hyperlink" Target="https://ppim-intra.pea.co.th:4434/request/PPIM195015AC" TargetMode="External"/><Relationship Id="rId1694" Type="http://schemas.openxmlformats.org/officeDocument/2006/relationships/hyperlink" Target="https://ppim-intra.pea.co.th:4434/request/PPIM19501ABC" TargetMode="External"/><Relationship Id="rId2300" Type="http://schemas.openxmlformats.org/officeDocument/2006/relationships/hyperlink" Target="https://ppim-intra.pea.co.th:4434/request/PPIM19504273" TargetMode="External"/><Relationship Id="rId2538" Type="http://schemas.openxmlformats.org/officeDocument/2006/relationships/hyperlink" Target="https://ppim-intra.pea.co.th:4434/request/PPIM1950551C" TargetMode="External"/><Relationship Id="rId717" Type="http://schemas.openxmlformats.org/officeDocument/2006/relationships/hyperlink" Target="https://ppim-intra.pea.co.th:4434/request/PPIM1850346F" TargetMode="External"/><Relationship Id="rId924" Type="http://schemas.openxmlformats.org/officeDocument/2006/relationships/hyperlink" Target="https://ppim-intra.pea.co.th:4434/request/PPIM185046A1" TargetMode="External"/><Relationship Id="rId1347" Type="http://schemas.openxmlformats.org/officeDocument/2006/relationships/hyperlink" Target="https://ppim-intra.pea.co.th:4434/request/PPIM1850041B" TargetMode="External"/><Relationship Id="rId1554" Type="http://schemas.openxmlformats.org/officeDocument/2006/relationships/hyperlink" Target="https://ppim-intra.pea.co.th:4434/request/PPIM19501852" TargetMode="External"/><Relationship Id="rId1761" Type="http://schemas.openxmlformats.org/officeDocument/2006/relationships/hyperlink" Target="https://ppim-intra.pea.co.th:4434/request/PPIM19502588" TargetMode="External"/><Relationship Id="rId1999" Type="http://schemas.openxmlformats.org/officeDocument/2006/relationships/hyperlink" Target="https://ppim-intra.pea.co.th:4434/request/PPIM1950328B" TargetMode="External"/><Relationship Id="rId2605" Type="http://schemas.openxmlformats.org/officeDocument/2006/relationships/hyperlink" Target="https://ppim-intra.pea.co.th:4434/request/PPIM1950513F" TargetMode="External"/><Relationship Id="rId53" Type="http://schemas.openxmlformats.org/officeDocument/2006/relationships/hyperlink" Target="https://ppim-intra.pea.co.th:4434/request/PPIM1850045A" TargetMode="External"/><Relationship Id="rId1207" Type="http://schemas.openxmlformats.org/officeDocument/2006/relationships/hyperlink" Target="https://ppim-intra.pea.co.th:4434/request/PPIM19500A47" TargetMode="External"/><Relationship Id="rId1414" Type="http://schemas.openxmlformats.org/officeDocument/2006/relationships/hyperlink" Target="https://ppim-intra.pea.co.th:4434/request/PPIM19501180" TargetMode="External"/><Relationship Id="rId1621" Type="http://schemas.openxmlformats.org/officeDocument/2006/relationships/hyperlink" Target="https://ppim-intra.pea.co.th:4434/request/PPIM19501D0A" TargetMode="External"/><Relationship Id="rId1859" Type="http://schemas.openxmlformats.org/officeDocument/2006/relationships/hyperlink" Target="https://ppim-intra.pea.co.th:4434/request/PPIM19501E04" TargetMode="External"/><Relationship Id="rId1719" Type="http://schemas.openxmlformats.org/officeDocument/2006/relationships/hyperlink" Target="https://ppim-intra.pea.co.th:4434/request/PPIM1950234B" TargetMode="External"/><Relationship Id="rId1926" Type="http://schemas.openxmlformats.org/officeDocument/2006/relationships/hyperlink" Target="https://ppim-intra.pea.co.th:4434/request/PPIM195027CA" TargetMode="External"/><Relationship Id="rId2090" Type="http://schemas.openxmlformats.org/officeDocument/2006/relationships/hyperlink" Target="https://ppim-intra.pea.co.th:4434/request/PPIM19503530" TargetMode="External"/><Relationship Id="rId2188" Type="http://schemas.openxmlformats.org/officeDocument/2006/relationships/hyperlink" Target="https://ppim-intra.pea.co.th:4434/request/PPIM19503A4E" TargetMode="External"/><Relationship Id="rId2395" Type="http://schemas.openxmlformats.org/officeDocument/2006/relationships/hyperlink" Target="https://ppim-intra.pea.co.th:4434/request/PPIM19502EA3" TargetMode="External"/><Relationship Id="rId367" Type="http://schemas.openxmlformats.org/officeDocument/2006/relationships/hyperlink" Target="https://ppim-intra.pea.co.th:4434/request/PPIM18501E1E" TargetMode="External"/><Relationship Id="rId574" Type="http://schemas.openxmlformats.org/officeDocument/2006/relationships/hyperlink" Target="https://ppim-intra.pea.co.th:4434/request/PPIM185029D9" TargetMode="External"/><Relationship Id="rId2048" Type="http://schemas.openxmlformats.org/officeDocument/2006/relationships/hyperlink" Target="https://ppim-intra.pea.co.th:4434/request/PPIM195034AB" TargetMode="External"/><Relationship Id="rId2255" Type="http://schemas.openxmlformats.org/officeDocument/2006/relationships/hyperlink" Target="https://ppim-intra.pea.co.th:4434/request/PPIM19503BEB" TargetMode="External"/><Relationship Id="rId227" Type="http://schemas.openxmlformats.org/officeDocument/2006/relationships/hyperlink" Target="https://ppim-intra.pea.co.th:4434/request/PPIM185015A4" TargetMode="External"/><Relationship Id="rId781" Type="http://schemas.openxmlformats.org/officeDocument/2006/relationships/hyperlink" Target="https://ppim-intra.pea.co.th:4434/request/PPIM18503A7B" TargetMode="External"/><Relationship Id="rId879" Type="http://schemas.openxmlformats.org/officeDocument/2006/relationships/hyperlink" Target="https://ppim-intra.pea.co.th:4434/request/PPIM185025BD" TargetMode="External"/><Relationship Id="rId2462" Type="http://schemas.openxmlformats.org/officeDocument/2006/relationships/hyperlink" Target="https://ppim-intra.pea.co.th:4434/request/PPIM195045C1" TargetMode="External"/><Relationship Id="rId434" Type="http://schemas.openxmlformats.org/officeDocument/2006/relationships/hyperlink" Target="https://ppim-intra.pea.co.th:4434/request/PPIM1850177B" TargetMode="External"/><Relationship Id="rId641" Type="http://schemas.openxmlformats.org/officeDocument/2006/relationships/hyperlink" Target="https://ppim-intra.pea.co.th:4434/request/PPIM18502D92" TargetMode="External"/><Relationship Id="rId739" Type="http://schemas.openxmlformats.org/officeDocument/2006/relationships/hyperlink" Target="https://ppim-intra.pea.co.th:4434/request/PPIM185036E2" TargetMode="External"/><Relationship Id="rId1064" Type="http://schemas.openxmlformats.org/officeDocument/2006/relationships/hyperlink" Target="https://ppim-intra.pea.co.th:4434/request/PPIM195004E4" TargetMode="External"/><Relationship Id="rId1271" Type="http://schemas.openxmlformats.org/officeDocument/2006/relationships/hyperlink" Target="https://ppim-intra.pea.co.th:4434/request/PPIM19500C22" TargetMode="External"/><Relationship Id="rId1369" Type="http://schemas.openxmlformats.org/officeDocument/2006/relationships/hyperlink" Target="https://ppim-intra.pea.co.th:4434/request/PPIM195001C7" TargetMode="External"/><Relationship Id="rId1576" Type="http://schemas.openxmlformats.org/officeDocument/2006/relationships/hyperlink" Target="https://ppim-intra.pea.co.th:4434/request/PPIM1950192B" TargetMode="External"/><Relationship Id="rId2115" Type="http://schemas.openxmlformats.org/officeDocument/2006/relationships/hyperlink" Target="https://ppim-intra.pea.co.th:4434/request/PPIM195030D2" TargetMode="External"/><Relationship Id="rId2322" Type="http://schemas.openxmlformats.org/officeDocument/2006/relationships/hyperlink" Target="https://ppim-intra.pea.co.th:4434/request/PPIM1950345B" TargetMode="External"/><Relationship Id="rId501" Type="http://schemas.openxmlformats.org/officeDocument/2006/relationships/hyperlink" Target="https://ppim-intra.pea.co.th:4434/request/PPIM18500583" TargetMode="External"/><Relationship Id="rId946" Type="http://schemas.openxmlformats.org/officeDocument/2006/relationships/hyperlink" Target="https://ppim-intra.pea.co.th:4434/request/PPIM18504858" TargetMode="External"/><Relationship Id="rId1131" Type="http://schemas.openxmlformats.org/officeDocument/2006/relationships/hyperlink" Target="https://ppim-intra.pea.co.th:4434/request/PPIM19500829" TargetMode="External"/><Relationship Id="rId1229" Type="http://schemas.openxmlformats.org/officeDocument/2006/relationships/hyperlink" Target="https://ppim-intra.pea.co.th:4434/request/PPIM1850478C" TargetMode="External"/><Relationship Id="rId1783" Type="http://schemas.openxmlformats.org/officeDocument/2006/relationships/hyperlink" Target="https://ppim-intra.pea.co.th:4434/request/PPIM195025EB" TargetMode="External"/><Relationship Id="rId1990" Type="http://schemas.openxmlformats.org/officeDocument/2006/relationships/hyperlink" Target="https://ppim-intra.pea.co.th:4434/request/PPIM19502E53" TargetMode="External"/><Relationship Id="rId2627" Type="http://schemas.openxmlformats.org/officeDocument/2006/relationships/hyperlink" Target="https://ppim-intra.pea.co.th:4434/request/PPIM195057F0" TargetMode="External"/><Relationship Id="rId75" Type="http://schemas.openxmlformats.org/officeDocument/2006/relationships/hyperlink" Target="https://ppim-intra.pea.co.th:4434/request/PPIM18500709" TargetMode="External"/><Relationship Id="rId806" Type="http://schemas.openxmlformats.org/officeDocument/2006/relationships/hyperlink" Target="https://ppim-intra.pea.co.th:4434/request/PPIM18503C8F" TargetMode="External"/><Relationship Id="rId1436" Type="http://schemas.openxmlformats.org/officeDocument/2006/relationships/hyperlink" Target="https://ppim-intra.pea.co.th:4434/request/PPIM19501249" TargetMode="External"/><Relationship Id="rId1643" Type="http://schemas.openxmlformats.org/officeDocument/2006/relationships/hyperlink" Target="https://ppim-intra.pea.co.th:4434/request/PPIM19501E6D" TargetMode="External"/><Relationship Id="rId1850" Type="http://schemas.openxmlformats.org/officeDocument/2006/relationships/hyperlink" Target="https://ppim-intra.pea.co.th:4434/request/PPIM1950207A" TargetMode="External"/><Relationship Id="rId1503" Type="http://schemas.openxmlformats.org/officeDocument/2006/relationships/hyperlink" Target="https://ppim-intra.pea.co.th:4434/request/PPIM1950109F" TargetMode="External"/><Relationship Id="rId1710" Type="http://schemas.openxmlformats.org/officeDocument/2006/relationships/hyperlink" Target="https://ppim-intra.pea.co.th:4434/request/PPIM19502261" TargetMode="External"/><Relationship Id="rId1948" Type="http://schemas.openxmlformats.org/officeDocument/2006/relationships/hyperlink" Target="https://ppim-intra.pea.co.th:4434/request/PPIM19502D61" TargetMode="External"/><Relationship Id="rId291" Type="http://schemas.openxmlformats.org/officeDocument/2006/relationships/hyperlink" Target="https://ppim-intra.pea.co.th:4434/request/PPIM185003EF" TargetMode="External"/><Relationship Id="rId1808" Type="http://schemas.openxmlformats.org/officeDocument/2006/relationships/hyperlink" Target="https://ppim-intra.pea.co.th:4434/request/PPIM19502832" TargetMode="External"/><Relationship Id="rId151" Type="http://schemas.openxmlformats.org/officeDocument/2006/relationships/hyperlink" Target="https://ppim-intra.pea.co.th:4434/request/PPIM18500F12" TargetMode="External"/><Relationship Id="rId389" Type="http://schemas.openxmlformats.org/officeDocument/2006/relationships/hyperlink" Target="https://ppim-intra.pea.co.th:4434/request/PPIM1850054B" TargetMode="External"/><Relationship Id="rId596" Type="http://schemas.openxmlformats.org/officeDocument/2006/relationships/hyperlink" Target="https://ppim-intra.pea.co.th:4434/request/PPIM18502AFB" TargetMode="External"/><Relationship Id="rId2277" Type="http://schemas.openxmlformats.org/officeDocument/2006/relationships/hyperlink" Target="https://ppim-intra.pea.co.th:4434/request/PPIM19503502" TargetMode="External"/><Relationship Id="rId2484" Type="http://schemas.openxmlformats.org/officeDocument/2006/relationships/hyperlink" Target="https://ppim-intra.pea.co.th:4434/request/PPIM195051CB" TargetMode="External"/><Relationship Id="rId249" Type="http://schemas.openxmlformats.org/officeDocument/2006/relationships/hyperlink" Target="https://ppim-intra.pea.co.th:4434/request/PPIM1850043E" TargetMode="External"/><Relationship Id="rId456" Type="http://schemas.openxmlformats.org/officeDocument/2006/relationships/hyperlink" Target="https://ppim-intra.pea.co.th:4434/request/PPIM18502360" TargetMode="External"/><Relationship Id="rId663" Type="http://schemas.openxmlformats.org/officeDocument/2006/relationships/hyperlink" Target="https://ppim-intra.pea.co.th:4434/request/PPIM1850300D" TargetMode="External"/><Relationship Id="rId870" Type="http://schemas.openxmlformats.org/officeDocument/2006/relationships/hyperlink" Target="https://ppim-intra.pea.co.th:4434/request/PPIM185042D9" TargetMode="External"/><Relationship Id="rId1086" Type="http://schemas.openxmlformats.org/officeDocument/2006/relationships/hyperlink" Target="https://ppim-intra.pea.co.th:4434/request/PPIM18504275" TargetMode="External"/><Relationship Id="rId1293" Type="http://schemas.openxmlformats.org/officeDocument/2006/relationships/hyperlink" Target="https://ppim-intra.pea.co.th:4434/request/PPIM19500D22" TargetMode="External"/><Relationship Id="rId2137" Type="http://schemas.openxmlformats.org/officeDocument/2006/relationships/hyperlink" Target="https://ppim-intra.pea.co.th:4434/request/PPIM1950372D" TargetMode="External"/><Relationship Id="rId2344" Type="http://schemas.openxmlformats.org/officeDocument/2006/relationships/hyperlink" Target="https://ppim-intra.pea.co.th:4434/request/PPIM1950438E" TargetMode="External"/><Relationship Id="rId2551" Type="http://schemas.openxmlformats.org/officeDocument/2006/relationships/hyperlink" Target="https://ppim-intra.pea.co.th:4434/request/PPIM195050DF" TargetMode="External"/><Relationship Id="rId109" Type="http://schemas.openxmlformats.org/officeDocument/2006/relationships/hyperlink" Target="https://ppim-intra.pea.co.th:4434/request/PPIM1850096D" TargetMode="External"/><Relationship Id="rId316" Type="http://schemas.openxmlformats.org/officeDocument/2006/relationships/hyperlink" Target="https://ppim-intra.pea.co.th:4434/request/PPIM18500F6C" TargetMode="External"/><Relationship Id="rId523" Type="http://schemas.openxmlformats.org/officeDocument/2006/relationships/hyperlink" Target="https://ppim-intra.pea.co.th:4434/request/PPIM1850278C" TargetMode="External"/><Relationship Id="rId968" Type="http://schemas.openxmlformats.org/officeDocument/2006/relationships/hyperlink" Target="https://ppim-intra.pea.co.th:4434/request/PPIM18504984" TargetMode="External"/><Relationship Id="rId1153" Type="http://schemas.openxmlformats.org/officeDocument/2006/relationships/hyperlink" Target="https://ppim-intra.pea.co.th:4434/request/PPIM19500902" TargetMode="External"/><Relationship Id="rId1598" Type="http://schemas.openxmlformats.org/officeDocument/2006/relationships/hyperlink" Target="https://ppim-intra.pea.co.th:4434/request/PPIM19501AF6" TargetMode="External"/><Relationship Id="rId2204" Type="http://schemas.openxmlformats.org/officeDocument/2006/relationships/hyperlink" Target="https://ppim-intra.pea.co.th:4434/request/PPIM19503BA4" TargetMode="External"/><Relationship Id="rId2649" Type="http://schemas.openxmlformats.org/officeDocument/2006/relationships/hyperlink" Target="https://ppim-intra.pea.co.th:4434/request/PPIM19505BCC" TargetMode="External"/><Relationship Id="rId97" Type="http://schemas.openxmlformats.org/officeDocument/2006/relationships/hyperlink" Target="https://ppim-intra.pea.co.th:4434/request/PPIM1850087B" TargetMode="External"/><Relationship Id="rId730" Type="http://schemas.openxmlformats.org/officeDocument/2006/relationships/hyperlink" Target="https://ppim-intra.pea.co.th:4434/request/PPIM18503610" TargetMode="External"/><Relationship Id="rId828" Type="http://schemas.openxmlformats.org/officeDocument/2006/relationships/hyperlink" Target="https://ppim-intra.pea.co.th:4434/request/PPIM18503F01" TargetMode="External"/><Relationship Id="rId1013" Type="http://schemas.openxmlformats.org/officeDocument/2006/relationships/hyperlink" Target="https://ppim-intra.pea.co.th:4434/request/PPIM1950021F" TargetMode="External"/><Relationship Id="rId1360" Type="http://schemas.openxmlformats.org/officeDocument/2006/relationships/hyperlink" Target="https://ppim-intra.pea.co.th:4434/request/PPIM19500C56" TargetMode="External"/><Relationship Id="rId1458" Type="http://schemas.openxmlformats.org/officeDocument/2006/relationships/hyperlink" Target="https://ppim-intra.pea.co.th:4434/request/PPIM1950138C" TargetMode="External"/><Relationship Id="rId1665" Type="http://schemas.openxmlformats.org/officeDocument/2006/relationships/hyperlink" Target="https://ppim-intra.pea.co.th:4434/request/PPIM19501F7C" TargetMode="External"/><Relationship Id="rId1872" Type="http://schemas.openxmlformats.org/officeDocument/2006/relationships/hyperlink" Target="https://ppim-intra.pea.co.th:4434/request/PPIM19502823" TargetMode="External"/><Relationship Id="rId2411" Type="http://schemas.openxmlformats.org/officeDocument/2006/relationships/hyperlink" Target="https://ppim-intra.pea.co.th:4434/request/PPIM1950356E" TargetMode="External"/><Relationship Id="rId2509" Type="http://schemas.openxmlformats.org/officeDocument/2006/relationships/hyperlink" Target="https://ppim-intra.pea.co.th:4434/request/PPIM1950538D" TargetMode="External"/><Relationship Id="rId1220" Type="http://schemas.openxmlformats.org/officeDocument/2006/relationships/hyperlink" Target="https://ppim-intra.pea.co.th:4434/request/PPIM19500A9A" TargetMode="External"/><Relationship Id="rId1318" Type="http://schemas.openxmlformats.org/officeDocument/2006/relationships/hyperlink" Target="https://ppim-intra.pea.co.th:4434/request/PPIM19500E02" TargetMode="External"/><Relationship Id="rId1525" Type="http://schemas.openxmlformats.org/officeDocument/2006/relationships/hyperlink" Target="https://ppim-intra.pea.co.th:4434/request/PPIM1950178C" TargetMode="External"/><Relationship Id="rId1732" Type="http://schemas.openxmlformats.org/officeDocument/2006/relationships/hyperlink" Target="https://ppim-intra.pea.co.th:4434/request/PPIM19502370" TargetMode="External"/><Relationship Id="rId24" Type="http://schemas.openxmlformats.org/officeDocument/2006/relationships/hyperlink" Target="https://ppim-intra.pea.co.th:4434/request/PPIM1850022B" TargetMode="External"/><Relationship Id="rId2299" Type="http://schemas.openxmlformats.org/officeDocument/2006/relationships/hyperlink" Target="https://ppim-intra.pea.co.th:4434/request/PPIM19504160" TargetMode="External"/><Relationship Id="rId173" Type="http://schemas.openxmlformats.org/officeDocument/2006/relationships/hyperlink" Target="https://ppim-intra.pea.co.th:4434/request/PPIM1850114C" TargetMode="External"/><Relationship Id="rId380" Type="http://schemas.openxmlformats.org/officeDocument/2006/relationships/hyperlink" Target="https://ppim-intra.pea.co.th:4434/request/PPIM18501F8B" TargetMode="External"/><Relationship Id="rId2061" Type="http://schemas.openxmlformats.org/officeDocument/2006/relationships/hyperlink" Target="https://ppim-intra.pea.co.th:4434/request/PPIM19503504" TargetMode="External"/><Relationship Id="rId240" Type="http://schemas.openxmlformats.org/officeDocument/2006/relationships/hyperlink" Target="https://ppim-intra.pea.co.th:4434/request/PPIM18501662" TargetMode="External"/><Relationship Id="rId478" Type="http://schemas.openxmlformats.org/officeDocument/2006/relationships/hyperlink" Target="https://ppim-intra.pea.co.th:4434/request/PPIM18501D08" TargetMode="External"/><Relationship Id="rId685" Type="http://schemas.openxmlformats.org/officeDocument/2006/relationships/hyperlink" Target="https://ppim-intra.pea.co.th:4434/request/PPIM1850317D" TargetMode="External"/><Relationship Id="rId892" Type="http://schemas.openxmlformats.org/officeDocument/2006/relationships/hyperlink" Target="https://ppim-intra.pea.co.th:4434/request/PPIM18504422" TargetMode="External"/><Relationship Id="rId2159" Type="http://schemas.openxmlformats.org/officeDocument/2006/relationships/hyperlink" Target="https://ppim-intra.pea.co.th:4434/request/PPIM195038FC" TargetMode="External"/><Relationship Id="rId2366" Type="http://schemas.openxmlformats.org/officeDocument/2006/relationships/hyperlink" Target="https://ppim-intra.pea.co.th:4434/request/PPIM1950455E" TargetMode="External"/><Relationship Id="rId2573" Type="http://schemas.openxmlformats.org/officeDocument/2006/relationships/hyperlink" Target="https://ppim-intra.pea.co.th:4434/request/PPIM1950582C" TargetMode="External"/><Relationship Id="rId100" Type="http://schemas.openxmlformats.org/officeDocument/2006/relationships/hyperlink" Target="https://ppim-intra.pea.co.th:4434/request/PPIM185008E8" TargetMode="External"/><Relationship Id="rId338" Type="http://schemas.openxmlformats.org/officeDocument/2006/relationships/hyperlink" Target="https://ppim-intra.pea.co.th:4434/request/PPIM18501D16" TargetMode="External"/><Relationship Id="rId545" Type="http://schemas.openxmlformats.org/officeDocument/2006/relationships/hyperlink" Target="https://ppim-intra.pea.co.th:4434/request/PPIM185028A8" TargetMode="External"/><Relationship Id="rId752" Type="http://schemas.openxmlformats.org/officeDocument/2006/relationships/hyperlink" Target="https://ppim-intra.pea.co.th:4434/request/PPIM18503861" TargetMode="External"/><Relationship Id="rId1175" Type="http://schemas.openxmlformats.org/officeDocument/2006/relationships/hyperlink" Target="https://ppim-intra.pea.co.th:4434/request/PPIM1950097D" TargetMode="External"/><Relationship Id="rId1382" Type="http://schemas.openxmlformats.org/officeDocument/2006/relationships/hyperlink" Target="https://ppim-intra.pea.co.th:4434/request/PPIM19500443" TargetMode="External"/><Relationship Id="rId2019" Type="http://schemas.openxmlformats.org/officeDocument/2006/relationships/hyperlink" Target="https://ppim-intra.pea.co.th:4434/request/PPIM19502B1C" TargetMode="External"/><Relationship Id="rId2226" Type="http://schemas.openxmlformats.org/officeDocument/2006/relationships/hyperlink" Target="https://ppim-intra.pea.co.th:4434/request/PPIM19503DAC" TargetMode="External"/><Relationship Id="rId2433" Type="http://schemas.openxmlformats.org/officeDocument/2006/relationships/hyperlink" Target="https://ppim-intra.pea.co.th:4434/request/PPIM19504D9A" TargetMode="External"/><Relationship Id="rId2640" Type="http://schemas.openxmlformats.org/officeDocument/2006/relationships/hyperlink" Target="https://ppim-intra.pea.co.th:4434/request/PPIM19505C0C" TargetMode="External"/><Relationship Id="rId405" Type="http://schemas.openxmlformats.org/officeDocument/2006/relationships/hyperlink" Target="https://ppim-intra.pea.co.th:4434/request/PPIM18501395" TargetMode="External"/><Relationship Id="rId612" Type="http://schemas.openxmlformats.org/officeDocument/2006/relationships/hyperlink" Target="https://ppim-intra.pea.co.th:4434/request/PPIM18502BE8" TargetMode="External"/><Relationship Id="rId1035" Type="http://schemas.openxmlformats.org/officeDocument/2006/relationships/hyperlink" Target="https://ppim-intra.pea.co.th:4434/request/PPIM195003A1" TargetMode="External"/><Relationship Id="rId1242" Type="http://schemas.openxmlformats.org/officeDocument/2006/relationships/hyperlink" Target="https://ppim-intra.pea.co.th:4434/request/PPIM19500B21" TargetMode="External"/><Relationship Id="rId1687" Type="http://schemas.openxmlformats.org/officeDocument/2006/relationships/hyperlink" Target="https://ppim-intra.pea.co.th:4434/request/PPIM19502116" TargetMode="External"/><Relationship Id="rId1894" Type="http://schemas.openxmlformats.org/officeDocument/2006/relationships/hyperlink" Target="https://ppim-intra.pea.co.th:4434/request/PPIM1950201C" TargetMode="External"/><Relationship Id="rId2500" Type="http://schemas.openxmlformats.org/officeDocument/2006/relationships/hyperlink" Target="https://ppim-intra.pea.co.th:4434/request/PPIM19505326" TargetMode="External"/><Relationship Id="rId917" Type="http://schemas.openxmlformats.org/officeDocument/2006/relationships/hyperlink" Target="https://ppim-intra.pea.co.th:4434/request/PPIM185045EB" TargetMode="External"/><Relationship Id="rId1102" Type="http://schemas.openxmlformats.org/officeDocument/2006/relationships/hyperlink" Target="https://ppim-intra.pea.co.th:4434/request/PPIM1950074C" TargetMode="External"/><Relationship Id="rId1547" Type="http://schemas.openxmlformats.org/officeDocument/2006/relationships/hyperlink" Target="https://ppim-intra.pea.co.th:4434/request/PPIM1950182C" TargetMode="External"/><Relationship Id="rId1754" Type="http://schemas.openxmlformats.org/officeDocument/2006/relationships/hyperlink" Target="https://ppim-intra.pea.co.th:4434/request/PPIM195024C1" TargetMode="External"/><Relationship Id="rId1961" Type="http://schemas.openxmlformats.org/officeDocument/2006/relationships/hyperlink" Target="https://ppim-intra.pea.co.th:4434/request/PPIM19502AE1" TargetMode="External"/><Relationship Id="rId46" Type="http://schemas.openxmlformats.org/officeDocument/2006/relationships/hyperlink" Target="https://ppim-intra.pea.co.th:4434/request/PPIM185003D7" TargetMode="External"/><Relationship Id="rId1407" Type="http://schemas.openxmlformats.org/officeDocument/2006/relationships/hyperlink" Target="https://ppim-intra.pea.co.th:4434/request/PPIM1950114E" TargetMode="External"/><Relationship Id="rId1614" Type="http://schemas.openxmlformats.org/officeDocument/2006/relationships/hyperlink" Target="https://ppim-intra.pea.co.th:4434/request/PPIM19501CAE" TargetMode="External"/><Relationship Id="rId1821" Type="http://schemas.openxmlformats.org/officeDocument/2006/relationships/hyperlink" Target="https://ppim-intra.pea.co.th:4434/request/PPIM19502970" TargetMode="External"/><Relationship Id="rId195" Type="http://schemas.openxmlformats.org/officeDocument/2006/relationships/hyperlink" Target="https://ppim-intra.pea.co.th:4434/request/PPIM1850122F" TargetMode="External"/><Relationship Id="rId1919" Type="http://schemas.openxmlformats.org/officeDocument/2006/relationships/hyperlink" Target="https://ppim-intra.pea.co.th:4434/request/PPIM1950185D" TargetMode="External"/><Relationship Id="rId2083" Type="http://schemas.openxmlformats.org/officeDocument/2006/relationships/hyperlink" Target="https://ppim-intra.pea.co.th:4434/request/PPIM195035B1" TargetMode="External"/><Relationship Id="rId2290" Type="http://schemas.openxmlformats.org/officeDocument/2006/relationships/hyperlink" Target="https://ppim-intra.pea.co.th:4434/request/PPIM19504186" TargetMode="External"/><Relationship Id="rId2388" Type="http://schemas.openxmlformats.org/officeDocument/2006/relationships/hyperlink" Target="https://ppim-intra.pea.co.th:4434/request/PPIM19504A1A" TargetMode="External"/><Relationship Id="rId2595" Type="http://schemas.openxmlformats.org/officeDocument/2006/relationships/hyperlink" Target="https://ppim-intra.pea.co.th:4434/request/PPIM195059C9" TargetMode="External"/><Relationship Id="rId262" Type="http://schemas.openxmlformats.org/officeDocument/2006/relationships/hyperlink" Target="https://ppim-intra.pea.co.th:4434/request/PPIM18501819" TargetMode="External"/><Relationship Id="rId567" Type="http://schemas.openxmlformats.org/officeDocument/2006/relationships/hyperlink" Target="https://ppim-intra.pea.co.th:4434/request/PPIM185029AF" TargetMode="External"/><Relationship Id="rId1197" Type="http://schemas.openxmlformats.org/officeDocument/2006/relationships/hyperlink" Target="https://ppim-intra.pea.co.th:4434/request/PPIM19500A11" TargetMode="External"/><Relationship Id="rId2150" Type="http://schemas.openxmlformats.org/officeDocument/2006/relationships/hyperlink" Target="https://ppim-intra.pea.co.th:4434/request/PPIM1950384C" TargetMode="External"/><Relationship Id="rId2248" Type="http://schemas.openxmlformats.org/officeDocument/2006/relationships/hyperlink" Target="https://ppim-intra.pea.co.th:4434/request/PPIM19503D13" TargetMode="External"/><Relationship Id="rId122" Type="http://schemas.openxmlformats.org/officeDocument/2006/relationships/hyperlink" Target="https://ppim-intra.pea.co.th:4434/request/PPIM18500A78" TargetMode="External"/><Relationship Id="rId774" Type="http://schemas.openxmlformats.org/officeDocument/2006/relationships/hyperlink" Target="https://ppim-intra.pea.co.th:4434/request/PPIM18503A41" TargetMode="External"/><Relationship Id="rId981" Type="http://schemas.openxmlformats.org/officeDocument/2006/relationships/hyperlink" Target="https://ppim-intra.pea.co.th:4434/request/PPIM18504A4C" TargetMode="External"/><Relationship Id="rId1057" Type="http://schemas.openxmlformats.org/officeDocument/2006/relationships/hyperlink" Target="https://ppim-intra.pea.co.th:4434/request/PPIM1950048E" TargetMode="External"/><Relationship Id="rId2010" Type="http://schemas.openxmlformats.org/officeDocument/2006/relationships/hyperlink" Target="https://ppim-intra.pea.co.th:4434/request/PPIM19502BF3" TargetMode="External"/><Relationship Id="rId2455" Type="http://schemas.openxmlformats.org/officeDocument/2006/relationships/hyperlink" Target="https://ppim-intra.pea.co.th:4434/request/PPIM1950484B" TargetMode="External"/><Relationship Id="rId427" Type="http://schemas.openxmlformats.org/officeDocument/2006/relationships/hyperlink" Target="https://ppim-intra.pea.co.th:4434/request/PPIM185022D5" TargetMode="External"/><Relationship Id="rId634" Type="http://schemas.openxmlformats.org/officeDocument/2006/relationships/hyperlink" Target="https://ppim-intra.pea.co.th:4434/request/PPIM18502118" TargetMode="External"/><Relationship Id="rId841" Type="http://schemas.openxmlformats.org/officeDocument/2006/relationships/hyperlink" Target="https://ppim-intra.pea.co.th:4434/request/PPIM18502C7F" TargetMode="External"/><Relationship Id="rId1264" Type="http://schemas.openxmlformats.org/officeDocument/2006/relationships/hyperlink" Target="https://ppim-intra.pea.co.th:4434/request/PPIM19500A65" TargetMode="External"/><Relationship Id="rId1471" Type="http://schemas.openxmlformats.org/officeDocument/2006/relationships/hyperlink" Target="https://ppim-intra.pea.co.th:4434/request/PPIM19501262" TargetMode="External"/><Relationship Id="rId1569" Type="http://schemas.openxmlformats.org/officeDocument/2006/relationships/hyperlink" Target="https://ppim-intra.pea.co.th:4434/request/PPIM195018EE" TargetMode="External"/><Relationship Id="rId2108" Type="http://schemas.openxmlformats.org/officeDocument/2006/relationships/hyperlink" Target="https://ppim-intra.pea.co.th:4434/request/PPIM1950364F" TargetMode="External"/><Relationship Id="rId2315" Type="http://schemas.openxmlformats.org/officeDocument/2006/relationships/hyperlink" Target="https://ppim-intra.pea.co.th:4434/request/PPIM1950435F" TargetMode="External"/><Relationship Id="rId2522" Type="http://schemas.openxmlformats.org/officeDocument/2006/relationships/hyperlink" Target="https://ppim-intra.pea.co.th:4434/request/PPIM19504E40" TargetMode="External"/><Relationship Id="rId701" Type="http://schemas.openxmlformats.org/officeDocument/2006/relationships/hyperlink" Target="https://ppim-intra.pea.co.th:4434/request/PPIM185032AB" TargetMode="External"/><Relationship Id="rId939" Type="http://schemas.openxmlformats.org/officeDocument/2006/relationships/hyperlink" Target="https://ppim-intra.pea.co.th:4434/request/PPIM185047AA" TargetMode="External"/><Relationship Id="rId1124" Type="http://schemas.openxmlformats.org/officeDocument/2006/relationships/hyperlink" Target="https://ppim-intra.pea.co.th:4434/request/PPIM19500804" TargetMode="External"/><Relationship Id="rId1331" Type="http://schemas.openxmlformats.org/officeDocument/2006/relationships/hyperlink" Target="https://ppim-intra.pea.co.th:4434/request/PPIM19500E07" TargetMode="External"/><Relationship Id="rId1776" Type="http://schemas.openxmlformats.org/officeDocument/2006/relationships/hyperlink" Target="https://ppim-intra.pea.co.th:4434/request/PPIM195025AD" TargetMode="External"/><Relationship Id="rId1983" Type="http://schemas.openxmlformats.org/officeDocument/2006/relationships/hyperlink" Target="https://ppim-intra.pea.co.th:4434/request/PPIM195020BC" TargetMode="External"/><Relationship Id="rId68" Type="http://schemas.openxmlformats.org/officeDocument/2006/relationships/hyperlink" Target="https://ppim-intra.pea.co.th:4434/request/PPIM1850061C" TargetMode="External"/><Relationship Id="rId1429" Type="http://schemas.openxmlformats.org/officeDocument/2006/relationships/hyperlink" Target="https://ppim-intra.pea.co.th:4434/request/PPIM195011F8" TargetMode="External"/><Relationship Id="rId1636" Type="http://schemas.openxmlformats.org/officeDocument/2006/relationships/hyperlink" Target="https://ppim-intra.pea.co.th:4434/request/PPIM19501E03" TargetMode="External"/><Relationship Id="rId1843" Type="http://schemas.openxmlformats.org/officeDocument/2006/relationships/hyperlink" Target="https://ppim-intra.pea.co.th:4434/request/PPIM1950258B" TargetMode="External"/><Relationship Id="rId1703" Type="http://schemas.openxmlformats.org/officeDocument/2006/relationships/hyperlink" Target="https://ppim-intra.pea.co.th:4434/request/PPIM1950208C" TargetMode="External"/><Relationship Id="rId1910" Type="http://schemas.openxmlformats.org/officeDocument/2006/relationships/hyperlink" Target="https://ppim-intra.pea.co.th:4434/request/PPIM19502E6C" TargetMode="External"/><Relationship Id="rId284" Type="http://schemas.openxmlformats.org/officeDocument/2006/relationships/hyperlink" Target="https://ppim-intra.pea.co.th:4434/request/PPIM185007C4" TargetMode="External"/><Relationship Id="rId491" Type="http://schemas.openxmlformats.org/officeDocument/2006/relationships/hyperlink" Target="https://ppim-intra.pea.co.th:4434/request/PPIM185025A5" TargetMode="External"/><Relationship Id="rId2172" Type="http://schemas.openxmlformats.org/officeDocument/2006/relationships/hyperlink" Target="https://ppim-intra.pea.co.th:4434/request/PPIM1950396B" TargetMode="External"/><Relationship Id="rId144" Type="http://schemas.openxmlformats.org/officeDocument/2006/relationships/hyperlink" Target="https://ppim-intra.pea.co.th:4434/request/PPIM18500E43" TargetMode="External"/><Relationship Id="rId589" Type="http://schemas.openxmlformats.org/officeDocument/2006/relationships/hyperlink" Target="https://ppim-intra.pea.co.th:4434/request/PPIM18502A78" TargetMode="External"/><Relationship Id="rId796" Type="http://schemas.openxmlformats.org/officeDocument/2006/relationships/hyperlink" Target="https://ppim-intra.pea.co.th:4434/request/PPIM18503C00" TargetMode="External"/><Relationship Id="rId2477" Type="http://schemas.openxmlformats.org/officeDocument/2006/relationships/hyperlink" Target="https://ppim-intra.pea.co.th:4434/request/PPIM195050D5" TargetMode="External"/><Relationship Id="rId351" Type="http://schemas.openxmlformats.org/officeDocument/2006/relationships/hyperlink" Target="https://ppim-intra.pea.co.th:4434/request/PPIM18501D7D" TargetMode="External"/><Relationship Id="rId449" Type="http://schemas.openxmlformats.org/officeDocument/2006/relationships/hyperlink" Target="https://ppim-intra.pea.co.th:4434/request/PPIM18502350" TargetMode="External"/><Relationship Id="rId656" Type="http://schemas.openxmlformats.org/officeDocument/2006/relationships/hyperlink" Target="https://ppim-intra.pea.co.th:4434/request/PPIM18502F62" TargetMode="External"/><Relationship Id="rId863" Type="http://schemas.openxmlformats.org/officeDocument/2006/relationships/hyperlink" Target="https://ppim-intra.pea.co.th:4434/request/PPIM1850426A" TargetMode="External"/><Relationship Id="rId1079" Type="http://schemas.openxmlformats.org/officeDocument/2006/relationships/hyperlink" Target="https://ppim-intra.pea.co.th:4434/request/PPIM19500593" TargetMode="External"/><Relationship Id="rId1286" Type="http://schemas.openxmlformats.org/officeDocument/2006/relationships/hyperlink" Target="https://ppim-intra.pea.co.th:4434/request/PPIM19500ABC" TargetMode="External"/><Relationship Id="rId1493" Type="http://schemas.openxmlformats.org/officeDocument/2006/relationships/hyperlink" Target="https://ppim-intra.pea.co.th:4434/request/PPIM1950134B" TargetMode="External"/><Relationship Id="rId2032" Type="http://schemas.openxmlformats.org/officeDocument/2006/relationships/hyperlink" Target="https://ppim-intra.pea.co.th:4434/request/PPIM195032A2" TargetMode="External"/><Relationship Id="rId2337" Type="http://schemas.openxmlformats.org/officeDocument/2006/relationships/hyperlink" Target="https://ppim-intra.pea.co.th:4434/request/PPIM19504500" TargetMode="External"/><Relationship Id="rId2544" Type="http://schemas.openxmlformats.org/officeDocument/2006/relationships/hyperlink" Target="https://ppim-intra.pea.co.th:4434/request/PPIM19501E74" TargetMode="External"/><Relationship Id="rId211" Type="http://schemas.openxmlformats.org/officeDocument/2006/relationships/hyperlink" Target="https://ppim-intra.pea.co.th:4434/request/PPIM18501407" TargetMode="External"/><Relationship Id="rId309" Type="http://schemas.openxmlformats.org/officeDocument/2006/relationships/hyperlink" Target="https://ppim-intra.pea.co.th:4434/request/PPIM18500A1D" TargetMode="External"/><Relationship Id="rId516" Type="http://schemas.openxmlformats.org/officeDocument/2006/relationships/hyperlink" Target="https://ppim-intra.pea.co.th:4434/request/PPIM18502721" TargetMode="External"/><Relationship Id="rId1146" Type="http://schemas.openxmlformats.org/officeDocument/2006/relationships/hyperlink" Target="https://ppim-intra.pea.co.th:4434/request/PPIM195003C1" TargetMode="External"/><Relationship Id="rId1798" Type="http://schemas.openxmlformats.org/officeDocument/2006/relationships/hyperlink" Target="https://ppim-intra.pea.co.th:4434/request/PPIM19502769" TargetMode="External"/><Relationship Id="rId723" Type="http://schemas.openxmlformats.org/officeDocument/2006/relationships/hyperlink" Target="https://ppim-intra.pea.co.th:4434/request/PPIM18502A83" TargetMode="External"/><Relationship Id="rId930" Type="http://schemas.openxmlformats.org/officeDocument/2006/relationships/hyperlink" Target="https://ppim-intra.pea.co.th:4434/request/PPIM1850470E" TargetMode="External"/><Relationship Id="rId1006" Type="http://schemas.openxmlformats.org/officeDocument/2006/relationships/hyperlink" Target="https://ppim-intra.pea.co.th:4434/request/PPIM19500186" TargetMode="External"/><Relationship Id="rId1353" Type="http://schemas.openxmlformats.org/officeDocument/2006/relationships/hyperlink" Target="https://ppim-intra.pea.co.th:4434/request/PPIM19500EE2" TargetMode="External"/><Relationship Id="rId1560" Type="http://schemas.openxmlformats.org/officeDocument/2006/relationships/hyperlink" Target="https://ppim-intra.pea.co.th:4434/request/PPIM195018AF" TargetMode="External"/><Relationship Id="rId1658" Type="http://schemas.openxmlformats.org/officeDocument/2006/relationships/hyperlink" Target="https://ppim-intra.pea.co.th:4434/request/PPIM19501F3C" TargetMode="External"/><Relationship Id="rId1865" Type="http://schemas.openxmlformats.org/officeDocument/2006/relationships/hyperlink" Target="https://ppim-intra.pea.co.th:4434/request/PPIM19502A20" TargetMode="External"/><Relationship Id="rId2404" Type="http://schemas.openxmlformats.org/officeDocument/2006/relationships/hyperlink" Target="https://ppim-intra.pea.co.th:4434/request/PPIM1950485E" TargetMode="External"/><Relationship Id="rId2611" Type="http://schemas.openxmlformats.org/officeDocument/2006/relationships/hyperlink" Target="https://ppim-intra.pea.co.th:4434/request/PPIM19505B10" TargetMode="External"/><Relationship Id="rId1213" Type="http://schemas.openxmlformats.org/officeDocument/2006/relationships/hyperlink" Target="https://ppim-intra.pea.co.th:4434/request/PPIM185034BD" TargetMode="External"/><Relationship Id="rId1420" Type="http://schemas.openxmlformats.org/officeDocument/2006/relationships/hyperlink" Target="https://ppim-intra.pea.co.th:4434/request/PPIM1950257C" TargetMode="External"/><Relationship Id="rId1518" Type="http://schemas.openxmlformats.org/officeDocument/2006/relationships/hyperlink" Target="https://ppim-intra.pea.co.th:4434/request/PPIM19501731" TargetMode="External"/><Relationship Id="rId1725" Type="http://schemas.openxmlformats.org/officeDocument/2006/relationships/hyperlink" Target="https://ppim-intra.pea.co.th:4434/request/PPIM19502362" TargetMode="External"/><Relationship Id="rId1932" Type="http://schemas.openxmlformats.org/officeDocument/2006/relationships/hyperlink" Target="https://ppim-intra.pea.co.th:4434/request/PPIM19502D03" TargetMode="External"/><Relationship Id="rId17" Type="http://schemas.openxmlformats.org/officeDocument/2006/relationships/hyperlink" Target="https://ppim-intra.pea.co.th:4434/request/PPIM185001B7" TargetMode="External"/><Relationship Id="rId2194" Type="http://schemas.openxmlformats.org/officeDocument/2006/relationships/hyperlink" Target="https://ppim-intra.pea.co.th:4434/request/PPIM19503614" TargetMode="External"/><Relationship Id="rId166" Type="http://schemas.openxmlformats.org/officeDocument/2006/relationships/hyperlink" Target="https://ppim-intra.pea.co.th:4434/request/PPIM1850109E" TargetMode="External"/><Relationship Id="rId373" Type="http://schemas.openxmlformats.org/officeDocument/2006/relationships/hyperlink" Target="https://ppim-intra.pea.co.th:4434/request/PPIM18501E7F" TargetMode="External"/><Relationship Id="rId580" Type="http://schemas.openxmlformats.org/officeDocument/2006/relationships/hyperlink" Target="https://ppim-intra.pea.co.th:4434/request/PPIM185029F0" TargetMode="External"/><Relationship Id="rId2054" Type="http://schemas.openxmlformats.org/officeDocument/2006/relationships/hyperlink" Target="https://ppim-intra.pea.co.th:4434/request/PPIM195034F2" TargetMode="External"/><Relationship Id="rId2261" Type="http://schemas.openxmlformats.org/officeDocument/2006/relationships/hyperlink" Target="https://ppim-intra.pea.co.th:4434/request/PPIM19504027" TargetMode="External"/><Relationship Id="rId2499" Type="http://schemas.openxmlformats.org/officeDocument/2006/relationships/hyperlink" Target="https://ppim-intra.pea.co.th:4434/request/PPIM195049EA" TargetMode="External"/><Relationship Id="rId1" Type="http://schemas.openxmlformats.org/officeDocument/2006/relationships/hyperlink" Target="https://ppim-intra.pea.co.th:4434/request/PPIM18500045" TargetMode="External"/><Relationship Id="rId233" Type="http://schemas.openxmlformats.org/officeDocument/2006/relationships/hyperlink" Target="https://ppim-intra.pea.co.th:4434/request/PPIM185015E7" TargetMode="External"/><Relationship Id="rId440" Type="http://schemas.openxmlformats.org/officeDocument/2006/relationships/hyperlink" Target="https://ppim-intra.pea.co.th:4434/request/PPIM18502319" TargetMode="External"/><Relationship Id="rId678" Type="http://schemas.openxmlformats.org/officeDocument/2006/relationships/hyperlink" Target="https://ppim-intra.pea.co.th:4434/request/PPIM18503116" TargetMode="External"/><Relationship Id="rId885" Type="http://schemas.openxmlformats.org/officeDocument/2006/relationships/hyperlink" Target="https://ppim-intra.pea.co.th:4434/request/PPIM18501A89" TargetMode="External"/><Relationship Id="rId1070" Type="http://schemas.openxmlformats.org/officeDocument/2006/relationships/hyperlink" Target="https://ppim-intra.pea.co.th:4434/request/PPIM19500529" TargetMode="External"/><Relationship Id="rId2121" Type="http://schemas.openxmlformats.org/officeDocument/2006/relationships/hyperlink" Target="https://ppim-intra.pea.co.th:4434/request/PPIM1950365A" TargetMode="External"/><Relationship Id="rId2359" Type="http://schemas.openxmlformats.org/officeDocument/2006/relationships/hyperlink" Target="https://ppim-intra.pea.co.th:4434/request/PPIM19504417" TargetMode="External"/><Relationship Id="rId2566" Type="http://schemas.openxmlformats.org/officeDocument/2006/relationships/hyperlink" Target="https://ppim-intra.pea.co.th:4434/request/PPIM195057AD" TargetMode="External"/><Relationship Id="rId300" Type="http://schemas.openxmlformats.org/officeDocument/2006/relationships/hyperlink" Target="https://ppim-intra.pea.co.th:4434/request/PPIM185009B7" TargetMode="External"/><Relationship Id="rId538" Type="http://schemas.openxmlformats.org/officeDocument/2006/relationships/hyperlink" Target="https://ppim-intra.pea.co.th:4434/request/PPIM18502889" TargetMode="External"/><Relationship Id="rId745" Type="http://schemas.openxmlformats.org/officeDocument/2006/relationships/hyperlink" Target="https://ppim-intra.pea.co.th:4434/request/PPIM18502082" TargetMode="External"/><Relationship Id="rId952" Type="http://schemas.openxmlformats.org/officeDocument/2006/relationships/hyperlink" Target="https://ppim-intra.pea.co.th:4434/request/PPIM1850487B" TargetMode="External"/><Relationship Id="rId1168" Type="http://schemas.openxmlformats.org/officeDocument/2006/relationships/hyperlink" Target="https://ppim-intra.pea.co.th:4434/request/PPIM195003EF" TargetMode="External"/><Relationship Id="rId1375" Type="http://schemas.openxmlformats.org/officeDocument/2006/relationships/hyperlink" Target="https://ppim-intra.pea.co.th:4434/request/PPIM19500076" TargetMode="External"/><Relationship Id="rId1582" Type="http://schemas.openxmlformats.org/officeDocument/2006/relationships/hyperlink" Target="https://ppim-intra.pea.co.th:4434/request/PPIM19501956" TargetMode="External"/><Relationship Id="rId2219" Type="http://schemas.openxmlformats.org/officeDocument/2006/relationships/hyperlink" Target="https://ppim-intra.pea.co.th:4434/request/PPIM1950315F" TargetMode="External"/><Relationship Id="rId2426" Type="http://schemas.openxmlformats.org/officeDocument/2006/relationships/hyperlink" Target="https://ppim-intra.pea.co.th:4434/request/PPIM19504D32" TargetMode="External"/><Relationship Id="rId2633" Type="http://schemas.openxmlformats.org/officeDocument/2006/relationships/hyperlink" Target="https://ppim-intra.pea.co.th:4434/request/PPIM19505968" TargetMode="External"/><Relationship Id="rId81" Type="http://schemas.openxmlformats.org/officeDocument/2006/relationships/hyperlink" Target="https://ppim-intra.pea.co.th:4434/request/PPIM18500733" TargetMode="External"/><Relationship Id="rId605" Type="http://schemas.openxmlformats.org/officeDocument/2006/relationships/hyperlink" Target="https://ppim-intra.pea.co.th:4434/request/PPIM18502B95" TargetMode="External"/><Relationship Id="rId812" Type="http://schemas.openxmlformats.org/officeDocument/2006/relationships/hyperlink" Target="https://ppim-intra.pea.co.th:4434/request/PPIM18502C65" TargetMode="External"/><Relationship Id="rId1028" Type="http://schemas.openxmlformats.org/officeDocument/2006/relationships/hyperlink" Target="https://ppim-intra.pea.co.th:4434/request/PPIM18500FF1" TargetMode="External"/><Relationship Id="rId1235" Type="http://schemas.openxmlformats.org/officeDocument/2006/relationships/hyperlink" Target="https://ppim-intra.pea.co.th:4434/request/PPIM19500AE1" TargetMode="External"/><Relationship Id="rId1442" Type="http://schemas.openxmlformats.org/officeDocument/2006/relationships/hyperlink" Target="https://ppim-intra.pea.co.th:4434/request/PPIM195012DD" TargetMode="External"/><Relationship Id="rId1887" Type="http://schemas.openxmlformats.org/officeDocument/2006/relationships/hyperlink" Target="https://ppim-intra.pea.co.th:4434/request/PPIM19501B9D" TargetMode="External"/><Relationship Id="rId1302" Type="http://schemas.openxmlformats.org/officeDocument/2006/relationships/hyperlink" Target="https://ppim-intra.pea.co.th:4434/request/PPIM19500DA7" TargetMode="External"/><Relationship Id="rId1747" Type="http://schemas.openxmlformats.org/officeDocument/2006/relationships/hyperlink" Target="https://ppim-intra.pea.co.th:4434/request/PPIM195023E3" TargetMode="External"/><Relationship Id="rId1954" Type="http://schemas.openxmlformats.org/officeDocument/2006/relationships/hyperlink" Target="https://ppim-intra.pea.co.th:4434/request/PPIM19501F44" TargetMode="External"/><Relationship Id="rId39" Type="http://schemas.openxmlformats.org/officeDocument/2006/relationships/hyperlink" Target="https://ppim-intra.pea.co.th:4434/request/PPIM1850039C" TargetMode="External"/><Relationship Id="rId1607" Type="http://schemas.openxmlformats.org/officeDocument/2006/relationships/hyperlink" Target="https://ppim-intra.pea.co.th:4434/request/PPIM19501BAA" TargetMode="External"/><Relationship Id="rId1814" Type="http://schemas.openxmlformats.org/officeDocument/2006/relationships/hyperlink" Target="https://ppim-intra.pea.co.th:4434/request/PPIM195028B4" TargetMode="External"/><Relationship Id="rId188" Type="http://schemas.openxmlformats.org/officeDocument/2006/relationships/hyperlink" Target="https://ppim-intra.pea.co.th:4434/request/PPIM18500736" TargetMode="External"/><Relationship Id="rId395" Type="http://schemas.openxmlformats.org/officeDocument/2006/relationships/hyperlink" Target="https://ppim-intra.pea.co.th:4434/request/PPIM185014A3" TargetMode="External"/><Relationship Id="rId2076" Type="http://schemas.openxmlformats.org/officeDocument/2006/relationships/hyperlink" Target="https://ppim-intra.pea.co.th:4434/request/PPIM19503596" TargetMode="External"/><Relationship Id="rId2283" Type="http://schemas.openxmlformats.org/officeDocument/2006/relationships/hyperlink" Target="https://ppim-intra.pea.co.th:4434/request/PPIM195041CE" TargetMode="External"/><Relationship Id="rId2490" Type="http://schemas.openxmlformats.org/officeDocument/2006/relationships/hyperlink" Target="https://ppim-intra.pea.co.th:4434/request/PPIM19504F2C" TargetMode="External"/><Relationship Id="rId2588" Type="http://schemas.openxmlformats.org/officeDocument/2006/relationships/hyperlink" Target="https://ppim-intra.pea.co.th:4434/request/PPIM1950595C" TargetMode="External"/><Relationship Id="rId255" Type="http://schemas.openxmlformats.org/officeDocument/2006/relationships/hyperlink" Target="https://ppim-intra.pea.co.th:4434/request/PPIM185017C4" TargetMode="External"/><Relationship Id="rId462" Type="http://schemas.openxmlformats.org/officeDocument/2006/relationships/hyperlink" Target="https://ppim-intra.pea.co.th:4434/request/PPIM1850237F" TargetMode="External"/><Relationship Id="rId1092" Type="http://schemas.openxmlformats.org/officeDocument/2006/relationships/hyperlink" Target="https://ppim-intra.pea.co.th:4434/request/PPIM185046ED" TargetMode="External"/><Relationship Id="rId1397" Type="http://schemas.openxmlformats.org/officeDocument/2006/relationships/hyperlink" Target="https://ppim-intra.pea.co.th:4434/request/PPIM19501127" TargetMode="External"/><Relationship Id="rId2143" Type="http://schemas.openxmlformats.org/officeDocument/2006/relationships/hyperlink" Target="https://ppim-intra.pea.co.th:4434/request/PPIM19503288" TargetMode="External"/><Relationship Id="rId2350" Type="http://schemas.openxmlformats.org/officeDocument/2006/relationships/hyperlink" Target="https://ppim-intra.pea.co.th:4434/request/PPIM19504376" TargetMode="External"/><Relationship Id="rId115" Type="http://schemas.openxmlformats.org/officeDocument/2006/relationships/hyperlink" Target="https://ppim-intra.pea.co.th:4434/request/PPIM18500A0D" TargetMode="External"/><Relationship Id="rId322" Type="http://schemas.openxmlformats.org/officeDocument/2006/relationships/hyperlink" Target="https://ppim-intra.pea.co.th:4434/request/PPIM18501CD1" TargetMode="External"/><Relationship Id="rId767" Type="http://schemas.openxmlformats.org/officeDocument/2006/relationships/hyperlink" Target="https://ppim-intra.pea.co.th:4434/request/PPIM18503998" TargetMode="External"/><Relationship Id="rId974" Type="http://schemas.openxmlformats.org/officeDocument/2006/relationships/hyperlink" Target="https://ppim-intra.pea.co.th:4434/request/PPIM185033C1" TargetMode="External"/><Relationship Id="rId2003" Type="http://schemas.openxmlformats.org/officeDocument/2006/relationships/hyperlink" Target="https://ppim-intra.pea.co.th:4434/request/PPIM1950326B" TargetMode="External"/><Relationship Id="rId2210" Type="http://schemas.openxmlformats.org/officeDocument/2006/relationships/hyperlink" Target="https://ppim-intra.pea.co.th:4434/request/PPIM19503B99" TargetMode="External"/><Relationship Id="rId2448" Type="http://schemas.openxmlformats.org/officeDocument/2006/relationships/hyperlink" Target="https://ppim-intra.pea.co.th:4434/request/PPIM19504AEE" TargetMode="External"/><Relationship Id="rId2655" Type="http://schemas.openxmlformats.org/officeDocument/2006/relationships/printerSettings" Target="../printerSettings/printerSettings2.bin"/><Relationship Id="rId627" Type="http://schemas.openxmlformats.org/officeDocument/2006/relationships/hyperlink" Target="https://ppim-intra.pea.co.th:4434/request/PPIM1850238A" TargetMode="External"/><Relationship Id="rId834" Type="http://schemas.openxmlformats.org/officeDocument/2006/relationships/hyperlink" Target="https://ppim-intra.pea.co.th:4434/request/PPIM18503FF1" TargetMode="External"/><Relationship Id="rId1257" Type="http://schemas.openxmlformats.org/officeDocument/2006/relationships/hyperlink" Target="https://ppim-intra.pea.co.th:4434/request/PPIM19500B7D" TargetMode="External"/><Relationship Id="rId1464" Type="http://schemas.openxmlformats.org/officeDocument/2006/relationships/hyperlink" Target="https://ppim-intra.pea.co.th:4434/request/PPIM19500DAA" TargetMode="External"/><Relationship Id="rId1671" Type="http://schemas.openxmlformats.org/officeDocument/2006/relationships/hyperlink" Target="https://ppim-intra.pea.co.th:4434/request/PPIM19501FF1" TargetMode="External"/><Relationship Id="rId2308" Type="http://schemas.openxmlformats.org/officeDocument/2006/relationships/hyperlink" Target="https://ppim-intra.pea.co.th:4434/request/PPIM19504140" TargetMode="External"/><Relationship Id="rId2515" Type="http://schemas.openxmlformats.org/officeDocument/2006/relationships/hyperlink" Target="https://ppim-intra.pea.co.th:4434/request/PPIM19504F37" TargetMode="External"/><Relationship Id="rId901" Type="http://schemas.openxmlformats.org/officeDocument/2006/relationships/hyperlink" Target="https://ppim-intra.pea.co.th:4434/request/PPIM18504507" TargetMode="External"/><Relationship Id="rId1117" Type="http://schemas.openxmlformats.org/officeDocument/2006/relationships/hyperlink" Target="https://ppim-intra.pea.co.th:4434/request/PPIM18503B83" TargetMode="External"/><Relationship Id="rId1324" Type="http://schemas.openxmlformats.org/officeDocument/2006/relationships/hyperlink" Target="https://ppim-intra.pea.co.th:4434/request/PPIM19500E12" TargetMode="External"/><Relationship Id="rId1531" Type="http://schemas.openxmlformats.org/officeDocument/2006/relationships/hyperlink" Target="https://ppim-intra.pea.co.th:4434/request/PPIM195017C3" TargetMode="External"/><Relationship Id="rId1769" Type="http://schemas.openxmlformats.org/officeDocument/2006/relationships/hyperlink" Target="https://ppim-intra.pea.co.th:4434/request/PPIM1950259D" TargetMode="External"/><Relationship Id="rId1976" Type="http://schemas.openxmlformats.org/officeDocument/2006/relationships/hyperlink" Target="https://ppim-intra.pea.co.th:4434/request/PPIM19502732" TargetMode="External"/><Relationship Id="rId30" Type="http://schemas.openxmlformats.org/officeDocument/2006/relationships/hyperlink" Target="https://ppim-intra.pea.co.th:4434/request/PPIM185002D4" TargetMode="External"/><Relationship Id="rId1629" Type="http://schemas.openxmlformats.org/officeDocument/2006/relationships/hyperlink" Target="https://ppim-intra.pea.co.th:4434/request/PPIM195000E3" TargetMode="External"/><Relationship Id="rId1836" Type="http://schemas.openxmlformats.org/officeDocument/2006/relationships/hyperlink" Target="https://ppim-intra.pea.co.th:4434/request/PPIM19502315" TargetMode="External"/><Relationship Id="rId1903" Type="http://schemas.openxmlformats.org/officeDocument/2006/relationships/hyperlink" Target="https://ppim-intra.pea.co.th:4434/request/PPIM19502EC1" TargetMode="External"/><Relationship Id="rId2098" Type="http://schemas.openxmlformats.org/officeDocument/2006/relationships/hyperlink" Target="https://ppim-intra.pea.co.th:4434/request/PPIM1950362D" TargetMode="External"/><Relationship Id="rId277" Type="http://schemas.openxmlformats.org/officeDocument/2006/relationships/hyperlink" Target="https://ppim-intra.pea.co.th:4434/request/PPIM185019CB" TargetMode="External"/><Relationship Id="rId484" Type="http://schemas.openxmlformats.org/officeDocument/2006/relationships/hyperlink" Target="https://ppim-intra.pea.co.th:4434/request/PPIM1850250F" TargetMode="External"/><Relationship Id="rId2165" Type="http://schemas.openxmlformats.org/officeDocument/2006/relationships/hyperlink" Target="https://ppim-intra.pea.co.th:4434/request/PPIM1950393E" TargetMode="External"/><Relationship Id="rId137" Type="http://schemas.openxmlformats.org/officeDocument/2006/relationships/hyperlink" Target="https://ppim-intra.pea.co.th:4434/request/PPIM18500CD3" TargetMode="External"/><Relationship Id="rId344" Type="http://schemas.openxmlformats.org/officeDocument/2006/relationships/hyperlink" Target="https://ppim-intra.pea.co.th:4434/request/PPIM18501D24" TargetMode="External"/><Relationship Id="rId691" Type="http://schemas.openxmlformats.org/officeDocument/2006/relationships/hyperlink" Target="https://ppim-intra.pea.co.th:4434/request/PPIM18500772" TargetMode="External"/><Relationship Id="rId789" Type="http://schemas.openxmlformats.org/officeDocument/2006/relationships/hyperlink" Target="https://ppim-intra.pea.co.th:4434/request/PPIM18503B25" TargetMode="External"/><Relationship Id="rId996" Type="http://schemas.openxmlformats.org/officeDocument/2006/relationships/hyperlink" Target="https://ppim-intra.pea.co.th:4434/request/PPIM195000EE" TargetMode="External"/><Relationship Id="rId2025" Type="http://schemas.openxmlformats.org/officeDocument/2006/relationships/hyperlink" Target="https://ppim-intra.pea.co.th:4434/request/PPIM195029AE" TargetMode="External"/><Relationship Id="rId2372" Type="http://schemas.openxmlformats.org/officeDocument/2006/relationships/hyperlink" Target="https://ppim-intra.pea.co.th:4434/request/PPIM19504612" TargetMode="External"/><Relationship Id="rId551" Type="http://schemas.openxmlformats.org/officeDocument/2006/relationships/hyperlink" Target="https://ppim-intra.pea.co.th:4434/request/PPIM18501A8C" TargetMode="External"/><Relationship Id="rId649" Type="http://schemas.openxmlformats.org/officeDocument/2006/relationships/hyperlink" Target="https://ppim-intra.pea.co.th:4434/request/PPIM185025D0" TargetMode="External"/><Relationship Id="rId856" Type="http://schemas.openxmlformats.org/officeDocument/2006/relationships/hyperlink" Target="https://ppim-intra.pea.co.th:4434/request/PPIM185023D4" TargetMode="External"/><Relationship Id="rId1181" Type="http://schemas.openxmlformats.org/officeDocument/2006/relationships/hyperlink" Target="https://ppim-intra.pea.co.th:4434/request/PPIM19500728" TargetMode="External"/><Relationship Id="rId1279" Type="http://schemas.openxmlformats.org/officeDocument/2006/relationships/hyperlink" Target="https://ppim-intra.pea.co.th:4434/request/PPIM19500C63" TargetMode="External"/><Relationship Id="rId1486" Type="http://schemas.openxmlformats.org/officeDocument/2006/relationships/hyperlink" Target="https://ppim-intra.pea.co.th:4434/request/PPIM195015AB" TargetMode="External"/><Relationship Id="rId2232" Type="http://schemas.openxmlformats.org/officeDocument/2006/relationships/hyperlink" Target="https://ppim-intra.pea.co.th:4434/request/PPIM19502572" TargetMode="External"/><Relationship Id="rId2537" Type="http://schemas.openxmlformats.org/officeDocument/2006/relationships/hyperlink" Target="https://ppim-intra.pea.co.th:4434/request/PPIM195024A0" TargetMode="External"/><Relationship Id="rId204" Type="http://schemas.openxmlformats.org/officeDocument/2006/relationships/hyperlink" Target="https://ppim-intra.pea.co.th:4434/request/PPIM18501338" TargetMode="External"/><Relationship Id="rId411" Type="http://schemas.openxmlformats.org/officeDocument/2006/relationships/hyperlink" Target="https://ppim-intra.pea.co.th:4434/request/PPIM185007A6" TargetMode="External"/><Relationship Id="rId509" Type="http://schemas.openxmlformats.org/officeDocument/2006/relationships/hyperlink" Target="https://ppim-intra.pea.co.th:4434/request/PPIM185026F5" TargetMode="External"/><Relationship Id="rId1041" Type="http://schemas.openxmlformats.org/officeDocument/2006/relationships/hyperlink" Target="https://ppim-intra.pea.co.th:4434/request/PPIM18502D2D" TargetMode="External"/><Relationship Id="rId1139" Type="http://schemas.openxmlformats.org/officeDocument/2006/relationships/hyperlink" Target="https://ppim-intra.pea.co.th:4434/request/PPIM19500862" TargetMode="External"/><Relationship Id="rId1346" Type="http://schemas.openxmlformats.org/officeDocument/2006/relationships/hyperlink" Target="https://ppim-intra.pea.co.th:4434/request/PPIM19500E8E" TargetMode="External"/><Relationship Id="rId1693" Type="http://schemas.openxmlformats.org/officeDocument/2006/relationships/hyperlink" Target="https://ppim-intra.pea.co.th:4434/request/PPIM19502136" TargetMode="External"/><Relationship Id="rId1998" Type="http://schemas.openxmlformats.org/officeDocument/2006/relationships/hyperlink" Target="https://ppim-intra.pea.co.th:4434/request/PPIM19502872" TargetMode="External"/><Relationship Id="rId716" Type="http://schemas.openxmlformats.org/officeDocument/2006/relationships/hyperlink" Target="https://ppim-intra.pea.co.th:4434/request/PPIM18503425" TargetMode="External"/><Relationship Id="rId923" Type="http://schemas.openxmlformats.org/officeDocument/2006/relationships/hyperlink" Target="https://ppim-intra.pea.co.th:4434/request/PPIM1850464D" TargetMode="External"/><Relationship Id="rId1553" Type="http://schemas.openxmlformats.org/officeDocument/2006/relationships/hyperlink" Target="https://ppim-intra.pea.co.th:4434/request/PPIM1950184D" TargetMode="External"/><Relationship Id="rId1760" Type="http://schemas.openxmlformats.org/officeDocument/2006/relationships/hyperlink" Target="https://ppim-intra.pea.co.th:4434/request/PPIM19502585" TargetMode="External"/><Relationship Id="rId1858" Type="http://schemas.openxmlformats.org/officeDocument/2006/relationships/hyperlink" Target="https://ppim-intra.pea.co.th:4434/request/PPIM195027C2" TargetMode="External"/><Relationship Id="rId2604" Type="http://schemas.openxmlformats.org/officeDocument/2006/relationships/hyperlink" Target="https://ppim-intra.pea.co.th:4434/request/PPIM19505A76" TargetMode="External"/><Relationship Id="rId52" Type="http://schemas.openxmlformats.org/officeDocument/2006/relationships/hyperlink" Target="https://ppim-intra.pea.co.th:4434/request/PPIM1850044A" TargetMode="External"/><Relationship Id="rId1206" Type="http://schemas.openxmlformats.org/officeDocument/2006/relationships/hyperlink" Target="https://ppim-intra.pea.co.th:4434/request/PPIM19500A44" TargetMode="External"/><Relationship Id="rId1413" Type="http://schemas.openxmlformats.org/officeDocument/2006/relationships/hyperlink" Target="https://ppim-intra.pea.co.th:4434/request/PPIM1950116C" TargetMode="External"/><Relationship Id="rId1620" Type="http://schemas.openxmlformats.org/officeDocument/2006/relationships/hyperlink" Target="https://ppim-intra.pea.co.th:4434/request/PPIM19501CF6" TargetMode="External"/><Relationship Id="rId1718" Type="http://schemas.openxmlformats.org/officeDocument/2006/relationships/hyperlink" Target="https://ppim-intra.pea.co.th:4434/request/PPIM19502349" TargetMode="External"/><Relationship Id="rId1925" Type="http://schemas.openxmlformats.org/officeDocument/2006/relationships/hyperlink" Target="https://ppim-intra.pea.co.th:4434/request/PPIM19502F70" TargetMode="External"/><Relationship Id="rId299" Type="http://schemas.openxmlformats.org/officeDocument/2006/relationships/hyperlink" Target="https://ppim-intra.pea.co.th:4434/request/PPIM18501BCC" TargetMode="External"/><Relationship Id="rId2187" Type="http://schemas.openxmlformats.org/officeDocument/2006/relationships/hyperlink" Target="https://ppim-intra.pea.co.th:4434/request/PPIM195039D0" TargetMode="External"/><Relationship Id="rId2394" Type="http://schemas.openxmlformats.org/officeDocument/2006/relationships/hyperlink" Target="https://ppim-intra.pea.co.th:4434/request/PPIM19504418" TargetMode="External"/><Relationship Id="rId159" Type="http://schemas.openxmlformats.org/officeDocument/2006/relationships/hyperlink" Target="https://ppim-intra.pea.co.th:4434/request/PPIM18501050" TargetMode="External"/><Relationship Id="rId366" Type="http://schemas.openxmlformats.org/officeDocument/2006/relationships/hyperlink" Target="https://ppim-intra.pea.co.th:4434/request/PPIM18500E5E" TargetMode="External"/><Relationship Id="rId573" Type="http://schemas.openxmlformats.org/officeDocument/2006/relationships/hyperlink" Target="https://ppim-intra.pea.co.th:4434/request/PPIM185029D5" TargetMode="External"/><Relationship Id="rId780" Type="http://schemas.openxmlformats.org/officeDocument/2006/relationships/hyperlink" Target="https://ppim-intra.pea.co.th:4434/request/PPIM18503A70" TargetMode="External"/><Relationship Id="rId2047" Type="http://schemas.openxmlformats.org/officeDocument/2006/relationships/hyperlink" Target="https://ppim-intra.pea.co.th:4434/request/PPIM1950290E" TargetMode="External"/><Relationship Id="rId2254" Type="http://schemas.openxmlformats.org/officeDocument/2006/relationships/hyperlink" Target="https://ppim-intra.pea.co.th:4434/request/PPIM19503F7F" TargetMode="External"/><Relationship Id="rId2461" Type="http://schemas.openxmlformats.org/officeDocument/2006/relationships/hyperlink" Target="https://ppim-intra.pea.co.th:4434/request/PPIM19504FD6" TargetMode="External"/><Relationship Id="rId226" Type="http://schemas.openxmlformats.org/officeDocument/2006/relationships/hyperlink" Target="https://ppim-intra.pea.co.th:4434/request/PPIM1850159E" TargetMode="External"/><Relationship Id="rId433" Type="http://schemas.openxmlformats.org/officeDocument/2006/relationships/hyperlink" Target="https://ppim-intra.pea.co.th:4434/request/PPIM185022FF" TargetMode="External"/><Relationship Id="rId878" Type="http://schemas.openxmlformats.org/officeDocument/2006/relationships/hyperlink" Target="https://ppim-intra.pea.co.th:4434/request/PPIM1850436C" TargetMode="External"/><Relationship Id="rId1063" Type="http://schemas.openxmlformats.org/officeDocument/2006/relationships/hyperlink" Target="https://ppim-intra.pea.co.th:4434/request/PPIM195004CF" TargetMode="External"/><Relationship Id="rId1270" Type="http://schemas.openxmlformats.org/officeDocument/2006/relationships/hyperlink" Target="https://ppim-intra.pea.co.th:4434/request/PPIM19500BF9" TargetMode="External"/><Relationship Id="rId2114" Type="http://schemas.openxmlformats.org/officeDocument/2006/relationships/hyperlink" Target="https://ppim-intra.pea.co.th:4434/request/PPIM1950367E" TargetMode="External"/><Relationship Id="rId2559" Type="http://schemas.openxmlformats.org/officeDocument/2006/relationships/hyperlink" Target="https://ppim-intra.pea.co.th:4434/request/PPIM1950574B" TargetMode="External"/><Relationship Id="rId640" Type="http://schemas.openxmlformats.org/officeDocument/2006/relationships/hyperlink" Target="https://ppim-intra.pea.co.th:4434/request/PPIM18502897" TargetMode="External"/><Relationship Id="rId738" Type="http://schemas.openxmlformats.org/officeDocument/2006/relationships/hyperlink" Target="https://ppim-intra.pea.co.th:4434/request/PPIM185036C7" TargetMode="External"/><Relationship Id="rId945" Type="http://schemas.openxmlformats.org/officeDocument/2006/relationships/hyperlink" Target="https://ppim-intra.pea.co.th:4434/request/PPIM18504640" TargetMode="External"/><Relationship Id="rId1368" Type="http://schemas.openxmlformats.org/officeDocument/2006/relationships/hyperlink" Target="https://ppim-intra.pea.co.th:4434/request/PPIM19500FCD" TargetMode="External"/><Relationship Id="rId1575" Type="http://schemas.openxmlformats.org/officeDocument/2006/relationships/hyperlink" Target="https://ppim-intra.pea.co.th:4434/request/PPIM19501912" TargetMode="External"/><Relationship Id="rId1782" Type="http://schemas.openxmlformats.org/officeDocument/2006/relationships/hyperlink" Target="https://ppim-intra.pea.co.th:4434/request/PPIM195025E3" TargetMode="External"/><Relationship Id="rId2321" Type="http://schemas.openxmlformats.org/officeDocument/2006/relationships/hyperlink" Target="https://ppim-intra.pea.co.th:4434/request/PPIM19504396" TargetMode="External"/><Relationship Id="rId2419" Type="http://schemas.openxmlformats.org/officeDocument/2006/relationships/hyperlink" Target="https://ppim-intra.pea.co.th:4434/request/PPIM195047B1" TargetMode="External"/><Relationship Id="rId2626" Type="http://schemas.openxmlformats.org/officeDocument/2006/relationships/hyperlink" Target="https://ppim-intra.pea.co.th:4434/request/PPIM19505B7C" TargetMode="External"/><Relationship Id="rId74" Type="http://schemas.openxmlformats.org/officeDocument/2006/relationships/hyperlink" Target="https://ppim-intra.pea.co.th:4434/request/PPIM18500701" TargetMode="External"/><Relationship Id="rId500" Type="http://schemas.openxmlformats.org/officeDocument/2006/relationships/hyperlink" Target="https://ppim-intra.pea.co.th:4434/request/PPIM18502632" TargetMode="External"/><Relationship Id="rId805" Type="http://schemas.openxmlformats.org/officeDocument/2006/relationships/hyperlink" Target="https://ppim-intra.pea.co.th:4434/request/PPIM18503C8D" TargetMode="External"/><Relationship Id="rId1130" Type="http://schemas.openxmlformats.org/officeDocument/2006/relationships/hyperlink" Target="https://ppim-intra.pea.co.th:4434/request/PPIM19500823" TargetMode="External"/><Relationship Id="rId1228" Type="http://schemas.openxmlformats.org/officeDocument/2006/relationships/hyperlink" Target="https://ppim-intra.pea.co.th:4434/request/PPIM19500ABB" TargetMode="External"/><Relationship Id="rId1435" Type="http://schemas.openxmlformats.org/officeDocument/2006/relationships/hyperlink" Target="https://ppim-intra.pea.co.th:4434/request/PPIM19501242" TargetMode="External"/><Relationship Id="rId1642" Type="http://schemas.openxmlformats.org/officeDocument/2006/relationships/hyperlink" Target="https://ppim-intra.pea.co.th:4434/request/PPIM19501E61" TargetMode="External"/><Relationship Id="rId1947" Type="http://schemas.openxmlformats.org/officeDocument/2006/relationships/hyperlink" Target="https://ppim-intra.pea.co.th:4434/request/PPIM19502A43" TargetMode="External"/><Relationship Id="rId1502" Type="http://schemas.openxmlformats.org/officeDocument/2006/relationships/hyperlink" Target="https://ppim-intra.pea.co.th:4434/request/PPIM19501695" TargetMode="External"/><Relationship Id="rId1807" Type="http://schemas.openxmlformats.org/officeDocument/2006/relationships/hyperlink" Target="https://ppim-intra.pea.co.th:4434/request/PPIM1950282E" TargetMode="External"/><Relationship Id="rId290" Type="http://schemas.openxmlformats.org/officeDocument/2006/relationships/hyperlink" Target="https://ppim-intra.pea.co.th:4434/request/PPIM18501AF7" TargetMode="External"/><Relationship Id="rId388" Type="http://schemas.openxmlformats.org/officeDocument/2006/relationships/hyperlink" Target="https://ppim-intra.pea.co.th:4434/request/PPIM18501FF5" TargetMode="External"/><Relationship Id="rId2069" Type="http://schemas.openxmlformats.org/officeDocument/2006/relationships/hyperlink" Target="https://ppim-intra.pea.co.th:4434/request/PPIM19503563" TargetMode="External"/><Relationship Id="rId150" Type="http://schemas.openxmlformats.org/officeDocument/2006/relationships/hyperlink" Target="https://ppim-intra.pea.co.th:4434/request/PPIM18500EF1" TargetMode="External"/><Relationship Id="rId595" Type="http://schemas.openxmlformats.org/officeDocument/2006/relationships/hyperlink" Target="https://ppim-intra.pea.co.th:4434/request/PPIM18502492" TargetMode="External"/><Relationship Id="rId2276" Type="http://schemas.openxmlformats.org/officeDocument/2006/relationships/hyperlink" Target="https://ppim-intra.pea.co.th:4434/request/PPIM195040F6" TargetMode="External"/><Relationship Id="rId2483" Type="http://schemas.openxmlformats.org/officeDocument/2006/relationships/hyperlink" Target="https://ppim-intra.pea.co.th:4434/request/PPIM195051BE" TargetMode="External"/><Relationship Id="rId248" Type="http://schemas.openxmlformats.org/officeDocument/2006/relationships/hyperlink" Target="https://ppim-intra.pea.co.th:4434/request/PPIM1850175C" TargetMode="External"/><Relationship Id="rId455" Type="http://schemas.openxmlformats.org/officeDocument/2006/relationships/hyperlink" Target="https://ppim-intra.pea.co.th:4434/request/PPIM1850235D" TargetMode="External"/><Relationship Id="rId662" Type="http://schemas.openxmlformats.org/officeDocument/2006/relationships/hyperlink" Target="https://ppim-intra.pea.co.th:4434/request/PPIM18502FFB" TargetMode="External"/><Relationship Id="rId1085" Type="http://schemas.openxmlformats.org/officeDocument/2006/relationships/hyperlink" Target="https://ppim-intra.pea.co.th:4434/request/PPIM19500657" TargetMode="External"/><Relationship Id="rId1292" Type="http://schemas.openxmlformats.org/officeDocument/2006/relationships/hyperlink" Target="https://ppim-intra.pea.co.th:4434/request/PPIM19500D1A" TargetMode="External"/><Relationship Id="rId2136" Type="http://schemas.openxmlformats.org/officeDocument/2006/relationships/hyperlink" Target="https://ppim-intra.pea.co.th:4434/request/PPIM19503715" TargetMode="External"/><Relationship Id="rId2343" Type="http://schemas.openxmlformats.org/officeDocument/2006/relationships/hyperlink" Target="https://ppim-intra.pea.co.th:4434/request/PPIM19504609" TargetMode="External"/><Relationship Id="rId2550" Type="http://schemas.openxmlformats.org/officeDocument/2006/relationships/hyperlink" Target="https://ppim-intra.pea.co.th:4434/request/PPIM19505651" TargetMode="External"/><Relationship Id="rId108" Type="http://schemas.openxmlformats.org/officeDocument/2006/relationships/hyperlink" Target="https://ppim-intra.pea.co.th:4434/request/PPIM18500957" TargetMode="External"/><Relationship Id="rId315" Type="http://schemas.openxmlformats.org/officeDocument/2006/relationships/hyperlink" Target="https://ppim-intra.pea.co.th:4434/request/PPIM18501C6D" TargetMode="External"/><Relationship Id="rId522" Type="http://schemas.openxmlformats.org/officeDocument/2006/relationships/hyperlink" Target="https://ppim-intra.pea.co.th:4434/request/PPIM18501062" TargetMode="External"/><Relationship Id="rId967" Type="http://schemas.openxmlformats.org/officeDocument/2006/relationships/hyperlink" Target="https://ppim-intra.pea.co.th:4434/request/PPIM18504974" TargetMode="External"/><Relationship Id="rId1152" Type="http://schemas.openxmlformats.org/officeDocument/2006/relationships/hyperlink" Target="https://ppim-intra.pea.co.th:4434/request/PPIM18504846" TargetMode="External"/><Relationship Id="rId1597" Type="http://schemas.openxmlformats.org/officeDocument/2006/relationships/hyperlink" Target="https://ppim-intra.pea.co.th:4434/request/PPIM19500193" TargetMode="External"/><Relationship Id="rId2203" Type="http://schemas.openxmlformats.org/officeDocument/2006/relationships/hyperlink" Target="https://ppim-intra.pea.co.th:4434/request/PPIM19503BA0" TargetMode="External"/><Relationship Id="rId2410" Type="http://schemas.openxmlformats.org/officeDocument/2006/relationships/hyperlink" Target="https://ppim-intra.pea.co.th:4434/request/PPIM19504B27" TargetMode="External"/><Relationship Id="rId2648" Type="http://schemas.openxmlformats.org/officeDocument/2006/relationships/hyperlink" Target="https://ppim-intra.pea.co.th:4434/request/PPIM19505BC4" TargetMode="External"/><Relationship Id="rId96" Type="http://schemas.openxmlformats.org/officeDocument/2006/relationships/hyperlink" Target="https://ppim-intra.pea.co.th:4434/request/PPIM18500858" TargetMode="External"/><Relationship Id="rId827" Type="http://schemas.openxmlformats.org/officeDocument/2006/relationships/hyperlink" Target="https://ppim-intra.pea.co.th:4434/request/PPIM18503ED2" TargetMode="External"/><Relationship Id="rId1012" Type="http://schemas.openxmlformats.org/officeDocument/2006/relationships/hyperlink" Target="https://ppim-intra.pea.co.th:4434/request/PPIM18503E84" TargetMode="External"/><Relationship Id="rId1457" Type="http://schemas.openxmlformats.org/officeDocument/2006/relationships/hyperlink" Target="https://ppim-intra.pea.co.th:4434/request/PPIM19501384" TargetMode="External"/><Relationship Id="rId1664" Type="http://schemas.openxmlformats.org/officeDocument/2006/relationships/hyperlink" Target="https://ppim-intra.pea.co.th:4434/request/PPIM19501F60" TargetMode="External"/><Relationship Id="rId1871" Type="http://schemas.openxmlformats.org/officeDocument/2006/relationships/hyperlink" Target="https://ppim-intra.pea.co.th:4434/request/PPIM19502946" TargetMode="External"/><Relationship Id="rId2508" Type="http://schemas.openxmlformats.org/officeDocument/2006/relationships/hyperlink" Target="https://ppim-intra.pea.co.th:4434/request/PPIM19504F2B" TargetMode="External"/><Relationship Id="rId1317" Type="http://schemas.openxmlformats.org/officeDocument/2006/relationships/hyperlink" Target="https://ppim-intra.pea.co.th:4434/request/PPIM19500DFE" TargetMode="External"/><Relationship Id="rId1524" Type="http://schemas.openxmlformats.org/officeDocument/2006/relationships/hyperlink" Target="https://ppim-intra.pea.co.th:4434/request/PPIM19501780" TargetMode="External"/><Relationship Id="rId1731" Type="http://schemas.openxmlformats.org/officeDocument/2006/relationships/hyperlink" Target="https://ppim-intra.pea.co.th:4434/request/PPIM1950236D" TargetMode="External"/><Relationship Id="rId1969" Type="http://schemas.openxmlformats.org/officeDocument/2006/relationships/hyperlink" Target="https://ppim-intra.pea.co.th:4434/request/PPIM19503141" TargetMode="External"/><Relationship Id="rId23" Type="http://schemas.openxmlformats.org/officeDocument/2006/relationships/hyperlink" Target="https://ppim-intra.pea.co.th:4434/request/PPIM18500229" TargetMode="External"/><Relationship Id="rId1829" Type="http://schemas.openxmlformats.org/officeDocument/2006/relationships/hyperlink" Target="https://ppim-intra.pea.co.th:4434/request/PPIM19502B7C" TargetMode="External"/><Relationship Id="rId2298" Type="http://schemas.openxmlformats.org/officeDocument/2006/relationships/hyperlink" Target="https://ppim-intra.pea.co.th:4434/request/PPIM19504259" TargetMode="External"/><Relationship Id="rId172" Type="http://schemas.openxmlformats.org/officeDocument/2006/relationships/hyperlink" Target="https://ppim-intra.pea.co.th:4434/request/PPIM1850113E" TargetMode="External"/><Relationship Id="rId477" Type="http://schemas.openxmlformats.org/officeDocument/2006/relationships/hyperlink" Target="https://ppim-intra.pea.co.th:4434/request/PPIM18501FC2" TargetMode="External"/><Relationship Id="rId684" Type="http://schemas.openxmlformats.org/officeDocument/2006/relationships/hyperlink" Target="https://ppim-intra.pea.co.th:4434/request/PPIM18503172" TargetMode="External"/><Relationship Id="rId2060" Type="http://schemas.openxmlformats.org/officeDocument/2006/relationships/hyperlink" Target="https://ppim-intra.pea.co.th:4434/request/PPIM19503503" TargetMode="External"/><Relationship Id="rId2158" Type="http://schemas.openxmlformats.org/officeDocument/2006/relationships/hyperlink" Target="https://ppim-intra.pea.co.th:4434/request/PPIM195038F8" TargetMode="External"/><Relationship Id="rId2365" Type="http://schemas.openxmlformats.org/officeDocument/2006/relationships/hyperlink" Target="https://ppim-intra.pea.co.th:4434/request/PPIM19504477" TargetMode="External"/><Relationship Id="rId337" Type="http://schemas.openxmlformats.org/officeDocument/2006/relationships/hyperlink" Target="https://ppim-intra.pea.co.th:4434/request/PPIM18501D14" TargetMode="External"/><Relationship Id="rId891" Type="http://schemas.openxmlformats.org/officeDocument/2006/relationships/hyperlink" Target="https://ppim-intra.pea.co.th:4434/request/PPIM18504420" TargetMode="External"/><Relationship Id="rId989" Type="http://schemas.openxmlformats.org/officeDocument/2006/relationships/hyperlink" Target="https://ppim-intra.pea.co.th:4434/request/PPIM19500081" TargetMode="External"/><Relationship Id="rId2018" Type="http://schemas.openxmlformats.org/officeDocument/2006/relationships/hyperlink" Target="https://ppim-intra.pea.co.th:4434/request/PPIM19502DF2" TargetMode="External"/><Relationship Id="rId2572" Type="http://schemas.openxmlformats.org/officeDocument/2006/relationships/hyperlink" Target="https://ppim-intra.pea.co.th:4434/request/PPIM1950539B" TargetMode="External"/><Relationship Id="rId544" Type="http://schemas.openxmlformats.org/officeDocument/2006/relationships/hyperlink" Target="https://ppim-intra.pea.co.th:4434/request/PPIM185028A4" TargetMode="External"/><Relationship Id="rId751" Type="http://schemas.openxmlformats.org/officeDocument/2006/relationships/hyperlink" Target="https://ppim-intra.pea.co.th:4434/request/PPIM1850385D" TargetMode="External"/><Relationship Id="rId849" Type="http://schemas.openxmlformats.org/officeDocument/2006/relationships/hyperlink" Target="https://ppim-intra.pea.co.th:4434/request/PPIM18501955" TargetMode="External"/><Relationship Id="rId1174" Type="http://schemas.openxmlformats.org/officeDocument/2006/relationships/hyperlink" Target="https://ppim-intra.pea.co.th:4434/request/PPIM195007CE" TargetMode="External"/><Relationship Id="rId1381" Type="http://schemas.openxmlformats.org/officeDocument/2006/relationships/hyperlink" Target="https://ppim-intra.pea.co.th:4434/request/PPIM1950105A" TargetMode="External"/><Relationship Id="rId1479" Type="http://schemas.openxmlformats.org/officeDocument/2006/relationships/hyperlink" Target="https://ppim-intra.pea.co.th:4434/request/PPIM195006B6" TargetMode="External"/><Relationship Id="rId1686" Type="http://schemas.openxmlformats.org/officeDocument/2006/relationships/hyperlink" Target="https://ppim-intra.pea.co.th:4434/request/PPIM195020EF" TargetMode="External"/><Relationship Id="rId2225" Type="http://schemas.openxmlformats.org/officeDocument/2006/relationships/hyperlink" Target="https://ppim-intra.pea.co.th:4434/request/PPIM1950226D" TargetMode="External"/><Relationship Id="rId2432" Type="http://schemas.openxmlformats.org/officeDocument/2006/relationships/hyperlink" Target="https://ppim-intra.pea.co.th:4434/request/PPIM195045F6" TargetMode="External"/><Relationship Id="rId404" Type="http://schemas.openxmlformats.org/officeDocument/2006/relationships/hyperlink" Target="https://ppim-intra.pea.co.th:4434/request/PPIM185020E4" TargetMode="External"/><Relationship Id="rId611" Type="http://schemas.openxmlformats.org/officeDocument/2006/relationships/hyperlink" Target="https://ppim-intra.pea.co.th:4434/request/PPIM18502BDE" TargetMode="External"/><Relationship Id="rId1034" Type="http://schemas.openxmlformats.org/officeDocument/2006/relationships/hyperlink" Target="https://ppim-intra.pea.co.th:4434/request/PPIM19500392" TargetMode="External"/><Relationship Id="rId1241" Type="http://schemas.openxmlformats.org/officeDocument/2006/relationships/hyperlink" Target="https://ppim-intra.pea.co.th:4434/request/PPIM19500B1E" TargetMode="External"/><Relationship Id="rId1339" Type="http://schemas.openxmlformats.org/officeDocument/2006/relationships/hyperlink" Target="https://ppim-intra.pea.co.th:4434/request/PPIM19500E65" TargetMode="External"/><Relationship Id="rId1893" Type="http://schemas.openxmlformats.org/officeDocument/2006/relationships/hyperlink" Target="https://ppim-intra.pea.co.th:4434/request/PPIM19502E91" TargetMode="External"/><Relationship Id="rId709" Type="http://schemas.openxmlformats.org/officeDocument/2006/relationships/hyperlink" Target="https://ppim-intra.pea.co.th:4434/request/PPIM1850337B" TargetMode="External"/><Relationship Id="rId916" Type="http://schemas.openxmlformats.org/officeDocument/2006/relationships/hyperlink" Target="https://ppim-intra.pea.co.th:4434/request/PPIM185045DC" TargetMode="External"/><Relationship Id="rId1101" Type="http://schemas.openxmlformats.org/officeDocument/2006/relationships/hyperlink" Target="https://ppim-intra.pea.co.th:4434/request/PPIM1950073E" TargetMode="External"/><Relationship Id="rId1546" Type="http://schemas.openxmlformats.org/officeDocument/2006/relationships/hyperlink" Target="https://ppim-intra.pea.co.th:4434/request/PPIM19501825" TargetMode="External"/><Relationship Id="rId1753" Type="http://schemas.openxmlformats.org/officeDocument/2006/relationships/hyperlink" Target="https://ppim-intra.pea.co.th:4434/request/PPIM1950249A" TargetMode="External"/><Relationship Id="rId1960" Type="http://schemas.openxmlformats.org/officeDocument/2006/relationships/hyperlink" Target="https://ppim-intra.pea.co.th:4434/request/PPIM19502FA9" TargetMode="External"/><Relationship Id="rId45" Type="http://schemas.openxmlformats.org/officeDocument/2006/relationships/hyperlink" Target="https://ppim-intra.pea.co.th:4434/request/PPIM185003D5" TargetMode="External"/><Relationship Id="rId1406" Type="http://schemas.openxmlformats.org/officeDocument/2006/relationships/hyperlink" Target="https://ppim-intra.pea.co.th:4434/request/PPIM1950114C" TargetMode="External"/><Relationship Id="rId1613" Type="http://schemas.openxmlformats.org/officeDocument/2006/relationships/hyperlink" Target="https://ppim-intra.pea.co.th:4434/request/PPIM19501C96" TargetMode="External"/><Relationship Id="rId1820" Type="http://schemas.openxmlformats.org/officeDocument/2006/relationships/hyperlink" Target="https://ppim-intra.pea.co.th:4434/request/PPIM1950296F" TargetMode="External"/><Relationship Id="rId194" Type="http://schemas.openxmlformats.org/officeDocument/2006/relationships/hyperlink" Target="https://ppim-intra.pea.co.th:4434/request/PPIM1850042F" TargetMode="External"/><Relationship Id="rId1918" Type="http://schemas.openxmlformats.org/officeDocument/2006/relationships/hyperlink" Target="https://ppim-intra.pea.co.th:4434/request/PPIM19502F1F" TargetMode="External"/><Relationship Id="rId2082" Type="http://schemas.openxmlformats.org/officeDocument/2006/relationships/hyperlink" Target="https://ppim-intra.pea.co.th:4434/request/PPIM195035AE" TargetMode="External"/><Relationship Id="rId261" Type="http://schemas.openxmlformats.org/officeDocument/2006/relationships/hyperlink" Target="https://ppim-intra.pea.co.th:4434/request/PPIM18500692" TargetMode="External"/><Relationship Id="rId499" Type="http://schemas.openxmlformats.org/officeDocument/2006/relationships/hyperlink" Target="https://ppim-intra.pea.co.th:4434/request/PPIM1850262B" TargetMode="External"/><Relationship Id="rId2387" Type="http://schemas.openxmlformats.org/officeDocument/2006/relationships/hyperlink" Target="https://ppim-intra.pea.co.th:4434/request/PPIM19504797" TargetMode="External"/><Relationship Id="rId2594" Type="http://schemas.openxmlformats.org/officeDocument/2006/relationships/hyperlink" Target="https://ppim-intra.pea.co.th:4434/request/PPIM19505728" TargetMode="External"/><Relationship Id="rId359" Type="http://schemas.openxmlformats.org/officeDocument/2006/relationships/hyperlink" Target="https://ppim-intra.pea.co.th:4434/request/PPIM18501DB3" TargetMode="External"/><Relationship Id="rId566" Type="http://schemas.openxmlformats.org/officeDocument/2006/relationships/hyperlink" Target="https://ppim-intra.pea.co.th:4434/request/PPIM185029AE" TargetMode="External"/><Relationship Id="rId773" Type="http://schemas.openxmlformats.org/officeDocument/2006/relationships/hyperlink" Target="https://ppim-intra.pea.co.th:4434/request/PPIM18503A31" TargetMode="External"/><Relationship Id="rId1196" Type="http://schemas.openxmlformats.org/officeDocument/2006/relationships/hyperlink" Target="https://ppim-intra.pea.co.th:4434/request/PPIM195001C3" TargetMode="External"/><Relationship Id="rId2247" Type="http://schemas.openxmlformats.org/officeDocument/2006/relationships/hyperlink" Target="https://ppim-intra.pea.co.th:4434/request/PPIM19503525" TargetMode="External"/><Relationship Id="rId2454" Type="http://schemas.openxmlformats.org/officeDocument/2006/relationships/hyperlink" Target="https://ppim-intra.pea.co.th:4434/request/PPIM19504F3B" TargetMode="External"/><Relationship Id="rId121" Type="http://schemas.openxmlformats.org/officeDocument/2006/relationships/hyperlink" Target="https://ppim-intra.pea.co.th:4434/request/PPIM18500050" TargetMode="External"/><Relationship Id="rId219" Type="http://schemas.openxmlformats.org/officeDocument/2006/relationships/hyperlink" Target="https://ppim-intra.pea.co.th:4434/request/PPIM185014BC" TargetMode="External"/><Relationship Id="rId426" Type="http://schemas.openxmlformats.org/officeDocument/2006/relationships/hyperlink" Target="https://ppim-intra.pea.co.th:4434/request/PPIM185022C9" TargetMode="External"/><Relationship Id="rId633" Type="http://schemas.openxmlformats.org/officeDocument/2006/relationships/hyperlink" Target="https://ppim-intra.pea.co.th:4434/request/PPIM18502D15" TargetMode="External"/><Relationship Id="rId980" Type="http://schemas.openxmlformats.org/officeDocument/2006/relationships/hyperlink" Target="https://ppim-intra.pea.co.th:4434/request/PPIM18504A44" TargetMode="External"/><Relationship Id="rId1056" Type="http://schemas.openxmlformats.org/officeDocument/2006/relationships/hyperlink" Target="https://ppim-intra.pea.co.th:4434/request/PPIM19500484" TargetMode="External"/><Relationship Id="rId1263" Type="http://schemas.openxmlformats.org/officeDocument/2006/relationships/hyperlink" Target="https://ppim-intra.pea.co.th:4434/request/PPIM19500BC7" TargetMode="External"/><Relationship Id="rId2107" Type="http://schemas.openxmlformats.org/officeDocument/2006/relationships/hyperlink" Target="https://ppim-intra.pea.co.th:4434/request/PPIM195035CB" TargetMode="External"/><Relationship Id="rId2314" Type="http://schemas.openxmlformats.org/officeDocument/2006/relationships/hyperlink" Target="https://ppim-intra.pea.co.th:4434/request/PPIM19503A39" TargetMode="External"/><Relationship Id="rId840" Type="http://schemas.openxmlformats.org/officeDocument/2006/relationships/hyperlink" Target="https://ppim-intra.pea.co.th:4434/request/PPIM185040FE" TargetMode="External"/><Relationship Id="rId938" Type="http://schemas.openxmlformats.org/officeDocument/2006/relationships/hyperlink" Target="https://ppim-intra.pea.co.th:4434/request/PPIM1850477A" TargetMode="External"/><Relationship Id="rId1470" Type="http://schemas.openxmlformats.org/officeDocument/2006/relationships/hyperlink" Target="https://ppim-intra.pea.co.th:4434/request/PPIM1950140F" TargetMode="External"/><Relationship Id="rId1568" Type="http://schemas.openxmlformats.org/officeDocument/2006/relationships/hyperlink" Target="https://ppim-intra.pea.co.th:4434/request/PPIM195018EC" TargetMode="External"/><Relationship Id="rId1775" Type="http://schemas.openxmlformats.org/officeDocument/2006/relationships/hyperlink" Target="https://ppim-intra.pea.co.th:4434/request/PPIM195025AB" TargetMode="External"/><Relationship Id="rId2521" Type="http://schemas.openxmlformats.org/officeDocument/2006/relationships/hyperlink" Target="https://ppim-intra.pea.co.th:4434/request/PPIM1950505D" TargetMode="External"/><Relationship Id="rId2619" Type="http://schemas.openxmlformats.org/officeDocument/2006/relationships/hyperlink" Target="https://ppim-intra.pea.co.th:4434/request/PPIM19505B53" TargetMode="External"/><Relationship Id="rId67" Type="http://schemas.openxmlformats.org/officeDocument/2006/relationships/hyperlink" Target="https://ppim-intra.pea.co.th:4434/request/PPIM18500614" TargetMode="External"/><Relationship Id="rId700" Type="http://schemas.openxmlformats.org/officeDocument/2006/relationships/hyperlink" Target="https://ppim-intra.pea.co.th:4434/request/PPIM18503290" TargetMode="External"/><Relationship Id="rId1123" Type="http://schemas.openxmlformats.org/officeDocument/2006/relationships/hyperlink" Target="https://ppim-intra.pea.co.th:4434/request/PPIM185047CA" TargetMode="External"/><Relationship Id="rId1330" Type="http://schemas.openxmlformats.org/officeDocument/2006/relationships/hyperlink" Target="https://ppim-intra.pea.co.th:4434/request/PPIM19500E37" TargetMode="External"/><Relationship Id="rId1428" Type="http://schemas.openxmlformats.org/officeDocument/2006/relationships/hyperlink" Target="https://ppim-intra.pea.co.th:4434/request/PPIM195011F6" TargetMode="External"/><Relationship Id="rId1635" Type="http://schemas.openxmlformats.org/officeDocument/2006/relationships/hyperlink" Target="https://ppim-intra.pea.co.th:4434/request/PPIM19501DDE" TargetMode="External"/><Relationship Id="rId1982" Type="http://schemas.openxmlformats.org/officeDocument/2006/relationships/hyperlink" Target="https://ppim-intra.pea.co.th:4434/request/PPIM19501E31" TargetMode="External"/><Relationship Id="rId1842" Type="http://schemas.openxmlformats.org/officeDocument/2006/relationships/hyperlink" Target="https://ppim-intra.pea.co.th:4434/request/PPIM19502C27" TargetMode="External"/><Relationship Id="rId1702" Type="http://schemas.openxmlformats.org/officeDocument/2006/relationships/hyperlink" Target="https://ppim-intra.pea.co.th:4434/request/PPIM19501B9C" TargetMode="External"/><Relationship Id="rId283" Type="http://schemas.openxmlformats.org/officeDocument/2006/relationships/hyperlink" Target="https://ppim-intra.pea.co.th:4434/request/PPIM1850071E" TargetMode="External"/><Relationship Id="rId490" Type="http://schemas.openxmlformats.org/officeDocument/2006/relationships/hyperlink" Target="https://ppim-intra.pea.co.th:4434/request/PPIM18502574" TargetMode="External"/><Relationship Id="rId2171" Type="http://schemas.openxmlformats.org/officeDocument/2006/relationships/hyperlink" Target="https://ppim-intra.pea.co.th:4434/request/PPIM19503960" TargetMode="External"/><Relationship Id="rId143" Type="http://schemas.openxmlformats.org/officeDocument/2006/relationships/hyperlink" Target="https://ppim-intra.pea.co.th:4434/request/PPIM18500E2B" TargetMode="External"/><Relationship Id="rId350" Type="http://schemas.openxmlformats.org/officeDocument/2006/relationships/hyperlink" Target="https://ppim-intra.pea.co.th:4434/request/PPIM18501D79" TargetMode="External"/><Relationship Id="rId588" Type="http://schemas.openxmlformats.org/officeDocument/2006/relationships/hyperlink" Target="https://ppim-intra.pea.co.th:4434/request/PPIM18502A6A" TargetMode="External"/><Relationship Id="rId795" Type="http://schemas.openxmlformats.org/officeDocument/2006/relationships/hyperlink" Target="https://ppim-intra.pea.co.th:4434/request/PPIM18503BCF" TargetMode="External"/><Relationship Id="rId2031" Type="http://schemas.openxmlformats.org/officeDocument/2006/relationships/hyperlink" Target="https://ppim-intra.pea.co.th:4434/request/PPIM195030E3" TargetMode="External"/><Relationship Id="rId2269" Type="http://schemas.openxmlformats.org/officeDocument/2006/relationships/hyperlink" Target="https://ppim-intra.pea.co.th:4434/request/PPIM195040C3" TargetMode="External"/><Relationship Id="rId2476" Type="http://schemas.openxmlformats.org/officeDocument/2006/relationships/hyperlink" Target="https://ppim-intra.pea.co.th:4434/request/PPIM195050C1" TargetMode="External"/><Relationship Id="rId9" Type="http://schemas.openxmlformats.org/officeDocument/2006/relationships/hyperlink" Target="https://ppim-intra.pea.co.th:4434/request/PPIM18500136" TargetMode="External"/><Relationship Id="rId210" Type="http://schemas.openxmlformats.org/officeDocument/2006/relationships/hyperlink" Target="https://ppim-intra.pea.co.th:4434/request/PPIM185013F9" TargetMode="External"/><Relationship Id="rId448" Type="http://schemas.openxmlformats.org/officeDocument/2006/relationships/hyperlink" Target="https://ppim-intra.pea.co.th:4434/request/PPIM1850232C" TargetMode="External"/><Relationship Id="rId655" Type="http://schemas.openxmlformats.org/officeDocument/2006/relationships/hyperlink" Target="https://ppim-intra.pea.co.th:4434/request/PPIM18502F4E" TargetMode="External"/><Relationship Id="rId862" Type="http://schemas.openxmlformats.org/officeDocument/2006/relationships/hyperlink" Target="https://ppim-intra.pea.co.th:4434/request/PPIM18504265" TargetMode="External"/><Relationship Id="rId1078" Type="http://schemas.openxmlformats.org/officeDocument/2006/relationships/hyperlink" Target="https://ppim-intra.pea.co.th:4434/request/PPIM19500590" TargetMode="External"/><Relationship Id="rId1285" Type="http://schemas.openxmlformats.org/officeDocument/2006/relationships/hyperlink" Target="https://ppim-intra.pea.co.th:4434/request/PPIM19500C9F" TargetMode="External"/><Relationship Id="rId1492" Type="http://schemas.openxmlformats.org/officeDocument/2006/relationships/hyperlink" Target="https://ppim-intra.pea.co.th:4434/request/PPIM195012F2" TargetMode="External"/><Relationship Id="rId2129" Type="http://schemas.openxmlformats.org/officeDocument/2006/relationships/hyperlink" Target="https://ppim-intra.pea.co.th:4434/request/PPIM195037A8" TargetMode="External"/><Relationship Id="rId2336" Type="http://schemas.openxmlformats.org/officeDocument/2006/relationships/hyperlink" Target="https://ppim-intra.pea.co.th:4434/request/PPIM195044EA" TargetMode="External"/><Relationship Id="rId2543" Type="http://schemas.openxmlformats.org/officeDocument/2006/relationships/hyperlink" Target="https://ppim-intra.pea.co.th:4434/request/PPIM19505598" TargetMode="External"/><Relationship Id="rId308" Type="http://schemas.openxmlformats.org/officeDocument/2006/relationships/hyperlink" Target="https://ppim-intra.pea.co.th:4434/request/PPIM18501C36" TargetMode="External"/><Relationship Id="rId515" Type="http://schemas.openxmlformats.org/officeDocument/2006/relationships/hyperlink" Target="https://ppim-intra.pea.co.th:4434/request/PPIM1850271C" TargetMode="External"/><Relationship Id="rId722" Type="http://schemas.openxmlformats.org/officeDocument/2006/relationships/hyperlink" Target="https://ppim-intra.pea.co.th:4434/request/PPIM1850351C" TargetMode="External"/><Relationship Id="rId1145" Type="http://schemas.openxmlformats.org/officeDocument/2006/relationships/hyperlink" Target="https://ppim-intra.pea.co.th:4434/request/PPIM195003CC" TargetMode="External"/><Relationship Id="rId1352" Type="http://schemas.openxmlformats.org/officeDocument/2006/relationships/hyperlink" Target="https://ppim-intra.pea.co.th:4434/request/PPIM19500335" TargetMode="External"/><Relationship Id="rId1797" Type="http://schemas.openxmlformats.org/officeDocument/2006/relationships/hyperlink" Target="https://ppim-intra.pea.co.th:4434/request/PPIM19502766" TargetMode="External"/><Relationship Id="rId2403" Type="http://schemas.openxmlformats.org/officeDocument/2006/relationships/hyperlink" Target="https://ppim-intra.pea.co.th:4434/request/PPIM195043E2" TargetMode="External"/><Relationship Id="rId89" Type="http://schemas.openxmlformats.org/officeDocument/2006/relationships/hyperlink" Target="https://ppim-intra.pea.co.th:4434/request/PPIM185007C2" TargetMode="External"/><Relationship Id="rId1005" Type="http://schemas.openxmlformats.org/officeDocument/2006/relationships/hyperlink" Target="https://ppim-intra.pea.co.th:4434/request/PPIM1950017B" TargetMode="External"/><Relationship Id="rId1212" Type="http://schemas.openxmlformats.org/officeDocument/2006/relationships/hyperlink" Target="https://ppim-intra.pea.co.th:4434/request/PPIM195009AD" TargetMode="External"/><Relationship Id="rId1657" Type="http://schemas.openxmlformats.org/officeDocument/2006/relationships/hyperlink" Target="https://ppim-intra.pea.co.th:4434/request/PPIM19501F35" TargetMode="External"/><Relationship Id="rId1864" Type="http://schemas.openxmlformats.org/officeDocument/2006/relationships/hyperlink" Target="https://ppim-intra.pea.co.th:4434/request/PPIM19502838" TargetMode="External"/><Relationship Id="rId2610" Type="http://schemas.openxmlformats.org/officeDocument/2006/relationships/hyperlink" Target="https://ppim-intra.pea.co.th:4434/request/PPIM19505B04" TargetMode="External"/><Relationship Id="rId1517" Type="http://schemas.openxmlformats.org/officeDocument/2006/relationships/hyperlink" Target="https://ppim-intra.pea.co.th:4434/request/PPIM19501730" TargetMode="External"/><Relationship Id="rId1724" Type="http://schemas.openxmlformats.org/officeDocument/2006/relationships/hyperlink" Target="https://ppim-intra.pea.co.th:4434/request/PPIM1950235F" TargetMode="External"/><Relationship Id="rId16" Type="http://schemas.openxmlformats.org/officeDocument/2006/relationships/hyperlink" Target="https://ppim-intra.pea.co.th:4434/request/PPIM185001B6" TargetMode="External"/><Relationship Id="rId1931" Type="http://schemas.openxmlformats.org/officeDocument/2006/relationships/hyperlink" Target="https://ppim-intra.pea.co.th:4434/request/PPIM19502DCF" TargetMode="External"/><Relationship Id="rId2193" Type="http://schemas.openxmlformats.org/officeDocument/2006/relationships/hyperlink" Target="https://ppim-intra.pea.co.th:4434/request/PPIM19503750" TargetMode="External"/><Relationship Id="rId2498" Type="http://schemas.openxmlformats.org/officeDocument/2006/relationships/hyperlink" Target="https://ppim-intra.pea.co.th:4434/request/PPIM1950530E" TargetMode="External"/><Relationship Id="rId165" Type="http://schemas.openxmlformats.org/officeDocument/2006/relationships/hyperlink" Target="https://ppim-intra.pea.co.th:4434/request/PPIM18501098" TargetMode="External"/><Relationship Id="rId372" Type="http://schemas.openxmlformats.org/officeDocument/2006/relationships/hyperlink" Target="https://ppim-intra.pea.co.th:4434/request/PPIM18501E6E" TargetMode="External"/><Relationship Id="rId677" Type="http://schemas.openxmlformats.org/officeDocument/2006/relationships/hyperlink" Target="https://ppim-intra.pea.co.th:4434/request/PPIM18503112" TargetMode="External"/><Relationship Id="rId2053" Type="http://schemas.openxmlformats.org/officeDocument/2006/relationships/hyperlink" Target="https://ppim-intra.pea.co.th:4434/request/PPIM195034EA" TargetMode="External"/><Relationship Id="rId2260" Type="http://schemas.openxmlformats.org/officeDocument/2006/relationships/hyperlink" Target="https://ppim-intra.pea.co.th:4434/request/PPIM19503054" TargetMode="External"/><Relationship Id="rId2358" Type="http://schemas.openxmlformats.org/officeDocument/2006/relationships/hyperlink" Target="https://ppim-intra.pea.co.th:4434/request/PPIM1950433C" TargetMode="External"/><Relationship Id="rId232" Type="http://schemas.openxmlformats.org/officeDocument/2006/relationships/hyperlink" Target="https://ppim-intra.pea.co.th:4434/request/PPIM185015D8" TargetMode="External"/><Relationship Id="rId884" Type="http://schemas.openxmlformats.org/officeDocument/2006/relationships/hyperlink" Target="https://ppim-intra.pea.co.th:4434/request/PPIM185043DB" TargetMode="External"/><Relationship Id="rId2120" Type="http://schemas.openxmlformats.org/officeDocument/2006/relationships/hyperlink" Target="https://ppim-intra.pea.co.th:4434/request/PPIM19503349" TargetMode="External"/><Relationship Id="rId2565" Type="http://schemas.openxmlformats.org/officeDocument/2006/relationships/hyperlink" Target="https://ppim-intra.pea.co.th:4434/request/PPIM1950533B" TargetMode="External"/><Relationship Id="rId537" Type="http://schemas.openxmlformats.org/officeDocument/2006/relationships/hyperlink" Target="https://ppim-intra.pea.co.th:4434/request/PPIM18502887" TargetMode="External"/><Relationship Id="rId744" Type="http://schemas.openxmlformats.org/officeDocument/2006/relationships/hyperlink" Target="https://ppim-intra.pea.co.th:4434/request/PPIM1850238F" TargetMode="External"/><Relationship Id="rId951" Type="http://schemas.openxmlformats.org/officeDocument/2006/relationships/hyperlink" Target="https://ppim-intra.pea.co.th:4434/request/PPIM18504878" TargetMode="External"/><Relationship Id="rId1167" Type="http://schemas.openxmlformats.org/officeDocument/2006/relationships/hyperlink" Target="https://ppim-intra.pea.co.th:4434/request/PPIM1850458D" TargetMode="External"/><Relationship Id="rId1374" Type="http://schemas.openxmlformats.org/officeDocument/2006/relationships/hyperlink" Target="https://ppim-intra.pea.co.th:4434/request/PPIM1950013C" TargetMode="External"/><Relationship Id="rId1581" Type="http://schemas.openxmlformats.org/officeDocument/2006/relationships/hyperlink" Target="https://ppim-intra.pea.co.th:4434/request/PPIM1950194E" TargetMode="External"/><Relationship Id="rId1679" Type="http://schemas.openxmlformats.org/officeDocument/2006/relationships/hyperlink" Target="https://ppim-intra.pea.co.th:4434/request/PPIM19501F4E" TargetMode="External"/><Relationship Id="rId2218" Type="http://schemas.openxmlformats.org/officeDocument/2006/relationships/hyperlink" Target="https://ppim-intra.pea.co.th:4434/request/PPIM19503D28" TargetMode="External"/><Relationship Id="rId2425" Type="http://schemas.openxmlformats.org/officeDocument/2006/relationships/hyperlink" Target="https://ppim-intra.pea.co.th:4434/request/PPIM19504880" TargetMode="External"/><Relationship Id="rId2632" Type="http://schemas.openxmlformats.org/officeDocument/2006/relationships/hyperlink" Target="https://ppim-intra.pea.co.th:4434/request/PPIM195051E0" TargetMode="External"/><Relationship Id="rId80" Type="http://schemas.openxmlformats.org/officeDocument/2006/relationships/hyperlink" Target="https://ppim-intra.pea.co.th:4434/request/PPIM18500727" TargetMode="External"/><Relationship Id="rId604" Type="http://schemas.openxmlformats.org/officeDocument/2006/relationships/hyperlink" Target="https://ppim-intra.pea.co.th:4434/request/PPIM18502B91" TargetMode="External"/><Relationship Id="rId811" Type="http://schemas.openxmlformats.org/officeDocument/2006/relationships/hyperlink" Target="https://ppim-intra.pea.co.th:4434/request/PPIM18503DB3" TargetMode="External"/><Relationship Id="rId1027" Type="http://schemas.openxmlformats.org/officeDocument/2006/relationships/hyperlink" Target="https://ppim-intra.pea.co.th:4434/request/PPIM1950034A" TargetMode="External"/><Relationship Id="rId1234" Type="http://schemas.openxmlformats.org/officeDocument/2006/relationships/hyperlink" Target="https://ppim-intra.pea.co.th:4434/request/PPIM19500AD7" TargetMode="External"/><Relationship Id="rId1441" Type="http://schemas.openxmlformats.org/officeDocument/2006/relationships/hyperlink" Target="https://ppim-intra.pea.co.th:4434/request/PPIM195012B3" TargetMode="External"/><Relationship Id="rId1886" Type="http://schemas.openxmlformats.org/officeDocument/2006/relationships/hyperlink" Target="https://ppim-intra.pea.co.th:4434/request/PPIM1950115B" TargetMode="External"/><Relationship Id="rId909" Type="http://schemas.openxmlformats.org/officeDocument/2006/relationships/hyperlink" Target="https://ppim-intra.pea.co.th:4434/request/PPIM185045A0" TargetMode="External"/><Relationship Id="rId1301" Type="http://schemas.openxmlformats.org/officeDocument/2006/relationships/hyperlink" Target="https://ppim-intra.pea.co.th:4434/request/PPIM19500D92" TargetMode="External"/><Relationship Id="rId1539" Type="http://schemas.openxmlformats.org/officeDocument/2006/relationships/hyperlink" Target="https://ppim-intra.pea.co.th:4434/request/PPIM19501809" TargetMode="External"/><Relationship Id="rId1746" Type="http://schemas.openxmlformats.org/officeDocument/2006/relationships/hyperlink" Target="https://ppim-intra.pea.co.th:4434/request/PPIM195023DE" TargetMode="External"/><Relationship Id="rId1953" Type="http://schemas.openxmlformats.org/officeDocument/2006/relationships/hyperlink" Target="https://ppim-intra.pea.co.th:4434/request/PPIM195027A8" TargetMode="External"/><Relationship Id="rId38" Type="http://schemas.openxmlformats.org/officeDocument/2006/relationships/hyperlink" Target="https://ppim-intra.pea.co.th:4434/request/PPIM1850037A" TargetMode="External"/><Relationship Id="rId1606" Type="http://schemas.openxmlformats.org/officeDocument/2006/relationships/hyperlink" Target="https://ppim-intra.pea.co.th:4434/request/PPIM19501B9F" TargetMode="External"/><Relationship Id="rId1813" Type="http://schemas.openxmlformats.org/officeDocument/2006/relationships/hyperlink" Target="https://ppim-intra.pea.co.th:4434/request/PPIM195028B3" TargetMode="External"/><Relationship Id="rId187" Type="http://schemas.openxmlformats.org/officeDocument/2006/relationships/hyperlink" Target="https://ppim-intra.pea.co.th:4434/request/PPIM185000FE" TargetMode="External"/><Relationship Id="rId394" Type="http://schemas.openxmlformats.org/officeDocument/2006/relationships/hyperlink" Target="https://ppim-intra.pea.co.th:4434/request/PPIM18502042" TargetMode="External"/><Relationship Id="rId2075" Type="http://schemas.openxmlformats.org/officeDocument/2006/relationships/hyperlink" Target="https://ppim-intra.pea.co.th:4434/request/PPIM1950357A" TargetMode="External"/><Relationship Id="rId2282" Type="http://schemas.openxmlformats.org/officeDocument/2006/relationships/hyperlink" Target="https://ppim-intra.pea.co.th:4434/request/PPIM195040E0" TargetMode="External"/><Relationship Id="rId254" Type="http://schemas.openxmlformats.org/officeDocument/2006/relationships/hyperlink" Target="https://ppim-intra.pea.co.th:4434/request/PPIM185017AB" TargetMode="External"/><Relationship Id="rId699" Type="http://schemas.openxmlformats.org/officeDocument/2006/relationships/hyperlink" Target="https://ppim-intra.pea.co.th:4434/request/PPIM1850327A" TargetMode="External"/><Relationship Id="rId1091" Type="http://schemas.openxmlformats.org/officeDocument/2006/relationships/hyperlink" Target="https://ppim-intra.pea.co.th:4434/request/PPIM195006D0" TargetMode="External"/><Relationship Id="rId2587" Type="http://schemas.openxmlformats.org/officeDocument/2006/relationships/hyperlink" Target="https://ppim-intra.pea.co.th:4434/request/PPIM1950595B" TargetMode="External"/><Relationship Id="rId114" Type="http://schemas.openxmlformats.org/officeDocument/2006/relationships/hyperlink" Target="https://ppim-intra.pea.co.th:4434/request/PPIM185009F2" TargetMode="External"/><Relationship Id="rId461" Type="http://schemas.openxmlformats.org/officeDocument/2006/relationships/hyperlink" Target="https://ppim-intra.pea.co.th:4434/request/PPIM18501C3D" TargetMode="External"/><Relationship Id="rId559" Type="http://schemas.openxmlformats.org/officeDocument/2006/relationships/hyperlink" Target="https://ppim-intra.pea.co.th:4434/request/PPIM18502954" TargetMode="External"/><Relationship Id="rId766" Type="http://schemas.openxmlformats.org/officeDocument/2006/relationships/hyperlink" Target="https://ppim-intra.pea.co.th:4434/request/PPIM18503987" TargetMode="External"/><Relationship Id="rId1189" Type="http://schemas.openxmlformats.org/officeDocument/2006/relationships/hyperlink" Target="https://ppim-intra.pea.co.th:4434/request/PPIM195009D5" TargetMode="External"/><Relationship Id="rId1396" Type="http://schemas.openxmlformats.org/officeDocument/2006/relationships/hyperlink" Target="https://ppim-intra.pea.co.th:4434/request/PPIM1950111C" TargetMode="External"/><Relationship Id="rId2142" Type="http://schemas.openxmlformats.org/officeDocument/2006/relationships/hyperlink" Target="https://ppim-intra.pea.co.th:4434/request/PPIM195037B6" TargetMode="External"/><Relationship Id="rId2447" Type="http://schemas.openxmlformats.org/officeDocument/2006/relationships/hyperlink" Target="https://ppim-intra.pea.co.th:4434/request/PPIM19504EB2" TargetMode="External"/><Relationship Id="rId321" Type="http://schemas.openxmlformats.org/officeDocument/2006/relationships/hyperlink" Target="https://ppim-intra.pea.co.th:4434/request/PPIM18501CC5" TargetMode="External"/><Relationship Id="rId419" Type="http://schemas.openxmlformats.org/officeDocument/2006/relationships/hyperlink" Target="https://ppim-intra.pea.co.th:4434/request/PPIM1850221B" TargetMode="External"/><Relationship Id="rId626" Type="http://schemas.openxmlformats.org/officeDocument/2006/relationships/hyperlink" Target="https://ppim-intra.pea.co.th:4434/request/PPIM18502C7E" TargetMode="External"/><Relationship Id="rId973" Type="http://schemas.openxmlformats.org/officeDocument/2006/relationships/hyperlink" Target="https://ppim-intra.pea.co.th:4434/request/PPIM185049A7" TargetMode="External"/><Relationship Id="rId1049" Type="http://schemas.openxmlformats.org/officeDocument/2006/relationships/hyperlink" Target="https://ppim-intra.pea.co.th:4434/request/PPIM185042DF" TargetMode="External"/><Relationship Id="rId1256" Type="http://schemas.openxmlformats.org/officeDocument/2006/relationships/hyperlink" Target="https://ppim-intra.pea.co.th:4434/request/PPIM19500B7B" TargetMode="External"/><Relationship Id="rId2002" Type="http://schemas.openxmlformats.org/officeDocument/2006/relationships/hyperlink" Target="https://ppim-intra.pea.co.th:4434/request/PPIM19503226" TargetMode="External"/><Relationship Id="rId2307" Type="http://schemas.openxmlformats.org/officeDocument/2006/relationships/hyperlink" Target="https://ppim-intra.pea.co.th:4434/request/PPIM19504332" TargetMode="External"/><Relationship Id="rId2654" Type="http://schemas.openxmlformats.org/officeDocument/2006/relationships/hyperlink" Target="https://ppim-intra.pea.co.th:4434/request/PPIM19505CEC" TargetMode="External"/><Relationship Id="rId833" Type="http://schemas.openxmlformats.org/officeDocument/2006/relationships/hyperlink" Target="https://ppim-intra.pea.co.th:4434/request/PPIM18503FE6" TargetMode="External"/><Relationship Id="rId1116" Type="http://schemas.openxmlformats.org/officeDocument/2006/relationships/hyperlink" Target="https://ppim-intra.pea.co.th:4434/request/PPIM195007C3" TargetMode="External"/><Relationship Id="rId1463" Type="http://schemas.openxmlformats.org/officeDocument/2006/relationships/hyperlink" Target="https://ppim-intra.pea.co.th:4434/request/PPIM1950113D" TargetMode="External"/><Relationship Id="rId1670" Type="http://schemas.openxmlformats.org/officeDocument/2006/relationships/hyperlink" Target="https://ppim-intra.pea.co.th:4434/request/PPIM19501FD9" TargetMode="External"/><Relationship Id="rId1768" Type="http://schemas.openxmlformats.org/officeDocument/2006/relationships/hyperlink" Target="https://ppim-intra.pea.co.th:4434/request/PPIM1950259B" TargetMode="External"/><Relationship Id="rId2514" Type="http://schemas.openxmlformats.org/officeDocument/2006/relationships/hyperlink" Target="https://ppim-intra.pea.co.th:4434/request/PPIM195053D2" TargetMode="External"/><Relationship Id="rId900" Type="http://schemas.openxmlformats.org/officeDocument/2006/relationships/hyperlink" Target="https://ppim-intra.pea.co.th:4434/request/PPIM185044E7" TargetMode="External"/><Relationship Id="rId1323" Type="http://schemas.openxmlformats.org/officeDocument/2006/relationships/hyperlink" Target="https://ppim-intra.pea.co.th:4434/request/PPIM19500E11" TargetMode="External"/><Relationship Id="rId1530" Type="http://schemas.openxmlformats.org/officeDocument/2006/relationships/hyperlink" Target="https://ppim-intra.pea.co.th:4434/request/PPIM195017B7" TargetMode="External"/><Relationship Id="rId1628" Type="http://schemas.openxmlformats.org/officeDocument/2006/relationships/hyperlink" Target="https://ppim-intra.pea.co.th:4434/request/PPIM19501D5D" TargetMode="External"/><Relationship Id="rId1975" Type="http://schemas.openxmlformats.org/officeDocument/2006/relationships/hyperlink" Target="https://ppim-intra.pea.co.th:4434/request/PPIM19501732" TargetMode="External"/><Relationship Id="rId1835" Type="http://schemas.openxmlformats.org/officeDocument/2006/relationships/hyperlink" Target="https://ppim-intra.pea.co.th:4434/request/PPIM19502BCF" TargetMode="External"/><Relationship Id="rId1902" Type="http://schemas.openxmlformats.org/officeDocument/2006/relationships/hyperlink" Target="https://ppim-intra.pea.co.th:4434/request/PPIM19502CB8" TargetMode="External"/><Relationship Id="rId2097" Type="http://schemas.openxmlformats.org/officeDocument/2006/relationships/hyperlink" Target="https://ppim-intra.pea.co.th:4434/request/PPIM19502CC3" TargetMode="External"/><Relationship Id="rId276" Type="http://schemas.openxmlformats.org/officeDocument/2006/relationships/hyperlink" Target="https://ppim-intra.pea.co.th:4434/request/PPIM185019C7" TargetMode="External"/><Relationship Id="rId483" Type="http://schemas.openxmlformats.org/officeDocument/2006/relationships/hyperlink" Target="https://ppim-intra.pea.co.th:4434/request/PPIM185024FF" TargetMode="External"/><Relationship Id="rId690" Type="http://schemas.openxmlformats.org/officeDocument/2006/relationships/hyperlink" Target="https://ppim-intra.pea.co.th:4434/request/PPIM18500770" TargetMode="External"/><Relationship Id="rId2164" Type="http://schemas.openxmlformats.org/officeDocument/2006/relationships/hyperlink" Target="https://ppim-intra.pea.co.th:4434/request/PPIM19503294" TargetMode="External"/><Relationship Id="rId2371" Type="http://schemas.openxmlformats.org/officeDocument/2006/relationships/hyperlink" Target="https://ppim-intra.pea.co.th:4434/request/PPIM1950479B" TargetMode="External"/><Relationship Id="rId136" Type="http://schemas.openxmlformats.org/officeDocument/2006/relationships/hyperlink" Target="https://ppim-intra.pea.co.th:4434/request/PPIM18500CD1" TargetMode="External"/><Relationship Id="rId343" Type="http://schemas.openxmlformats.org/officeDocument/2006/relationships/hyperlink" Target="https://ppim-intra.pea.co.th:4434/request/PPIM18501D23" TargetMode="External"/><Relationship Id="rId550" Type="http://schemas.openxmlformats.org/officeDocument/2006/relationships/hyperlink" Target="https://ppim-intra.pea.co.th:4434/request/PPIM185028ED" TargetMode="External"/><Relationship Id="rId788" Type="http://schemas.openxmlformats.org/officeDocument/2006/relationships/hyperlink" Target="https://ppim-intra.pea.co.th:4434/request/PPIM18503B11" TargetMode="External"/><Relationship Id="rId995" Type="http://schemas.openxmlformats.org/officeDocument/2006/relationships/hyperlink" Target="https://ppim-intra.pea.co.th:4434/request/PPIM195000FF" TargetMode="External"/><Relationship Id="rId1180" Type="http://schemas.openxmlformats.org/officeDocument/2006/relationships/hyperlink" Target="https://ppim-intra.pea.co.th:4434/request/PPIM19500999" TargetMode="External"/><Relationship Id="rId2024" Type="http://schemas.openxmlformats.org/officeDocument/2006/relationships/hyperlink" Target="https://ppim-intra.pea.co.th:4434/request/PPIM19502A09" TargetMode="External"/><Relationship Id="rId2231" Type="http://schemas.openxmlformats.org/officeDocument/2006/relationships/hyperlink" Target="https://ppim-intra.pea.co.th:4434/request/PPIM19503D18" TargetMode="External"/><Relationship Id="rId2469" Type="http://schemas.openxmlformats.org/officeDocument/2006/relationships/hyperlink" Target="https://ppim-intra.pea.co.th:4434/request/PPIM19504E27" TargetMode="External"/><Relationship Id="rId203" Type="http://schemas.openxmlformats.org/officeDocument/2006/relationships/hyperlink" Target="https://ppim-intra.pea.co.th:4434/request/PPIM1850132C" TargetMode="External"/><Relationship Id="rId648" Type="http://schemas.openxmlformats.org/officeDocument/2006/relationships/hyperlink" Target="https://ppim-intra.pea.co.th:4434/request/PPIM18502EA9" TargetMode="External"/><Relationship Id="rId855" Type="http://schemas.openxmlformats.org/officeDocument/2006/relationships/hyperlink" Target="https://ppim-intra.pea.co.th:4434/request/PPIM1850423C" TargetMode="External"/><Relationship Id="rId1040" Type="http://schemas.openxmlformats.org/officeDocument/2006/relationships/hyperlink" Target="https://ppim-intra.pea.co.th:4434/request/PPIM18503C78" TargetMode="External"/><Relationship Id="rId1278" Type="http://schemas.openxmlformats.org/officeDocument/2006/relationships/hyperlink" Target="https://ppim-intra.pea.co.th:4434/request/PPIM19500C5D" TargetMode="External"/><Relationship Id="rId1485" Type="http://schemas.openxmlformats.org/officeDocument/2006/relationships/hyperlink" Target="https://ppim-intra.pea.co.th:4434/request/PPIM1950159F" TargetMode="External"/><Relationship Id="rId1692" Type="http://schemas.openxmlformats.org/officeDocument/2006/relationships/hyperlink" Target="https://ppim-intra.pea.co.th:4434/request/PPIM19502126" TargetMode="External"/><Relationship Id="rId2329" Type="http://schemas.openxmlformats.org/officeDocument/2006/relationships/hyperlink" Target="https://ppim-intra.pea.co.th:4434/request/PPIM19503DCC" TargetMode="External"/><Relationship Id="rId2536" Type="http://schemas.openxmlformats.org/officeDocument/2006/relationships/hyperlink" Target="https://ppim-intra.pea.co.th:4434/request/PPIM1950556A" TargetMode="External"/><Relationship Id="rId410" Type="http://schemas.openxmlformats.org/officeDocument/2006/relationships/hyperlink" Target="https://ppim-intra.pea.co.th:4434/request/PPIM185019CF" TargetMode="External"/><Relationship Id="rId508" Type="http://schemas.openxmlformats.org/officeDocument/2006/relationships/hyperlink" Target="https://ppim-intra.pea.co.th:4434/request/PPIM185026EE" TargetMode="External"/><Relationship Id="rId715" Type="http://schemas.openxmlformats.org/officeDocument/2006/relationships/hyperlink" Target="https://ppim-intra.pea.co.th:4434/request/PPIM18503416" TargetMode="External"/><Relationship Id="rId922" Type="http://schemas.openxmlformats.org/officeDocument/2006/relationships/hyperlink" Target="https://ppim-intra.pea.co.th:4434/request/PPIM1850462F" TargetMode="External"/><Relationship Id="rId1138" Type="http://schemas.openxmlformats.org/officeDocument/2006/relationships/hyperlink" Target="https://ppim-intra.pea.co.th:4434/request/PPIM1950085A" TargetMode="External"/><Relationship Id="rId1345" Type="http://schemas.openxmlformats.org/officeDocument/2006/relationships/hyperlink" Target="https://ppim-intra.pea.co.th:4434/request/PPIM19500E88" TargetMode="External"/><Relationship Id="rId1552" Type="http://schemas.openxmlformats.org/officeDocument/2006/relationships/hyperlink" Target="https://ppim-intra.pea.co.th:4434/request/PPIM19501847" TargetMode="External"/><Relationship Id="rId1997" Type="http://schemas.openxmlformats.org/officeDocument/2006/relationships/hyperlink" Target="https://ppim-intra.pea.co.th:4434/request/PPIM19502D52" TargetMode="External"/><Relationship Id="rId2603" Type="http://schemas.openxmlformats.org/officeDocument/2006/relationships/hyperlink" Target="https://ppim-intra.pea.co.th:4434/request/PPIM19505A32" TargetMode="External"/><Relationship Id="rId1205" Type="http://schemas.openxmlformats.org/officeDocument/2006/relationships/hyperlink" Target="https://ppim-intra.pea.co.th:4434/request/PPIM19500A43" TargetMode="External"/><Relationship Id="rId1857" Type="http://schemas.openxmlformats.org/officeDocument/2006/relationships/hyperlink" Target="https://ppim-intra.pea.co.th:4434/request/PPIM19502CC5" TargetMode="External"/><Relationship Id="rId51" Type="http://schemas.openxmlformats.org/officeDocument/2006/relationships/hyperlink" Target="https://ppim-intra.pea.co.th:4434/request/PPIM18500435" TargetMode="External"/><Relationship Id="rId1412" Type="http://schemas.openxmlformats.org/officeDocument/2006/relationships/hyperlink" Target="https://ppim-intra.pea.co.th:4434/request/PPIM19501169" TargetMode="External"/><Relationship Id="rId1717" Type="http://schemas.openxmlformats.org/officeDocument/2006/relationships/hyperlink" Target="https://ppim-intra.pea.co.th:4434/request/PPIM1950233D" TargetMode="External"/><Relationship Id="rId1924" Type="http://schemas.openxmlformats.org/officeDocument/2006/relationships/hyperlink" Target="https://ppim-intra.pea.co.th:4434/request/PPIM19502F55" TargetMode="External"/><Relationship Id="rId298" Type="http://schemas.openxmlformats.org/officeDocument/2006/relationships/hyperlink" Target="https://ppim-intra.pea.co.th:4434/request/PPIM18501BAD" TargetMode="External"/><Relationship Id="rId158" Type="http://schemas.openxmlformats.org/officeDocument/2006/relationships/hyperlink" Target="https://ppim-intra.pea.co.th:4434/request/PPIM1850104B" TargetMode="External"/><Relationship Id="rId2186" Type="http://schemas.openxmlformats.org/officeDocument/2006/relationships/hyperlink" Target="https://ppim-intra.pea.co.th:4434/request/PPIM195039B2" TargetMode="External"/><Relationship Id="rId2393" Type="http://schemas.openxmlformats.org/officeDocument/2006/relationships/hyperlink" Target="https://ppim-intra.pea.co.th:4434/request/PPIM19504857" TargetMode="External"/><Relationship Id="rId365" Type="http://schemas.openxmlformats.org/officeDocument/2006/relationships/hyperlink" Target="https://ppim-intra.pea.co.th:4434/request/PPIM185012C0" TargetMode="External"/><Relationship Id="rId572" Type="http://schemas.openxmlformats.org/officeDocument/2006/relationships/hyperlink" Target="https://ppim-intra.pea.co.th:4434/request/PPIM185029C8" TargetMode="External"/><Relationship Id="rId2046" Type="http://schemas.openxmlformats.org/officeDocument/2006/relationships/hyperlink" Target="https://ppim-intra.pea.co.th:4434/request/PPIM1950349A" TargetMode="External"/><Relationship Id="rId2253" Type="http://schemas.openxmlformats.org/officeDocument/2006/relationships/hyperlink" Target="https://ppim-intra.pea.co.th:4434/request/PPIM19503F41" TargetMode="External"/><Relationship Id="rId2460" Type="http://schemas.openxmlformats.org/officeDocument/2006/relationships/hyperlink" Target="https://ppim-intra.pea.co.th:4434/request/PPIM19504FD2" TargetMode="External"/><Relationship Id="rId225" Type="http://schemas.openxmlformats.org/officeDocument/2006/relationships/hyperlink" Target="https://ppim-intra.pea.co.th:4434/request/PPIM18501587" TargetMode="External"/><Relationship Id="rId432" Type="http://schemas.openxmlformats.org/officeDocument/2006/relationships/hyperlink" Target="https://ppim-intra.pea.co.th:4434/request/PPIM185022FA" TargetMode="External"/><Relationship Id="rId877" Type="http://schemas.openxmlformats.org/officeDocument/2006/relationships/hyperlink" Target="https://ppim-intra.pea.co.th:4434/request/PPIM18504337" TargetMode="External"/><Relationship Id="rId1062" Type="http://schemas.openxmlformats.org/officeDocument/2006/relationships/hyperlink" Target="https://ppim-intra.pea.co.th:4434/request/PPIM185033EE" TargetMode="External"/><Relationship Id="rId2113" Type="http://schemas.openxmlformats.org/officeDocument/2006/relationships/hyperlink" Target="https://ppim-intra.pea.co.th:4434/request/PPIM1950367D" TargetMode="External"/><Relationship Id="rId2320" Type="http://schemas.openxmlformats.org/officeDocument/2006/relationships/hyperlink" Target="https://ppim-intra.pea.co.th:4434/request/PPIM19502EB3" TargetMode="External"/><Relationship Id="rId2558" Type="http://schemas.openxmlformats.org/officeDocument/2006/relationships/hyperlink" Target="https://ppim-intra.pea.co.th:4434/request/PPIM1950572B" TargetMode="External"/><Relationship Id="rId737" Type="http://schemas.openxmlformats.org/officeDocument/2006/relationships/hyperlink" Target="https://ppim-intra.pea.co.th:4434/request/PPIM185036C5" TargetMode="External"/><Relationship Id="rId944" Type="http://schemas.openxmlformats.org/officeDocument/2006/relationships/hyperlink" Target="https://ppim-intra.pea.co.th:4434/request/PPIM18504839" TargetMode="External"/><Relationship Id="rId1367" Type="http://schemas.openxmlformats.org/officeDocument/2006/relationships/hyperlink" Target="https://ppim-intra.pea.co.th:4434/request/PPIM19500FCB" TargetMode="External"/><Relationship Id="rId1574" Type="http://schemas.openxmlformats.org/officeDocument/2006/relationships/hyperlink" Target="https://ppim-intra.pea.co.th:4434/request/PPIM1950190C" TargetMode="External"/><Relationship Id="rId1781" Type="http://schemas.openxmlformats.org/officeDocument/2006/relationships/hyperlink" Target="https://ppim-intra.pea.co.th:4434/request/PPIM195025E0" TargetMode="External"/><Relationship Id="rId2418" Type="http://schemas.openxmlformats.org/officeDocument/2006/relationships/hyperlink" Target="https://ppim-intra.pea.co.th:4434/request/PPIM195045BF" TargetMode="External"/><Relationship Id="rId2625" Type="http://schemas.openxmlformats.org/officeDocument/2006/relationships/hyperlink" Target="https://ppim-intra.pea.co.th:4434/request/PPIM19505366" TargetMode="External"/><Relationship Id="rId73" Type="http://schemas.openxmlformats.org/officeDocument/2006/relationships/hyperlink" Target="https://ppim-intra.pea.co.th:4434/request/PPIM185006E6" TargetMode="External"/><Relationship Id="rId804" Type="http://schemas.openxmlformats.org/officeDocument/2006/relationships/hyperlink" Target="https://ppim-intra.pea.co.th:4434/request/PPIM18503C84" TargetMode="External"/><Relationship Id="rId1227" Type="http://schemas.openxmlformats.org/officeDocument/2006/relationships/hyperlink" Target="https://ppim-intra.pea.co.th:4434/request/PPIM195009FF" TargetMode="External"/><Relationship Id="rId1434" Type="http://schemas.openxmlformats.org/officeDocument/2006/relationships/hyperlink" Target="https://ppim-intra.pea.co.th:4434/request/PPIM19501241" TargetMode="External"/><Relationship Id="rId1641" Type="http://schemas.openxmlformats.org/officeDocument/2006/relationships/hyperlink" Target="https://ppim-intra.pea.co.th:4434/request/PPIM19501E47" TargetMode="External"/><Relationship Id="rId1879" Type="http://schemas.openxmlformats.org/officeDocument/2006/relationships/hyperlink" Target="https://ppim-intra.pea.co.th:4434/request/PPIM19501B58" TargetMode="External"/><Relationship Id="rId1501" Type="http://schemas.openxmlformats.org/officeDocument/2006/relationships/hyperlink" Target="https://ppim-intra.pea.co.th:4434/request/PPIM19501668" TargetMode="External"/><Relationship Id="rId1739" Type="http://schemas.openxmlformats.org/officeDocument/2006/relationships/hyperlink" Target="https://ppim-intra.pea.co.th:4434/request/PPIM1950238C" TargetMode="External"/><Relationship Id="rId1946" Type="http://schemas.openxmlformats.org/officeDocument/2006/relationships/hyperlink" Target="https://ppim-intra.pea.co.th:4434/request/PPIM195024FC" TargetMode="External"/><Relationship Id="rId1806" Type="http://schemas.openxmlformats.org/officeDocument/2006/relationships/hyperlink" Target="https://ppim-intra.pea.co.th:4434/request/PPIM19502825" TargetMode="External"/><Relationship Id="rId387" Type="http://schemas.openxmlformats.org/officeDocument/2006/relationships/hyperlink" Target="https://ppim-intra.pea.co.th:4434/request/PPIM185006B7" TargetMode="External"/><Relationship Id="rId594" Type="http://schemas.openxmlformats.org/officeDocument/2006/relationships/hyperlink" Target="https://ppim-intra.pea.co.th:4434/request/PPIM18502AD1" TargetMode="External"/><Relationship Id="rId2068" Type="http://schemas.openxmlformats.org/officeDocument/2006/relationships/hyperlink" Target="https://ppim-intra.pea.co.th:4434/request/PPIM19501C5D" TargetMode="External"/><Relationship Id="rId2275" Type="http://schemas.openxmlformats.org/officeDocument/2006/relationships/hyperlink" Target="https://ppim-intra.pea.co.th:4434/request/PPIM19504030" TargetMode="External"/><Relationship Id="rId247" Type="http://schemas.openxmlformats.org/officeDocument/2006/relationships/hyperlink" Target="https://ppim-intra.pea.co.th:4434/request/PPIM18500525" TargetMode="External"/><Relationship Id="rId899" Type="http://schemas.openxmlformats.org/officeDocument/2006/relationships/hyperlink" Target="https://ppim-intra.pea.co.th:4434/request/PPIM185044E2" TargetMode="External"/><Relationship Id="rId1084" Type="http://schemas.openxmlformats.org/officeDocument/2006/relationships/hyperlink" Target="https://ppim-intra.pea.co.th:4434/request/PPIM1950064C" TargetMode="External"/><Relationship Id="rId2482" Type="http://schemas.openxmlformats.org/officeDocument/2006/relationships/hyperlink" Target="https://ppim-intra.pea.co.th:4434/request/PPIM195051BD" TargetMode="External"/><Relationship Id="rId107" Type="http://schemas.openxmlformats.org/officeDocument/2006/relationships/hyperlink" Target="https://ppim-intra.pea.co.th:4434/request/PPIM18500950" TargetMode="External"/><Relationship Id="rId454" Type="http://schemas.openxmlformats.org/officeDocument/2006/relationships/hyperlink" Target="https://ppim-intra.pea.co.th:4434/request/PPIM18502359" TargetMode="External"/><Relationship Id="rId661" Type="http://schemas.openxmlformats.org/officeDocument/2006/relationships/hyperlink" Target="https://ppim-intra.pea.co.th:4434/request/PPIM18502FE6" TargetMode="External"/><Relationship Id="rId759" Type="http://schemas.openxmlformats.org/officeDocument/2006/relationships/hyperlink" Target="https://ppim-intra.pea.co.th:4434/request/PPIM185038B3" TargetMode="External"/><Relationship Id="rId966" Type="http://schemas.openxmlformats.org/officeDocument/2006/relationships/hyperlink" Target="https://ppim-intra.pea.co.th:4434/request/PPIM18504972" TargetMode="External"/><Relationship Id="rId1291" Type="http://schemas.openxmlformats.org/officeDocument/2006/relationships/hyperlink" Target="https://ppim-intra.pea.co.th:4434/request/PPIM19500778" TargetMode="External"/><Relationship Id="rId1389" Type="http://schemas.openxmlformats.org/officeDocument/2006/relationships/hyperlink" Target="https://ppim-intra.pea.co.th:4434/request/PPIM195003BB" TargetMode="External"/><Relationship Id="rId1596" Type="http://schemas.openxmlformats.org/officeDocument/2006/relationships/hyperlink" Target="https://ppim-intra.pea.co.th:4434/request/PPIM19501ADA" TargetMode="External"/><Relationship Id="rId2135" Type="http://schemas.openxmlformats.org/officeDocument/2006/relationships/hyperlink" Target="https://ppim-intra.pea.co.th:4434/request/PPIM19503737" TargetMode="External"/><Relationship Id="rId2342" Type="http://schemas.openxmlformats.org/officeDocument/2006/relationships/hyperlink" Target="https://ppim-intra.pea.co.th:4434/request/PPIM195040C0" TargetMode="External"/><Relationship Id="rId2647" Type="http://schemas.openxmlformats.org/officeDocument/2006/relationships/hyperlink" Target="https://ppim-intra.pea.co.th:4434/request/PPIM19505BD3" TargetMode="External"/><Relationship Id="rId314" Type="http://schemas.openxmlformats.org/officeDocument/2006/relationships/hyperlink" Target="https://ppim-intra.pea.co.th:4434/request/PPIM18501C69" TargetMode="External"/><Relationship Id="rId521" Type="http://schemas.openxmlformats.org/officeDocument/2006/relationships/hyperlink" Target="https://ppim-intra.pea.co.th:4434/request/PPIM18502769" TargetMode="External"/><Relationship Id="rId619" Type="http://schemas.openxmlformats.org/officeDocument/2006/relationships/hyperlink" Target="https://ppim-intra.pea.co.th:4434/request/PPIM18502C32" TargetMode="External"/><Relationship Id="rId1151" Type="http://schemas.openxmlformats.org/officeDocument/2006/relationships/hyperlink" Target="https://ppim-intra.pea.co.th:4434/request/PPIM195008E3" TargetMode="External"/><Relationship Id="rId1249" Type="http://schemas.openxmlformats.org/officeDocument/2006/relationships/hyperlink" Target="https://ppim-intra.pea.co.th:4434/request/PPIM19500A2F" TargetMode="External"/><Relationship Id="rId2202" Type="http://schemas.openxmlformats.org/officeDocument/2006/relationships/hyperlink" Target="https://ppim-intra.pea.co.th:4434/request/PPIM19503B94" TargetMode="External"/><Relationship Id="rId95" Type="http://schemas.openxmlformats.org/officeDocument/2006/relationships/hyperlink" Target="https://ppim-intra.pea.co.th:4434/request/PPIM1850084B" TargetMode="External"/><Relationship Id="rId826" Type="http://schemas.openxmlformats.org/officeDocument/2006/relationships/hyperlink" Target="https://ppim-intra.pea.co.th:4434/request/PPIM18503EBB" TargetMode="External"/><Relationship Id="rId1011" Type="http://schemas.openxmlformats.org/officeDocument/2006/relationships/hyperlink" Target="https://ppim-intra.pea.co.th:4434/request/PPIM195001AB" TargetMode="External"/><Relationship Id="rId1109" Type="http://schemas.openxmlformats.org/officeDocument/2006/relationships/hyperlink" Target="https://ppim-intra.pea.co.th:4434/request/PPIM18503F50" TargetMode="External"/><Relationship Id="rId1456" Type="http://schemas.openxmlformats.org/officeDocument/2006/relationships/hyperlink" Target="https://ppim-intra.pea.co.th:4434/request/PPIM19501381" TargetMode="External"/><Relationship Id="rId1663" Type="http://schemas.openxmlformats.org/officeDocument/2006/relationships/hyperlink" Target="https://ppim-intra.pea.co.th:4434/request/PPIM19501F5E" TargetMode="External"/><Relationship Id="rId1870" Type="http://schemas.openxmlformats.org/officeDocument/2006/relationships/hyperlink" Target="https://ppim-intra.pea.co.th:4434/request/PPIM19501473" TargetMode="External"/><Relationship Id="rId1968" Type="http://schemas.openxmlformats.org/officeDocument/2006/relationships/hyperlink" Target="https://ppim-intra.pea.co.th:4434/request/PPIM19502D70" TargetMode="External"/><Relationship Id="rId2507" Type="http://schemas.openxmlformats.org/officeDocument/2006/relationships/hyperlink" Target="https://ppim-intra.pea.co.th:4434/request/PPIM19504AFE" TargetMode="External"/><Relationship Id="rId1316" Type="http://schemas.openxmlformats.org/officeDocument/2006/relationships/hyperlink" Target="https://ppim-intra.pea.co.th:4434/request/PPIM19500DFA" TargetMode="External"/><Relationship Id="rId1523" Type="http://schemas.openxmlformats.org/officeDocument/2006/relationships/hyperlink" Target="https://ppim-intra.pea.co.th:4434/request/PPIM1950177B" TargetMode="External"/><Relationship Id="rId1730" Type="http://schemas.openxmlformats.org/officeDocument/2006/relationships/hyperlink" Target="https://ppim-intra.pea.co.th:4434/request/PPIM1950236C" TargetMode="External"/><Relationship Id="rId22" Type="http://schemas.openxmlformats.org/officeDocument/2006/relationships/hyperlink" Target="https://ppim-intra.pea.co.th:4434/request/PPIM1850020E" TargetMode="External"/><Relationship Id="rId1828" Type="http://schemas.openxmlformats.org/officeDocument/2006/relationships/hyperlink" Target="https://ppim-intra.pea.co.th:4434/request/PPIM1950195D" TargetMode="External"/><Relationship Id="rId171" Type="http://schemas.openxmlformats.org/officeDocument/2006/relationships/hyperlink" Target="https://ppim-intra.pea.co.th:4434/request/PPIM18501130" TargetMode="External"/><Relationship Id="rId2297" Type="http://schemas.openxmlformats.org/officeDocument/2006/relationships/hyperlink" Target="https://ppim-intra.pea.co.th:4434/request/PPIM19503E9D" TargetMode="External"/><Relationship Id="rId269" Type="http://schemas.openxmlformats.org/officeDocument/2006/relationships/hyperlink" Target="https://ppim-intra.pea.co.th:4434/request/PPIM185018C4" TargetMode="External"/><Relationship Id="rId476" Type="http://schemas.openxmlformats.org/officeDocument/2006/relationships/hyperlink" Target="https://ppim-intra.pea.co.th:4434/request/PPIM1850200C" TargetMode="External"/><Relationship Id="rId683" Type="http://schemas.openxmlformats.org/officeDocument/2006/relationships/hyperlink" Target="https://ppim-intra.pea.co.th:4434/request/PPIM1850316C" TargetMode="External"/><Relationship Id="rId890" Type="http://schemas.openxmlformats.org/officeDocument/2006/relationships/hyperlink" Target="https://ppim-intra.pea.co.th:4434/request/PPIM18504417" TargetMode="External"/><Relationship Id="rId2157" Type="http://schemas.openxmlformats.org/officeDocument/2006/relationships/hyperlink" Target="https://ppim-intra.pea.co.th:4434/request/PPIM195033B1" TargetMode="External"/><Relationship Id="rId2364" Type="http://schemas.openxmlformats.org/officeDocument/2006/relationships/hyperlink" Target="https://ppim-intra.pea.co.th:4434/request/PPIM19504752" TargetMode="External"/><Relationship Id="rId2571" Type="http://schemas.openxmlformats.org/officeDocument/2006/relationships/hyperlink" Target="https://ppim-intra.pea.co.th:4434/request/PPIM195052C2" TargetMode="External"/><Relationship Id="rId129" Type="http://schemas.openxmlformats.org/officeDocument/2006/relationships/hyperlink" Target="https://ppim-intra.pea.co.th:4434/request/PPIM18500BDA" TargetMode="External"/><Relationship Id="rId336" Type="http://schemas.openxmlformats.org/officeDocument/2006/relationships/hyperlink" Target="https://ppim-intra.pea.co.th:4434/request/PPIM18501D11" TargetMode="External"/><Relationship Id="rId543" Type="http://schemas.openxmlformats.org/officeDocument/2006/relationships/hyperlink" Target="https://ppim-intra.pea.co.th:4434/request/PPIM1850289C" TargetMode="External"/><Relationship Id="rId988" Type="http://schemas.openxmlformats.org/officeDocument/2006/relationships/hyperlink" Target="https://ppim-intra.pea.co.th:4434/request/PPIM185039A2" TargetMode="External"/><Relationship Id="rId1173" Type="http://schemas.openxmlformats.org/officeDocument/2006/relationships/hyperlink" Target="https://ppim-intra.pea.co.th:4434/request/PPIM1950097A" TargetMode="External"/><Relationship Id="rId1380" Type="http://schemas.openxmlformats.org/officeDocument/2006/relationships/hyperlink" Target="https://ppim-intra.pea.co.th:4434/request/PPIM19501058" TargetMode="External"/><Relationship Id="rId2017" Type="http://schemas.openxmlformats.org/officeDocument/2006/relationships/hyperlink" Target="https://ppim-intra.pea.co.th:4434/request/PPIM195026EE" TargetMode="External"/><Relationship Id="rId2224" Type="http://schemas.openxmlformats.org/officeDocument/2006/relationships/hyperlink" Target="https://ppim-intra.pea.co.th:4434/request/PPIM1950394A" TargetMode="External"/><Relationship Id="rId403" Type="http://schemas.openxmlformats.org/officeDocument/2006/relationships/hyperlink" Target="https://ppim-intra.pea.co.th:4434/request/PPIM185020D2" TargetMode="External"/><Relationship Id="rId750" Type="http://schemas.openxmlformats.org/officeDocument/2006/relationships/hyperlink" Target="https://ppim-intra.pea.co.th:4434/request/PPIM1850384A" TargetMode="External"/><Relationship Id="rId848" Type="http://schemas.openxmlformats.org/officeDocument/2006/relationships/hyperlink" Target="https://ppim-intra.pea.co.th:4434/request/PPIM18501CDD" TargetMode="External"/><Relationship Id="rId1033" Type="http://schemas.openxmlformats.org/officeDocument/2006/relationships/hyperlink" Target="https://ppim-intra.pea.co.th:4434/request/PPIM185041BA" TargetMode="External"/><Relationship Id="rId1478" Type="http://schemas.openxmlformats.org/officeDocument/2006/relationships/hyperlink" Target="https://ppim-intra.pea.co.th:4434/request/PPIM195011A7" TargetMode="External"/><Relationship Id="rId1685" Type="http://schemas.openxmlformats.org/officeDocument/2006/relationships/hyperlink" Target="https://ppim-intra.pea.co.th:4434/request/PPIM195020E6" TargetMode="External"/><Relationship Id="rId1892" Type="http://schemas.openxmlformats.org/officeDocument/2006/relationships/hyperlink" Target="https://ppim-intra.pea.co.th:4434/request/PPIM19502E8C" TargetMode="External"/><Relationship Id="rId2431" Type="http://schemas.openxmlformats.org/officeDocument/2006/relationships/hyperlink" Target="https://ppim-intra.pea.co.th:4434/request/PPIM195047F8" TargetMode="External"/><Relationship Id="rId2529" Type="http://schemas.openxmlformats.org/officeDocument/2006/relationships/hyperlink" Target="https://ppim-intra.pea.co.th:4434/request/PPIM1950542A" TargetMode="External"/><Relationship Id="rId610" Type="http://schemas.openxmlformats.org/officeDocument/2006/relationships/hyperlink" Target="https://ppim-intra.pea.co.th:4434/request/PPIM18502BD5" TargetMode="External"/><Relationship Id="rId708" Type="http://schemas.openxmlformats.org/officeDocument/2006/relationships/hyperlink" Target="https://ppim-intra.pea.co.th:4434/request/PPIM18503332" TargetMode="External"/><Relationship Id="rId915" Type="http://schemas.openxmlformats.org/officeDocument/2006/relationships/hyperlink" Target="https://ppim-intra.pea.co.th:4434/request/PPIM185045D5" TargetMode="External"/><Relationship Id="rId1240" Type="http://schemas.openxmlformats.org/officeDocument/2006/relationships/hyperlink" Target="https://ppim-intra.pea.co.th:4434/request/PPIM19500B0B" TargetMode="External"/><Relationship Id="rId1338" Type="http://schemas.openxmlformats.org/officeDocument/2006/relationships/hyperlink" Target="https://ppim-intra.pea.co.th:4434/request/PPIM19500E62" TargetMode="External"/><Relationship Id="rId1545" Type="http://schemas.openxmlformats.org/officeDocument/2006/relationships/hyperlink" Target="https://ppim-intra.pea.co.th:4434/request/PPIM19501821" TargetMode="External"/><Relationship Id="rId1100" Type="http://schemas.openxmlformats.org/officeDocument/2006/relationships/hyperlink" Target="https://ppim-intra.pea.co.th:4434/request/PPIM19500733" TargetMode="External"/><Relationship Id="rId1405" Type="http://schemas.openxmlformats.org/officeDocument/2006/relationships/hyperlink" Target="https://ppim-intra.pea.co.th:4434/request/PPIM19501149" TargetMode="External"/><Relationship Id="rId1752" Type="http://schemas.openxmlformats.org/officeDocument/2006/relationships/hyperlink" Target="https://ppim-intra.pea.co.th:4434/request/PPIM19502420" TargetMode="External"/><Relationship Id="rId44" Type="http://schemas.openxmlformats.org/officeDocument/2006/relationships/hyperlink" Target="https://ppim-intra.pea.co.th:4434/request/PPIM185003CE" TargetMode="External"/><Relationship Id="rId1612" Type="http://schemas.openxmlformats.org/officeDocument/2006/relationships/hyperlink" Target="https://ppim-intra.pea.co.th:4434/request/PPIM19501C61" TargetMode="External"/><Relationship Id="rId1917" Type="http://schemas.openxmlformats.org/officeDocument/2006/relationships/hyperlink" Target="https://ppim-intra.pea.co.th:4434/request/PPIM19502F1D" TargetMode="External"/><Relationship Id="rId193" Type="http://schemas.openxmlformats.org/officeDocument/2006/relationships/hyperlink" Target="https://ppim-intra.pea.co.th:4434/request/PPIM185011E9" TargetMode="External"/><Relationship Id="rId498" Type="http://schemas.openxmlformats.org/officeDocument/2006/relationships/hyperlink" Target="https://ppim-intra.pea.co.th:4434/request/PPIM1850262A" TargetMode="External"/><Relationship Id="rId2081" Type="http://schemas.openxmlformats.org/officeDocument/2006/relationships/hyperlink" Target="https://ppim-intra.pea.co.th:4434/request/PPIM195035A9" TargetMode="External"/><Relationship Id="rId2179" Type="http://schemas.openxmlformats.org/officeDocument/2006/relationships/hyperlink" Target="https://ppim-intra.pea.co.th:4434/request/PPIM195039EE" TargetMode="External"/><Relationship Id="rId260" Type="http://schemas.openxmlformats.org/officeDocument/2006/relationships/hyperlink" Target="https://ppim-intra.pea.co.th:4434/request/PPIM185006DE" TargetMode="External"/><Relationship Id="rId2386" Type="http://schemas.openxmlformats.org/officeDocument/2006/relationships/hyperlink" Target="https://ppim-intra.pea.co.th:4434/request/PPIM19504798" TargetMode="External"/><Relationship Id="rId2593" Type="http://schemas.openxmlformats.org/officeDocument/2006/relationships/hyperlink" Target="https://ppim-intra.pea.co.th:4434/request/PPIM195056F0" TargetMode="External"/><Relationship Id="rId120" Type="http://schemas.openxmlformats.org/officeDocument/2006/relationships/hyperlink" Target="https://ppim-intra.pea.co.th:4434/request/PPIM18500198" TargetMode="External"/><Relationship Id="rId358" Type="http://schemas.openxmlformats.org/officeDocument/2006/relationships/hyperlink" Target="https://ppim-intra.pea.co.th:4434/request/PPIM18501DAD" TargetMode="External"/><Relationship Id="rId565" Type="http://schemas.openxmlformats.org/officeDocument/2006/relationships/hyperlink" Target="https://ppim-intra.pea.co.th:4434/request/PPIM18502996" TargetMode="External"/><Relationship Id="rId772" Type="http://schemas.openxmlformats.org/officeDocument/2006/relationships/hyperlink" Target="https://ppim-intra.pea.co.th:4434/request/PPIM18503A2D" TargetMode="External"/><Relationship Id="rId1195" Type="http://schemas.openxmlformats.org/officeDocument/2006/relationships/hyperlink" Target="https://ppim-intra.pea.co.th:4434/request/PPIM195000D3" TargetMode="External"/><Relationship Id="rId2039" Type="http://schemas.openxmlformats.org/officeDocument/2006/relationships/hyperlink" Target="https://ppim-intra.pea.co.th:4434/request/PPIM195032C9" TargetMode="External"/><Relationship Id="rId2246" Type="http://schemas.openxmlformats.org/officeDocument/2006/relationships/hyperlink" Target="https://ppim-intra.pea.co.th:4434/request/PPIM19502A6E" TargetMode="External"/><Relationship Id="rId2453" Type="http://schemas.openxmlformats.org/officeDocument/2006/relationships/hyperlink" Target="https://ppim-intra.pea.co.th:4434/request/PPIM19504A22" TargetMode="External"/><Relationship Id="rId218" Type="http://schemas.openxmlformats.org/officeDocument/2006/relationships/hyperlink" Target="https://ppim-intra.pea.co.th:4434/request/PPIM185014AD" TargetMode="External"/><Relationship Id="rId425" Type="http://schemas.openxmlformats.org/officeDocument/2006/relationships/hyperlink" Target="https://ppim-intra.pea.co.th:4434/request/PPIM1850227E" TargetMode="External"/><Relationship Id="rId632" Type="http://schemas.openxmlformats.org/officeDocument/2006/relationships/hyperlink" Target="https://ppim-intra.pea.co.th:4434/request/PPIM18502531" TargetMode="External"/><Relationship Id="rId1055" Type="http://schemas.openxmlformats.org/officeDocument/2006/relationships/hyperlink" Target="https://ppim-intra.pea.co.th:4434/request/PPIM19500483" TargetMode="External"/><Relationship Id="rId1262" Type="http://schemas.openxmlformats.org/officeDocument/2006/relationships/hyperlink" Target="https://ppim-intra.pea.co.th:4434/request/PPIM19500BC2" TargetMode="External"/><Relationship Id="rId2106" Type="http://schemas.openxmlformats.org/officeDocument/2006/relationships/hyperlink" Target="https://ppim-intra.pea.co.th:4434/request/PPIM195032E4" TargetMode="External"/><Relationship Id="rId2313" Type="http://schemas.openxmlformats.org/officeDocument/2006/relationships/hyperlink" Target="https://ppim-intra.pea.co.th:4434/request/PPIM19504358" TargetMode="External"/><Relationship Id="rId2520" Type="http://schemas.openxmlformats.org/officeDocument/2006/relationships/hyperlink" Target="https://ppim-intra.pea.co.th:4434/request/PPIM19504FD8" TargetMode="External"/><Relationship Id="rId937" Type="http://schemas.openxmlformats.org/officeDocument/2006/relationships/hyperlink" Target="https://ppim-intra.pea.co.th:4434/request/PPIM18504770" TargetMode="External"/><Relationship Id="rId1122" Type="http://schemas.openxmlformats.org/officeDocument/2006/relationships/hyperlink" Target="https://ppim-intra.pea.co.th:4434/request/PPIM195007E6" TargetMode="External"/><Relationship Id="rId1567" Type="http://schemas.openxmlformats.org/officeDocument/2006/relationships/hyperlink" Target="https://ppim-intra.pea.co.th:4434/request/PPIM195018E7" TargetMode="External"/><Relationship Id="rId1774" Type="http://schemas.openxmlformats.org/officeDocument/2006/relationships/hyperlink" Target="https://ppim-intra.pea.co.th:4434/request/PPIM195025AA" TargetMode="External"/><Relationship Id="rId1981" Type="http://schemas.openxmlformats.org/officeDocument/2006/relationships/hyperlink" Target="https://ppim-intra.pea.co.th:4434/request/PPIM195031A2" TargetMode="External"/><Relationship Id="rId2618" Type="http://schemas.openxmlformats.org/officeDocument/2006/relationships/hyperlink" Target="https://ppim-intra.pea.co.th:4434/request/PPIM19505B51" TargetMode="External"/><Relationship Id="rId66" Type="http://schemas.openxmlformats.org/officeDocument/2006/relationships/hyperlink" Target="https://ppim-intra.pea.co.th:4434/request/PPIM1850060E" TargetMode="External"/><Relationship Id="rId1427" Type="http://schemas.openxmlformats.org/officeDocument/2006/relationships/hyperlink" Target="https://ppim-intra.pea.co.th:4434/request/PPIM195011E5" TargetMode="External"/><Relationship Id="rId1634" Type="http://schemas.openxmlformats.org/officeDocument/2006/relationships/hyperlink" Target="https://ppim-intra.pea.co.th:4434/request/PPIM19500E44" TargetMode="External"/><Relationship Id="rId1841" Type="http://schemas.openxmlformats.org/officeDocument/2006/relationships/hyperlink" Target="https://ppim-intra.pea.co.th:4434/request/PPIM19502C1F" TargetMode="External"/><Relationship Id="rId1939" Type="http://schemas.openxmlformats.org/officeDocument/2006/relationships/hyperlink" Target="https://ppim-intra.pea.co.th:4434/request/PPIM19502FE4" TargetMode="External"/><Relationship Id="rId1701" Type="http://schemas.openxmlformats.org/officeDocument/2006/relationships/hyperlink" Target="https://ppim-intra.pea.co.th:4434/request/PPIM1950218A" TargetMode="External"/><Relationship Id="rId282" Type="http://schemas.openxmlformats.org/officeDocument/2006/relationships/hyperlink" Target="https://ppim-intra.pea.co.th:4434/request/PPIM18500143" TargetMode="External"/><Relationship Id="rId587" Type="http://schemas.openxmlformats.org/officeDocument/2006/relationships/hyperlink" Target="https://ppim-intra.pea.co.th:4434/request/PPIM18502A65" TargetMode="External"/><Relationship Id="rId2170" Type="http://schemas.openxmlformats.org/officeDocument/2006/relationships/hyperlink" Target="https://ppim-intra.pea.co.th:4434/request/PPIM1950395F" TargetMode="External"/><Relationship Id="rId2268" Type="http://schemas.openxmlformats.org/officeDocument/2006/relationships/hyperlink" Target="https://ppim-intra.pea.co.th:4434/request/PPIM19503872" TargetMode="External"/><Relationship Id="rId8" Type="http://schemas.openxmlformats.org/officeDocument/2006/relationships/hyperlink" Target="https://ppim-intra.pea.co.th:4434/request/PPIM1850012B" TargetMode="External"/><Relationship Id="rId142" Type="http://schemas.openxmlformats.org/officeDocument/2006/relationships/hyperlink" Target="https://ppim-intra.pea.co.th:4434/request/PPIM18500DBD" TargetMode="External"/><Relationship Id="rId447" Type="http://schemas.openxmlformats.org/officeDocument/2006/relationships/hyperlink" Target="https://ppim-intra.pea.co.th:4434/request/PPIM1850232A" TargetMode="External"/><Relationship Id="rId794" Type="http://schemas.openxmlformats.org/officeDocument/2006/relationships/hyperlink" Target="https://ppim-intra.pea.co.th:4434/request/PPIM18503BCA" TargetMode="External"/><Relationship Id="rId1077" Type="http://schemas.openxmlformats.org/officeDocument/2006/relationships/hyperlink" Target="https://ppim-intra.pea.co.th:4434/request/PPIM185043DA" TargetMode="External"/><Relationship Id="rId2030" Type="http://schemas.openxmlformats.org/officeDocument/2006/relationships/hyperlink" Target="https://ppim-intra.pea.co.th:4434/request/PPIM195030E5" TargetMode="External"/><Relationship Id="rId2128" Type="http://schemas.openxmlformats.org/officeDocument/2006/relationships/hyperlink" Target="https://ppim-intra.pea.co.th:4434/request/PPIM1950375D" TargetMode="External"/><Relationship Id="rId2475" Type="http://schemas.openxmlformats.org/officeDocument/2006/relationships/hyperlink" Target="https://ppim-intra.pea.co.th:4434/request/PPIM19504ED2" TargetMode="External"/><Relationship Id="rId654" Type="http://schemas.openxmlformats.org/officeDocument/2006/relationships/hyperlink" Target="https://ppim-intra.pea.co.th:4434/request/PPIM18502F41" TargetMode="External"/><Relationship Id="rId861" Type="http://schemas.openxmlformats.org/officeDocument/2006/relationships/hyperlink" Target="https://ppim-intra.pea.co.th:4434/request/PPIM185028B1" TargetMode="External"/><Relationship Id="rId959" Type="http://schemas.openxmlformats.org/officeDocument/2006/relationships/hyperlink" Target="https://ppim-intra.pea.co.th:4434/request/PPIM185048E9" TargetMode="External"/><Relationship Id="rId1284" Type="http://schemas.openxmlformats.org/officeDocument/2006/relationships/hyperlink" Target="https://ppim-intra.pea.co.th:4434/request/PPIM19500AFF" TargetMode="External"/><Relationship Id="rId1491" Type="http://schemas.openxmlformats.org/officeDocument/2006/relationships/hyperlink" Target="https://ppim-intra.pea.co.th:4434/request/PPIM195015C6" TargetMode="External"/><Relationship Id="rId1589" Type="http://schemas.openxmlformats.org/officeDocument/2006/relationships/hyperlink" Target="https://ppim-intra.pea.co.th:4434/request/PPIM19501A44" TargetMode="External"/><Relationship Id="rId2335" Type="http://schemas.openxmlformats.org/officeDocument/2006/relationships/hyperlink" Target="https://ppim-intra.pea.co.th:4434/request/PPIM195044A9" TargetMode="External"/><Relationship Id="rId2542" Type="http://schemas.openxmlformats.org/officeDocument/2006/relationships/hyperlink" Target="https://ppim-intra.pea.co.th:4434/request/PPIM195055FD" TargetMode="External"/><Relationship Id="rId307" Type="http://schemas.openxmlformats.org/officeDocument/2006/relationships/hyperlink" Target="https://ppim-intra.pea.co.th:4434/request/PPIM18501C30" TargetMode="External"/><Relationship Id="rId514" Type="http://schemas.openxmlformats.org/officeDocument/2006/relationships/hyperlink" Target="https://ppim-intra.pea.co.th:4434/request/PPIM18502719" TargetMode="External"/><Relationship Id="rId721" Type="http://schemas.openxmlformats.org/officeDocument/2006/relationships/hyperlink" Target="https://ppim-intra.pea.co.th:4434/request/PPIM18503516" TargetMode="External"/><Relationship Id="rId1144" Type="http://schemas.openxmlformats.org/officeDocument/2006/relationships/hyperlink" Target="https://ppim-intra.pea.co.th:4434/request/PPIM1950089F" TargetMode="External"/><Relationship Id="rId1351" Type="http://schemas.openxmlformats.org/officeDocument/2006/relationships/hyperlink" Target="https://ppim-intra.pea.co.th:4434/request/PPIM19500EDF" TargetMode="External"/><Relationship Id="rId1449" Type="http://schemas.openxmlformats.org/officeDocument/2006/relationships/hyperlink" Target="https://ppim-intra.pea.co.th:4434/request/PPIM1950134C" TargetMode="External"/><Relationship Id="rId1796" Type="http://schemas.openxmlformats.org/officeDocument/2006/relationships/hyperlink" Target="https://ppim-intra.pea.co.th:4434/request/PPIM19502763" TargetMode="External"/><Relationship Id="rId2402" Type="http://schemas.openxmlformats.org/officeDocument/2006/relationships/hyperlink" Target="https://ppim-intra.pea.co.th:4434/request/PPIM19504829" TargetMode="External"/><Relationship Id="rId88" Type="http://schemas.openxmlformats.org/officeDocument/2006/relationships/hyperlink" Target="https://ppim-intra.pea.co.th:4434/request/PPIM185007A9" TargetMode="External"/><Relationship Id="rId819" Type="http://schemas.openxmlformats.org/officeDocument/2006/relationships/hyperlink" Target="https://ppim-intra.pea.co.th:4434/request/PPIM18503E1A" TargetMode="External"/><Relationship Id="rId1004" Type="http://schemas.openxmlformats.org/officeDocument/2006/relationships/hyperlink" Target="https://ppim-intra.pea.co.th:4434/request/PPIM185038EB" TargetMode="External"/><Relationship Id="rId1211" Type="http://schemas.openxmlformats.org/officeDocument/2006/relationships/hyperlink" Target="https://ppim-intra.pea.co.th:4434/request/PPIM1950064D" TargetMode="External"/><Relationship Id="rId1656" Type="http://schemas.openxmlformats.org/officeDocument/2006/relationships/hyperlink" Target="https://ppim-intra.pea.co.th:4434/request/PPIM19501F24" TargetMode="External"/><Relationship Id="rId1863" Type="http://schemas.openxmlformats.org/officeDocument/2006/relationships/hyperlink" Target="https://ppim-intra.pea.co.th:4434/request/PPIM19501939" TargetMode="External"/><Relationship Id="rId1309" Type="http://schemas.openxmlformats.org/officeDocument/2006/relationships/hyperlink" Target="https://ppim-intra.pea.co.th:4434/request/PPIM19500C26" TargetMode="External"/><Relationship Id="rId1516" Type="http://schemas.openxmlformats.org/officeDocument/2006/relationships/hyperlink" Target="https://ppim-intra.pea.co.th:4434/request/PPIM19501715" TargetMode="External"/><Relationship Id="rId1723" Type="http://schemas.openxmlformats.org/officeDocument/2006/relationships/hyperlink" Target="https://ppim-intra.pea.co.th:4434/request/PPIM1950235B" TargetMode="External"/><Relationship Id="rId1930" Type="http://schemas.openxmlformats.org/officeDocument/2006/relationships/hyperlink" Target="https://ppim-intra.pea.co.th:4434/request/PPIM19502F94" TargetMode="External"/><Relationship Id="rId15" Type="http://schemas.openxmlformats.org/officeDocument/2006/relationships/hyperlink" Target="https://ppim-intra.pea.co.th:4434/request/PPIM185001A6" TargetMode="External"/><Relationship Id="rId2192" Type="http://schemas.openxmlformats.org/officeDocument/2006/relationships/hyperlink" Target="https://ppim-intra.pea.co.th:4434/request/PPIM19503A90" TargetMode="External"/><Relationship Id="rId164" Type="http://schemas.openxmlformats.org/officeDocument/2006/relationships/hyperlink" Target="https://ppim-intra.pea.co.th:4434/request/PPIM18501093" TargetMode="External"/><Relationship Id="rId371" Type="http://schemas.openxmlformats.org/officeDocument/2006/relationships/hyperlink" Target="https://ppim-intra.pea.co.th:4434/request/PPIM18501E6C" TargetMode="External"/><Relationship Id="rId2052" Type="http://schemas.openxmlformats.org/officeDocument/2006/relationships/hyperlink" Target="https://ppim-intra.pea.co.th:4434/request/PPIM195034E8" TargetMode="External"/><Relationship Id="rId2497" Type="http://schemas.openxmlformats.org/officeDocument/2006/relationships/hyperlink" Target="https://ppim-intra.pea.co.th:4434/request/PPIM19505303" TargetMode="External"/><Relationship Id="rId469" Type="http://schemas.openxmlformats.org/officeDocument/2006/relationships/hyperlink" Target="https://ppim-intra.pea.co.th:4434/request/PPIM185023CC" TargetMode="External"/><Relationship Id="rId676" Type="http://schemas.openxmlformats.org/officeDocument/2006/relationships/hyperlink" Target="https://ppim-intra.pea.co.th:4434/request/PPIM18503100" TargetMode="External"/><Relationship Id="rId883" Type="http://schemas.openxmlformats.org/officeDocument/2006/relationships/hyperlink" Target="https://ppim-intra.pea.co.th:4434/request/PPIM185043C5" TargetMode="External"/><Relationship Id="rId1099" Type="http://schemas.openxmlformats.org/officeDocument/2006/relationships/hyperlink" Target="https://ppim-intra.pea.co.th:4434/request/PPIM19500726" TargetMode="External"/><Relationship Id="rId2357" Type="http://schemas.openxmlformats.org/officeDocument/2006/relationships/hyperlink" Target="https://ppim-intra.pea.co.th:4434/request/PPIM195042BA" TargetMode="External"/><Relationship Id="rId2564" Type="http://schemas.openxmlformats.org/officeDocument/2006/relationships/hyperlink" Target="https://ppim-intra.pea.co.th:4434/request/PPIM19505785" TargetMode="External"/><Relationship Id="rId231" Type="http://schemas.openxmlformats.org/officeDocument/2006/relationships/hyperlink" Target="https://ppim-intra.pea.co.th:4434/request/PPIM185015D4" TargetMode="External"/><Relationship Id="rId329" Type="http://schemas.openxmlformats.org/officeDocument/2006/relationships/hyperlink" Target="https://ppim-intra.pea.co.th:4434/request/PPIM18501CFE" TargetMode="External"/><Relationship Id="rId536" Type="http://schemas.openxmlformats.org/officeDocument/2006/relationships/hyperlink" Target="https://ppim-intra.pea.co.th:4434/request/PPIM18502882" TargetMode="External"/><Relationship Id="rId1166" Type="http://schemas.openxmlformats.org/officeDocument/2006/relationships/hyperlink" Target="https://ppim-intra.pea.co.th:4434/request/PPIM19500935" TargetMode="External"/><Relationship Id="rId1373" Type="http://schemas.openxmlformats.org/officeDocument/2006/relationships/hyperlink" Target="https://ppim-intra.pea.co.th:4434/request/PPIM19500FF8" TargetMode="External"/><Relationship Id="rId2217" Type="http://schemas.openxmlformats.org/officeDocument/2006/relationships/hyperlink" Target="https://ppim-intra.pea.co.th:4434/request/PPIM19502AA5" TargetMode="External"/><Relationship Id="rId743" Type="http://schemas.openxmlformats.org/officeDocument/2006/relationships/hyperlink" Target="https://ppim-intra.pea.co.th:4434/request/PPIM18503730" TargetMode="External"/><Relationship Id="rId950" Type="http://schemas.openxmlformats.org/officeDocument/2006/relationships/hyperlink" Target="https://ppim-intra.pea.co.th:4434/request/PPIM18504877" TargetMode="External"/><Relationship Id="rId1026" Type="http://schemas.openxmlformats.org/officeDocument/2006/relationships/hyperlink" Target="https://ppim-intra.pea.co.th:4434/request/PPIM19500337" TargetMode="External"/><Relationship Id="rId1580" Type="http://schemas.openxmlformats.org/officeDocument/2006/relationships/hyperlink" Target="https://ppim-intra.pea.co.th:4434/request/PPIM19501947" TargetMode="External"/><Relationship Id="rId1678" Type="http://schemas.openxmlformats.org/officeDocument/2006/relationships/hyperlink" Target="https://ppim-intra.pea.co.th:4434/request/PPIM19502072" TargetMode="External"/><Relationship Id="rId1885" Type="http://schemas.openxmlformats.org/officeDocument/2006/relationships/hyperlink" Target="https://ppim-intra.pea.co.th:4434/request/PPIM19501F07" TargetMode="External"/><Relationship Id="rId2424" Type="http://schemas.openxmlformats.org/officeDocument/2006/relationships/hyperlink" Target="https://ppim-intra.pea.co.th:4434/request/PPIM19504CA8" TargetMode="External"/><Relationship Id="rId2631" Type="http://schemas.openxmlformats.org/officeDocument/2006/relationships/hyperlink" Target="https://ppim-intra.pea.co.th:4434/request/PPIM19505BDE" TargetMode="External"/><Relationship Id="rId603" Type="http://schemas.openxmlformats.org/officeDocument/2006/relationships/hyperlink" Target="https://ppim-intra.pea.co.th:4434/request/PPIM18502B87" TargetMode="External"/><Relationship Id="rId810" Type="http://schemas.openxmlformats.org/officeDocument/2006/relationships/hyperlink" Target="https://ppim-intra.pea.co.th:4434/request/PPIM18503D47" TargetMode="External"/><Relationship Id="rId908" Type="http://schemas.openxmlformats.org/officeDocument/2006/relationships/hyperlink" Target="https://ppim-intra.pea.co.th:4434/request/PPIM1850457B" TargetMode="External"/><Relationship Id="rId1233" Type="http://schemas.openxmlformats.org/officeDocument/2006/relationships/hyperlink" Target="https://ppim-intra.pea.co.th:4434/request/PPIM19500AD4" TargetMode="External"/><Relationship Id="rId1440" Type="http://schemas.openxmlformats.org/officeDocument/2006/relationships/hyperlink" Target="https://ppim-intra.pea.co.th:4434/request/PPIM19501296" TargetMode="External"/><Relationship Id="rId1538" Type="http://schemas.openxmlformats.org/officeDocument/2006/relationships/hyperlink" Target="https://ppim-intra.pea.co.th:4434/request/PPIM19501807" TargetMode="External"/><Relationship Id="rId1300" Type="http://schemas.openxmlformats.org/officeDocument/2006/relationships/hyperlink" Target="https://ppim-intra.pea.co.th:4434/request/PPIM19500564" TargetMode="External"/><Relationship Id="rId1745" Type="http://schemas.openxmlformats.org/officeDocument/2006/relationships/hyperlink" Target="https://ppim-intra.pea.co.th:4434/request/PPIM195023B3" TargetMode="External"/><Relationship Id="rId1952" Type="http://schemas.openxmlformats.org/officeDocument/2006/relationships/hyperlink" Target="https://ppim-intra.pea.co.th:4434/request/PPIM195028E0" TargetMode="External"/><Relationship Id="rId37" Type="http://schemas.openxmlformats.org/officeDocument/2006/relationships/hyperlink" Target="https://ppim-intra.pea.co.th:4434/request/PPIM18500372" TargetMode="External"/><Relationship Id="rId1605" Type="http://schemas.openxmlformats.org/officeDocument/2006/relationships/hyperlink" Target="https://ppim-intra.pea.co.th:4434/request/PPIM19501B94" TargetMode="External"/><Relationship Id="rId1812" Type="http://schemas.openxmlformats.org/officeDocument/2006/relationships/hyperlink" Target="https://ppim-intra.pea.co.th:4434/request/PPIM1950209F" TargetMode="External"/><Relationship Id="rId186" Type="http://schemas.openxmlformats.org/officeDocument/2006/relationships/hyperlink" Target="https://ppim-intra.pea.co.th:4434/request/PPIM185011AA" TargetMode="External"/><Relationship Id="rId393" Type="http://schemas.openxmlformats.org/officeDocument/2006/relationships/hyperlink" Target="https://ppim-intra.pea.co.th:4434/request/PPIM1850203D" TargetMode="External"/><Relationship Id="rId2074" Type="http://schemas.openxmlformats.org/officeDocument/2006/relationships/hyperlink" Target="https://ppim-intra.pea.co.th:4434/request/PPIM19503577" TargetMode="External"/><Relationship Id="rId2281" Type="http://schemas.openxmlformats.org/officeDocument/2006/relationships/hyperlink" Target="https://ppim-intra.pea.co.th:4434/request/PPIM195040DE" TargetMode="External"/><Relationship Id="rId253" Type="http://schemas.openxmlformats.org/officeDocument/2006/relationships/hyperlink" Target="https://ppim-intra.pea.co.th:4434/request/PPIM185006AA" TargetMode="External"/><Relationship Id="rId460" Type="http://schemas.openxmlformats.org/officeDocument/2006/relationships/hyperlink" Target="https://ppim-intra.pea.co.th:4434/request/PPIM18502373" TargetMode="External"/><Relationship Id="rId698" Type="http://schemas.openxmlformats.org/officeDocument/2006/relationships/hyperlink" Target="https://ppim-intra.pea.co.th:4434/request/PPIM1850284D" TargetMode="External"/><Relationship Id="rId1090" Type="http://schemas.openxmlformats.org/officeDocument/2006/relationships/hyperlink" Target="https://ppim-intra.pea.co.th:4434/request/PPIM18504872" TargetMode="External"/><Relationship Id="rId2141" Type="http://schemas.openxmlformats.org/officeDocument/2006/relationships/hyperlink" Target="https://ppim-intra.pea.co.th:4434/request/PPIM1950361F" TargetMode="External"/><Relationship Id="rId2379" Type="http://schemas.openxmlformats.org/officeDocument/2006/relationships/hyperlink" Target="https://ppim-intra.pea.co.th:4434/request/PPIM195048FA" TargetMode="External"/><Relationship Id="rId2586" Type="http://schemas.openxmlformats.org/officeDocument/2006/relationships/hyperlink" Target="https://ppim-intra.pea.co.th:4434/request/PPIM1950573B" TargetMode="External"/><Relationship Id="rId113" Type="http://schemas.openxmlformats.org/officeDocument/2006/relationships/hyperlink" Target="https://ppim-intra.pea.co.th:4434/request/PPIM185009F0" TargetMode="External"/><Relationship Id="rId320" Type="http://schemas.openxmlformats.org/officeDocument/2006/relationships/hyperlink" Target="https://ppim-intra.pea.co.th:4434/request/PPIM18501CBB" TargetMode="External"/><Relationship Id="rId558" Type="http://schemas.openxmlformats.org/officeDocument/2006/relationships/hyperlink" Target="https://ppim-intra.pea.co.th:4434/request/PPIM18502949" TargetMode="External"/><Relationship Id="rId765" Type="http://schemas.openxmlformats.org/officeDocument/2006/relationships/hyperlink" Target="https://ppim-intra.pea.co.th:4434/request/PPIM1850394D" TargetMode="External"/><Relationship Id="rId972" Type="http://schemas.openxmlformats.org/officeDocument/2006/relationships/hyperlink" Target="https://ppim-intra.pea.co.th:4434/request/PPIM1850328E" TargetMode="External"/><Relationship Id="rId1188" Type="http://schemas.openxmlformats.org/officeDocument/2006/relationships/hyperlink" Target="https://ppim-intra.pea.co.th:4434/request/PPIM195009D2" TargetMode="External"/><Relationship Id="rId1395" Type="http://schemas.openxmlformats.org/officeDocument/2006/relationships/hyperlink" Target="https://ppim-intra.pea.co.th:4434/request/PPIM19501118" TargetMode="External"/><Relationship Id="rId2001" Type="http://schemas.openxmlformats.org/officeDocument/2006/relationships/hyperlink" Target="https://ppim-intra.pea.co.th:4434/request/PPIM1950329B" TargetMode="External"/><Relationship Id="rId2239" Type="http://schemas.openxmlformats.org/officeDocument/2006/relationships/hyperlink" Target="https://ppim-intra.pea.co.th:4434/request/PPIM19503CF1" TargetMode="External"/><Relationship Id="rId2446" Type="http://schemas.openxmlformats.org/officeDocument/2006/relationships/hyperlink" Target="https://ppim-intra.pea.co.th:4434/request/PPIM19504EAD" TargetMode="External"/><Relationship Id="rId2653" Type="http://schemas.openxmlformats.org/officeDocument/2006/relationships/hyperlink" Target="https://ppim-intra.pea.co.th:4434/request/PPIM19505A56" TargetMode="External"/><Relationship Id="rId418" Type="http://schemas.openxmlformats.org/officeDocument/2006/relationships/hyperlink" Target="https://ppim-intra.pea.co.th:4434/request/PPIM185021F6" TargetMode="External"/><Relationship Id="rId625" Type="http://schemas.openxmlformats.org/officeDocument/2006/relationships/hyperlink" Target="https://ppim-intra.pea.co.th:4434/request/PPIM18502C73" TargetMode="External"/><Relationship Id="rId832" Type="http://schemas.openxmlformats.org/officeDocument/2006/relationships/hyperlink" Target="https://ppim-intra.pea.co.th:4434/request/PPIM18503FDA" TargetMode="External"/><Relationship Id="rId1048" Type="http://schemas.openxmlformats.org/officeDocument/2006/relationships/hyperlink" Target="https://ppim-intra.pea.co.th:4434/request/PPIM185042F3" TargetMode="External"/><Relationship Id="rId1255" Type="http://schemas.openxmlformats.org/officeDocument/2006/relationships/hyperlink" Target="https://ppim-intra.pea.co.th:4434/request/PPIM19500B79" TargetMode="External"/><Relationship Id="rId1462" Type="http://schemas.openxmlformats.org/officeDocument/2006/relationships/hyperlink" Target="https://ppim-intra.pea.co.th:4434/request/PPIM195013A9" TargetMode="External"/><Relationship Id="rId2306" Type="http://schemas.openxmlformats.org/officeDocument/2006/relationships/hyperlink" Target="https://ppim-intra.pea.co.th:4434/request/PPIM19503AA6" TargetMode="External"/><Relationship Id="rId2513" Type="http://schemas.openxmlformats.org/officeDocument/2006/relationships/hyperlink" Target="https://ppim-intra.pea.co.th:4434/request/PPIM195053D1" TargetMode="External"/><Relationship Id="rId1115" Type="http://schemas.openxmlformats.org/officeDocument/2006/relationships/hyperlink" Target="https://ppim-intra.pea.co.th:4434/request/PPIM195007C1" TargetMode="External"/><Relationship Id="rId1322" Type="http://schemas.openxmlformats.org/officeDocument/2006/relationships/hyperlink" Target="https://ppim-intra.pea.co.th:4434/request/PPIM19500E10" TargetMode="External"/><Relationship Id="rId1767" Type="http://schemas.openxmlformats.org/officeDocument/2006/relationships/hyperlink" Target="https://ppim-intra.pea.co.th:4434/request/PPIM19502599" TargetMode="External"/><Relationship Id="rId1974" Type="http://schemas.openxmlformats.org/officeDocument/2006/relationships/hyperlink" Target="https://ppim-intra.pea.co.th:4434/request/PPIM195024DF" TargetMode="External"/><Relationship Id="rId59" Type="http://schemas.openxmlformats.org/officeDocument/2006/relationships/hyperlink" Target="https://ppim-intra.pea.co.th:4434/request/PPIM18500527" TargetMode="External"/><Relationship Id="rId1627" Type="http://schemas.openxmlformats.org/officeDocument/2006/relationships/hyperlink" Target="https://ppim-intra.pea.co.th:4434/request/PPIM19501265" TargetMode="External"/><Relationship Id="rId1834" Type="http://schemas.openxmlformats.org/officeDocument/2006/relationships/hyperlink" Target="https://ppim-intra.pea.co.th:4434/request/PPIM19502BCC" TargetMode="External"/><Relationship Id="rId2096" Type="http://schemas.openxmlformats.org/officeDocument/2006/relationships/hyperlink" Target="https://ppim-intra.pea.co.th:4434/request/PPIM19503568" TargetMode="External"/><Relationship Id="rId1901" Type="http://schemas.openxmlformats.org/officeDocument/2006/relationships/hyperlink" Target="https://ppim-intra.pea.co.th:4434/request/PPIM19502ADE" TargetMode="External"/><Relationship Id="rId275" Type="http://schemas.openxmlformats.org/officeDocument/2006/relationships/hyperlink" Target="https://ppim-intra.pea.co.th:4434/request/PPIM185019C4" TargetMode="External"/><Relationship Id="rId482" Type="http://schemas.openxmlformats.org/officeDocument/2006/relationships/hyperlink" Target="https://ppim-intra.pea.co.th:4434/request/PPIM185024D7" TargetMode="External"/><Relationship Id="rId2163" Type="http://schemas.openxmlformats.org/officeDocument/2006/relationships/hyperlink" Target="https://ppim-intra.pea.co.th:4434/request/PPIM195034D1" TargetMode="External"/><Relationship Id="rId2370" Type="http://schemas.openxmlformats.org/officeDocument/2006/relationships/hyperlink" Target="https://ppim-intra.pea.co.th:4434/request/PPIM1950479A" TargetMode="External"/><Relationship Id="rId135" Type="http://schemas.openxmlformats.org/officeDocument/2006/relationships/hyperlink" Target="https://ppim-intra.pea.co.th:4434/request/PPIM18500CCF" TargetMode="External"/><Relationship Id="rId342" Type="http://schemas.openxmlformats.org/officeDocument/2006/relationships/hyperlink" Target="https://ppim-intra.pea.co.th:4434/request/PPIM18501D20" TargetMode="External"/><Relationship Id="rId787" Type="http://schemas.openxmlformats.org/officeDocument/2006/relationships/hyperlink" Target="https://ppim-intra.pea.co.th:4434/request/PPIM18503AB6" TargetMode="External"/><Relationship Id="rId994" Type="http://schemas.openxmlformats.org/officeDocument/2006/relationships/hyperlink" Target="https://ppim-intra.pea.co.th:4434/request/PPIM195000F0" TargetMode="External"/><Relationship Id="rId2023" Type="http://schemas.openxmlformats.org/officeDocument/2006/relationships/hyperlink" Target="https://ppim-intra.pea.co.th:4434/request/PPIM19502FA1" TargetMode="External"/><Relationship Id="rId2230" Type="http://schemas.openxmlformats.org/officeDocument/2006/relationships/hyperlink" Target="https://ppim-intra.pea.co.th:4434/request/PPIM19503CFF" TargetMode="External"/><Relationship Id="rId2468" Type="http://schemas.openxmlformats.org/officeDocument/2006/relationships/hyperlink" Target="https://ppim-intra.pea.co.th:4434/request/PPIM19505040" TargetMode="External"/><Relationship Id="rId202" Type="http://schemas.openxmlformats.org/officeDocument/2006/relationships/hyperlink" Target="https://ppim-intra.pea.co.th:4434/request/PPIM1850132A" TargetMode="External"/><Relationship Id="rId647" Type="http://schemas.openxmlformats.org/officeDocument/2006/relationships/hyperlink" Target="https://ppim-intra.pea.co.th:4434/request/PPIM18502E3A" TargetMode="External"/><Relationship Id="rId854" Type="http://schemas.openxmlformats.org/officeDocument/2006/relationships/hyperlink" Target="https://ppim-intra.pea.co.th:4434/request/PPIM18500965" TargetMode="External"/><Relationship Id="rId1277" Type="http://schemas.openxmlformats.org/officeDocument/2006/relationships/hyperlink" Target="https://ppim-intra.pea.co.th:4434/request/PPIM19500C44" TargetMode="External"/><Relationship Id="rId1484" Type="http://schemas.openxmlformats.org/officeDocument/2006/relationships/hyperlink" Target="https://ppim-intra.pea.co.th:4434/request/PPIM19501566" TargetMode="External"/><Relationship Id="rId1691" Type="http://schemas.openxmlformats.org/officeDocument/2006/relationships/hyperlink" Target="https://ppim-intra.pea.co.th:4434/request/PPIM19502121" TargetMode="External"/><Relationship Id="rId2328" Type="http://schemas.openxmlformats.org/officeDocument/2006/relationships/hyperlink" Target="https://ppim-intra.pea.co.th:4434/request/PPIM19504106" TargetMode="External"/><Relationship Id="rId2535" Type="http://schemas.openxmlformats.org/officeDocument/2006/relationships/hyperlink" Target="https://ppim-intra.pea.co.th:4434/request/PPIM19505565" TargetMode="External"/><Relationship Id="rId507" Type="http://schemas.openxmlformats.org/officeDocument/2006/relationships/hyperlink" Target="https://ppim-intra.pea.co.th:4434/request/PPIM185026B7" TargetMode="External"/><Relationship Id="rId714" Type="http://schemas.openxmlformats.org/officeDocument/2006/relationships/hyperlink" Target="https://ppim-intra.pea.co.th:4434/request/PPIM18503410" TargetMode="External"/><Relationship Id="rId921" Type="http://schemas.openxmlformats.org/officeDocument/2006/relationships/hyperlink" Target="https://ppim-intra.pea.co.th:4434/request/PPIM1850462D" TargetMode="External"/><Relationship Id="rId1137" Type="http://schemas.openxmlformats.org/officeDocument/2006/relationships/hyperlink" Target="https://ppim-intra.pea.co.th:4434/request/PPIM19500856" TargetMode="External"/><Relationship Id="rId1344" Type="http://schemas.openxmlformats.org/officeDocument/2006/relationships/hyperlink" Target="https://ppim-intra.pea.co.th:4434/request/PPIM19500E7C" TargetMode="External"/><Relationship Id="rId1551" Type="http://schemas.openxmlformats.org/officeDocument/2006/relationships/hyperlink" Target="https://ppim-intra.pea.co.th:4434/request/PPIM19501836" TargetMode="External"/><Relationship Id="rId1789" Type="http://schemas.openxmlformats.org/officeDocument/2006/relationships/hyperlink" Target="https://ppim-intra.pea.co.th:4434/request/PPIM195026EB" TargetMode="External"/><Relationship Id="rId1996" Type="http://schemas.openxmlformats.org/officeDocument/2006/relationships/hyperlink" Target="https://ppim-intra.pea.co.th:4434/request/PPIM195022A5" TargetMode="External"/><Relationship Id="rId2602" Type="http://schemas.openxmlformats.org/officeDocument/2006/relationships/hyperlink" Target="https://ppim-intra.pea.co.th:4434/request/PPIM19505A2F" TargetMode="External"/><Relationship Id="rId50" Type="http://schemas.openxmlformats.org/officeDocument/2006/relationships/hyperlink" Target="https://ppim-intra.pea.co.th:4434/request/PPIM1850041A" TargetMode="External"/><Relationship Id="rId1204" Type="http://schemas.openxmlformats.org/officeDocument/2006/relationships/hyperlink" Target="https://ppim-intra.pea.co.th:4434/request/PPIM19500A3F" TargetMode="External"/><Relationship Id="rId1411" Type="http://schemas.openxmlformats.org/officeDocument/2006/relationships/hyperlink" Target="https://ppim-intra.pea.co.th:4434/request/PPIM19501168" TargetMode="External"/><Relationship Id="rId1649" Type="http://schemas.openxmlformats.org/officeDocument/2006/relationships/hyperlink" Target="https://ppim-intra.pea.co.th:4434/request/PPIM19501949" TargetMode="External"/><Relationship Id="rId1856" Type="http://schemas.openxmlformats.org/officeDocument/2006/relationships/hyperlink" Target="https://ppim-intra.pea.co.th:4434/request/PPIM195021A1" TargetMode="External"/><Relationship Id="rId1509" Type="http://schemas.openxmlformats.org/officeDocument/2006/relationships/hyperlink" Target="https://ppim-intra.pea.co.th:4434/request/PPIM195016DB" TargetMode="External"/><Relationship Id="rId1716" Type="http://schemas.openxmlformats.org/officeDocument/2006/relationships/hyperlink" Target="https://ppim-intra.pea.co.th:4434/request/PPIM19502329" TargetMode="External"/><Relationship Id="rId1923" Type="http://schemas.openxmlformats.org/officeDocument/2006/relationships/hyperlink" Target="https://ppim-intra.pea.co.th:4434/request/PPIM195029D9" TargetMode="External"/><Relationship Id="rId297" Type="http://schemas.openxmlformats.org/officeDocument/2006/relationships/hyperlink" Target="https://ppim-intra.pea.co.th:4434/request/PPIM18501BA9" TargetMode="External"/><Relationship Id="rId2185" Type="http://schemas.openxmlformats.org/officeDocument/2006/relationships/hyperlink" Target="https://ppim-intra.pea.co.th:4434/request/PPIM195039C2" TargetMode="External"/><Relationship Id="rId2392" Type="http://schemas.openxmlformats.org/officeDocument/2006/relationships/hyperlink" Target="https://ppim-intra.pea.co.th:4434/request/PPIM195047DE" TargetMode="External"/><Relationship Id="rId157" Type="http://schemas.openxmlformats.org/officeDocument/2006/relationships/hyperlink" Target="https://ppim-intra.pea.co.th:4434/request/PPIM18501049" TargetMode="External"/><Relationship Id="rId364" Type="http://schemas.openxmlformats.org/officeDocument/2006/relationships/hyperlink" Target="https://ppim-intra.pea.co.th:4434/request/PPIM18501E14" TargetMode="External"/><Relationship Id="rId2045" Type="http://schemas.openxmlformats.org/officeDocument/2006/relationships/hyperlink" Target="https://ppim-intra.pea.co.th:4434/request/PPIM19503425" TargetMode="External"/><Relationship Id="rId571" Type="http://schemas.openxmlformats.org/officeDocument/2006/relationships/hyperlink" Target="https://ppim-intra.pea.co.th:4434/request/PPIM185029C7" TargetMode="External"/><Relationship Id="rId669" Type="http://schemas.openxmlformats.org/officeDocument/2006/relationships/hyperlink" Target="https://ppim-intra.pea.co.th:4434/request/PPIM1850304F" TargetMode="External"/><Relationship Id="rId876" Type="http://schemas.openxmlformats.org/officeDocument/2006/relationships/hyperlink" Target="https://ppim-intra.pea.co.th:4434/request/PPIM18504333" TargetMode="External"/><Relationship Id="rId1299" Type="http://schemas.openxmlformats.org/officeDocument/2006/relationships/hyperlink" Target="https://ppim-intra.pea.co.th:4434/request/PPIM195006A4" TargetMode="External"/><Relationship Id="rId2252" Type="http://schemas.openxmlformats.org/officeDocument/2006/relationships/hyperlink" Target="https://ppim-intra.pea.co.th:4434/request/PPIM19503DD5" TargetMode="External"/><Relationship Id="rId2557" Type="http://schemas.openxmlformats.org/officeDocument/2006/relationships/hyperlink" Target="https://ppim-intra.pea.co.th:4434/request/PPIM1950571C" TargetMode="External"/><Relationship Id="rId224" Type="http://schemas.openxmlformats.org/officeDocument/2006/relationships/hyperlink" Target="https://ppim-intra.pea.co.th:4434/request/PPIM1850156D" TargetMode="External"/><Relationship Id="rId431" Type="http://schemas.openxmlformats.org/officeDocument/2006/relationships/hyperlink" Target="https://ppim-intra.pea.co.th:4434/request/PPIM185022E7" TargetMode="External"/><Relationship Id="rId529" Type="http://schemas.openxmlformats.org/officeDocument/2006/relationships/hyperlink" Target="https://ppim-intra.pea.co.th:4434/request/PPIM18502835" TargetMode="External"/><Relationship Id="rId736" Type="http://schemas.openxmlformats.org/officeDocument/2006/relationships/hyperlink" Target="https://ppim-intra.pea.co.th:4434/request/PPIM185036C4" TargetMode="External"/><Relationship Id="rId1061" Type="http://schemas.openxmlformats.org/officeDocument/2006/relationships/hyperlink" Target="https://ppim-intra.pea.co.th:4434/request/PPIM195004B2" TargetMode="External"/><Relationship Id="rId1159" Type="http://schemas.openxmlformats.org/officeDocument/2006/relationships/hyperlink" Target="https://ppim-intra.pea.co.th:4434/request/PPIM1950090D" TargetMode="External"/><Relationship Id="rId1366" Type="http://schemas.openxmlformats.org/officeDocument/2006/relationships/hyperlink" Target="https://ppim-intra.pea.co.th:4434/request/PPIM185025CD" TargetMode="External"/><Relationship Id="rId2112" Type="http://schemas.openxmlformats.org/officeDocument/2006/relationships/hyperlink" Target="https://ppim-intra.pea.co.th:4434/request/PPIM19502CF8" TargetMode="External"/><Relationship Id="rId2417" Type="http://schemas.openxmlformats.org/officeDocument/2006/relationships/hyperlink" Target="https://ppim-intra.pea.co.th:4434/request/PPIM1950450C" TargetMode="External"/><Relationship Id="rId943" Type="http://schemas.openxmlformats.org/officeDocument/2006/relationships/hyperlink" Target="https://ppim-intra.pea.co.th:4434/request/PPIM18504806" TargetMode="External"/><Relationship Id="rId1019" Type="http://schemas.openxmlformats.org/officeDocument/2006/relationships/hyperlink" Target="https://ppim-intra.pea.co.th:4434/request/PPIM195002E1" TargetMode="External"/><Relationship Id="rId1573" Type="http://schemas.openxmlformats.org/officeDocument/2006/relationships/hyperlink" Target="https://ppim-intra.pea.co.th:4434/request/PPIM19501907" TargetMode="External"/><Relationship Id="rId1780" Type="http://schemas.openxmlformats.org/officeDocument/2006/relationships/hyperlink" Target="https://ppim-intra.pea.co.th:4434/request/PPIM195025C3" TargetMode="External"/><Relationship Id="rId1878" Type="http://schemas.openxmlformats.org/officeDocument/2006/relationships/hyperlink" Target="https://ppim-intra.pea.co.th:4434/request/PPIM19502DF6" TargetMode="External"/><Relationship Id="rId2624" Type="http://schemas.openxmlformats.org/officeDocument/2006/relationships/hyperlink" Target="https://ppim-intra.pea.co.th:4434/request/PPIM19505364" TargetMode="External"/><Relationship Id="rId72" Type="http://schemas.openxmlformats.org/officeDocument/2006/relationships/hyperlink" Target="https://ppim-intra.pea.co.th:4434/request/PPIM185006D4" TargetMode="External"/><Relationship Id="rId803" Type="http://schemas.openxmlformats.org/officeDocument/2006/relationships/hyperlink" Target="https://ppim-intra.pea.co.th:4434/request/PPIM18503C74" TargetMode="External"/><Relationship Id="rId1226" Type="http://schemas.openxmlformats.org/officeDocument/2006/relationships/hyperlink" Target="https://ppim-intra.pea.co.th:4434/request/PPIM19500AB6" TargetMode="External"/><Relationship Id="rId1433" Type="http://schemas.openxmlformats.org/officeDocument/2006/relationships/hyperlink" Target="https://ppim-intra.pea.co.th:4434/request/PPIM1950123B" TargetMode="External"/><Relationship Id="rId1640" Type="http://schemas.openxmlformats.org/officeDocument/2006/relationships/hyperlink" Target="https://ppim-intra.pea.co.th:4434/request/PPIM195013E8" TargetMode="External"/><Relationship Id="rId1738" Type="http://schemas.openxmlformats.org/officeDocument/2006/relationships/hyperlink" Target="https://ppim-intra.pea.co.th:4434/request/PPIM1850467B" TargetMode="External"/><Relationship Id="rId1500" Type="http://schemas.openxmlformats.org/officeDocument/2006/relationships/hyperlink" Target="https://ppim-intra.pea.co.th:4434/request/PPIM19501649" TargetMode="External"/><Relationship Id="rId1945" Type="http://schemas.openxmlformats.org/officeDocument/2006/relationships/hyperlink" Target="https://ppim-intra.pea.co.th:4434/request/PPIM19503019" TargetMode="External"/><Relationship Id="rId1805" Type="http://schemas.openxmlformats.org/officeDocument/2006/relationships/hyperlink" Target="https://ppim-intra.pea.co.th:4434/request/PPIM1950281A" TargetMode="External"/><Relationship Id="rId179" Type="http://schemas.openxmlformats.org/officeDocument/2006/relationships/hyperlink" Target="https://ppim-intra.pea.co.th:4434/request/PPIM18501180" TargetMode="External"/><Relationship Id="rId386" Type="http://schemas.openxmlformats.org/officeDocument/2006/relationships/hyperlink" Target="https://ppim-intra.pea.co.th:4434/request/PPIM185017A1" TargetMode="External"/><Relationship Id="rId593" Type="http://schemas.openxmlformats.org/officeDocument/2006/relationships/hyperlink" Target="https://ppim-intra.pea.co.th:4434/request/PPIM18502AA7" TargetMode="External"/><Relationship Id="rId2067" Type="http://schemas.openxmlformats.org/officeDocument/2006/relationships/hyperlink" Target="https://ppim-intra.pea.co.th:4434/request/PPIM19502F57" TargetMode="External"/><Relationship Id="rId2274" Type="http://schemas.openxmlformats.org/officeDocument/2006/relationships/hyperlink" Target="https://ppim-intra.pea.co.th:4434/request/PPIM195040D8" TargetMode="External"/><Relationship Id="rId2481" Type="http://schemas.openxmlformats.org/officeDocument/2006/relationships/hyperlink" Target="https://ppim-intra.pea.co.th:4434/request/PPIM195051B7" TargetMode="External"/><Relationship Id="rId246" Type="http://schemas.openxmlformats.org/officeDocument/2006/relationships/hyperlink" Target="https://ppim-intra.pea.co.th:4434/request/PPIM1850171D" TargetMode="External"/><Relationship Id="rId453" Type="http://schemas.openxmlformats.org/officeDocument/2006/relationships/hyperlink" Target="https://ppim-intra.pea.co.th:4434/request/PPIM18502356" TargetMode="External"/><Relationship Id="rId660" Type="http://schemas.openxmlformats.org/officeDocument/2006/relationships/hyperlink" Target="https://ppim-intra.pea.co.th:4434/request/PPIM18502FBC" TargetMode="External"/><Relationship Id="rId898" Type="http://schemas.openxmlformats.org/officeDocument/2006/relationships/hyperlink" Target="https://ppim-intra.pea.co.th:4434/request/PPIM185044E1" TargetMode="External"/><Relationship Id="rId1083" Type="http://schemas.openxmlformats.org/officeDocument/2006/relationships/hyperlink" Target="https://ppim-intra.pea.co.th:4434/request/PPIM1950063E" TargetMode="External"/><Relationship Id="rId1290" Type="http://schemas.openxmlformats.org/officeDocument/2006/relationships/hyperlink" Target="https://ppim-intra.pea.co.th:4434/request/PPIM19500D10" TargetMode="External"/><Relationship Id="rId2134" Type="http://schemas.openxmlformats.org/officeDocument/2006/relationships/hyperlink" Target="https://ppim-intra.pea.co.th:4434/request/PPIM195033DE" TargetMode="External"/><Relationship Id="rId2341" Type="http://schemas.openxmlformats.org/officeDocument/2006/relationships/hyperlink" Target="https://ppim-intra.pea.co.th:4434/request/PPIM195045AA" TargetMode="External"/><Relationship Id="rId2579" Type="http://schemas.openxmlformats.org/officeDocument/2006/relationships/hyperlink" Target="https://ppim-intra.pea.co.th:4434/request/PPIM19505271" TargetMode="External"/><Relationship Id="rId106" Type="http://schemas.openxmlformats.org/officeDocument/2006/relationships/hyperlink" Target="https://ppim-intra.pea.co.th:4434/request/PPIM18500940" TargetMode="External"/><Relationship Id="rId313" Type="http://schemas.openxmlformats.org/officeDocument/2006/relationships/hyperlink" Target="https://ppim-intra.pea.co.th:4434/request/PPIM18501C54" TargetMode="External"/><Relationship Id="rId758" Type="http://schemas.openxmlformats.org/officeDocument/2006/relationships/hyperlink" Target="https://ppim-intra.pea.co.th:4434/request/PPIM185038A7" TargetMode="External"/><Relationship Id="rId965" Type="http://schemas.openxmlformats.org/officeDocument/2006/relationships/hyperlink" Target="https://ppim-intra.pea.co.th:4434/request/PPIM1850495A" TargetMode="External"/><Relationship Id="rId1150" Type="http://schemas.openxmlformats.org/officeDocument/2006/relationships/hyperlink" Target="https://ppim-intra.pea.co.th:4434/request/PPIM18503B7B" TargetMode="External"/><Relationship Id="rId1388" Type="http://schemas.openxmlformats.org/officeDocument/2006/relationships/hyperlink" Target="https://ppim-intra.pea.co.th:4434/request/PPIM195010B8" TargetMode="External"/><Relationship Id="rId1595" Type="http://schemas.openxmlformats.org/officeDocument/2006/relationships/hyperlink" Target="https://ppim-intra.pea.co.th:4434/request/PPIM19501AC3" TargetMode="External"/><Relationship Id="rId2439" Type="http://schemas.openxmlformats.org/officeDocument/2006/relationships/hyperlink" Target="https://ppim-intra.pea.co.th:4434/request/PPIM19504E26" TargetMode="External"/><Relationship Id="rId2646" Type="http://schemas.openxmlformats.org/officeDocument/2006/relationships/hyperlink" Target="https://ppim-intra.pea.co.th:4434/request/PPIM19505695" TargetMode="External"/><Relationship Id="rId94" Type="http://schemas.openxmlformats.org/officeDocument/2006/relationships/hyperlink" Target="https://ppim-intra.pea.co.th:4434/request/PPIM1850083F" TargetMode="External"/><Relationship Id="rId520" Type="http://schemas.openxmlformats.org/officeDocument/2006/relationships/hyperlink" Target="https://ppim-intra.pea.co.th:4434/request/PPIM185020FC" TargetMode="External"/><Relationship Id="rId618" Type="http://schemas.openxmlformats.org/officeDocument/2006/relationships/hyperlink" Target="https://ppim-intra.pea.co.th:4434/request/PPIM18502C30" TargetMode="External"/><Relationship Id="rId825" Type="http://schemas.openxmlformats.org/officeDocument/2006/relationships/hyperlink" Target="https://ppim-intra.pea.co.th:4434/request/PPIM18503EB9" TargetMode="External"/><Relationship Id="rId1248" Type="http://schemas.openxmlformats.org/officeDocument/2006/relationships/hyperlink" Target="https://ppim-intra.pea.co.th:4434/request/PPIM19500971" TargetMode="External"/><Relationship Id="rId1455" Type="http://schemas.openxmlformats.org/officeDocument/2006/relationships/hyperlink" Target="https://ppim-intra.pea.co.th:4434/request/PPIM19500388" TargetMode="External"/><Relationship Id="rId1662" Type="http://schemas.openxmlformats.org/officeDocument/2006/relationships/hyperlink" Target="https://ppim-intra.pea.co.th:4434/request/PPIM19501572" TargetMode="External"/><Relationship Id="rId2201" Type="http://schemas.openxmlformats.org/officeDocument/2006/relationships/hyperlink" Target="https://ppim-intra.pea.co.th:4434/request/PPIM19503B8E" TargetMode="External"/><Relationship Id="rId2506" Type="http://schemas.openxmlformats.org/officeDocument/2006/relationships/hyperlink" Target="https://ppim-intra.pea.co.th:4434/request/PPIM19505340" TargetMode="External"/><Relationship Id="rId1010" Type="http://schemas.openxmlformats.org/officeDocument/2006/relationships/hyperlink" Target="https://ppim-intra.pea.co.th:4434/request/PPIM19500196" TargetMode="External"/><Relationship Id="rId1108" Type="http://schemas.openxmlformats.org/officeDocument/2006/relationships/hyperlink" Target="https://ppim-intra.pea.co.th:4434/request/PPIM1950077D" TargetMode="External"/><Relationship Id="rId1315" Type="http://schemas.openxmlformats.org/officeDocument/2006/relationships/hyperlink" Target="https://ppim-intra.pea.co.th:4434/request/PPIM19500DF7" TargetMode="External"/><Relationship Id="rId1967" Type="http://schemas.openxmlformats.org/officeDocument/2006/relationships/hyperlink" Target="https://ppim-intra.pea.co.th:4434/request/PPIM19503004" TargetMode="External"/><Relationship Id="rId1522" Type="http://schemas.openxmlformats.org/officeDocument/2006/relationships/hyperlink" Target="https://ppim-intra.pea.co.th:4434/request/PPIM19501778" TargetMode="External"/><Relationship Id="rId21" Type="http://schemas.openxmlformats.org/officeDocument/2006/relationships/hyperlink" Target="https://ppim-intra.pea.co.th:4434/request/PPIM185001F3" TargetMode="External"/><Relationship Id="rId2089" Type="http://schemas.openxmlformats.org/officeDocument/2006/relationships/hyperlink" Target="https://ppim-intra.pea.co.th:4434/request/PPIM19502ADB" TargetMode="External"/><Relationship Id="rId2296" Type="http://schemas.openxmlformats.org/officeDocument/2006/relationships/hyperlink" Target="https://ppim-intra.pea.co.th:4434/request/PPIM19504239" TargetMode="External"/><Relationship Id="rId268" Type="http://schemas.openxmlformats.org/officeDocument/2006/relationships/hyperlink" Target="https://ppim-intra.pea.co.th:4434/request/PPIM185011B2" TargetMode="External"/><Relationship Id="rId475" Type="http://schemas.openxmlformats.org/officeDocument/2006/relationships/hyperlink" Target="https://ppim-intra.pea.co.th:4434/request/PPIM18501108" TargetMode="External"/><Relationship Id="rId682" Type="http://schemas.openxmlformats.org/officeDocument/2006/relationships/hyperlink" Target="https://ppim-intra.pea.co.th:4434/request/PPIM18503167" TargetMode="External"/><Relationship Id="rId2156" Type="http://schemas.openxmlformats.org/officeDocument/2006/relationships/hyperlink" Target="https://ppim-intra.pea.co.th:4434/request/PPIM195032F3" TargetMode="External"/><Relationship Id="rId2363" Type="http://schemas.openxmlformats.org/officeDocument/2006/relationships/hyperlink" Target="https://ppim-intra.pea.co.th:4434/request/PPIM19504045" TargetMode="External"/><Relationship Id="rId2570" Type="http://schemas.openxmlformats.org/officeDocument/2006/relationships/hyperlink" Target="https://ppim-intra.pea.co.th:4434/request/PPIM19505802" TargetMode="External"/><Relationship Id="rId128" Type="http://schemas.openxmlformats.org/officeDocument/2006/relationships/hyperlink" Target="https://ppim-intra.pea.co.th:4434/request/PPIM18500B27" TargetMode="External"/><Relationship Id="rId335" Type="http://schemas.openxmlformats.org/officeDocument/2006/relationships/hyperlink" Target="https://ppim-intra.pea.co.th:4434/request/PPIM18501D0F" TargetMode="External"/><Relationship Id="rId542" Type="http://schemas.openxmlformats.org/officeDocument/2006/relationships/hyperlink" Target="https://ppim-intra.pea.co.th:4434/request/PPIM185011AF" TargetMode="External"/><Relationship Id="rId1172" Type="http://schemas.openxmlformats.org/officeDocument/2006/relationships/hyperlink" Target="https://ppim-intra.pea.co.th:4434/request/PPIM19500970" TargetMode="External"/><Relationship Id="rId2016" Type="http://schemas.openxmlformats.org/officeDocument/2006/relationships/hyperlink" Target="https://ppim-intra.pea.co.th:4434/request/PPIM19503332" TargetMode="External"/><Relationship Id="rId2223" Type="http://schemas.openxmlformats.org/officeDocument/2006/relationships/hyperlink" Target="https://ppim-intra.pea.co.th:4434/request/PPIM19503C91" TargetMode="External"/><Relationship Id="rId2430" Type="http://schemas.openxmlformats.org/officeDocument/2006/relationships/hyperlink" Target="https://ppim-intra.pea.co.th:4434/request/PPIM1950462C" TargetMode="External"/><Relationship Id="rId402" Type="http://schemas.openxmlformats.org/officeDocument/2006/relationships/hyperlink" Target="https://ppim-intra.pea.co.th:4434/request/PPIM185020C3" TargetMode="External"/><Relationship Id="rId1032" Type="http://schemas.openxmlformats.org/officeDocument/2006/relationships/hyperlink" Target="https://ppim-intra.pea.co.th:4434/request/PPIM185041B4" TargetMode="External"/><Relationship Id="rId1989" Type="http://schemas.openxmlformats.org/officeDocument/2006/relationships/hyperlink" Target="https://ppim-intra.pea.co.th:4434/request/PPIM19502151" TargetMode="External"/><Relationship Id="rId1849" Type="http://schemas.openxmlformats.org/officeDocument/2006/relationships/hyperlink" Target="https://ppim-intra.pea.co.th:4434/request/PPIM195029E6" TargetMode="External"/><Relationship Id="rId192" Type="http://schemas.openxmlformats.org/officeDocument/2006/relationships/hyperlink" Target="https://ppim-intra.pea.co.th:4434/request/PPIM185011DD" TargetMode="External"/><Relationship Id="rId1709" Type="http://schemas.openxmlformats.org/officeDocument/2006/relationships/hyperlink" Target="https://ppim-intra.pea.co.th:4434/request/PPIM195019CC" TargetMode="External"/><Relationship Id="rId1916" Type="http://schemas.openxmlformats.org/officeDocument/2006/relationships/hyperlink" Target="https://ppim-intra.pea.co.th:4434/request/PPIM19502AEE" TargetMode="External"/><Relationship Id="rId2080" Type="http://schemas.openxmlformats.org/officeDocument/2006/relationships/hyperlink" Target="https://ppim-intra.pea.co.th:4434/request/PPIM195035A7" TargetMode="External"/><Relationship Id="rId869" Type="http://schemas.openxmlformats.org/officeDocument/2006/relationships/hyperlink" Target="https://ppim-intra.pea.co.th:4434/request/PPIM18500A3E" TargetMode="External"/><Relationship Id="rId1499" Type="http://schemas.openxmlformats.org/officeDocument/2006/relationships/hyperlink" Target="https://ppim-intra.pea.co.th:4434/request/PPIM19501640" TargetMode="External"/><Relationship Id="rId729" Type="http://schemas.openxmlformats.org/officeDocument/2006/relationships/hyperlink" Target="https://ppim-intra.pea.co.th:4434/request/PPIM185035F9" TargetMode="External"/><Relationship Id="rId1359" Type="http://schemas.openxmlformats.org/officeDocument/2006/relationships/hyperlink" Target="https://ppim-intra.pea.co.th:4434/request/PPIM19500F4F" TargetMode="External"/><Relationship Id="rId936" Type="http://schemas.openxmlformats.org/officeDocument/2006/relationships/hyperlink" Target="https://ppim-intra.pea.co.th:4434/request/PPIM18504752" TargetMode="External"/><Relationship Id="rId1219" Type="http://schemas.openxmlformats.org/officeDocument/2006/relationships/hyperlink" Target="https://ppim-intra.pea.co.th:4434/request/PPIM19500A99" TargetMode="External"/><Relationship Id="rId1566" Type="http://schemas.openxmlformats.org/officeDocument/2006/relationships/hyperlink" Target="https://ppim-intra.pea.co.th:4434/request/PPIM195018D8" TargetMode="External"/><Relationship Id="rId1773" Type="http://schemas.openxmlformats.org/officeDocument/2006/relationships/hyperlink" Target="https://ppim-intra.pea.co.th:4434/request/PPIM195025A6" TargetMode="External"/><Relationship Id="rId1980" Type="http://schemas.openxmlformats.org/officeDocument/2006/relationships/hyperlink" Target="https://ppim-intra.pea.co.th:4434/request/PPIM19501D99" TargetMode="External"/><Relationship Id="rId2617" Type="http://schemas.openxmlformats.org/officeDocument/2006/relationships/hyperlink" Target="https://ppim-intra.pea.co.th:4434/request/PPIM19505B50" TargetMode="External"/><Relationship Id="rId65" Type="http://schemas.openxmlformats.org/officeDocument/2006/relationships/hyperlink" Target="https://ppim-intra.pea.co.th:4434/request/PPIM18500608" TargetMode="External"/><Relationship Id="rId1426" Type="http://schemas.openxmlformats.org/officeDocument/2006/relationships/hyperlink" Target="https://ppim-intra.pea.co.th:4434/request/PPIM195011DC" TargetMode="External"/><Relationship Id="rId1633" Type="http://schemas.openxmlformats.org/officeDocument/2006/relationships/hyperlink" Target="https://ppim-intra.pea.co.th:4434/request/PPIM19501DB2" TargetMode="External"/><Relationship Id="rId1840" Type="http://schemas.openxmlformats.org/officeDocument/2006/relationships/hyperlink" Target="https://ppim-intra.pea.co.th:4434/request/PPIM19502C1E" TargetMode="External"/><Relationship Id="rId1700" Type="http://schemas.openxmlformats.org/officeDocument/2006/relationships/hyperlink" Target="https://ppim-intra.pea.co.th:4434/request/PPIM19502187" TargetMode="External"/><Relationship Id="rId379" Type="http://schemas.openxmlformats.org/officeDocument/2006/relationships/hyperlink" Target="https://ppim-intra.pea.co.th:4434/request/PPIM18501781" TargetMode="External"/><Relationship Id="rId586" Type="http://schemas.openxmlformats.org/officeDocument/2006/relationships/hyperlink" Target="https://ppim-intra.pea.co.th:4434/request/PPIM18502A35" TargetMode="External"/><Relationship Id="rId793" Type="http://schemas.openxmlformats.org/officeDocument/2006/relationships/hyperlink" Target="https://ppim-intra.pea.co.th:4434/request/PPIM18503BBC" TargetMode="External"/><Relationship Id="rId2267" Type="http://schemas.openxmlformats.org/officeDocument/2006/relationships/hyperlink" Target="https://ppim-intra.pea.co.th:4434/request/PPIM19503CE3" TargetMode="External"/><Relationship Id="rId2474" Type="http://schemas.openxmlformats.org/officeDocument/2006/relationships/hyperlink" Target="https://ppim-intra.pea.co.th:4434/request/PPIM195050B3" TargetMode="External"/><Relationship Id="rId239" Type="http://schemas.openxmlformats.org/officeDocument/2006/relationships/hyperlink" Target="https://ppim-intra.pea.co.th:4434/request/PPIM1850164C" TargetMode="External"/><Relationship Id="rId446" Type="http://schemas.openxmlformats.org/officeDocument/2006/relationships/hyperlink" Target="https://ppim-intra.pea.co.th:4434/request/PPIM18502328" TargetMode="External"/><Relationship Id="rId653" Type="http://schemas.openxmlformats.org/officeDocument/2006/relationships/hyperlink" Target="https://ppim-intra.pea.co.th:4434/request/PPIM1850203F" TargetMode="External"/><Relationship Id="rId1076" Type="http://schemas.openxmlformats.org/officeDocument/2006/relationships/hyperlink" Target="https://ppim-intra.pea.co.th:4434/request/PPIM185044B4" TargetMode="External"/><Relationship Id="rId1283" Type="http://schemas.openxmlformats.org/officeDocument/2006/relationships/hyperlink" Target="https://ppim-intra.pea.co.th:4434/request/PPIM19500C8B" TargetMode="External"/><Relationship Id="rId1490" Type="http://schemas.openxmlformats.org/officeDocument/2006/relationships/hyperlink" Target="https://ppim-intra.pea.co.th:4434/request/PPIM195015C5" TargetMode="External"/><Relationship Id="rId2127" Type="http://schemas.openxmlformats.org/officeDocument/2006/relationships/hyperlink" Target="https://ppim-intra.pea.co.th:4434/request/PPIM19501DEA" TargetMode="External"/><Relationship Id="rId2334" Type="http://schemas.openxmlformats.org/officeDocument/2006/relationships/hyperlink" Target="https://ppim-intra.pea.co.th:4434/request/PPIM195040D2" TargetMode="External"/><Relationship Id="rId306" Type="http://schemas.openxmlformats.org/officeDocument/2006/relationships/hyperlink" Target="https://ppim-intra.pea.co.th:4434/request/PPIM18501C2F" TargetMode="External"/><Relationship Id="rId860" Type="http://schemas.openxmlformats.org/officeDocument/2006/relationships/hyperlink" Target="https://ppim-intra.pea.co.th:4434/request/PPIM18504255" TargetMode="External"/><Relationship Id="rId1143" Type="http://schemas.openxmlformats.org/officeDocument/2006/relationships/hyperlink" Target="https://ppim-intra.pea.co.th:4434/request/PPIM1850478E" TargetMode="External"/><Relationship Id="rId2541" Type="http://schemas.openxmlformats.org/officeDocument/2006/relationships/hyperlink" Target="https://ppim-intra.pea.co.th:4434/request/PPIM19504F23" TargetMode="External"/><Relationship Id="rId513" Type="http://schemas.openxmlformats.org/officeDocument/2006/relationships/hyperlink" Target="https://ppim-intra.pea.co.th:4434/request/PPIM18502716" TargetMode="External"/><Relationship Id="rId720" Type="http://schemas.openxmlformats.org/officeDocument/2006/relationships/hyperlink" Target="https://ppim-intra.pea.co.th:4434/request/PPIM185034F0" TargetMode="External"/><Relationship Id="rId1350" Type="http://schemas.openxmlformats.org/officeDocument/2006/relationships/hyperlink" Target="https://ppim-intra.pea.co.th:4434/request/PPIM19500EB2" TargetMode="External"/><Relationship Id="rId2401" Type="http://schemas.openxmlformats.org/officeDocument/2006/relationships/hyperlink" Target="https://ppim-intra.pea.co.th:4434/request/PPIM19504AF9" TargetMode="External"/><Relationship Id="rId1003" Type="http://schemas.openxmlformats.org/officeDocument/2006/relationships/hyperlink" Target="https://ppim-intra.pea.co.th:4434/request/PPIM19500170" TargetMode="External"/><Relationship Id="rId1210" Type="http://schemas.openxmlformats.org/officeDocument/2006/relationships/hyperlink" Target="https://ppim-intra.pea.co.th:4434/request/PPIM19500A52" TargetMode="External"/><Relationship Id="rId2191" Type="http://schemas.openxmlformats.org/officeDocument/2006/relationships/hyperlink" Target="https://ppim-intra.pea.co.th:4434/request/PPIM19503700" TargetMode="External"/><Relationship Id="rId163" Type="http://schemas.openxmlformats.org/officeDocument/2006/relationships/hyperlink" Target="https://ppim-intra.pea.co.th:4434/request/PPIM1850108A" TargetMode="External"/><Relationship Id="rId370" Type="http://schemas.openxmlformats.org/officeDocument/2006/relationships/hyperlink" Target="https://ppim-intra.pea.co.th:4434/request/PPIM18501E5F" TargetMode="External"/><Relationship Id="rId2051" Type="http://schemas.openxmlformats.org/officeDocument/2006/relationships/hyperlink" Target="https://ppim-intra.pea.co.th:4434/request/PPIM19502EEF" TargetMode="External"/><Relationship Id="rId230" Type="http://schemas.openxmlformats.org/officeDocument/2006/relationships/hyperlink" Target="https://ppim-intra.pea.co.th:4434/request/PPIM185015CA" TargetMode="External"/><Relationship Id="rId1677" Type="http://schemas.openxmlformats.org/officeDocument/2006/relationships/hyperlink" Target="https://ppim-intra.pea.co.th:4434/request/PPIM19502042" TargetMode="External"/><Relationship Id="rId1884" Type="http://schemas.openxmlformats.org/officeDocument/2006/relationships/hyperlink" Target="https://ppim-intra.pea.co.th:4434/request/PPIM19502E27" TargetMode="External"/><Relationship Id="rId907" Type="http://schemas.openxmlformats.org/officeDocument/2006/relationships/hyperlink" Target="https://ppim-intra.pea.co.th:4434/request/PPIM1850456C" TargetMode="External"/><Relationship Id="rId1537" Type="http://schemas.openxmlformats.org/officeDocument/2006/relationships/hyperlink" Target="https://ppim-intra.pea.co.th:4434/request/PPIM195017FF" TargetMode="External"/><Relationship Id="rId1744" Type="http://schemas.openxmlformats.org/officeDocument/2006/relationships/hyperlink" Target="https://ppim-intra.pea.co.th:4434/request/PPIM195023A6" TargetMode="External"/><Relationship Id="rId1951" Type="http://schemas.openxmlformats.org/officeDocument/2006/relationships/hyperlink" Target="https://ppim-intra.pea.co.th:4434/request/PPIM195028E3" TargetMode="External"/><Relationship Id="rId36" Type="http://schemas.openxmlformats.org/officeDocument/2006/relationships/hyperlink" Target="https://ppim-intra.pea.co.th:4434/request/PPIM1850036D" TargetMode="External"/><Relationship Id="rId1604" Type="http://schemas.openxmlformats.org/officeDocument/2006/relationships/hyperlink" Target="https://ppim-intra.pea.co.th:4434/request/PPIM19501B7C" TargetMode="External"/><Relationship Id="rId1811" Type="http://schemas.openxmlformats.org/officeDocument/2006/relationships/hyperlink" Target="https://ppim-intra.pea.co.th:4434/request/PPIM195028A1" TargetMode="External"/><Relationship Id="rId697" Type="http://schemas.openxmlformats.org/officeDocument/2006/relationships/hyperlink" Target="https://ppim-intra.pea.co.th:4434/request/PPIM18503266" TargetMode="External"/><Relationship Id="rId2378" Type="http://schemas.openxmlformats.org/officeDocument/2006/relationships/hyperlink" Target="https://ppim-intra.pea.co.th:4434/request/PPIM195048EA" TargetMode="External"/><Relationship Id="rId1187" Type="http://schemas.openxmlformats.org/officeDocument/2006/relationships/hyperlink" Target="https://ppim-intra.pea.co.th:4434/request/PPIM195002E4" TargetMode="External"/><Relationship Id="rId2585" Type="http://schemas.openxmlformats.org/officeDocument/2006/relationships/hyperlink" Target="https://ppim-intra.pea.co.th:4434/request/PPIM19504AD6" TargetMode="External"/><Relationship Id="rId557" Type="http://schemas.openxmlformats.org/officeDocument/2006/relationships/hyperlink" Target="https://ppim-intra.pea.co.th:4434/request/PPIM18501847" TargetMode="External"/><Relationship Id="rId764" Type="http://schemas.openxmlformats.org/officeDocument/2006/relationships/hyperlink" Target="https://ppim-intra.pea.co.th:4434/request/PPIM1850394C" TargetMode="External"/><Relationship Id="rId971" Type="http://schemas.openxmlformats.org/officeDocument/2006/relationships/hyperlink" Target="https://ppim-intra.pea.co.th:4434/request/PPIM18504992" TargetMode="External"/><Relationship Id="rId1394" Type="http://schemas.openxmlformats.org/officeDocument/2006/relationships/hyperlink" Target="https://ppim-intra.pea.co.th:4434/request/PPIM1950110E" TargetMode="External"/><Relationship Id="rId2238" Type="http://schemas.openxmlformats.org/officeDocument/2006/relationships/hyperlink" Target="https://ppim-intra.pea.co.th:4434/request/PPIM19503E6F" TargetMode="External"/><Relationship Id="rId2445" Type="http://schemas.openxmlformats.org/officeDocument/2006/relationships/hyperlink" Target="https://ppim-intra.pea.co.th:4434/request/PPIM19504EAB" TargetMode="External"/><Relationship Id="rId2652" Type="http://schemas.openxmlformats.org/officeDocument/2006/relationships/hyperlink" Target="https://ppim-intra.pea.co.th:4434/request/PPIM19505CAF" TargetMode="External"/><Relationship Id="rId417" Type="http://schemas.openxmlformats.org/officeDocument/2006/relationships/hyperlink" Target="https://ppim-intra.pea.co.th:4434/request/PPIM185021F3" TargetMode="External"/><Relationship Id="rId624" Type="http://schemas.openxmlformats.org/officeDocument/2006/relationships/hyperlink" Target="https://ppim-intra.pea.co.th:4434/request/PPIM18502C70" TargetMode="External"/><Relationship Id="rId831" Type="http://schemas.openxmlformats.org/officeDocument/2006/relationships/hyperlink" Target="https://ppim-intra.pea.co.th:4434/request/PPIM18503FB6" TargetMode="External"/><Relationship Id="rId1047" Type="http://schemas.openxmlformats.org/officeDocument/2006/relationships/hyperlink" Target="https://ppim-intra.pea.co.th:4434/request/PPIM1850401F" TargetMode="External"/><Relationship Id="rId1254" Type="http://schemas.openxmlformats.org/officeDocument/2006/relationships/hyperlink" Target="https://ppim-intra.pea.co.th:4434/request/PPIM19500B78" TargetMode="External"/><Relationship Id="rId1461" Type="http://schemas.openxmlformats.org/officeDocument/2006/relationships/hyperlink" Target="https://ppim-intra.pea.co.th:4434/request/PPIM195011FA" TargetMode="External"/><Relationship Id="rId2305" Type="http://schemas.openxmlformats.org/officeDocument/2006/relationships/hyperlink" Target="https://ppim-intra.pea.co.th:4434/request/PPIM195041C5" TargetMode="External"/><Relationship Id="rId2512" Type="http://schemas.openxmlformats.org/officeDocument/2006/relationships/hyperlink" Target="https://ppim-intra.pea.co.th:4434/request/PPIM19505363" TargetMode="External"/><Relationship Id="rId1114" Type="http://schemas.openxmlformats.org/officeDocument/2006/relationships/hyperlink" Target="https://ppim-intra.pea.co.th:4434/request/PPIM195007C0" TargetMode="External"/><Relationship Id="rId1321" Type="http://schemas.openxmlformats.org/officeDocument/2006/relationships/hyperlink" Target="https://ppim-intra.pea.co.th:4434/request/PPIM19500E0F" TargetMode="External"/><Relationship Id="rId2095" Type="http://schemas.openxmlformats.org/officeDocument/2006/relationships/hyperlink" Target="https://ppim-intra.pea.co.th:4434/request/PPIM19503627" TargetMode="External"/><Relationship Id="rId274" Type="http://schemas.openxmlformats.org/officeDocument/2006/relationships/hyperlink" Target="https://ppim-intra.pea.co.th:4434/request/PPIM18501999" TargetMode="External"/><Relationship Id="rId481" Type="http://schemas.openxmlformats.org/officeDocument/2006/relationships/hyperlink" Target="https://ppim-intra.pea.co.th:4434/request/PPIM185024D3" TargetMode="External"/><Relationship Id="rId2162" Type="http://schemas.openxmlformats.org/officeDocument/2006/relationships/hyperlink" Target="https://ppim-intra.pea.co.th:4434/request/PPIM195033BF" TargetMode="External"/><Relationship Id="rId134" Type="http://schemas.openxmlformats.org/officeDocument/2006/relationships/hyperlink" Target="https://ppim-intra.pea.co.th:4434/request/PPIM18500CCD" TargetMode="External"/><Relationship Id="rId341" Type="http://schemas.openxmlformats.org/officeDocument/2006/relationships/hyperlink" Target="https://ppim-intra.pea.co.th:4434/request/PPIM18501D1F" TargetMode="External"/><Relationship Id="rId2022" Type="http://schemas.openxmlformats.org/officeDocument/2006/relationships/hyperlink" Target="https://ppim-intra.pea.co.th:4434/request/PPIM19503374" TargetMode="External"/><Relationship Id="rId201" Type="http://schemas.openxmlformats.org/officeDocument/2006/relationships/hyperlink" Target="https://ppim-intra.pea.co.th:4434/request/PPIM1850131A" TargetMode="External"/><Relationship Id="rId1788" Type="http://schemas.openxmlformats.org/officeDocument/2006/relationships/hyperlink" Target="https://ppim-intra.pea.co.th:4434/request/PPIM195026DA" TargetMode="External"/><Relationship Id="rId1995" Type="http://schemas.openxmlformats.org/officeDocument/2006/relationships/hyperlink" Target="https://ppim-intra.pea.co.th:4434/request/PPIM19502D62" TargetMode="External"/><Relationship Id="rId1648" Type="http://schemas.openxmlformats.org/officeDocument/2006/relationships/hyperlink" Target="https://ppim-intra.pea.co.th:4434/request/PPIM19501EB2" TargetMode="External"/><Relationship Id="rId1508" Type="http://schemas.openxmlformats.org/officeDocument/2006/relationships/hyperlink" Target="https://ppim-intra.pea.co.th:4434/request/PPIM195016C4" TargetMode="External"/><Relationship Id="rId1855" Type="http://schemas.openxmlformats.org/officeDocument/2006/relationships/hyperlink" Target="https://ppim-intra.pea.co.th:4434/request/PPIM19502CB9" TargetMode="External"/><Relationship Id="rId1715" Type="http://schemas.openxmlformats.org/officeDocument/2006/relationships/hyperlink" Target="https://ppim-intra.pea.co.th:4434/request/PPIM1950231C" TargetMode="External"/><Relationship Id="rId1922" Type="http://schemas.openxmlformats.org/officeDocument/2006/relationships/hyperlink" Target="https://ppim-intra.pea.co.th:4434/request/PPIM19502F4E" TargetMode="External"/><Relationship Id="rId2489" Type="http://schemas.openxmlformats.org/officeDocument/2006/relationships/hyperlink" Target="https://ppim-intra.pea.co.th:4434/request/PPIM19504A0F" TargetMode="External"/><Relationship Id="rId668" Type="http://schemas.openxmlformats.org/officeDocument/2006/relationships/hyperlink" Target="https://ppim-intra.pea.co.th:4434/request/PPIM185013B4" TargetMode="External"/><Relationship Id="rId875" Type="http://schemas.openxmlformats.org/officeDocument/2006/relationships/hyperlink" Target="https://ppim-intra.pea.co.th:4434/request/PPIM18502C86" TargetMode="External"/><Relationship Id="rId1298" Type="http://schemas.openxmlformats.org/officeDocument/2006/relationships/hyperlink" Target="https://ppim-intra.pea.co.th:4434/request/PPIM1950000C" TargetMode="External"/><Relationship Id="rId2349" Type="http://schemas.openxmlformats.org/officeDocument/2006/relationships/hyperlink" Target="https://ppim-intra.pea.co.th:4434/request/PPIM1950437B" TargetMode="External"/><Relationship Id="rId2556" Type="http://schemas.openxmlformats.org/officeDocument/2006/relationships/hyperlink" Target="https://ppim-intra.pea.co.th:4434/request/PPIM1950542E" TargetMode="External"/><Relationship Id="rId528" Type="http://schemas.openxmlformats.org/officeDocument/2006/relationships/hyperlink" Target="https://ppim-intra.pea.co.th:4434/request/PPIM1850281B" TargetMode="External"/><Relationship Id="rId735" Type="http://schemas.openxmlformats.org/officeDocument/2006/relationships/hyperlink" Target="https://ppim-intra.pea.co.th:4434/request/PPIM18503692" TargetMode="External"/><Relationship Id="rId942" Type="http://schemas.openxmlformats.org/officeDocument/2006/relationships/hyperlink" Target="https://ppim-intra.pea.co.th:4434/request/PPIM185047EB" TargetMode="External"/><Relationship Id="rId1158" Type="http://schemas.openxmlformats.org/officeDocument/2006/relationships/hyperlink" Target="https://ppim-intra.pea.co.th:4434/request/PPIM1850344B" TargetMode="External"/><Relationship Id="rId1365" Type="http://schemas.openxmlformats.org/officeDocument/2006/relationships/hyperlink" Target="https://ppim-intra.pea.co.th:4434/request/PPIM19500C76" TargetMode="External"/><Relationship Id="rId1572" Type="http://schemas.openxmlformats.org/officeDocument/2006/relationships/hyperlink" Target="https://ppim-intra.pea.co.th:4434/request/PPIM195018F7" TargetMode="External"/><Relationship Id="rId2209" Type="http://schemas.openxmlformats.org/officeDocument/2006/relationships/hyperlink" Target="https://ppim-intra.pea.co.th:4434/request/PPIM19503C27" TargetMode="External"/><Relationship Id="rId2416" Type="http://schemas.openxmlformats.org/officeDocument/2006/relationships/hyperlink" Target="https://ppim-intra.pea.co.th:4434/request/PPIM1950475B" TargetMode="External"/><Relationship Id="rId2623" Type="http://schemas.openxmlformats.org/officeDocument/2006/relationships/hyperlink" Target="https://ppim-intra.pea.co.th:4434/request/PPIM19505B66" TargetMode="External"/><Relationship Id="rId1018" Type="http://schemas.openxmlformats.org/officeDocument/2006/relationships/hyperlink" Target="https://ppim-intra.pea.co.th:4434/request/PPIM195002DB" TargetMode="External"/><Relationship Id="rId1225" Type="http://schemas.openxmlformats.org/officeDocument/2006/relationships/hyperlink" Target="https://ppim-intra.pea.co.th:4434/request/PPIM19500AB4" TargetMode="External"/><Relationship Id="rId1432" Type="http://schemas.openxmlformats.org/officeDocument/2006/relationships/hyperlink" Target="https://ppim-intra.pea.co.th:4434/request/PPIM1950122B" TargetMode="External"/><Relationship Id="rId71" Type="http://schemas.openxmlformats.org/officeDocument/2006/relationships/hyperlink" Target="https://ppim-intra.pea.co.th:4434/request/PPIM185006CC" TargetMode="External"/><Relationship Id="rId802" Type="http://schemas.openxmlformats.org/officeDocument/2006/relationships/hyperlink" Target="https://ppim-intra.pea.co.th:4434/request/PPIM18503C57" TargetMode="External"/><Relationship Id="rId178" Type="http://schemas.openxmlformats.org/officeDocument/2006/relationships/hyperlink" Target="https://ppim-intra.pea.co.th:4434/request/PPIM1850117C" TargetMode="External"/><Relationship Id="rId385" Type="http://schemas.openxmlformats.org/officeDocument/2006/relationships/hyperlink" Target="https://ppim-intra.pea.co.th:4434/request/PPIM18501FCD" TargetMode="External"/><Relationship Id="rId592" Type="http://schemas.openxmlformats.org/officeDocument/2006/relationships/hyperlink" Target="https://ppim-intra.pea.co.th:4434/request/PPIM185022F8" TargetMode="External"/><Relationship Id="rId2066" Type="http://schemas.openxmlformats.org/officeDocument/2006/relationships/hyperlink" Target="https://ppim-intra.pea.co.th:4434/request/PPIM19502FBD" TargetMode="External"/><Relationship Id="rId2273" Type="http://schemas.openxmlformats.org/officeDocument/2006/relationships/hyperlink" Target="https://ppim-intra.pea.co.th:4434/request/PPIM1950396E" TargetMode="External"/><Relationship Id="rId2480" Type="http://schemas.openxmlformats.org/officeDocument/2006/relationships/hyperlink" Target="https://ppim-intra.pea.co.th:4434/request/PPIM19505146" TargetMode="External"/><Relationship Id="rId245" Type="http://schemas.openxmlformats.org/officeDocument/2006/relationships/hyperlink" Target="https://ppim-intra.pea.co.th:4434/request/PPIM18501719" TargetMode="External"/><Relationship Id="rId452" Type="http://schemas.openxmlformats.org/officeDocument/2006/relationships/hyperlink" Target="https://ppim-intra.pea.co.th:4434/request/PPIM18501905" TargetMode="External"/><Relationship Id="rId1082" Type="http://schemas.openxmlformats.org/officeDocument/2006/relationships/hyperlink" Target="https://ppim-intra.pea.co.th:4434/request/PPIM185032C5" TargetMode="External"/><Relationship Id="rId2133" Type="http://schemas.openxmlformats.org/officeDocument/2006/relationships/hyperlink" Target="https://ppim-intra.pea.co.th:4434/request/PPIM195037DA" TargetMode="External"/><Relationship Id="rId2340" Type="http://schemas.openxmlformats.org/officeDocument/2006/relationships/hyperlink" Target="https://ppim-intra.pea.co.th:4434/request/PPIM1950457F" TargetMode="External"/><Relationship Id="rId105" Type="http://schemas.openxmlformats.org/officeDocument/2006/relationships/hyperlink" Target="https://ppim-intra.pea.co.th:4434/request/PPIM1850091C" TargetMode="External"/><Relationship Id="rId312" Type="http://schemas.openxmlformats.org/officeDocument/2006/relationships/hyperlink" Target="https://ppim-intra.pea.co.th:4434/request/PPIM18501C51" TargetMode="External"/><Relationship Id="rId2200" Type="http://schemas.openxmlformats.org/officeDocument/2006/relationships/hyperlink" Target="https://ppim-intra.pea.co.th:4434/request/PPIM19503B38" TargetMode="External"/><Relationship Id="rId1899" Type="http://schemas.openxmlformats.org/officeDocument/2006/relationships/hyperlink" Target="https://ppim-intra.pea.co.th:4434/request/PPIM1950293B" TargetMode="External"/><Relationship Id="rId1759" Type="http://schemas.openxmlformats.org/officeDocument/2006/relationships/hyperlink" Target="https://ppim-intra.pea.co.th:4434/request/PPIM19502584" TargetMode="External"/><Relationship Id="rId1966" Type="http://schemas.openxmlformats.org/officeDocument/2006/relationships/hyperlink" Target="https://ppim-intra.pea.co.th:4434/request/PPIM19502F51" TargetMode="External"/><Relationship Id="rId1619" Type="http://schemas.openxmlformats.org/officeDocument/2006/relationships/hyperlink" Target="https://ppim-intra.pea.co.th:4434/request/PPIM19501CEE" TargetMode="External"/><Relationship Id="rId1826" Type="http://schemas.openxmlformats.org/officeDocument/2006/relationships/hyperlink" Target="https://ppim-intra.pea.co.th:4434/request/PPIM19502AF0" TargetMode="External"/><Relationship Id="rId779" Type="http://schemas.openxmlformats.org/officeDocument/2006/relationships/hyperlink" Target="https://ppim-intra.pea.co.th:4434/request/PPIM18503A6D" TargetMode="External"/><Relationship Id="rId986" Type="http://schemas.openxmlformats.org/officeDocument/2006/relationships/hyperlink" Target="https://ppim-intra.pea.co.th:4434/request/PPIM1950001E" TargetMode="External"/><Relationship Id="rId639" Type="http://schemas.openxmlformats.org/officeDocument/2006/relationships/hyperlink" Target="https://ppim-intra.pea.co.th:4434/request/PPIM18502D88" TargetMode="External"/><Relationship Id="rId1269" Type="http://schemas.openxmlformats.org/officeDocument/2006/relationships/hyperlink" Target="https://ppim-intra.pea.co.th:4434/request/PPIM19500A13" TargetMode="External"/><Relationship Id="rId1476" Type="http://schemas.openxmlformats.org/officeDocument/2006/relationships/hyperlink" Target="https://ppim-intra.pea.co.th:4434/request/PPIM19500F49" TargetMode="External"/><Relationship Id="rId846" Type="http://schemas.openxmlformats.org/officeDocument/2006/relationships/hyperlink" Target="https://ppim-intra.pea.co.th:4434/request/PPIM1850417F" TargetMode="External"/><Relationship Id="rId1129" Type="http://schemas.openxmlformats.org/officeDocument/2006/relationships/hyperlink" Target="https://ppim-intra.pea.co.th:4434/request/PPIM19500821" TargetMode="External"/><Relationship Id="rId1683" Type="http://schemas.openxmlformats.org/officeDocument/2006/relationships/hyperlink" Target="https://ppim-intra.pea.co.th:4434/request/PPIM195020CA" TargetMode="External"/><Relationship Id="rId1890" Type="http://schemas.openxmlformats.org/officeDocument/2006/relationships/hyperlink" Target="https://ppim-intra.pea.co.th:4434/request/PPIM19502788" TargetMode="External"/><Relationship Id="rId2527" Type="http://schemas.openxmlformats.org/officeDocument/2006/relationships/hyperlink" Target="https://ppim-intra.pea.co.th:4434/request/PPIM195051AC" TargetMode="External"/><Relationship Id="rId706" Type="http://schemas.openxmlformats.org/officeDocument/2006/relationships/hyperlink" Target="https://ppim-intra.pea.co.th:4434/request/PPIM18503325" TargetMode="External"/><Relationship Id="rId913" Type="http://schemas.openxmlformats.org/officeDocument/2006/relationships/hyperlink" Target="https://ppim-intra.pea.co.th:4434/request/PPIM185045D0" TargetMode="External"/><Relationship Id="rId1336" Type="http://schemas.openxmlformats.org/officeDocument/2006/relationships/hyperlink" Target="https://ppim-intra.pea.co.th:4434/request/PPIM19500E56" TargetMode="External"/><Relationship Id="rId1543" Type="http://schemas.openxmlformats.org/officeDocument/2006/relationships/hyperlink" Target="https://ppim-intra.pea.co.th:4434/request/PPIM1950181D" TargetMode="External"/><Relationship Id="rId1750" Type="http://schemas.openxmlformats.org/officeDocument/2006/relationships/hyperlink" Target="https://ppim-intra.pea.co.th:4434/request/PPIM19502401" TargetMode="External"/><Relationship Id="rId42" Type="http://schemas.openxmlformats.org/officeDocument/2006/relationships/hyperlink" Target="https://ppim-intra.pea.co.th:4434/request/PPIM185003C3" TargetMode="External"/><Relationship Id="rId1403" Type="http://schemas.openxmlformats.org/officeDocument/2006/relationships/hyperlink" Target="https://ppim-intra.pea.co.th:4434/request/PPIM19500EE6" TargetMode="External"/><Relationship Id="rId1610" Type="http://schemas.openxmlformats.org/officeDocument/2006/relationships/hyperlink" Target="https://ppim-intra.pea.co.th:4434/request/PPIM195015C7" TargetMode="External"/><Relationship Id="rId289" Type="http://schemas.openxmlformats.org/officeDocument/2006/relationships/hyperlink" Target="https://ppim-intra.pea.co.th:4434/request/PPIM18501AE7" TargetMode="External"/><Relationship Id="rId496" Type="http://schemas.openxmlformats.org/officeDocument/2006/relationships/hyperlink" Target="https://ppim-intra.pea.co.th:4434/request/PPIM18501D87" TargetMode="External"/><Relationship Id="rId2177" Type="http://schemas.openxmlformats.org/officeDocument/2006/relationships/hyperlink" Target="https://ppim-intra.pea.co.th:4434/request/PPIM195039C9" TargetMode="External"/><Relationship Id="rId2384" Type="http://schemas.openxmlformats.org/officeDocument/2006/relationships/hyperlink" Target="https://ppim-intra.pea.co.th:4434/request/PPIM19504566" TargetMode="External"/><Relationship Id="rId2591" Type="http://schemas.openxmlformats.org/officeDocument/2006/relationships/hyperlink" Target="https://ppim-intra.pea.co.th:4434/request/PPIM195055E8" TargetMode="External"/><Relationship Id="rId149" Type="http://schemas.openxmlformats.org/officeDocument/2006/relationships/hyperlink" Target="https://ppim-intra.pea.co.th:4434/request/PPIM18500ED4" TargetMode="External"/><Relationship Id="rId356" Type="http://schemas.openxmlformats.org/officeDocument/2006/relationships/hyperlink" Target="https://ppim-intra.pea.co.th:4434/request/PPIM18501D97" TargetMode="External"/><Relationship Id="rId563" Type="http://schemas.openxmlformats.org/officeDocument/2006/relationships/hyperlink" Target="https://ppim-intra.pea.co.th:4434/request/PPIM1850298E" TargetMode="External"/><Relationship Id="rId770" Type="http://schemas.openxmlformats.org/officeDocument/2006/relationships/hyperlink" Target="https://ppim-intra.pea.co.th:4434/request/PPIM18503A02" TargetMode="External"/><Relationship Id="rId1193" Type="http://schemas.openxmlformats.org/officeDocument/2006/relationships/hyperlink" Target="https://ppim-intra.pea.co.th:4434/request/PPIM195003D1" TargetMode="External"/><Relationship Id="rId2037" Type="http://schemas.openxmlformats.org/officeDocument/2006/relationships/hyperlink" Target="https://ppim-intra.pea.co.th:4434/request/PPIM19502F21" TargetMode="External"/><Relationship Id="rId2244" Type="http://schemas.openxmlformats.org/officeDocument/2006/relationships/hyperlink" Target="https://ppim-intra.pea.co.th:4434/request/PPIM19503B11" TargetMode="External"/><Relationship Id="rId2451" Type="http://schemas.openxmlformats.org/officeDocument/2006/relationships/hyperlink" Target="https://ppim-intra.pea.co.th:4434/request/PPIM19504ED7" TargetMode="External"/><Relationship Id="rId216" Type="http://schemas.openxmlformats.org/officeDocument/2006/relationships/hyperlink" Target="https://ppim-intra.pea.co.th:4434/request/PPIM1850144C" TargetMode="External"/><Relationship Id="rId423" Type="http://schemas.openxmlformats.org/officeDocument/2006/relationships/hyperlink" Target="https://ppim-intra.pea.co.th:4434/request/PPIM18502250" TargetMode="External"/><Relationship Id="rId1053" Type="http://schemas.openxmlformats.org/officeDocument/2006/relationships/hyperlink" Target="https://ppim-intra.pea.co.th:4434/request/PPIM1950042B" TargetMode="External"/><Relationship Id="rId1260" Type="http://schemas.openxmlformats.org/officeDocument/2006/relationships/hyperlink" Target="https://ppim-intra.pea.co.th:4434/request/PPIM19500B9D" TargetMode="External"/><Relationship Id="rId2104" Type="http://schemas.openxmlformats.org/officeDocument/2006/relationships/hyperlink" Target="https://ppim-intra.pea.co.th:4434/request/PPIM195035A1" TargetMode="External"/><Relationship Id="rId630" Type="http://schemas.openxmlformats.org/officeDocument/2006/relationships/hyperlink" Target="https://ppim-intra.pea.co.th:4434/request/PPIM18502CD5" TargetMode="External"/><Relationship Id="rId2311" Type="http://schemas.openxmlformats.org/officeDocument/2006/relationships/hyperlink" Target="https://ppim-intra.pea.co.th:4434/request/PPIM19504351" TargetMode="External"/><Relationship Id="rId1120" Type="http://schemas.openxmlformats.org/officeDocument/2006/relationships/hyperlink" Target="https://ppim-intra.pea.co.th:4434/request/PPIM18504679" TargetMode="External"/><Relationship Id="rId1937" Type="http://schemas.openxmlformats.org/officeDocument/2006/relationships/hyperlink" Target="https://ppim-intra.pea.co.th:4434/request/PPIM19502D1E" TargetMode="External"/><Relationship Id="rId280" Type="http://schemas.openxmlformats.org/officeDocument/2006/relationships/hyperlink" Target="https://ppim-intra.pea.co.th:4434/request/PPIM18501A26" TargetMode="External"/><Relationship Id="rId140" Type="http://schemas.openxmlformats.org/officeDocument/2006/relationships/hyperlink" Target="https://ppim-intra.pea.co.th:4434/request/PPIM18500CFD" TargetMode="External"/><Relationship Id="rId6" Type="http://schemas.openxmlformats.org/officeDocument/2006/relationships/hyperlink" Target="https://ppim-intra.pea.co.th:4434/request/PPIM185000FF" TargetMode="External"/><Relationship Id="rId957" Type="http://schemas.openxmlformats.org/officeDocument/2006/relationships/hyperlink" Target="https://ppim-intra.pea.co.th:4434/request/PPIM18504898" TargetMode="External"/><Relationship Id="rId1587" Type="http://schemas.openxmlformats.org/officeDocument/2006/relationships/hyperlink" Target="https://ppim-intra.pea.co.th:4434/request/PPIM195019E9" TargetMode="External"/><Relationship Id="rId1794" Type="http://schemas.openxmlformats.org/officeDocument/2006/relationships/hyperlink" Target="https://ppim-intra.pea.co.th:4434/request/PPIM1950274A" TargetMode="External"/><Relationship Id="rId2638" Type="http://schemas.openxmlformats.org/officeDocument/2006/relationships/hyperlink" Target="https://ppim-intra.pea.co.th:4434/request/PPIM19505C03" TargetMode="External"/><Relationship Id="rId86" Type="http://schemas.openxmlformats.org/officeDocument/2006/relationships/hyperlink" Target="https://ppim-intra.pea.co.th:4434/request/PPIM18500750" TargetMode="External"/><Relationship Id="rId817" Type="http://schemas.openxmlformats.org/officeDocument/2006/relationships/hyperlink" Target="https://ppim-intra.pea.co.th:4434/request/PPIM18503DF2" TargetMode="External"/><Relationship Id="rId1447" Type="http://schemas.openxmlformats.org/officeDocument/2006/relationships/hyperlink" Target="https://ppim-intra.pea.co.th:4434/request/PPIM1950131C" TargetMode="External"/><Relationship Id="rId1654" Type="http://schemas.openxmlformats.org/officeDocument/2006/relationships/hyperlink" Target="https://ppim-intra.pea.co.th:4434/request/PPIM19501F22" TargetMode="External"/><Relationship Id="rId1861" Type="http://schemas.openxmlformats.org/officeDocument/2006/relationships/hyperlink" Target="https://ppim-intra.pea.co.th:4434/request/PPIM19502D2C" TargetMode="External"/><Relationship Id="rId1307" Type="http://schemas.openxmlformats.org/officeDocument/2006/relationships/hyperlink" Target="https://ppim-intra.pea.co.th:4434/request/PPIM19500C27" TargetMode="External"/><Relationship Id="rId1514" Type="http://schemas.openxmlformats.org/officeDocument/2006/relationships/hyperlink" Target="https://ppim-intra.pea.co.th:4434/request/PPIM19501709" TargetMode="External"/><Relationship Id="rId1721" Type="http://schemas.openxmlformats.org/officeDocument/2006/relationships/hyperlink" Target="https://ppim-intra.pea.co.th:4434/request/PPIM19502353" TargetMode="External"/><Relationship Id="rId13" Type="http://schemas.openxmlformats.org/officeDocument/2006/relationships/hyperlink" Target="https://ppim-intra.pea.co.th:4434/request/PPIM18500192" TargetMode="External"/><Relationship Id="rId2288" Type="http://schemas.openxmlformats.org/officeDocument/2006/relationships/hyperlink" Target="https://ppim-intra.pea.co.th:4434/request/PPIM19504207" TargetMode="External"/><Relationship Id="rId2495" Type="http://schemas.openxmlformats.org/officeDocument/2006/relationships/hyperlink" Target="https://ppim-intra.pea.co.th:4434/request/PPIM195052C9" TargetMode="External"/><Relationship Id="rId467" Type="http://schemas.openxmlformats.org/officeDocument/2006/relationships/hyperlink" Target="https://ppim-intra.pea.co.th:4434/request/PPIM18501F0B" TargetMode="External"/><Relationship Id="rId1097" Type="http://schemas.openxmlformats.org/officeDocument/2006/relationships/hyperlink" Target="https://ppim-intra.pea.co.th:4434/request/PPIM19500642" TargetMode="External"/><Relationship Id="rId2148" Type="http://schemas.openxmlformats.org/officeDocument/2006/relationships/hyperlink" Target="https://ppim-intra.pea.co.th:4434/request/PPIM195036C1" TargetMode="External"/><Relationship Id="rId674" Type="http://schemas.openxmlformats.org/officeDocument/2006/relationships/hyperlink" Target="https://ppim-intra.pea.co.th:4434/request/PPIM185030DF" TargetMode="External"/><Relationship Id="rId881" Type="http://schemas.openxmlformats.org/officeDocument/2006/relationships/hyperlink" Target="https://ppim-intra.pea.co.th:4434/request/PPIM1850437A" TargetMode="External"/><Relationship Id="rId2355" Type="http://schemas.openxmlformats.org/officeDocument/2006/relationships/hyperlink" Target="https://ppim-intra.pea.co.th:4434/request/PPIM1950433A" TargetMode="External"/><Relationship Id="rId2562" Type="http://schemas.openxmlformats.org/officeDocument/2006/relationships/hyperlink" Target="https://ppim-intra.pea.co.th:4434/request/PPIM195051B9" TargetMode="External"/><Relationship Id="rId327" Type="http://schemas.openxmlformats.org/officeDocument/2006/relationships/hyperlink" Target="https://ppim-intra.pea.co.th:4434/request/PPIM18501CEF" TargetMode="External"/><Relationship Id="rId534" Type="http://schemas.openxmlformats.org/officeDocument/2006/relationships/hyperlink" Target="https://ppim-intra.pea.co.th:4434/request/PPIM18502867" TargetMode="External"/><Relationship Id="rId741" Type="http://schemas.openxmlformats.org/officeDocument/2006/relationships/hyperlink" Target="https://ppim-intra.pea.co.th:4434/request/PPIM1850371B" TargetMode="External"/><Relationship Id="rId1164" Type="http://schemas.openxmlformats.org/officeDocument/2006/relationships/hyperlink" Target="https://ppim-intra.pea.co.th:4434/request/PPIM1950092A" TargetMode="External"/><Relationship Id="rId1371" Type="http://schemas.openxmlformats.org/officeDocument/2006/relationships/hyperlink" Target="https://ppim-intra.pea.co.th:4434/request/PPIM19500FEC" TargetMode="External"/><Relationship Id="rId2008" Type="http://schemas.openxmlformats.org/officeDocument/2006/relationships/hyperlink" Target="https://ppim-intra.pea.co.th:4434/request/PPIM195032DD" TargetMode="External"/><Relationship Id="rId2215" Type="http://schemas.openxmlformats.org/officeDocument/2006/relationships/hyperlink" Target="https://ppim-intra.pea.co.th:4434/request/PPIM19503A76" TargetMode="External"/><Relationship Id="rId2422" Type="http://schemas.openxmlformats.org/officeDocument/2006/relationships/hyperlink" Target="https://ppim-intra.pea.co.th:4434/request/PPIM195048FE" TargetMode="External"/><Relationship Id="rId601" Type="http://schemas.openxmlformats.org/officeDocument/2006/relationships/hyperlink" Target="https://ppim-intra.pea.co.th:4434/request/PPIM18502B62" TargetMode="External"/><Relationship Id="rId1024" Type="http://schemas.openxmlformats.org/officeDocument/2006/relationships/hyperlink" Target="https://ppim-intra.pea.co.th:4434/request/PPIM19500319" TargetMode="External"/><Relationship Id="rId1231" Type="http://schemas.openxmlformats.org/officeDocument/2006/relationships/hyperlink" Target="https://ppim-intra.pea.co.th:4434/request/PPIM19500ACF" TargetMode="External"/><Relationship Id="rId184" Type="http://schemas.openxmlformats.org/officeDocument/2006/relationships/hyperlink" Target="https://ppim-intra.pea.co.th:4434/request/PPIM18501198" TargetMode="External"/><Relationship Id="rId391" Type="http://schemas.openxmlformats.org/officeDocument/2006/relationships/hyperlink" Target="https://ppim-intra.pea.co.th:4434/request/PPIM18502027" TargetMode="External"/><Relationship Id="rId1908" Type="http://schemas.openxmlformats.org/officeDocument/2006/relationships/hyperlink" Target="https://ppim-intra.pea.co.th:4434/request/PPIM19502828" TargetMode="External"/><Relationship Id="rId2072" Type="http://schemas.openxmlformats.org/officeDocument/2006/relationships/hyperlink" Target="https://ppim-intra.pea.co.th:4434/request/PPIM19503573" TargetMode="External"/><Relationship Id="rId251" Type="http://schemas.openxmlformats.org/officeDocument/2006/relationships/hyperlink" Target="https://ppim-intra.pea.co.th:4434/request/PPIM18501787" TargetMode="External"/><Relationship Id="rId111" Type="http://schemas.openxmlformats.org/officeDocument/2006/relationships/hyperlink" Target="https://ppim-intra.pea.co.th:4434/request/PPIM185009A6" TargetMode="External"/><Relationship Id="rId1698" Type="http://schemas.openxmlformats.org/officeDocument/2006/relationships/hyperlink" Target="https://ppim-intra.pea.co.th:4434/request/PPIM1950136E" TargetMode="External"/><Relationship Id="rId928" Type="http://schemas.openxmlformats.org/officeDocument/2006/relationships/hyperlink" Target="https://ppim-intra.pea.co.th:4434/request/PPIM185046F4" TargetMode="External"/><Relationship Id="rId1558" Type="http://schemas.openxmlformats.org/officeDocument/2006/relationships/hyperlink" Target="https://ppim-intra.pea.co.th:4434/request/PPIM19501882" TargetMode="External"/><Relationship Id="rId1765" Type="http://schemas.openxmlformats.org/officeDocument/2006/relationships/hyperlink" Target="https://ppim-intra.pea.co.th:4434/request/PPIM19502593" TargetMode="External"/><Relationship Id="rId2609" Type="http://schemas.openxmlformats.org/officeDocument/2006/relationships/hyperlink" Target="https://ppim-intra.pea.co.th:4434/request/PPIM19505AC5" TargetMode="External"/><Relationship Id="rId57" Type="http://schemas.openxmlformats.org/officeDocument/2006/relationships/hyperlink" Target="https://ppim-intra.pea.co.th:4434/request/PPIM185004C7" TargetMode="External"/><Relationship Id="rId1418" Type="http://schemas.openxmlformats.org/officeDocument/2006/relationships/hyperlink" Target="https://ppim-intra.pea.co.th:4434/request/PPIM195011A3" TargetMode="External"/><Relationship Id="rId1972" Type="http://schemas.openxmlformats.org/officeDocument/2006/relationships/hyperlink" Target="https://ppim-intra.pea.co.th:4434/request/PPIM19503181" TargetMode="External"/><Relationship Id="rId1625" Type="http://schemas.openxmlformats.org/officeDocument/2006/relationships/hyperlink" Target="https://ppim-intra.pea.co.th:4434/request/PPIM19501D33" TargetMode="External"/><Relationship Id="rId1832" Type="http://schemas.openxmlformats.org/officeDocument/2006/relationships/hyperlink" Target="https://ppim-intra.pea.co.th:4434/request/PPIM195018E9" TargetMode="External"/><Relationship Id="rId2399" Type="http://schemas.openxmlformats.org/officeDocument/2006/relationships/hyperlink" Target="https://ppim-intra.pea.co.th:4434/request/PPIM19504ACF" TargetMode="External"/><Relationship Id="rId578" Type="http://schemas.openxmlformats.org/officeDocument/2006/relationships/hyperlink" Target="https://ppim-intra.pea.co.th:4434/request/PPIM185029EB" TargetMode="External"/><Relationship Id="rId785" Type="http://schemas.openxmlformats.org/officeDocument/2006/relationships/hyperlink" Target="https://ppim-intra.pea.co.th:4434/request/PPIM18502A24" TargetMode="External"/><Relationship Id="rId992" Type="http://schemas.openxmlformats.org/officeDocument/2006/relationships/hyperlink" Target="https://ppim-intra.pea.co.th:4434/request/PPIM195000C8" TargetMode="External"/><Relationship Id="rId2259" Type="http://schemas.openxmlformats.org/officeDocument/2006/relationships/hyperlink" Target="https://ppim-intra.pea.co.th:4434/request/PPIM19504015" TargetMode="External"/><Relationship Id="rId2466" Type="http://schemas.openxmlformats.org/officeDocument/2006/relationships/hyperlink" Target="https://ppim-intra.pea.co.th:4434/request/PPIM19504FFE" TargetMode="External"/><Relationship Id="rId438" Type="http://schemas.openxmlformats.org/officeDocument/2006/relationships/hyperlink" Target="https://ppim-intra.pea.co.th:4434/request/PPIM18502318" TargetMode="External"/><Relationship Id="rId645" Type="http://schemas.openxmlformats.org/officeDocument/2006/relationships/hyperlink" Target="https://ppim-intra.pea.co.th:4434/request/PPIM18502E11" TargetMode="External"/><Relationship Id="rId852" Type="http://schemas.openxmlformats.org/officeDocument/2006/relationships/hyperlink" Target="https://ppim-intra.pea.co.th:4434/request/PPIM18504204" TargetMode="External"/><Relationship Id="rId1068" Type="http://schemas.openxmlformats.org/officeDocument/2006/relationships/hyperlink" Target="https://ppim-intra.pea.co.th:4434/request/PPIM1950050F" TargetMode="External"/><Relationship Id="rId1275" Type="http://schemas.openxmlformats.org/officeDocument/2006/relationships/hyperlink" Target="https://ppim-intra.pea.co.th:4434/request/PPIM1850490F" TargetMode="External"/><Relationship Id="rId1482" Type="http://schemas.openxmlformats.org/officeDocument/2006/relationships/hyperlink" Target="https://ppim-intra.pea.co.th:4434/request/PPIM19501082" TargetMode="External"/><Relationship Id="rId2119" Type="http://schemas.openxmlformats.org/officeDocument/2006/relationships/hyperlink" Target="https://ppim-intra.pea.co.th:4434/request/PPIM19503678" TargetMode="External"/><Relationship Id="rId2326" Type="http://schemas.openxmlformats.org/officeDocument/2006/relationships/hyperlink" Target="https://ppim-intra.pea.co.th:4434/request/PPIM195042B6" TargetMode="External"/><Relationship Id="rId2533" Type="http://schemas.openxmlformats.org/officeDocument/2006/relationships/hyperlink" Target="https://ppim-intra.pea.co.th:4434/request/PPIM195046F8" TargetMode="External"/><Relationship Id="rId505" Type="http://schemas.openxmlformats.org/officeDocument/2006/relationships/hyperlink" Target="https://ppim-intra.pea.co.th:4434/request/PPIM1850107C" TargetMode="External"/><Relationship Id="rId712" Type="http://schemas.openxmlformats.org/officeDocument/2006/relationships/hyperlink" Target="https://ppim-intra.pea.co.th:4434/request/PPIM185033E5" TargetMode="External"/><Relationship Id="rId1135" Type="http://schemas.openxmlformats.org/officeDocument/2006/relationships/hyperlink" Target="https://ppim-intra.pea.co.th:4434/request/PPIM1950084A" TargetMode="External"/><Relationship Id="rId1342" Type="http://schemas.openxmlformats.org/officeDocument/2006/relationships/hyperlink" Target="https://ppim-intra.pea.co.th:4434/request/PPIM19500E6A" TargetMode="External"/><Relationship Id="rId1202" Type="http://schemas.openxmlformats.org/officeDocument/2006/relationships/hyperlink" Target="https://ppim-intra.pea.co.th:4434/request/PPIM19500A38" TargetMode="External"/><Relationship Id="rId2600" Type="http://schemas.openxmlformats.org/officeDocument/2006/relationships/hyperlink" Target="https://ppim-intra.pea.co.th:4434/request/PPIM19505A24" TargetMode="External"/><Relationship Id="rId295" Type="http://schemas.openxmlformats.org/officeDocument/2006/relationships/hyperlink" Target="https://ppim-intra.pea.co.th:4434/request/PPIM18501B65" TargetMode="External"/><Relationship Id="rId2183" Type="http://schemas.openxmlformats.org/officeDocument/2006/relationships/hyperlink" Target="https://ppim-intra.pea.co.th:4434/request/PPIM195039EB" TargetMode="External"/><Relationship Id="rId2390" Type="http://schemas.openxmlformats.org/officeDocument/2006/relationships/hyperlink" Target="https://ppim-intra.pea.co.th:4434/request/PPIM19504A3B" TargetMode="External"/><Relationship Id="rId155" Type="http://schemas.openxmlformats.org/officeDocument/2006/relationships/hyperlink" Target="https://ppim-intra.pea.co.th:4434/request/PPIM18500FD4" TargetMode="External"/><Relationship Id="rId362" Type="http://schemas.openxmlformats.org/officeDocument/2006/relationships/hyperlink" Target="https://ppim-intra.pea.co.th:4434/request/PPIM18501DFD" TargetMode="External"/><Relationship Id="rId2043" Type="http://schemas.openxmlformats.org/officeDocument/2006/relationships/hyperlink" Target="https://ppim-intra.pea.co.th:4434/request/PPIM19503475" TargetMode="External"/><Relationship Id="rId2250" Type="http://schemas.openxmlformats.org/officeDocument/2006/relationships/hyperlink" Target="https://ppim-intra.pea.co.th:4434/request/PPIM19503C6A" TargetMode="External"/><Relationship Id="rId222" Type="http://schemas.openxmlformats.org/officeDocument/2006/relationships/hyperlink" Target="https://ppim-intra.pea.co.th:4434/request/PPIM18501547" TargetMode="External"/><Relationship Id="rId2110" Type="http://schemas.openxmlformats.org/officeDocument/2006/relationships/hyperlink" Target="https://ppim-intra.pea.co.th:4434/request/PPIM19503661" TargetMode="External"/><Relationship Id="rId1669" Type="http://schemas.openxmlformats.org/officeDocument/2006/relationships/hyperlink" Target="https://ppim-intra.pea.co.th:4434/request/PPIM19501FD0" TargetMode="External"/><Relationship Id="rId1876" Type="http://schemas.openxmlformats.org/officeDocument/2006/relationships/hyperlink" Target="https://ppim-intra.pea.co.th:4434/request/PPIM1950193D" TargetMode="External"/><Relationship Id="rId1529" Type="http://schemas.openxmlformats.org/officeDocument/2006/relationships/hyperlink" Target="https://ppim-intra.pea.co.th:4434/request/PPIM195017B5" TargetMode="External"/><Relationship Id="rId1736" Type="http://schemas.openxmlformats.org/officeDocument/2006/relationships/hyperlink" Target="https://ppim-intra.pea.co.th:4434/request/PPIM19502379" TargetMode="External"/><Relationship Id="rId1943" Type="http://schemas.openxmlformats.org/officeDocument/2006/relationships/hyperlink" Target="https://ppim-intra.pea.co.th:4434/request/PPIM19502A2F" TargetMode="External"/><Relationship Id="rId28" Type="http://schemas.openxmlformats.org/officeDocument/2006/relationships/hyperlink" Target="https://ppim-intra.pea.co.th:4434/request/PPIM18500278" TargetMode="External"/><Relationship Id="rId1803" Type="http://schemas.openxmlformats.org/officeDocument/2006/relationships/hyperlink" Target="https://ppim-intra.pea.co.th:4434/request/PPIM19502816" TargetMode="External"/><Relationship Id="rId689" Type="http://schemas.openxmlformats.org/officeDocument/2006/relationships/hyperlink" Target="https://ppim-intra.pea.co.th:4434/request/PPIM1850318E" TargetMode="External"/><Relationship Id="rId896" Type="http://schemas.openxmlformats.org/officeDocument/2006/relationships/hyperlink" Target="https://ppim-intra.pea.co.th:4434/request/PPIM185026CB" TargetMode="External"/><Relationship Id="rId2577" Type="http://schemas.openxmlformats.org/officeDocument/2006/relationships/hyperlink" Target="https://ppim-intra.pea.co.th:4434/request/PPIM19505179" TargetMode="External"/><Relationship Id="rId549" Type="http://schemas.openxmlformats.org/officeDocument/2006/relationships/hyperlink" Target="https://ppim-intra.pea.co.th:4434/request/PPIM18500E08" TargetMode="External"/><Relationship Id="rId756" Type="http://schemas.openxmlformats.org/officeDocument/2006/relationships/hyperlink" Target="https://ppim-intra.pea.co.th:4434/request/PPIM18503886" TargetMode="External"/><Relationship Id="rId1179" Type="http://schemas.openxmlformats.org/officeDocument/2006/relationships/hyperlink" Target="https://ppim-intra.pea.co.th:4434/request/PPIM19500989" TargetMode="External"/><Relationship Id="rId1386" Type="http://schemas.openxmlformats.org/officeDocument/2006/relationships/hyperlink" Target="https://ppim-intra.pea.co.th:4434/request/PPIM195010B1" TargetMode="External"/><Relationship Id="rId1593" Type="http://schemas.openxmlformats.org/officeDocument/2006/relationships/hyperlink" Target="https://ppim-intra.pea.co.th:4434/request/PPIM19501A9C" TargetMode="External"/><Relationship Id="rId2437" Type="http://schemas.openxmlformats.org/officeDocument/2006/relationships/hyperlink" Target="https://ppim-intra.pea.co.th:4434/request/PPIM19504DF6" TargetMode="External"/><Relationship Id="rId409" Type="http://schemas.openxmlformats.org/officeDocument/2006/relationships/hyperlink" Target="https://ppim-intra.pea.co.th:4434/request/PPIM1850219E" TargetMode="External"/><Relationship Id="rId963" Type="http://schemas.openxmlformats.org/officeDocument/2006/relationships/hyperlink" Target="https://ppim-intra.pea.co.th:4434/request/PPIM1850337E" TargetMode="External"/><Relationship Id="rId1039" Type="http://schemas.openxmlformats.org/officeDocument/2006/relationships/hyperlink" Target="https://ppim-intra.pea.co.th:4434/request/PPIM195003AE" TargetMode="External"/><Relationship Id="rId1246" Type="http://schemas.openxmlformats.org/officeDocument/2006/relationships/hyperlink" Target="https://ppim-intra.pea.co.th:4434/request/PPIM19500B2D" TargetMode="External"/><Relationship Id="rId2644" Type="http://schemas.openxmlformats.org/officeDocument/2006/relationships/hyperlink" Target="https://ppim-intra.pea.co.th:4434/request/PPIM195058BB" TargetMode="External"/><Relationship Id="rId92" Type="http://schemas.openxmlformats.org/officeDocument/2006/relationships/hyperlink" Target="https://ppim-intra.pea.co.th:4434/request/PPIM18500816" TargetMode="External"/><Relationship Id="rId616" Type="http://schemas.openxmlformats.org/officeDocument/2006/relationships/hyperlink" Target="https://ppim-intra.pea.co.th:4434/request/PPIM18502C0C" TargetMode="External"/><Relationship Id="rId823" Type="http://schemas.openxmlformats.org/officeDocument/2006/relationships/hyperlink" Target="https://ppim-intra.pea.co.th:4434/request/PPIM18503E7C" TargetMode="External"/><Relationship Id="rId1453" Type="http://schemas.openxmlformats.org/officeDocument/2006/relationships/hyperlink" Target="https://ppim-intra.pea.co.th:4434/request/PPIM19501106" TargetMode="External"/><Relationship Id="rId1660" Type="http://schemas.openxmlformats.org/officeDocument/2006/relationships/hyperlink" Target="https://ppim-intra.pea.co.th:4434/request/PPIM19501F4B" TargetMode="External"/><Relationship Id="rId2504" Type="http://schemas.openxmlformats.org/officeDocument/2006/relationships/hyperlink" Target="https://ppim-intra.pea.co.th:4434/request/PPIM19505338" TargetMode="External"/><Relationship Id="rId1106" Type="http://schemas.openxmlformats.org/officeDocument/2006/relationships/hyperlink" Target="https://ppim-intra.pea.co.th:4434/request/PPIM18504030" TargetMode="External"/><Relationship Id="rId1313" Type="http://schemas.openxmlformats.org/officeDocument/2006/relationships/hyperlink" Target="https://ppim-intra.pea.co.th:4434/request/PPIM19500DF4" TargetMode="External"/><Relationship Id="rId1520" Type="http://schemas.openxmlformats.org/officeDocument/2006/relationships/hyperlink" Target="https://ppim-intra.pea.co.th:4434/request/PPIM19501736" TargetMode="External"/><Relationship Id="rId199" Type="http://schemas.openxmlformats.org/officeDocument/2006/relationships/hyperlink" Target="https://ppim-intra.pea.co.th:4434/request/PPIM18501303" TargetMode="External"/><Relationship Id="rId2087" Type="http://schemas.openxmlformats.org/officeDocument/2006/relationships/hyperlink" Target="https://ppim-intra.pea.co.th:4434/request/PPIM195035C5" TargetMode="External"/><Relationship Id="rId2294" Type="http://schemas.openxmlformats.org/officeDocument/2006/relationships/hyperlink" Target="https://ppim-intra.pea.co.th:4434/request/PPIM19504184" TargetMode="External"/><Relationship Id="rId266" Type="http://schemas.openxmlformats.org/officeDocument/2006/relationships/hyperlink" Target="https://ppim-intra.pea.co.th:4434/request/PPIM18501898" TargetMode="External"/><Relationship Id="rId473" Type="http://schemas.openxmlformats.org/officeDocument/2006/relationships/hyperlink" Target="https://ppim-intra.pea.co.th:4434/request/PPIM18500368" TargetMode="External"/><Relationship Id="rId680" Type="http://schemas.openxmlformats.org/officeDocument/2006/relationships/hyperlink" Target="https://ppim-intra.pea.co.th:4434/request/PPIM18503148" TargetMode="External"/><Relationship Id="rId2154" Type="http://schemas.openxmlformats.org/officeDocument/2006/relationships/hyperlink" Target="https://ppim-intra.pea.co.th:4434/request/PPIM19503836" TargetMode="External"/><Relationship Id="rId2361" Type="http://schemas.openxmlformats.org/officeDocument/2006/relationships/hyperlink" Target="https://ppim-intra.pea.co.th:4434/request/PPIM195046E3" TargetMode="External"/><Relationship Id="rId126" Type="http://schemas.openxmlformats.org/officeDocument/2006/relationships/hyperlink" Target="https://ppim-intra.pea.co.th:4434/request/PPIM18500AFF" TargetMode="External"/><Relationship Id="rId333" Type="http://schemas.openxmlformats.org/officeDocument/2006/relationships/hyperlink" Target="https://ppim-intra.pea.co.th:4434/request/PPIM18501D09" TargetMode="External"/><Relationship Id="rId540" Type="http://schemas.openxmlformats.org/officeDocument/2006/relationships/hyperlink" Target="https://ppim-intra.pea.co.th:4434/request/PPIM1850288B" TargetMode="External"/><Relationship Id="rId1170" Type="http://schemas.openxmlformats.org/officeDocument/2006/relationships/hyperlink" Target="https://ppim-intra.pea.co.th:4434/request/PPIM19500707" TargetMode="External"/><Relationship Id="rId2014" Type="http://schemas.openxmlformats.org/officeDocument/2006/relationships/hyperlink" Target="https://ppim-intra.pea.co.th:4434/request/PPIM195026C4" TargetMode="External"/><Relationship Id="rId2221" Type="http://schemas.openxmlformats.org/officeDocument/2006/relationships/hyperlink" Target="https://ppim-intra.pea.co.th:4434/request/PPIM19503D40" TargetMode="External"/><Relationship Id="rId1030" Type="http://schemas.openxmlformats.org/officeDocument/2006/relationships/hyperlink" Target="https://ppim-intra.pea.co.th:4434/request/PPIM19500359" TargetMode="External"/><Relationship Id="rId400" Type="http://schemas.openxmlformats.org/officeDocument/2006/relationships/hyperlink" Target="https://ppim-intra.pea.co.th:4434/request/PPIM18502068" TargetMode="External"/><Relationship Id="rId1987" Type="http://schemas.openxmlformats.org/officeDocument/2006/relationships/hyperlink" Target="https://ppim-intra.pea.co.th:4434/request/PPIM19503044" TargetMode="External"/><Relationship Id="rId1847" Type="http://schemas.openxmlformats.org/officeDocument/2006/relationships/hyperlink" Target="https://ppim-intra.pea.co.th:4434/request/PPIM195022FB" TargetMode="External"/><Relationship Id="rId1707" Type="http://schemas.openxmlformats.org/officeDocument/2006/relationships/hyperlink" Target="https://ppim-intra.pea.co.th:4434/request/PPIM195021FC" TargetMode="External"/><Relationship Id="rId190" Type="http://schemas.openxmlformats.org/officeDocument/2006/relationships/hyperlink" Target="https://ppim-intra.pea.co.th:4434/request/PPIM1850047C" TargetMode="External"/><Relationship Id="rId1914" Type="http://schemas.openxmlformats.org/officeDocument/2006/relationships/hyperlink" Target="https://ppim-intra.pea.co.th:4434/request/PPIM195025D0" TargetMode="External"/><Relationship Id="rId867" Type="http://schemas.openxmlformats.org/officeDocument/2006/relationships/hyperlink" Target="https://ppim-intra.pea.co.th:4434/request/PPIM18501CE4" TargetMode="External"/><Relationship Id="rId1497" Type="http://schemas.openxmlformats.org/officeDocument/2006/relationships/hyperlink" Target="https://ppim-intra.pea.co.th:4434/request/PPIM19501631" TargetMode="External"/><Relationship Id="rId2548" Type="http://schemas.openxmlformats.org/officeDocument/2006/relationships/hyperlink" Target="https://ppim-intra.pea.co.th:4434/request/PPIM19505639" TargetMode="External"/><Relationship Id="rId727" Type="http://schemas.openxmlformats.org/officeDocument/2006/relationships/hyperlink" Target="https://ppim-intra.pea.co.th:4434/request/PPIM185035DD" TargetMode="External"/><Relationship Id="rId934" Type="http://schemas.openxmlformats.org/officeDocument/2006/relationships/hyperlink" Target="https://ppim-intra.pea.co.th:4434/request/PPIM1850471E" TargetMode="External"/><Relationship Id="rId1357" Type="http://schemas.openxmlformats.org/officeDocument/2006/relationships/hyperlink" Target="https://ppim-intra.pea.co.th:4434/request/PPIM19500F36" TargetMode="External"/><Relationship Id="rId1564" Type="http://schemas.openxmlformats.org/officeDocument/2006/relationships/hyperlink" Target="https://ppim-intra.pea.co.th:4434/request/PPIM195018CD" TargetMode="External"/><Relationship Id="rId1771" Type="http://schemas.openxmlformats.org/officeDocument/2006/relationships/hyperlink" Target="https://ppim-intra.pea.co.th:4434/request/PPIM195025A1" TargetMode="External"/><Relationship Id="rId2408" Type="http://schemas.openxmlformats.org/officeDocument/2006/relationships/hyperlink" Target="https://ppim-intra.pea.co.th:4434/request/PPIM19504A56" TargetMode="External"/><Relationship Id="rId2615" Type="http://schemas.openxmlformats.org/officeDocument/2006/relationships/hyperlink" Target="https://ppim-intra.pea.co.th:4434/request/PPIM19505206" TargetMode="External"/><Relationship Id="rId63" Type="http://schemas.openxmlformats.org/officeDocument/2006/relationships/hyperlink" Target="https://ppim-intra.pea.co.th:4434/request/PPIM185005E9" TargetMode="External"/><Relationship Id="rId1217" Type="http://schemas.openxmlformats.org/officeDocument/2006/relationships/hyperlink" Target="https://ppim-intra.pea.co.th:4434/request/PPIM19500A88" TargetMode="External"/><Relationship Id="rId1424" Type="http://schemas.openxmlformats.org/officeDocument/2006/relationships/hyperlink" Target="https://ppim-intra.pea.co.th:4434/request/PPIM185013A9" TargetMode="External"/><Relationship Id="rId1631" Type="http://schemas.openxmlformats.org/officeDocument/2006/relationships/hyperlink" Target="https://ppim-intra.pea.co.th:4434/request/PPIM195016C1" TargetMode="External"/><Relationship Id="rId2198" Type="http://schemas.openxmlformats.org/officeDocument/2006/relationships/hyperlink" Target="https://ppim-intra.pea.co.th:4434/request/PPIM195033F6" TargetMode="External"/><Relationship Id="rId377" Type="http://schemas.openxmlformats.org/officeDocument/2006/relationships/hyperlink" Target="https://ppim-intra.pea.co.th:4434/request/PPIM18501F70" TargetMode="External"/><Relationship Id="rId584" Type="http://schemas.openxmlformats.org/officeDocument/2006/relationships/hyperlink" Target="https://ppim-intra.pea.co.th:4434/request/PPIM18502A2C" TargetMode="External"/><Relationship Id="rId2058" Type="http://schemas.openxmlformats.org/officeDocument/2006/relationships/hyperlink" Target="https://ppim-intra.pea.co.th:4434/request/PPIM195034FC" TargetMode="External"/><Relationship Id="rId2265" Type="http://schemas.openxmlformats.org/officeDocument/2006/relationships/hyperlink" Target="https://ppim-intra.pea.co.th:4434/request/PPIM19503922" TargetMode="External"/><Relationship Id="rId237" Type="http://schemas.openxmlformats.org/officeDocument/2006/relationships/hyperlink" Target="https://ppim-intra.pea.co.th:4434/request/PPIM18501615" TargetMode="External"/><Relationship Id="rId791" Type="http://schemas.openxmlformats.org/officeDocument/2006/relationships/hyperlink" Target="https://ppim-intra.pea.co.th:4434/request/PPIM18503B9A" TargetMode="External"/><Relationship Id="rId1074" Type="http://schemas.openxmlformats.org/officeDocument/2006/relationships/hyperlink" Target="https://ppim-intra.pea.co.th:4434/request/PPIM19500554" TargetMode="External"/><Relationship Id="rId2472" Type="http://schemas.openxmlformats.org/officeDocument/2006/relationships/hyperlink" Target="https://ppim-intra.pea.co.th:4434/request/PPIM195050A7" TargetMode="External"/><Relationship Id="rId444" Type="http://schemas.openxmlformats.org/officeDocument/2006/relationships/hyperlink" Target="https://ppim-intra.pea.co.th:4434/request/PPIM18502321" TargetMode="External"/><Relationship Id="rId651" Type="http://schemas.openxmlformats.org/officeDocument/2006/relationships/hyperlink" Target="https://ppim-intra.pea.co.th:4434/request/PPIM18502ED6" TargetMode="External"/><Relationship Id="rId1281" Type="http://schemas.openxmlformats.org/officeDocument/2006/relationships/hyperlink" Target="https://ppim-intra.pea.co.th:4434/request/PPIM19500C73" TargetMode="External"/><Relationship Id="rId2125" Type="http://schemas.openxmlformats.org/officeDocument/2006/relationships/hyperlink" Target="https://ppim-intra.pea.co.th:4434/request/PPIM19503561" TargetMode="External"/><Relationship Id="rId2332" Type="http://schemas.openxmlformats.org/officeDocument/2006/relationships/hyperlink" Target="https://ppim-intra.pea.co.th:4434/request/PPIM19504482" TargetMode="External"/><Relationship Id="rId304" Type="http://schemas.openxmlformats.org/officeDocument/2006/relationships/hyperlink" Target="https://ppim-intra.pea.co.th:4434/request/PPIM18501C12" TargetMode="External"/><Relationship Id="rId511" Type="http://schemas.openxmlformats.org/officeDocument/2006/relationships/hyperlink" Target="https://ppim-intra.pea.co.th:4434/request/PPIM18502700" TargetMode="External"/><Relationship Id="rId1141" Type="http://schemas.openxmlformats.org/officeDocument/2006/relationships/hyperlink" Target="https://ppim-intra.pea.co.th:4434/request/PPIM1950033D" TargetMode="External"/><Relationship Id="rId1001" Type="http://schemas.openxmlformats.org/officeDocument/2006/relationships/hyperlink" Target="https://ppim-intra.pea.co.th:4434/request/PPIM18503836" TargetMode="External"/><Relationship Id="rId1958" Type="http://schemas.openxmlformats.org/officeDocument/2006/relationships/hyperlink" Target="https://ppim-intra.pea.co.th:4434/request/PPIM1950309A" TargetMode="External"/><Relationship Id="rId1818" Type="http://schemas.openxmlformats.org/officeDocument/2006/relationships/hyperlink" Target="https://ppim-intra.pea.co.th:4434/request/PPIM19502954" TargetMode="External"/><Relationship Id="rId161" Type="http://schemas.openxmlformats.org/officeDocument/2006/relationships/hyperlink" Target="https://ppim-intra.pea.co.th:4434/request/PPIM18501056" TargetMode="External"/><Relationship Id="rId978" Type="http://schemas.openxmlformats.org/officeDocument/2006/relationships/hyperlink" Target="https://ppim-intra.pea.co.th:4434/request/PPIM185049F3" TargetMode="External"/><Relationship Id="rId838" Type="http://schemas.openxmlformats.org/officeDocument/2006/relationships/hyperlink" Target="https://ppim-intra.pea.co.th:4434/request/PPIM18504073" TargetMode="External"/><Relationship Id="rId1468" Type="http://schemas.openxmlformats.org/officeDocument/2006/relationships/hyperlink" Target="https://ppim-intra.pea.co.th:4434/request/PPIM195013DF" TargetMode="External"/><Relationship Id="rId1675" Type="http://schemas.openxmlformats.org/officeDocument/2006/relationships/hyperlink" Target="https://ppim-intra.pea.co.th:4434/request/PPIM19502034" TargetMode="External"/><Relationship Id="rId1882" Type="http://schemas.openxmlformats.org/officeDocument/2006/relationships/hyperlink" Target="https://ppim-intra.pea.co.th:4434/request/PPIM1950250D" TargetMode="External"/><Relationship Id="rId2519" Type="http://schemas.openxmlformats.org/officeDocument/2006/relationships/hyperlink" Target="https://ppim-intra.pea.co.th:4434/request/PPIM1950540E" TargetMode="External"/><Relationship Id="rId1328" Type="http://schemas.openxmlformats.org/officeDocument/2006/relationships/hyperlink" Target="https://ppim-intra.pea.co.th:4434/request/PPIM19500E1D" TargetMode="External"/><Relationship Id="rId1535" Type="http://schemas.openxmlformats.org/officeDocument/2006/relationships/hyperlink" Target="https://ppim-intra.pea.co.th:4434/request/PPIM195017EB" TargetMode="External"/><Relationship Id="rId905" Type="http://schemas.openxmlformats.org/officeDocument/2006/relationships/hyperlink" Target="https://ppim-intra.pea.co.th:4434/request/PPIM18501E6A" TargetMode="External"/><Relationship Id="rId1742" Type="http://schemas.openxmlformats.org/officeDocument/2006/relationships/hyperlink" Target="https://ppim-intra.pea.co.th:4434/request/PPIM195023A0" TargetMode="External"/><Relationship Id="rId34" Type="http://schemas.openxmlformats.org/officeDocument/2006/relationships/hyperlink" Target="https://ppim-intra.pea.co.th:4434/request/PPIM1850030C" TargetMode="External"/><Relationship Id="rId1602" Type="http://schemas.openxmlformats.org/officeDocument/2006/relationships/hyperlink" Target="https://ppim-intra.pea.co.th:4434/request/PPIM19501555" TargetMode="External"/><Relationship Id="rId488" Type="http://schemas.openxmlformats.org/officeDocument/2006/relationships/hyperlink" Target="https://ppim-intra.pea.co.th:4434/request/PPIM18502568" TargetMode="External"/><Relationship Id="rId695" Type="http://schemas.openxmlformats.org/officeDocument/2006/relationships/hyperlink" Target="https://ppim-intra.pea.co.th:4434/request/PPIM18503225" TargetMode="External"/><Relationship Id="rId2169" Type="http://schemas.openxmlformats.org/officeDocument/2006/relationships/hyperlink" Target="https://ppim-intra.pea.co.th:4434/request/PPIM1950395A" TargetMode="External"/><Relationship Id="rId2376" Type="http://schemas.openxmlformats.org/officeDocument/2006/relationships/hyperlink" Target="https://ppim-intra.pea.co.th:4434/request/PPIM195048A8" TargetMode="External"/><Relationship Id="rId2583" Type="http://schemas.openxmlformats.org/officeDocument/2006/relationships/hyperlink" Target="https://ppim-intra.pea.co.th:4434/request/PPIM19505944" TargetMode="External"/><Relationship Id="rId348" Type="http://schemas.openxmlformats.org/officeDocument/2006/relationships/hyperlink" Target="https://ppim-intra.pea.co.th:4434/request/PPIM18501D76" TargetMode="External"/><Relationship Id="rId555" Type="http://schemas.openxmlformats.org/officeDocument/2006/relationships/hyperlink" Target="https://ppim-intra.pea.co.th:4434/request/PPIM18500370" TargetMode="External"/><Relationship Id="rId762" Type="http://schemas.openxmlformats.org/officeDocument/2006/relationships/hyperlink" Target="https://ppim-intra.pea.co.th:4434/request/PPIM18501F55" TargetMode="External"/><Relationship Id="rId1185" Type="http://schemas.openxmlformats.org/officeDocument/2006/relationships/hyperlink" Target="https://ppim-intra.pea.co.th:4434/request/PPIM18504626" TargetMode="External"/><Relationship Id="rId1392" Type="http://schemas.openxmlformats.org/officeDocument/2006/relationships/hyperlink" Target="https://ppim-intra.pea.co.th:4434/request/PPIM195010C7" TargetMode="External"/><Relationship Id="rId2029" Type="http://schemas.openxmlformats.org/officeDocument/2006/relationships/hyperlink" Target="https://ppim-intra.pea.co.th:4434/request/PPIM1950304E" TargetMode="External"/><Relationship Id="rId2236" Type="http://schemas.openxmlformats.org/officeDocument/2006/relationships/hyperlink" Target="https://ppim-intra.pea.co.th:4434/request/PPIM19503E4A" TargetMode="External"/><Relationship Id="rId2443" Type="http://schemas.openxmlformats.org/officeDocument/2006/relationships/hyperlink" Target="https://ppim-intra.pea.co.th:4434/request/PPIM19504E9F" TargetMode="External"/><Relationship Id="rId2650" Type="http://schemas.openxmlformats.org/officeDocument/2006/relationships/hyperlink" Target="https://ppim-intra.pea.co.th:4434/request/PPIM19505BD0" TargetMode="External"/><Relationship Id="rId208" Type="http://schemas.openxmlformats.org/officeDocument/2006/relationships/hyperlink" Target="https://ppim-intra.pea.co.th:4434/request/PPIM185013B9" TargetMode="External"/><Relationship Id="rId415" Type="http://schemas.openxmlformats.org/officeDocument/2006/relationships/hyperlink" Target="https://ppim-intra.pea.co.th:4434/request/PPIM1850173D" TargetMode="External"/><Relationship Id="rId622" Type="http://schemas.openxmlformats.org/officeDocument/2006/relationships/hyperlink" Target="https://ppim-intra.pea.co.th:4434/request/PPIM18502C57" TargetMode="External"/><Relationship Id="rId1045" Type="http://schemas.openxmlformats.org/officeDocument/2006/relationships/hyperlink" Target="https://ppim-intra.pea.co.th:4434/request/PPIM19500406" TargetMode="External"/><Relationship Id="rId1252" Type="http://schemas.openxmlformats.org/officeDocument/2006/relationships/hyperlink" Target="https://ppim-intra.pea.co.th:4434/request/PPIM19500B73" TargetMode="External"/><Relationship Id="rId2303" Type="http://schemas.openxmlformats.org/officeDocument/2006/relationships/hyperlink" Target="https://ppim-intra.pea.co.th:4434/request/PPIM1950422E" TargetMode="External"/><Relationship Id="rId2510" Type="http://schemas.openxmlformats.org/officeDocument/2006/relationships/hyperlink" Target="https://ppim-intra.pea.co.th:4434/request/PPIM1950538E" TargetMode="External"/><Relationship Id="rId1112" Type="http://schemas.openxmlformats.org/officeDocument/2006/relationships/hyperlink" Target="https://ppim-intra.pea.co.th:4434/request/PPIM1950079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09DF" TargetMode="External"/><Relationship Id="rId21" Type="http://schemas.openxmlformats.org/officeDocument/2006/relationships/hyperlink" Target="https://ppim-intra.pea.co.th:4434/request/PPIM1850122D" TargetMode="External"/><Relationship Id="rId42" Type="http://schemas.openxmlformats.org/officeDocument/2006/relationships/hyperlink" Target="https://ppim-intra.pea.co.th:4434/request/PPIM18501A1C" TargetMode="External"/><Relationship Id="rId63" Type="http://schemas.openxmlformats.org/officeDocument/2006/relationships/hyperlink" Target="https://ppim-intra.pea.co.th:4434/request/PPIM1850248D" TargetMode="External"/><Relationship Id="rId84" Type="http://schemas.openxmlformats.org/officeDocument/2006/relationships/hyperlink" Target="https://ppim-intra.pea.co.th:4434/request/PPIM1850340E" TargetMode="External"/><Relationship Id="rId138" Type="http://schemas.openxmlformats.org/officeDocument/2006/relationships/hyperlink" Target="https://ppim-intra.pea.co.th:4434/request/PPIM19501A4E" TargetMode="External"/><Relationship Id="rId159" Type="http://schemas.openxmlformats.org/officeDocument/2006/relationships/hyperlink" Target="https://ppim-intra.pea.co.th:4434/request/PPIM195027C9" TargetMode="External"/><Relationship Id="rId170" Type="http://schemas.openxmlformats.org/officeDocument/2006/relationships/hyperlink" Target="https://ppim-intra.pea.co.th:4434/request/PPIM195033E2" TargetMode="External"/><Relationship Id="rId191" Type="http://schemas.openxmlformats.org/officeDocument/2006/relationships/hyperlink" Target="https://ppim-intra.pea.co.th:4434/request/PPIM19503980" TargetMode="External"/><Relationship Id="rId205" Type="http://schemas.openxmlformats.org/officeDocument/2006/relationships/hyperlink" Target="https://ppim-intra.pea.co.th:4434/request/PPIM19504003" TargetMode="External"/><Relationship Id="rId226" Type="http://schemas.openxmlformats.org/officeDocument/2006/relationships/hyperlink" Target="https://ppim-intra.pea.co.th:4434/request/PPIM195052EF" TargetMode="External"/><Relationship Id="rId247" Type="http://schemas.openxmlformats.org/officeDocument/2006/relationships/hyperlink" Target="https://ppim-intra.pea.co.th:4434/request/PPIM19505A39" TargetMode="External"/><Relationship Id="rId107" Type="http://schemas.openxmlformats.org/officeDocument/2006/relationships/hyperlink" Target="https://ppim-intra.pea.co.th:4434/request/PPIM18504508" TargetMode="External"/><Relationship Id="rId11" Type="http://schemas.openxmlformats.org/officeDocument/2006/relationships/hyperlink" Target="https://ppim-intra.pea.co.th:4434/request/PPIM18500F2F" TargetMode="External"/><Relationship Id="rId32" Type="http://schemas.openxmlformats.org/officeDocument/2006/relationships/hyperlink" Target="https://ppim-intra.pea.co.th:4434/request/PPIM185016F3" TargetMode="External"/><Relationship Id="rId53" Type="http://schemas.openxmlformats.org/officeDocument/2006/relationships/hyperlink" Target="https://ppim-intra.pea.co.th:4434/request/PPIM18501EF8" TargetMode="External"/><Relationship Id="rId74" Type="http://schemas.openxmlformats.org/officeDocument/2006/relationships/hyperlink" Target="https://ppim-intra.pea.co.th:4434/request/PPIM18502F25" TargetMode="External"/><Relationship Id="rId128" Type="http://schemas.openxmlformats.org/officeDocument/2006/relationships/hyperlink" Target="https://ppim-intra.pea.co.th:4434/request/PPIM19500C31" TargetMode="External"/><Relationship Id="rId149" Type="http://schemas.openxmlformats.org/officeDocument/2006/relationships/hyperlink" Target="https://ppim-intra.pea.co.th:4434/request/PPIM195021CC" TargetMode="External"/><Relationship Id="rId5" Type="http://schemas.openxmlformats.org/officeDocument/2006/relationships/hyperlink" Target="https://ppim-intra.pea.co.th:4434/request/PPIM185007E7" TargetMode="External"/><Relationship Id="rId95" Type="http://schemas.openxmlformats.org/officeDocument/2006/relationships/hyperlink" Target="https://ppim-intra.pea.co.th:4434/request/PPIM18503DE7" TargetMode="External"/><Relationship Id="rId160" Type="http://schemas.openxmlformats.org/officeDocument/2006/relationships/hyperlink" Target="https://ppim-intra.pea.co.th:4434/request/PPIM195029EE" TargetMode="External"/><Relationship Id="rId181" Type="http://schemas.openxmlformats.org/officeDocument/2006/relationships/hyperlink" Target="https://ppim-intra.pea.co.th:4434/request/PPIM19503647" TargetMode="External"/><Relationship Id="rId216" Type="http://schemas.openxmlformats.org/officeDocument/2006/relationships/hyperlink" Target="https://ppim-intra.pea.co.th:4434/request/PPIM19504A6F" TargetMode="External"/><Relationship Id="rId237" Type="http://schemas.openxmlformats.org/officeDocument/2006/relationships/hyperlink" Target="https://ppim-intra.pea.co.th:4434/request/PPIM195057A8" TargetMode="External"/><Relationship Id="rId22" Type="http://schemas.openxmlformats.org/officeDocument/2006/relationships/hyperlink" Target="https://ppim-intra.pea.co.th:4434/request/PPIM18501311" TargetMode="External"/><Relationship Id="rId43" Type="http://schemas.openxmlformats.org/officeDocument/2006/relationships/hyperlink" Target="https://ppim-intra.pea.co.th:4434/request/PPIM18501BBE" TargetMode="External"/><Relationship Id="rId64" Type="http://schemas.openxmlformats.org/officeDocument/2006/relationships/hyperlink" Target="https://ppim-intra.pea.co.th:4434/request/PPIM1850291D" TargetMode="External"/><Relationship Id="rId118" Type="http://schemas.openxmlformats.org/officeDocument/2006/relationships/hyperlink" Target="https://ppim-intra.pea.co.th:4434/request/PPIM19500B59" TargetMode="External"/><Relationship Id="rId139" Type="http://schemas.openxmlformats.org/officeDocument/2006/relationships/hyperlink" Target="https://ppim-intra.pea.co.th:4434/request/PPIM19501AB5" TargetMode="External"/><Relationship Id="rId85" Type="http://schemas.openxmlformats.org/officeDocument/2006/relationships/hyperlink" Target="https://ppim-intra.pea.co.th:4434/request/PPIM185035A1" TargetMode="External"/><Relationship Id="rId150" Type="http://schemas.openxmlformats.org/officeDocument/2006/relationships/hyperlink" Target="https://ppim-intra.pea.co.th:4434/request/PPIM195021FA" TargetMode="External"/><Relationship Id="rId171" Type="http://schemas.openxmlformats.org/officeDocument/2006/relationships/hyperlink" Target="https://ppim-intra.pea.co.th:4434/request/PPIM19503479" TargetMode="External"/><Relationship Id="rId192" Type="http://schemas.openxmlformats.org/officeDocument/2006/relationships/hyperlink" Target="https://ppim-intra.pea.co.th:4434/request/PPIM19503B3A" TargetMode="External"/><Relationship Id="rId206" Type="http://schemas.openxmlformats.org/officeDocument/2006/relationships/hyperlink" Target="https://ppim-intra.pea.co.th:4434/request/PPIM195043D6" TargetMode="External"/><Relationship Id="rId227" Type="http://schemas.openxmlformats.org/officeDocument/2006/relationships/hyperlink" Target="https://ppim-intra.pea.co.th:4434/request/PPIM195053BB" TargetMode="External"/><Relationship Id="rId248" Type="http://schemas.openxmlformats.org/officeDocument/2006/relationships/printerSettings" Target="../printerSettings/printerSettings3.bin"/><Relationship Id="rId12" Type="http://schemas.openxmlformats.org/officeDocument/2006/relationships/hyperlink" Target="https://ppim-intra.pea.co.th:4434/request/PPIM18500F62" TargetMode="External"/><Relationship Id="rId33" Type="http://schemas.openxmlformats.org/officeDocument/2006/relationships/hyperlink" Target="https://ppim-intra.pea.co.th:4434/request/PPIM18501759" TargetMode="External"/><Relationship Id="rId108" Type="http://schemas.openxmlformats.org/officeDocument/2006/relationships/hyperlink" Target="https://ppim-intra.pea.co.th:4434/request/PPIM1850451E" TargetMode="External"/><Relationship Id="rId129" Type="http://schemas.openxmlformats.org/officeDocument/2006/relationships/hyperlink" Target="https://ppim-intra.pea.co.th:4434/request/PPIM1950125E" TargetMode="External"/><Relationship Id="rId54" Type="http://schemas.openxmlformats.org/officeDocument/2006/relationships/hyperlink" Target="https://ppim-intra.pea.co.th:4434/request/PPIM185021EA" TargetMode="External"/><Relationship Id="rId75" Type="http://schemas.openxmlformats.org/officeDocument/2006/relationships/hyperlink" Target="https://ppim-intra.pea.co.th:4434/request/PPIM18503230" TargetMode="External"/><Relationship Id="rId96" Type="http://schemas.openxmlformats.org/officeDocument/2006/relationships/hyperlink" Target="https://ppim-intra.pea.co.th:4434/request/PPIM18503E7E" TargetMode="External"/><Relationship Id="rId140" Type="http://schemas.openxmlformats.org/officeDocument/2006/relationships/hyperlink" Target="https://ppim-intra.pea.co.th:4434/request/PPIM195018FA" TargetMode="External"/><Relationship Id="rId161" Type="http://schemas.openxmlformats.org/officeDocument/2006/relationships/hyperlink" Target="https://ppim-intra.pea.co.th:4434/request/PPIM1950156C" TargetMode="External"/><Relationship Id="rId182" Type="http://schemas.openxmlformats.org/officeDocument/2006/relationships/hyperlink" Target="https://ppim-intra.pea.co.th:4434/request/PPIM19503656" TargetMode="External"/><Relationship Id="rId217" Type="http://schemas.openxmlformats.org/officeDocument/2006/relationships/hyperlink" Target="https://ppim-intra.pea.co.th:4434/request/PPIM19504A83" TargetMode="External"/><Relationship Id="rId6" Type="http://schemas.openxmlformats.org/officeDocument/2006/relationships/hyperlink" Target="https://ppim-intra.pea.co.th:4434/request/PPIM1850097B" TargetMode="External"/><Relationship Id="rId238" Type="http://schemas.openxmlformats.org/officeDocument/2006/relationships/hyperlink" Target="https://ppim-intra.pea.co.th:4434/request/PPIM195058A6" TargetMode="External"/><Relationship Id="rId23" Type="http://schemas.openxmlformats.org/officeDocument/2006/relationships/hyperlink" Target="https://ppim-intra.pea.co.th:4434/request/PPIM18501328" TargetMode="External"/><Relationship Id="rId119" Type="http://schemas.openxmlformats.org/officeDocument/2006/relationships/hyperlink" Target="https://ppim-intra.pea.co.th:4434/request/PPIM19500937" TargetMode="External"/><Relationship Id="rId44" Type="http://schemas.openxmlformats.org/officeDocument/2006/relationships/hyperlink" Target="https://ppim-intra.pea.co.th:4434/request/PPIM18501B47" TargetMode="External"/><Relationship Id="rId65" Type="http://schemas.openxmlformats.org/officeDocument/2006/relationships/hyperlink" Target="https://ppim-intra.pea.co.th:4434/request/PPIM1850238C" TargetMode="External"/><Relationship Id="rId86" Type="http://schemas.openxmlformats.org/officeDocument/2006/relationships/hyperlink" Target="https://ppim-intra.pea.co.th:4434/request/PPIM185035FC" TargetMode="External"/><Relationship Id="rId130" Type="http://schemas.openxmlformats.org/officeDocument/2006/relationships/hyperlink" Target="https://ppim-intra.pea.co.th:4434/request/PPIM1950128B" TargetMode="External"/><Relationship Id="rId151" Type="http://schemas.openxmlformats.org/officeDocument/2006/relationships/hyperlink" Target="https://ppim-intra.pea.co.th:4434/request/PPIM19502335" TargetMode="External"/><Relationship Id="rId172" Type="http://schemas.openxmlformats.org/officeDocument/2006/relationships/hyperlink" Target="https://ppim-intra.pea.co.th:4434/request/PPIM1950354B" TargetMode="External"/><Relationship Id="rId193" Type="http://schemas.openxmlformats.org/officeDocument/2006/relationships/hyperlink" Target="https://ppim-intra.pea.co.th:4434/request/PPIM19503BF3" TargetMode="External"/><Relationship Id="rId207" Type="http://schemas.openxmlformats.org/officeDocument/2006/relationships/hyperlink" Target="https://ppim-intra.pea.co.th:4434/request/PPIM195044E2" TargetMode="External"/><Relationship Id="rId228" Type="http://schemas.openxmlformats.org/officeDocument/2006/relationships/hyperlink" Target="https://ppim-intra.pea.co.th:4434/request/PPIM1950504B" TargetMode="External"/><Relationship Id="rId249" Type="http://schemas.openxmlformats.org/officeDocument/2006/relationships/drawing" Target="../drawings/drawing2.xml"/><Relationship Id="rId13" Type="http://schemas.openxmlformats.org/officeDocument/2006/relationships/hyperlink" Target="https://ppim-intra.pea.co.th:4434/request/PPIM1850092C" TargetMode="External"/><Relationship Id="rId109" Type="http://schemas.openxmlformats.org/officeDocument/2006/relationships/hyperlink" Target="https://ppim-intra.pea.co.th:4434/request/PPIM18504542" TargetMode="External"/><Relationship Id="rId34" Type="http://schemas.openxmlformats.org/officeDocument/2006/relationships/hyperlink" Target="https://ppim-intra.pea.co.th:4434/request/PPIM18501835" TargetMode="External"/><Relationship Id="rId55" Type="http://schemas.openxmlformats.org/officeDocument/2006/relationships/hyperlink" Target="https://ppim-intra.pea.co.th:4434/request/PPIM185022C7" TargetMode="External"/><Relationship Id="rId76" Type="http://schemas.openxmlformats.org/officeDocument/2006/relationships/hyperlink" Target="https://ppim-intra.pea.co.th:4434/request/PPIM18502F31" TargetMode="External"/><Relationship Id="rId97" Type="http://schemas.openxmlformats.org/officeDocument/2006/relationships/hyperlink" Target="https://ppim-intra.pea.co.th:4434/request/PPIM18503E9A" TargetMode="External"/><Relationship Id="rId120" Type="http://schemas.openxmlformats.org/officeDocument/2006/relationships/hyperlink" Target="https://ppim-intra.pea.co.th:4434/request/PPIM19500B56" TargetMode="External"/><Relationship Id="rId141" Type="http://schemas.openxmlformats.org/officeDocument/2006/relationships/hyperlink" Target="https://ppim-intra.pea.co.th:4434/request/PPIM19501BB9" TargetMode="External"/><Relationship Id="rId7" Type="http://schemas.openxmlformats.org/officeDocument/2006/relationships/hyperlink" Target="https://ppim-intra.pea.co.th:4434/request/PPIM18500AAF" TargetMode="External"/><Relationship Id="rId162" Type="http://schemas.openxmlformats.org/officeDocument/2006/relationships/hyperlink" Target="https://ppim-intra.pea.co.th:4434/request/PPIM19502AE4" TargetMode="External"/><Relationship Id="rId183" Type="http://schemas.openxmlformats.org/officeDocument/2006/relationships/hyperlink" Target="https://ppim-intra.pea.co.th:4434/request/PPIM19503741" TargetMode="External"/><Relationship Id="rId218" Type="http://schemas.openxmlformats.org/officeDocument/2006/relationships/hyperlink" Target="https://ppim-intra.pea.co.th:4434/request/PPIM19504AA8" TargetMode="External"/><Relationship Id="rId239" Type="http://schemas.openxmlformats.org/officeDocument/2006/relationships/hyperlink" Target="https://ppim-intra.pea.co.th:4434/request/PPIM195058BA" TargetMode="External"/><Relationship Id="rId250" Type="http://schemas.openxmlformats.org/officeDocument/2006/relationships/vmlDrawing" Target="../drawings/vmlDrawing1.vml"/><Relationship Id="rId24" Type="http://schemas.openxmlformats.org/officeDocument/2006/relationships/hyperlink" Target="https://ppim-intra.pea.co.th:4434/request/PPIM1850111F" TargetMode="External"/><Relationship Id="rId45" Type="http://schemas.openxmlformats.org/officeDocument/2006/relationships/hyperlink" Target="https://ppim-intra.pea.co.th:4434/request/PPIM18501C39" TargetMode="External"/><Relationship Id="rId66" Type="http://schemas.openxmlformats.org/officeDocument/2006/relationships/hyperlink" Target="https://ppim-intra.pea.co.th:4434/request/PPIM18502A96" TargetMode="External"/><Relationship Id="rId87" Type="http://schemas.openxmlformats.org/officeDocument/2006/relationships/hyperlink" Target="https://ppim-intra.pea.co.th:4434/request/PPIM1850314B" TargetMode="External"/><Relationship Id="rId110" Type="http://schemas.openxmlformats.org/officeDocument/2006/relationships/hyperlink" Target="https://ppim-intra.pea.co.th:4434/request/PPIM1850456A" TargetMode="External"/><Relationship Id="rId131" Type="http://schemas.openxmlformats.org/officeDocument/2006/relationships/hyperlink" Target="https://ppim-intra.pea.co.th:4434/request/PPIM19501293" TargetMode="External"/><Relationship Id="rId152" Type="http://schemas.openxmlformats.org/officeDocument/2006/relationships/hyperlink" Target="https://ppim-intra.pea.co.th:4434/request/PPIM195021AF" TargetMode="External"/><Relationship Id="rId173" Type="http://schemas.openxmlformats.org/officeDocument/2006/relationships/hyperlink" Target="https://ppim-intra.pea.co.th:4434/request/PPIM19503585" TargetMode="External"/><Relationship Id="rId194" Type="http://schemas.openxmlformats.org/officeDocument/2006/relationships/hyperlink" Target="https://ppim-intra.pea.co.th:4434/request/PPIM195038D9" TargetMode="External"/><Relationship Id="rId208" Type="http://schemas.openxmlformats.org/officeDocument/2006/relationships/hyperlink" Target="https://ppim-intra.pea.co.th:4434/request/PPIM195045EB" TargetMode="External"/><Relationship Id="rId229" Type="http://schemas.openxmlformats.org/officeDocument/2006/relationships/hyperlink" Target="https://ppim-intra.pea.co.th:4434/request/PPIM19505104" TargetMode="External"/><Relationship Id="rId240" Type="http://schemas.openxmlformats.org/officeDocument/2006/relationships/hyperlink" Target="https://ppim-intra.pea.co.th:4434/request/PPIM19505A2C" TargetMode="External"/><Relationship Id="rId14" Type="http://schemas.openxmlformats.org/officeDocument/2006/relationships/hyperlink" Target="https://ppim-intra.pea.co.th:4434/request/PPIM18500F95" TargetMode="External"/><Relationship Id="rId35" Type="http://schemas.openxmlformats.org/officeDocument/2006/relationships/hyperlink" Target="https://ppim-intra.pea.co.th:4434/request/PPIM18501866" TargetMode="External"/><Relationship Id="rId56" Type="http://schemas.openxmlformats.org/officeDocument/2006/relationships/hyperlink" Target="https://ppim-intra.pea.co.th:4434/request/PPIM1850233D" TargetMode="External"/><Relationship Id="rId77" Type="http://schemas.openxmlformats.org/officeDocument/2006/relationships/hyperlink" Target="https://ppim-intra.pea.co.th:4434/request/PPIM185032DA" TargetMode="External"/><Relationship Id="rId100" Type="http://schemas.openxmlformats.org/officeDocument/2006/relationships/hyperlink" Target="https://ppim-intra.pea.co.th:4434/request/PPIM18503EF4" TargetMode="External"/><Relationship Id="rId8" Type="http://schemas.openxmlformats.org/officeDocument/2006/relationships/hyperlink" Target="https://ppim-intra.pea.co.th:4434/request/PPIM18500B94" TargetMode="External"/><Relationship Id="rId98" Type="http://schemas.openxmlformats.org/officeDocument/2006/relationships/hyperlink" Target="https://ppim-intra.pea.co.th:4434/request/PPIM18503ABC" TargetMode="External"/><Relationship Id="rId121" Type="http://schemas.openxmlformats.org/officeDocument/2006/relationships/hyperlink" Target="https://ppim-intra.pea.co.th:4434/request/PPIM19500C18" TargetMode="External"/><Relationship Id="rId142" Type="http://schemas.openxmlformats.org/officeDocument/2006/relationships/hyperlink" Target="https://ppim-intra.pea.co.th:4434/request/PPIM19501C69" TargetMode="External"/><Relationship Id="rId163" Type="http://schemas.openxmlformats.org/officeDocument/2006/relationships/hyperlink" Target="https://ppim-intra.pea.co.th:4434/request/PPIM19502C65" TargetMode="External"/><Relationship Id="rId184" Type="http://schemas.openxmlformats.org/officeDocument/2006/relationships/hyperlink" Target="https://ppim-intra.pea.co.th:4434/request/PPIM19503806" TargetMode="External"/><Relationship Id="rId219" Type="http://schemas.openxmlformats.org/officeDocument/2006/relationships/hyperlink" Target="https://ppim-intra.pea.co.th:4434/request/PPIM19504B92" TargetMode="External"/><Relationship Id="rId230" Type="http://schemas.openxmlformats.org/officeDocument/2006/relationships/hyperlink" Target="https://ppim-intra.pea.co.th:4434/request/PPIM19505383" TargetMode="External"/><Relationship Id="rId251" Type="http://schemas.openxmlformats.org/officeDocument/2006/relationships/control" Target="../activeX/activeX1.xml"/><Relationship Id="rId25" Type="http://schemas.openxmlformats.org/officeDocument/2006/relationships/hyperlink" Target="https://ppim-intra.pea.co.th:4434/request/PPIM185014CB" TargetMode="External"/><Relationship Id="rId46" Type="http://schemas.openxmlformats.org/officeDocument/2006/relationships/hyperlink" Target="https://ppim-intra.pea.co.th:4434/request/PPIM18501D69" TargetMode="External"/><Relationship Id="rId67" Type="http://schemas.openxmlformats.org/officeDocument/2006/relationships/hyperlink" Target="https://ppim-intra.pea.co.th:4434/request/PPIM18502B54" TargetMode="External"/><Relationship Id="rId88" Type="http://schemas.openxmlformats.org/officeDocument/2006/relationships/hyperlink" Target="https://ppim-intra.pea.co.th:4434/request/PPIM18503AAC" TargetMode="External"/><Relationship Id="rId111" Type="http://schemas.openxmlformats.org/officeDocument/2006/relationships/hyperlink" Target="https://ppim-intra.pea.co.th:4434/request/PPIM18504842" TargetMode="External"/><Relationship Id="rId132" Type="http://schemas.openxmlformats.org/officeDocument/2006/relationships/hyperlink" Target="https://ppim-intra.pea.co.th:4434/request/PPIM195013C0" TargetMode="External"/><Relationship Id="rId153" Type="http://schemas.openxmlformats.org/officeDocument/2006/relationships/hyperlink" Target="https://ppim-intra.pea.co.th:4434/request/PPIM19502283" TargetMode="External"/><Relationship Id="rId174" Type="http://schemas.openxmlformats.org/officeDocument/2006/relationships/hyperlink" Target="https://ppim-intra.pea.co.th:4434/request/PPIM19503615" TargetMode="External"/><Relationship Id="rId195" Type="http://schemas.openxmlformats.org/officeDocument/2006/relationships/hyperlink" Target="https://ppim-intra.pea.co.th:4434/request/PPIM19503C7F" TargetMode="External"/><Relationship Id="rId209" Type="http://schemas.openxmlformats.org/officeDocument/2006/relationships/hyperlink" Target="https://ppim-intra.pea.co.th:4434/request/PPIM195045B5" TargetMode="External"/><Relationship Id="rId220" Type="http://schemas.openxmlformats.org/officeDocument/2006/relationships/hyperlink" Target="https://ppim-intra.pea.co.th:4434/request/PPIM19504C43" TargetMode="External"/><Relationship Id="rId241" Type="http://schemas.openxmlformats.org/officeDocument/2006/relationships/hyperlink" Target="https://ppim-intra.pea.co.th:4434/request/PPIM19505A37" TargetMode="External"/><Relationship Id="rId15" Type="http://schemas.openxmlformats.org/officeDocument/2006/relationships/hyperlink" Target="https://ppim-intra.pea.co.th:4434/request/PPIM185001D1" TargetMode="External"/><Relationship Id="rId36" Type="http://schemas.openxmlformats.org/officeDocument/2006/relationships/hyperlink" Target="https://ppim-intra.pea.co.th:4434/request/PPIM185018EE" TargetMode="External"/><Relationship Id="rId57" Type="http://schemas.openxmlformats.org/officeDocument/2006/relationships/hyperlink" Target="https://ppim-intra.pea.co.th:4434/request/PPIM185023B2" TargetMode="External"/><Relationship Id="rId78" Type="http://schemas.openxmlformats.org/officeDocument/2006/relationships/hyperlink" Target="https://ppim-intra.pea.co.th:4434/request/PPIM185033DA" TargetMode="External"/><Relationship Id="rId99" Type="http://schemas.openxmlformats.org/officeDocument/2006/relationships/hyperlink" Target="https://ppim-intra.pea.co.th:4434/request/PPIM18503F25" TargetMode="External"/><Relationship Id="rId101" Type="http://schemas.openxmlformats.org/officeDocument/2006/relationships/hyperlink" Target="https://ppim-intra.pea.co.th:4434/request/PPIM185040F2" TargetMode="External"/><Relationship Id="rId122" Type="http://schemas.openxmlformats.org/officeDocument/2006/relationships/hyperlink" Target="https://ppim-intra.pea.co.th:4434/request/PPIM19500B50" TargetMode="External"/><Relationship Id="rId143" Type="http://schemas.openxmlformats.org/officeDocument/2006/relationships/hyperlink" Target="https://ppim-intra.pea.co.th:4434/request/PPIM19501C6F" TargetMode="External"/><Relationship Id="rId164" Type="http://schemas.openxmlformats.org/officeDocument/2006/relationships/hyperlink" Target="https://ppim-intra.pea.co.th:4434/request/PPIM19502C7D" TargetMode="External"/><Relationship Id="rId185" Type="http://schemas.openxmlformats.org/officeDocument/2006/relationships/hyperlink" Target="https://ppim-intra.pea.co.th:4434/request/PPIM1950380A" TargetMode="External"/><Relationship Id="rId4" Type="http://schemas.openxmlformats.org/officeDocument/2006/relationships/hyperlink" Target="https://ppim-intra.pea.co.th:4434/request/PPIM185006BC" TargetMode="External"/><Relationship Id="rId9" Type="http://schemas.openxmlformats.org/officeDocument/2006/relationships/hyperlink" Target="https://ppim-intra.pea.co.th:4434/request/PPIM18500BAD" TargetMode="External"/><Relationship Id="rId180" Type="http://schemas.openxmlformats.org/officeDocument/2006/relationships/hyperlink" Target="https://ppim-intra.pea.co.th:4434/request/PPIM19503636" TargetMode="External"/><Relationship Id="rId210" Type="http://schemas.openxmlformats.org/officeDocument/2006/relationships/hyperlink" Target="https://ppim-intra.pea.co.th:4434/request/PPIM19504288" TargetMode="External"/><Relationship Id="rId215" Type="http://schemas.openxmlformats.org/officeDocument/2006/relationships/hyperlink" Target="https://ppim-intra.pea.co.th:4434/request/PPIM1950497B" TargetMode="External"/><Relationship Id="rId236" Type="http://schemas.openxmlformats.org/officeDocument/2006/relationships/hyperlink" Target="https://ppim-intra.pea.co.th:4434/request/PPIM19505757" TargetMode="External"/><Relationship Id="rId26" Type="http://schemas.openxmlformats.org/officeDocument/2006/relationships/hyperlink" Target="https://ppim-intra.pea.co.th:4434/request/PPIM18501436" TargetMode="External"/><Relationship Id="rId231" Type="http://schemas.openxmlformats.org/officeDocument/2006/relationships/hyperlink" Target="https://ppim-intra.pea.co.th:4434/request/PPIM195054A3" TargetMode="External"/><Relationship Id="rId252" Type="http://schemas.openxmlformats.org/officeDocument/2006/relationships/image" Target="../media/image1.emf"/><Relationship Id="rId47" Type="http://schemas.openxmlformats.org/officeDocument/2006/relationships/hyperlink" Target="https://ppim-intra.pea.co.th:4434/request/PPIM18501DD8" TargetMode="External"/><Relationship Id="rId68" Type="http://schemas.openxmlformats.org/officeDocument/2006/relationships/hyperlink" Target="https://ppim-intra.pea.co.th:4434/request/PPIM18502AF6" TargetMode="External"/><Relationship Id="rId89" Type="http://schemas.openxmlformats.org/officeDocument/2006/relationships/hyperlink" Target="https://ppim-intra.pea.co.th:4434/request/PPIM18503ACE" TargetMode="External"/><Relationship Id="rId112" Type="http://schemas.openxmlformats.org/officeDocument/2006/relationships/hyperlink" Target="https://ppim-intra.pea.co.th:4434/request/PPIM1850485A" TargetMode="External"/><Relationship Id="rId133" Type="http://schemas.openxmlformats.org/officeDocument/2006/relationships/hyperlink" Target="https://ppim-intra.pea.co.th:4434/request/PPIM195013CC" TargetMode="External"/><Relationship Id="rId154" Type="http://schemas.openxmlformats.org/officeDocument/2006/relationships/hyperlink" Target="https://ppim-intra.pea.co.th:4434/request/PPIM195023F9" TargetMode="External"/><Relationship Id="rId175" Type="http://schemas.openxmlformats.org/officeDocument/2006/relationships/hyperlink" Target="https://ppim-intra.pea.co.th:4434/request/PPIM19503533" TargetMode="External"/><Relationship Id="rId196" Type="http://schemas.openxmlformats.org/officeDocument/2006/relationships/hyperlink" Target="https://ppim-intra.pea.co.th:4434/request/PPIM19503D43" TargetMode="External"/><Relationship Id="rId200" Type="http://schemas.openxmlformats.org/officeDocument/2006/relationships/hyperlink" Target="https://ppim-intra.pea.co.th:4434/request/PPIM19503F3C" TargetMode="External"/><Relationship Id="rId16" Type="http://schemas.openxmlformats.org/officeDocument/2006/relationships/hyperlink" Target="https://ppim-intra.pea.co.th:4434/request/PPIM185010C7" TargetMode="External"/><Relationship Id="rId221" Type="http://schemas.openxmlformats.org/officeDocument/2006/relationships/hyperlink" Target="https://ppim-intra.pea.co.th:4434/request/PPIM19504C7D" TargetMode="External"/><Relationship Id="rId242" Type="http://schemas.openxmlformats.org/officeDocument/2006/relationships/hyperlink" Target="https://ppim-intra.pea.co.th:4434/request/PPIM19505A97" TargetMode="External"/><Relationship Id="rId37" Type="http://schemas.openxmlformats.org/officeDocument/2006/relationships/hyperlink" Target="https://ppim-intra.pea.co.th:4434/request/PPIM18501A27" TargetMode="External"/><Relationship Id="rId58" Type="http://schemas.openxmlformats.org/officeDocument/2006/relationships/hyperlink" Target="https://ppim-intra.pea.co.th:4434/request/PPIM185020AA" TargetMode="External"/><Relationship Id="rId79" Type="http://schemas.openxmlformats.org/officeDocument/2006/relationships/hyperlink" Target="https://ppim-intra.pea.co.th:4434/request/PPIM18502D08" TargetMode="External"/><Relationship Id="rId102" Type="http://schemas.openxmlformats.org/officeDocument/2006/relationships/hyperlink" Target="https://ppim-intra.pea.co.th:4434/request/PPIM18504126" TargetMode="External"/><Relationship Id="rId123" Type="http://schemas.openxmlformats.org/officeDocument/2006/relationships/hyperlink" Target="https://ppim-intra.pea.co.th:4434/request/PPIM19500C83" TargetMode="External"/><Relationship Id="rId144" Type="http://schemas.openxmlformats.org/officeDocument/2006/relationships/hyperlink" Target="https://ppim-intra.pea.co.th:4434/request/PPIM19501C73" TargetMode="External"/><Relationship Id="rId90" Type="http://schemas.openxmlformats.org/officeDocument/2006/relationships/hyperlink" Target="https://ppim-intra.pea.co.th:4434/request/PPIM18503B24" TargetMode="External"/><Relationship Id="rId165" Type="http://schemas.openxmlformats.org/officeDocument/2006/relationships/hyperlink" Target="https://ppim-intra.pea.co.th:4434/request/PPIM19502EC5" TargetMode="External"/><Relationship Id="rId186" Type="http://schemas.openxmlformats.org/officeDocument/2006/relationships/hyperlink" Target="https://ppim-intra.pea.co.th:4434/request/PPIM195037E0" TargetMode="External"/><Relationship Id="rId211" Type="http://schemas.openxmlformats.org/officeDocument/2006/relationships/hyperlink" Target="https://ppim-intra.pea.co.th:4434/request/PPIM1950474A" TargetMode="External"/><Relationship Id="rId232" Type="http://schemas.openxmlformats.org/officeDocument/2006/relationships/hyperlink" Target="https://ppim-intra.pea.co.th:4434/request/PPIM195054FE" TargetMode="External"/><Relationship Id="rId27" Type="http://schemas.openxmlformats.org/officeDocument/2006/relationships/hyperlink" Target="https://ppim-intra.pea.co.th:4434/request/PPIM18501546" TargetMode="External"/><Relationship Id="rId48" Type="http://schemas.openxmlformats.org/officeDocument/2006/relationships/hyperlink" Target="https://ppim-intra.pea.co.th:4434/request/PPIM18501E95" TargetMode="External"/><Relationship Id="rId69" Type="http://schemas.openxmlformats.org/officeDocument/2006/relationships/hyperlink" Target="https://ppim-intra.pea.co.th:4434/request/PPIM18502C5D" TargetMode="External"/><Relationship Id="rId113" Type="http://schemas.openxmlformats.org/officeDocument/2006/relationships/hyperlink" Target="https://ppim-intra.pea.co.th:4434/request/PPIM18504A55" TargetMode="External"/><Relationship Id="rId134" Type="http://schemas.openxmlformats.org/officeDocument/2006/relationships/hyperlink" Target="https://ppim-intra.pea.co.th:4434/request/PPIM19501488" TargetMode="External"/><Relationship Id="rId80" Type="http://schemas.openxmlformats.org/officeDocument/2006/relationships/hyperlink" Target="https://ppim-intra.pea.co.th:4434/request/PPIM18503479" TargetMode="External"/><Relationship Id="rId155" Type="http://schemas.openxmlformats.org/officeDocument/2006/relationships/hyperlink" Target="https://ppim-intra.pea.co.th:4434/request/PPIM19502279" TargetMode="External"/><Relationship Id="rId176" Type="http://schemas.openxmlformats.org/officeDocument/2006/relationships/hyperlink" Target="https://ppim-intra.pea.co.th:4434/request/PPIM19503400" TargetMode="External"/><Relationship Id="rId197" Type="http://schemas.openxmlformats.org/officeDocument/2006/relationships/hyperlink" Target="https://ppim-intra.pea.co.th:4434/request/PPIM19503BFA" TargetMode="External"/><Relationship Id="rId201" Type="http://schemas.openxmlformats.org/officeDocument/2006/relationships/hyperlink" Target="https://ppim-intra.pea.co.th:4434/request/PPIM1950408B" TargetMode="External"/><Relationship Id="rId222" Type="http://schemas.openxmlformats.org/officeDocument/2006/relationships/hyperlink" Target="https://ppim-intra.pea.co.th:4434/request/PPIM19504C88" TargetMode="External"/><Relationship Id="rId243" Type="http://schemas.openxmlformats.org/officeDocument/2006/relationships/hyperlink" Target="https://ppim-intra.pea.co.th:4434/request/PPIM1950591F" TargetMode="External"/><Relationship Id="rId17" Type="http://schemas.openxmlformats.org/officeDocument/2006/relationships/hyperlink" Target="https://ppim-intra.pea.co.th:4434/request/PPIM185010E4" TargetMode="External"/><Relationship Id="rId38" Type="http://schemas.openxmlformats.org/officeDocument/2006/relationships/hyperlink" Target="https://ppim-intra.pea.co.th:4434/request/PPIM18501A2F" TargetMode="External"/><Relationship Id="rId59" Type="http://schemas.openxmlformats.org/officeDocument/2006/relationships/hyperlink" Target="https://ppim-intra.pea.co.th:4434/request/PPIM185024E0" TargetMode="External"/><Relationship Id="rId103" Type="http://schemas.openxmlformats.org/officeDocument/2006/relationships/hyperlink" Target="https://ppim-intra.pea.co.th:4434/request/PPIM1850418A" TargetMode="External"/><Relationship Id="rId124" Type="http://schemas.openxmlformats.org/officeDocument/2006/relationships/hyperlink" Target="https://ppim-intra.pea.co.th:4434/request/PPIM19500E99" TargetMode="External"/><Relationship Id="rId70" Type="http://schemas.openxmlformats.org/officeDocument/2006/relationships/hyperlink" Target="https://ppim-intra.pea.co.th:4434/request/PPIM18502CE7" TargetMode="External"/><Relationship Id="rId91" Type="http://schemas.openxmlformats.org/officeDocument/2006/relationships/hyperlink" Target="https://ppim-intra.pea.co.th:4434/request/PPIM18503B82" TargetMode="External"/><Relationship Id="rId145" Type="http://schemas.openxmlformats.org/officeDocument/2006/relationships/hyperlink" Target="https://ppim-intra.pea.co.th:4434/request/PPIM19501D7E" TargetMode="External"/><Relationship Id="rId166" Type="http://schemas.openxmlformats.org/officeDocument/2006/relationships/hyperlink" Target="https://ppim-intra.pea.co.th:4434/request/PPIM19502ECB" TargetMode="External"/><Relationship Id="rId187" Type="http://schemas.openxmlformats.org/officeDocument/2006/relationships/hyperlink" Target="https://ppim-intra.pea.co.th:4434/request/PPIM195036C7" TargetMode="External"/><Relationship Id="rId1" Type="http://schemas.openxmlformats.org/officeDocument/2006/relationships/hyperlink" Target="https://ppim-intra.pea.co.th:4434/request/PPIM185000F3" TargetMode="External"/><Relationship Id="rId212" Type="http://schemas.openxmlformats.org/officeDocument/2006/relationships/hyperlink" Target="https://ppim-intra.pea.co.th:4434/request/PPIM19504758" TargetMode="External"/><Relationship Id="rId233" Type="http://schemas.openxmlformats.org/officeDocument/2006/relationships/hyperlink" Target="https://ppim-intra.pea.co.th:4434/request/PPIM19505502" TargetMode="External"/><Relationship Id="rId28" Type="http://schemas.openxmlformats.org/officeDocument/2006/relationships/hyperlink" Target="https://ppim-intra.pea.co.th:4434/request/PPIM18501367" TargetMode="External"/><Relationship Id="rId49" Type="http://schemas.openxmlformats.org/officeDocument/2006/relationships/hyperlink" Target="https://ppim-intra.pea.co.th:4434/request/PPIM18502034" TargetMode="External"/><Relationship Id="rId114" Type="http://schemas.openxmlformats.org/officeDocument/2006/relationships/hyperlink" Target="https://ppim-intra.pea.co.th:4434/request/PPIM19500086" TargetMode="External"/><Relationship Id="rId60" Type="http://schemas.openxmlformats.org/officeDocument/2006/relationships/hyperlink" Target="https://ppim-intra.pea.co.th:4434/request/PPIM18502604" TargetMode="External"/><Relationship Id="rId81" Type="http://schemas.openxmlformats.org/officeDocument/2006/relationships/hyperlink" Target="https://ppim-intra.pea.co.th:4434/request/PPIM185033F2" TargetMode="External"/><Relationship Id="rId135" Type="http://schemas.openxmlformats.org/officeDocument/2006/relationships/hyperlink" Target="https://ppim-intra.pea.co.th:4434/request/PPIM1950148A" TargetMode="External"/><Relationship Id="rId156" Type="http://schemas.openxmlformats.org/officeDocument/2006/relationships/hyperlink" Target="https://ppim-intra.pea.co.th:4434/request/PPIM1950241C" TargetMode="External"/><Relationship Id="rId177" Type="http://schemas.openxmlformats.org/officeDocument/2006/relationships/hyperlink" Target="https://ppim-intra.pea.co.th:4434/request/PPIM19503631" TargetMode="External"/><Relationship Id="rId198" Type="http://schemas.openxmlformats.org/officeDocument/2006/relationships/hyperlink" Target="https://ppim-intra.pea.co.th:4434/request/PPIM195039A8" TargetMode="External"/><Relationship Id="rId202" Type="http://schemas.openxmlformats.org/officeDocument/2006/relationships/hyperlink" Target="https://ppim-intra.pea.co.th:4434/request/PPIM19503AA5" TargetMode="External"/><Relationship Id="rId223" Type="http://schemas.openxmlformats.org/officeDocument/2006/relationships/hyperlink" Target="https://ppim-intra.pea.co.th:4434/request/PPIM19504D9D" TargetMode="External"/><Relationship Id="rId244" Type="http://schemas.openxmlformats.org/officeDocument/2006/relationships/hyperlink" Target="https://ppim-intra.pea.co.th:4434/request/PPIM19505A96" TargetMode="External"/><Relationship Id="rId18" Type="http://schemas.openxmlformats.org/officeDocument/2006/relationships/hyperlink" Target="https://ppim-intra.pea.co.th:4434/request/PPIM18500B78" TargetMode="External"/><Relationship Id="rId39" Type="http://schemas.openxmlformats.org/officeDocument/2006/relationships/hyperlink" Target="https://ppim-intra.pea.co.th:4434/request/PPIM185015F8" TargetMode="External"/><Relationship Id="rId50" Type="http://schemas.openxmlformats.org/officeDocument/2006/relationships/hyperlink" Target="https://ppim-intra.pea.co.th:4434/request/PPIM18502085" TargetMode="External"/><Relationship Id="rId104" Type="http://schemas.openxmlformats.org/officeDocument/2006/relationships/hyperlink" Target="https://ppim-intra.pea.co.th:4434/request/PPIM18504190" TargetMode="External"/><Relationship Id="rId125" Type="http://schemas.openxmlformats.org/officeDocument/2006/relationships/hyperlink" Target="https://ppim-intra.pea.co.th:4434/request/PPIM19500B3D" TargetMode="External"/><Relationship Id="rId146" Type="http://schemas.openxmlformats.org/officeDocument/2006/relationships/hyperlink" Target="https://ppim-intra.pea.co.th:4434/request/PPIM19501E96" TargetMode="External"/><Relationship Id="rId167" Type="http://schemas.openxmlformats.org/officeDocument/2006/relationships/hyperlink" Target="https://ppim-intra.pea.co.th:4434/request/PPIM19503120" TargetMode="External"/><Relationship Id="rId188" Type="http://schemas.openxmlformats.org/officeDocument/2006/relationships/hyperlink" Target="https://ppim-intra.pea.co.th:4434/request/PPIM1950389A" TargetMode="External"/><Relationship Id="rId71" Type="http://schemas.openxmlformats.org/officeDocument/2006/relationships/hyperlink" Target="https://ppim-intra.pea.co.th:4434/request/PPIM18502EF5" TargetMode="External"/><Relationship Id="rId92" Type="http://schemas.openxmlformats.org/officeDocument/2006/relationships/hyperlink" Target="https://ppim-intra.pea.co.th:4434/request/PPIM18503D7D" TargetMode="External"/><Relationship Id="rId213" Type="http://schemas.openxmlformats.org/officeDocument/2006/relationships/hyperlink" Target="https://ppim-intra.pea.co.th:4434/request/PPIM19504759" TargetMode="External"/><Relationship Id="rId234" Type="http://schemas.openxmlformats.org/officeDocument/2006/relationships/hyperlink" Target="https://ppim-intra.pea.co.th:4434/request/PPIM1950553E" TargetMode="External"/><Relationship Id="rId2" Type="http://schemas.openxmlformats.org/officeDocument/2006/relationships/hyperlink" Target="https://ppim-intra.pea.co.th:4434/request/PPIM185001E7" TargetMode="External"/><Relationship Id="rId29" Type="http://schemas.openxmlformats.org/officeDocument/2006/relationships/hyperlink" Target="https://ppim-intra.pea.co.th:4434/request/PPIM18501437" TargetMode="External"/><Relationship Id="rId40" Type="http://schemas.openxmlformats.org/officeDocument/2006/relationships/hyperlink" Target="https://ppim-intra.pea.co.th:4434/request/PPIM18501AB6" TargetMode="External"/><Relationship Id="rId115" Type="http://schemas.openxmlformats.org/officeDocument/2006/relationships/hyperlink" Target="https://ppim-intra.pea.co.th:4434/request/PPIM19500281" TargetMode="External"/><Relationship Id="rId136" Type="http://schemas.openxmlformats.org/officeDocument/2006/relationships/hyperlink" Target="https://ppim-intra.pea.co.th:4434/request/PPIM1950136B" TargetMode="External"/><Relationship Id="rId157" Type="http://schemas.openxmlformats.org/officeDocument/2006/relationships/hyperlink" Target="https://ppim-intra.pea.co.th:4434/request/PPIM195026CB" TargetMode="External"/><Relationship Id="rId178" Type="http://schemas.openxmlformats.org/officeDocument/2006/relationships/hyperlink" Target="https://ppim-intra.pea.co.th:4434/request/PPIM19503632" TargetMode="External"/><Relationship Id="rId61" Type="http://schemas.openxmlformats.org/officeDocument/2006/relationships/hyperlink" Target="https://ppim-intra.pea.co.th:4434/request/PPIM18502678" TargetMode="External"/><Relationship Id="rId82" Type="http://schemas.openxmlformats.org/officeDocument/2006/relationships/hyperlink" Target="https://ppim-intra.pea.co.th:4434/request/PPIM185032B6" TargetMode="External"/><Relationship Id="rId199" Type="http://schemas.openxmlformats.org/officeDocument/2006/relationships/hyperlink" Target="https://ppim-intra.pea.co.th:4434/request/PPIM19503E17" TargetMode="External"/><Relationship Id="rId203" Type="http://schemas.openxmlformats.org/officeDocument/2006/relationships/hyperlink" Target="https://ppim-intra.pea.co.th:4434/request/PPIM19503E8C" TargetMode="External"/><Relationship Id="rId19" Type="http://schemas.openxmlformats.org/officeDocument/2006/relationships/hyperlink" Target="https://ppim-intra.pea.co.th:4434/request/PPIM185011CE" TargetMode="External"/><Relationship Id="rId224" Type="http://schemas.openxmlformats.org/officeDocument/2006/relationships/hyperlink" Target="https://ppim-intra.pea.co.th:4434/request/PPIM19504E8D" TargetMode="External"/><Relationship Id="rId245" Type="http://schemas.openxmlformats.org/officeDocument/2006/relationships/hyperlink" Target="https://ppim-intra.pea.co.th:4434/request/PPIM195053CE" TargetMode="External"/><Relationship Id="rId30" Type="http://schemas.openxmlformats.org/officeDocument/2006/relationships/hyperlink" Target="https://ppim-intra.pea.co.th:4434/request/PPIM185015D7" TargetMode="External"/><Relationship Id="rId105" Type="http://schemas.openxmlformats.org/officeDocument/2006/relationships/hyperlink" Target="https://ppim-intra.pea.co.th:4434/request/PPIM185041B9" TargetMode="External"/><Relationship Id="rId126" Type="http://schemas.openxmlformats.org/officeDocument/2006/relationships/hyperlink" Target="https://ppim-intra.pea.co.th:4434/request/PPIM19500EF1" TargetMode="External"/><Relationship Id="rId147" Type="http://schemas.openxmlformats.org/officeDocument/2006/relationships/hyperlink" Target="https://ppim-intra.pea.co.th:4434/request/PPIM19502104" TargetMode="External"/><Relationship Id="rId168" Type="http://schemas.openxmlformats.org/officeDocument/2006/relationships/hyperlink" Target="https://ppim-intra.pea.co.th:4434/request/PPIM19503259" TargetMode="External"/><Relationship Id="rId51" Type="http://schemas.openxmlformats.org/officeDocument/2006/relationships/hyperlink" Target="https://ppim-intra.pea.co.th:4434/request/PPIM18501F40" TargetMode="External"/><Relationship Id="rId72" Type="http://schemas.openxmlformats.org/officeDocument/2006/relationships/hyperlink" Target="https://ppim-intra.pea.co.th:4434/request/PPIM18503050" TargetMode="External"/><Relationship Id="rId93" Type="http://schemas.openxmlformats.org/officeDocument/2006/relationships/hyperlink" Target="https://ppim-intra.pea.co.th:4434/request/PPIM18503DB9" TargetMode="External"/><Relationship Id="rId189" Type="http://schemas.openxmlformats.org/officeDocument/2006/relationships/hyperlink" Target="https://ppim-intra.pea.co.th:4434/request/PPIM1950395C" TargetMode="External"/><Relationship Id="rId3" Type="http://schemas.openxmlformats.org/officeDocument/2006/relationships/hyperlink" Target="https://ppim-intra.pea.co.th:4434/request/PPIM185002C4" TargetMode="External"/><Relationship Id="rId214" Type="http://schemas.openxmlformats.org/officeDocument/2006/relationships/hyperlink" Target="https://ppim-intra.pea.co.th:4434/request/PPIM19504800" TargetMode="External"/><Relationship Id="rId235" Type="http://schemas.openxmlformats.org/officeDocument/2006/relationships/hyperlink" Target="https://ppim-intra.pea.co.th:4434/request/PPIM195055D2" TargetMode="External"/><Relationship Id="rId116" Type="http://schemas.openxmlformats.org/officeDocument/2006/relationships/hyperlink" Target="https://ppim-intra.pea.co.th:4434/request/PPIM19500988" TargetMode="External"/><Relationship Id="rId137" Type="http://schemas.openxmlformats.org/officeDocument/2006/relationships/hyperlink" Target="https://ppim-intra.pea.co.th:4434/request/PPIM19501782" TargetMode="External"/><Relationship Id="rId158" Type="http://schemas.openxmlformats.org/officeDocument/2006/relationships/hyperlink" Target="https://ppim-intra.pea.co.th:4434/request/PPIM1950276A" TargetMode="External"/><Relationship Id="rId20" Type="http://schemas.openxmlformats.org/officeDocument/2006/relationships/hyperlink" Target="https://ppim-intra.pea.co.th:4434/request/PPIM18500CF3" TargetMode="External"/><Relationship Id="rId41" Type="http://schemas.openxmlformats.org/officeDocument/2006/relationships/hyperlink" Target="https://ppim-intra.pea.co.th:4434/request/PPIM18501981" TargetMode="External"/><Relationship Id="rId62" Type="http://schemas.openxmlformats.org/officeDocument/2006/relationships/hyperlink" Target="https://ppim-intra.pea.co.th:4434/request/PPIM185023FB" TargetMode="External"/><Relationship Id="rId83" Type="http://schemas.openxmlformats.org/officeDocument/2006/relationships/hyperlink" Target="https://ppim-intra.pea.co.th:4434/request/PPIM18503382" TargetMode="External"/><Relationship Id="rId179" Type="http://schemas.openxmlformats.org/officeDocument/2006/relationships/hyperlink" Target="https://ppim-intra.pea.co.th:4434/request/PPIM19503634" TargetMode="External"/><Relationship Id="rId190" Type="http://schemas.openxmlformats.org/officeDocument/2006/relationships/hyperlink" Target="https://ppim-intra.pea.co.th:4434/request/PPIM1950396A" TargetMode="External"/><Relationship Id="rId204" Type="http://schemas.openxmlformats.org/officeDocument/2006/relationships/hyperlink" Target="https://ppim-intra.pea.co.th:4434/request/PPIM19504166" TargetMode="External"/><Relationship Id="rId225" Type="http://schemas.openxmlformats.org/officeDocument/2006/relationships/hyperlink" Target="https://ppim-intra.pea.co.th:4434/request/PPIM19504EE4" TargetMode="External"/><Relationship Id="rId246" Type="http://schemas.openxmlformats.org/officeDocument/2006/relationships/hyperlink" Target="https://ppim-intra.pea.co.th:4434/request/PPIM1950593D" TargetMode="External"/><Relationship Id="rId106" Type="http://schemas.openxmlformats.org/officeDocument/2006/relationships/hyperlink" Target="https://ppim-intra.pea.co.th:4434/request/PPIM185042D3" TargetMode="External"/><Relationship Id="rId127" Type="http://schemas.openxmlformats.org/officeDocument/2006/relationships/hyperlink" Target="https://ppim-intra.pea.co.th:4434/request/PPIM19500F0A" TargetMode="External"/><Relationship Id="rId10" Type="http://schemas.openxmlformats.org/officeDocument/2006/relationships/hyperlink" Target="https://ppim-intra.pea.co.th:4434/request/PPIM18500B7E" TargetMode="External"/><Relationship Id="rId31" Type="http://schemas.openxmlformats.org/officeDocument/2006/relationships/hyperlink" Target="https://ppim-intra.pea.co.th:4434/request/PPIM185016F2" TargetMode="External"/><Relationship Id="rId52" Type="http://schemas.openxmlformats.org/officeDocument/2006/relationships/hyperlink" Target="https://ppim-intra.pea.co.th:4434/request/PPIM1850225F" TargetMode="External"/><Relationship Id="rId73" Type="http://schemas.openxmlformats.org/officeDocument/2006/relationships/hyperlink" Target="https://ppim-intra.pea.co.th:4434/request/PPIM185030F9" TargetMode="External"/><Relationship Id="rId94" Type="http://schemas.openxmlformats.org/officeDocument/2006/relationships/hyperlink" Target="https://ppim-intra.pea.co.th:4434/request/PPIM18503DCB" TargetMode="External"/><Relationship Id="rId148" Type="http://schemas.openxmlformats.org/officeDocument/2006/relationships/hyperlink" Target="https://ppim-intra.pea.co.th:4434/request/PPIM195021B5" TargetMode="External"/><Relationship Id="rId169" Type="http://schemas.openxmlformats.org/officeDocument/2006/relationships/hyperlink" Target="https://ppim-intra.pea.co.th:4434/request/PPIM19502F99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207" TargetMode="External"/><Relationship Id="rId21" Type="http://schemas.openxmlformats.org/officeDocument/2006/relationships/hyperlink" Target="https://ppim-intra.pea.co.th:4434/request/PPIM18500AFD" TargetMode="External"/><Relationship Id="rId42" Type="http://schemas.openxmlformats.org/officeDocument/2006/relationships/hyperlink" Target="https://ppim-intra.pea.co.th:4434/request/PPIM18502B4F" TargetMode="External"/><Relationship Id="rId47" Type="http://schemas.openxmlformats.org/officeDocument/2006/relationships/hyperlink" Target="https://ppim-intra.pea.co.th:4434/request/PPIM1850311A" TargetMode="External"/><Relationship Id="rId63" Type="http://schemas.openxmlformats.org/officeDocument/2006/relationships/hyperlink" Target="https://ppim-intra.pea.co.th:4434/request/PPIM19500E01" TargetMode="External"/><Relationship Id="rId68" Type="http://schemas.openxmlformats.org/officeDocument/2006/relationships/hyperlink" Target="https://ppim-intra.pea.co.th:4434/request/PPIM19502EE1" TargetMode="External"/><Relationship Id="rId84" Type="http://schemas.openxmlformats.org/officeDocument/2006/relationships/hyperlink" Target="https://ppim-intra.pea.co.th:4434/request/PPIM1950468A" TargetMode="External"/><Relationship Id="rId89" Type="http://schemas.openxmlformats.org/officeDocument/2006/relationships/hyperlink" Target="https://ppim-intra.pea.co.th:4434/request/PPIM19505023" TargetMode="External"/><Relationship Id="rId16" Type="http://schemas.openxmlformats.org/officeDocument/2006/relationships/hyperlink" Target="https://ppim-intra.pea.co.th:4434/request/PPIM18501BF6" TargetMode="External"/><Relationship Id="rId11" Type="http://schemas.openxmlformats.org/officeDocument/2006/relationships/hyperlink" Target="https://ppim-intra.pea.co.th:4434/request/PPIM18501382" TargetMode="External"/><Relationship Id="rId32" Type="http://schemas.openxmlformats.org/officeDocument/2006/relationships/hyperlink" Target="https://ppim-intra.pea.co.th:4434/request/PPIM185027DC" TargetMode="External"/><Relationship Id="rId37" Type="http://schemas.openxmlformats.org/officeDocument/2006/relationships/hyperlink" Target="https://ppim-intra.pea.co.th:4434/request/PPIM185029C2" TargetMode="External"/><Relationship Id="rId53" Type="http://schemas.openxmlformats.org/officeDocument/2006/relationships/hyperlink" Target="https://ppim-intra.pea.co.th:4434/request/PPIM185040AE" TargetMode="External"/><Relationship Id="rId58" Type="http://schemas.openxmlformats.org/officeDocument/2006/relationships/hyperlink" Target="https://ppim-intra.pea.co.th:4434/request/PPIM185042E4" TargetMode="External"/><Relationship Id="rId74" Type="http://schemas.openxmlformats.org/officeDocument/2006/relationships/hyperlink" Target="https://ppim-intra.pea.co.th:4434/request/PPIM19502EC4" TargetMode="External"/><Relationship Id="rId79" Type="http://schemas.openxmlformats.org/officeDocument/2006/relationships/hyperlink" Target="https://ppim-intra.pea.co.th:4434/request/PPIM19503C10" TargetMode="External"/><Relationship Id="rId102" Type="http://schemas.openxmlformats.org/officeDocument/2006/relationships/printerSettings" Target="../printerSettings/printerSettings4.bin"/><Relationship Id="rId5" Type="http://schemas.openxmlformats.org/officeDocument/2006/relationships/hyperlink" Target="https://ppim-intra.pea.co.th:4434/request/PPIM18500133" TargetMode="External"/><Relationship Id="rId90" Type="http://schemas.openxmlformats.org/officeDocument/2006/relationships/hyperlink" Target="https://ppim-intra.pea.co.th:4434/request/PPIM19503BA3" TargetMode="External"/><Relationship Id="rId95" Type="http://schemas.openxmlformats.org/officeDocument/2006/relationships/hyperlink" Target="https://ppim-intra.pea.co.th:4434/request/PPIM195057CE" TargetMode="External"/><Relationship Id="rId22" Type="http://schemas.openxmlformats.org/officeDocument/2006/relationships/hyperlink" Target="https://ppim-intra.pea.co.th:4434/request/PPIM18501FE1" TargetMode="External"/><Relationship Id="rId27" Type="http://schemas.openxmlformats.org/officeDocument/2006/relationships/hyperlink" Target="https://ppim-intra.pea.co.th:4434/request/PPIM1850199F" TargetMode="External"/><Relationship Id="rId43" Type="http://schemas.openxmlformats.org/officeDocument/2006/relationships/hyperlink" Target="https://ppim-intra.pea.co.th:4434/request/PPIM1850314E" TargetMode="External"/><Relationship Id="rId48" Type="http://schemas.openxmlformats.org/officeDocument/2006/relationships/hyperlink" Target="https://ppim-intra.pea.co.th:4434/request/PPIM18503F74" TargetMode="External"/><Relationship Id="rId64" Type="http://schemas.openxmlformats.org/officeDocument/2006/relationships/hyperlink" Target="https://ppim-intra.pea.co.th:4434/request/PPIM19500A6F" TargetMode="External"/><Relationship Id="rId69" Type="http://schemas.openxmlformats.org/officeDocument/2006/relationships/hyperlink" Target="https://ppim-intra.pea.co.th:4434/request/PPIM19502F5F" TargetMode="External"/><Relationship Id="rId80" Type="http://schemas.openxmlformats.org/officeDocument/2006/relationships/hyperlink" Target="https://ppim-intra.pea.co.th:4434/request/PPIM19503D3A" TargetMode="External"/><Relationship Id="rId85" Type="http://schemas.openxmlformats.org/officeDocument/2006/relationships/hyperlink" Target="https://ppim-intra.pea.co.th:4434/request/PPIM19504715" TargetMode="External"/><Relationship Id="rId12" Type="http://schemas.openxmlformats.org/officeDocument/2006/relationships/hyperlink" Target="https://ppim-intra.pea.co.th:4434/request/PPIM185018F0" TargetMode="External"/><Relationship Id="rId17" Type="http://schemas.openxmlformats.org/officeDocument/2006/relationships/hyperlink" Target="https://ppim-intra.pea.co.th:4434/request/PPIM18501C59" TargetMode="External"/><Relationship Id="rId33" Type="http://schemas.openxmlformats.org/officeDocument/2006/relationships/hyperlink" Target="https://ppim-intra.pea.co.th:4434/request/PPIM18501FB1" TargetMode="External"/><Relationship Id="rId38" Type="http://schemas.openxmlformats.org/officeDocument/2006/relationships/hyperlink" Target="https://ppim-intra.pea.co.th:4434/request/PPIM185020BD" TargetMode="External"/><Relationship Id="rId59" Type="http://schemas.openxmlformats.org/officeDocument/2006/relationships/hyperlink" Target="https://ppim-intra.pea.co.th:4434/request/PPIM1950092E" TargetMode="External"/><Relationship Id="rId103" Type="http://schemas.openxmlformats.org/officeDocument/2006/relationships/drawing" Target="../drawings/drawing3.xml"/><Relationship Id="rId20" Type="http://schemas.openxmlformats.org/officeDocument/2006/relationships/hyperlink" Target="https://ppim-intra.pea.co.th:4434/request/PPIM185019BB" TargetMode="External"/><Relationship Id="rId41" Type="http://schemas.openxmlformats.org/officeDocument/2006/relationships/hyperlink" Target="https://ppim-intra.pea.co.th:4434/request/PPIM18502B3B" TargetMode="External"/><Relationship Id="rId54" Type="http://schemas.openxmlformats.org/officeDocument/2006/relationships/hyperlink" Target="https://ppim-intra.pea.co.th:4434/request/PPIM185047D9" TargetMode="External"/><Relationship Id="rId62" Type="http://schemas.openxmlformats.org/officeDocument/2006/relationships/hyperlink" Target="https://ppim-intra.pea.co.th:4434/request/PPIM19500FD7" TargetMode="External"/><Relationship Id="rId70" Type="http://schemas.openxmlformats.org/officeDocument/2006/relationships/hyperlink" Target="https://ppim-intra.pea.co.th:4434/request/PPIM195013BC" TargetMode="External"/><Relationship Id="rId75" Type="http://schemas.openxmlformats.org/officeDocument/2006/relationships/hyperlink" Target="https://ppim-intra.pea.co.th:4434/request/PPIM195012B6" TargetMode="External"/><Relationship Id="rId83" Type="http://schemas.openxmlformats.org/officeDocument/2006/relationships/hyperlink" Target="https://ppim-intra.pea.co.th:4434/request/PPIM19504684" TargetMode="External"/><Relationship Id="rId88" Type="http://schemas.openxmlformats.org/officeDocument/2006/relationships/hyperlink" Target="https://ppim-intra.pea.co.th:4434/request/PPIM19504C9F" TargetMode="External"/><Relationship Id="rId91" Type="http://schemas.openxmlformats.org/officeDocument/2006/relationships/hyperlink" Target="https://ppim-intra.pea.co.th:4434/request/PPIM195055EC" TargetMode="External"/><Relationship Id="rId96" Type="http://schemas.openxmlformats.org/officeDocument/2006/relationships/hyperlink" Target="https://ppim-intra.pea.co.th:4434/request/PPIM19503FB5" TargetMode="External"/><Relationship Id="rId1" Type="http://schemas.openxmlformats.org/officeDocument/2006/relationships/hyperlink" Target="https://ppim-intra.pea.co.th:4434/request/PPIM185009D0" TargetMode="External"/><Relationship Id="rId6" Type="http://schemas.openxmlformats.org/officeDocument/2006/relationships/hyperlink" Target="https://ppim-intra.pea.co.th:4434/request/PPIM18500F86" TargetMode="External"/><Relationship Id="rId15" Type="http://schemas.openxmlformats.org/officeDocument/2006/relationships/hyperlink" Target="https://ppim-intra.pea.co.th:4434/request/PPIM18501BC3" TargetMode="External"/><Relationship Id="rId23" Type="http://schemas.openxmlformats.org/officeDocument/2006/relationships/hyperlink" Target="https://ppim-intra.pea.co.th:4434/request/PPIM18501FF3" TargetMode="External"/><Relationship Id="rId28" Type="http://schemas.openxmlformats.org/officeDocument/2006/relationships/hyperlink" Target="https://ppim-intra.pea.co.th:4434/request/PPIM1850242B" TargetMode="External"/><Relationship Id="rId36" Type="http://schemas.openxmlformats.org/officeDocument/2006/relationships/hyperlink" Target="https://ppim-intra.pea.co.th:4434/request/PPIM18501E20" TargetMode="External"/><Relationship Id="rId49" Type="http://schemas.openxmlformats.org/officeDocument/2006/relationships/hyperlink" Target="https://ppim-intra.pea.co.th:4434/request/PPIM18503F79" TargetMode="External"/><Relationship Id="rId57" Type="http://schemas.openxmlformats.org/officeDocument/2006/relationships/hyperlink" Target="https://ppim-intra.pea.co.th:4434/request/PPIM1950063F" TargetMode="External"/><Relationship Id="rId106" Type="http://schemas.openxmlformats.org/officeDocument/2006/relationships/image" Target="../media/image2.emf"/><Relationship Id="rId10" Type="http://schemas.openxmlformats.org/officeDocument/2006/relationships/hyperlink" Target="https://ppim-intra.pea.co.th:4434/request/PPIM18501758" TargetMode="External"/><Relationship Id="rId31" Type="http://schemas.openxmlformats.org/officeDocument/2006/relationships/hyperlink" Target="https://ppim-intra.pea.co.th:4434/request/PPIM18502609" TargetMode="External"/><Relationship Id="rId44" Type="http://schemas.openxmlformats.org/officeDocument/2006/relationships/hyperlink" Target="https://ppim-intra.pea.co.th:4434/request/PPIM18503518" TargetMode="External"/><Relationship Id="rId52" Type="http://schemas.openxmlformats.org/officeDocument/2006/relationships/hyperlink" Target="https://ppim-intra.pea.co.th:4434/request/PPIM18504619" TargetMode="External"/><Relationship Id="rId60" Type="http://schemas.openxmlformats.org/officeDocument/2006/relationships/hyperlink" Target="https://ppim-intra.pea.co.th:4434/request/PPIM195003C7" TargetMode="External"/><Relationship Id="rId65" Type="http://schemas.openxmlformats.org/officeDocument/2006/relationships/hyperlink" Target="https://ppim-intra.pea.co.th:4434/request/PPIM19501E55" TargetMode="External"/><Relationship Id="rId73" Type="http://schemas.openxmlformats.org/officeDocument/2006/relationships/hyperlink" Target="https://ppim-intra.pea.co.th:4434/request/PPIM19503600" TargetMode="External"/><Relationship Id="rId78" Type="http://schemas.openxmlformats.org/officeDocument/2006/relationships/hyperlink" Target="https://ppim-intra.pea.co.th:4434/request/PPIM19503A78" TargetMode="External"/><Relationship Id="rId81" Type="http://schemas.openxmlformats.org/officeDocument/2006/relationships/hyperlink" Target="https://ppim-intra.pea.co.th:4434/request/PPIM19503E66" TargetMode="External"/><Relationship Id="rId86" Type="http://schemas.openxmlformats.org/officeDocument/2006/relationships/hyperlink" Target="https://ppim-intra.pea.co.th:4434/request/PPIM19504742" TargetMode="External"/><Relationship Id="rId94" Type="http://schemas.openxmlformats.org/officeDocument/2006/relationships/hyperlink" Target="https://ppim-intra.pea.co.th:4434/request/PPIM195057C6" TargetMode="External"/><Relationship Id="rId99" Type="http://schemas.openxmlformats.org/officeDocument/2006/relationships/hyperlink" Target="https://ppim-intra.pea.co.th:4434/request/PPIM1950586F" TargetMode="External"/><Relationship Id="rId101" Type="http://schemas.openxmlformats.org/officeDocument/2006/relationships/hyperlink" Target="https://ppim-intra.pea.co.th:4434/request/PPIM19505B6E" TargetMode="External"/><Relationship Id="rId4" Type="http://schemas.openxmlformats.org/officeDocument/2006/relationships/hyperlink" Target="https://ppim-intra.pea.co.th:4434/request/PPIM18500DD0" TargetMode="External"/><Relationship Id="rId9" Type="http://schemas.openxmlformats.org/officeDocument/2006/relationships/hyperlink" Target="https://ppim-intra.pea.co.th:4434/request/PPIM185016EA" TargetMode="External"/><Relationship Id="rId13" Type="http://schemas.openxmlformats.org/officeDocument/2006/relationships/hyperlink" Target="https://ppim-intra.pea.co.th:4434/request/PPIM1850194C" TargetMode="External"/><Relationship Id="rId18" Type="http://schemas.openxmlformats.org/officeDocument/2006/relationships/hyperlink" Target="https://ppim-intra.pea.co.th:4434/request/PPIM18501A8B" TargetMode="External"/><Relationship Id="rId39" Type="http://schemas.openxmlformats.org/officeDocument/2006/relationships/hyperlink" Target="https://ppim-intra.pea.co.th:4434/request/PPIM18502A82" TargetMode="External"/><Relationship Id="rId34" Type="http://schemas.openxmlformats.org/officeDocument/2006/relationships/hyperlink" Target="https://ppim-intra.pea.co.th:4434/request/PPIM18502129" TargetMode="External"/><Relationship Id="rId50" Type="http://schemas.openxmlformats.org/officeDocument/2006/relationships/hyperlink" Target="https://ppim-intra.pea.co.th:4434/request/PPIM18504407" TargetMode="External"/><Relationship Id="rId55" Type="http://schemas.openxmlformats.org/officeDocument/2006/relationships/hyperlink" Target="https://ppim-intra.pea.co.th:4434/request/PPIM18504829" TargetMode="External"/><Relationship Id="rId76" Type="http://schemas.openxmlformats.org/officeDocument/2006/relationships/hyperlink" Target="https://ppim-intra.pea.co.th:4434/request/PPIM195037CE" TargetMode="External"/><Relationship Id="rId97" Type="http://schemas.openxmlformats.org/officeDocument/2006/relationships/hyperlink" Target="https://ppim-intra.pea.co.th:4434/request/PPIM19505860" TargetMode="External"/><Relationship Id="rId104" Type="http://schemas.openxmlformats.org/officeDocument/2006/relationships/vmlDrawing" Target="../drawings/vmlDrawing2.vml"/><Relationship Id="rId7" Type="http://schemas.openxmlformats.org/officeDocument/2006/relationships/hyperlink" Target="https://ppim-intra.pea.co.th:4434/request/PPIM18501602" TargetMode="External"/><Relationship Id="rId71" Type="http://schemas.openxmlformats.org/officeDocument/2006/relationships/hyperlink" Target="https://ppim-intra.pea.co.th:4434/request/PPIM19502FFD" TargetMode="External"/><Relationship Id="rId92" Type="http://schemas.openxmlformats.org/officeDocument/2006/relationships/hyperlink" Target="https://ppim-intra.pea.co.th:4434/request/PPIM19504717" TargetMode="External"/><Relationship Id="rId2" Type="http://schemas.openxmlformats.org/officeDocument/2006/relationships/hyperlink" Target="https://ppim-intra.pea.co.th:4434/request/PPIM185009D0" TargetMode="External"/><Relationship Id="rId29" Type="http://schemas.openxmlformats.org/officeDocument/2006/relationships/hyperlink" Target="https://ppim-intra.pea.co.th:4434/request/PPIM185024AE" TargetMode="External"/><Relationship Id="rId24" Type="http://schemas.openxmlformats.org/officeDocument/2006/relationships/hyperlink" Target="https://ppim-intra.pea.co.th:4434/request/PPIM18502038" TargetMode="External"/><Relationship Id="rId40" Type="http://schemas.openxmlformats.org/officeDocument/2006/relationships/hyperlink" Target="https://ppim-intra.pea.co.th:4434/request/PPIM18502AC6" TargetMode="External"/><Relationship Id="rId45" Type="http://schemas.openxmlformats.org/officeDocument/2006/relationships/hyperlink" Target="https://ppim-intra.pea.co.th:4434/request/PPIM18503E8F" TargetMode="External"/><Relationship Id="rId66" Type="http://schemas.openxmlformats.org/officeDocument/2006/relationships/hyperlink" Target="https://ppim-intra.pea.co.th:4434/request/PPIM19502239" TargetMode="External"/><Relationship Id="rId87" Type="http://schemas.openxmlformats.org/officeDocument/2006/relationships/hyperlink" Target="https://ppim-intra.pea.co.th:4434/request/PPIM195048B9" TargetMode="External"/><Relationship Id="rId61" Type="http://schemas.openxmlformats.org/officeDocument/2006/relationships/hyperlink" Target="https://ppim-intra.pea.co.th:4434/request/PPIM1950080E" TargetMode="External"/><Relationship Id="rId82" Type="http://schemas.openxmlformats.org/officeDocument/2006/relationships/hyperlink" Target="https://ppim-intra.pea.co.th:4434/request/PPIM1950467E" TargetMode="External"/><Relationship Id="rId19" Type="http://schemas.openxmlformats.org/officeDocument/2006/relationships/hyperlink" Target="https://ppim-intra.pea.co.th:4434/request/PPIM18501A88" TargetMode="External"/><Relationship Id="rId14" Type="http://schemas.openxmlformats.org/officeDocument/2006/relationships/hyperlink" Target="https://ppim-intra.pea.co.th:4434/request/PPIM18501B33" TargetMode="External"/><Relationship Id="rId30" Type="http://schemas.openxmlformats.org/officeDocument/2006/relationships/hyperlink" Target="https://ppim-intra.pea.co.th:4434/request/PPIM18502587" TargetMode="External"/><Relationship Id="rId35" Type="http://schemas.openxmlformats.org/officeDocument/2006/relationships/hyperlink" Target="https://ppim-intra.pea.co.th:4434/request/PPIM185028BD" TargetMode="External"/><Relationship Id="rId56" Type="http://schemas.openxmlformats.org/officeDocument/2006/relationships/hyperlink" Target="https://ppim-intra.pea.co.th:4434/request/PPIM18504037" TargetMode="External"/><Relationship Id="rId77" Type="http://schemas.openxmlformats.org/officeDocument/2006/relationships/hyperlink" Target="https://ppim-intra.pea.co.th:4434/request/PPIM195039E7" TargetMode="External"/><Relationship Id="rId100" Type="http://schemas.openxmlformats.org/officeDocument/2006/relationships/hyperlink" Target="https://ppim-intra.pea.co.th:4434/request/PPIM195045E7" TargetMode="External"/><Relationship Id="rId105" Type="http://schemas.openxmlformats.org/officeDocument/2006/relationships/control" Target="../activeX/activeX2.xml"/><Relationship Id="rId8" Type="http://schemas.openxmlformats.org/officeDocument/2006/relationships/hyperlink" Target="https://ppim-intra.pea.co.th:4434/request/PPIM185016E0" TargetMode="External"/><Relationship Id="rId51" Type="http://schemas.openxmlformats.org/officeDocument/2006/relationships/hyperlink" Target="https://ppim-intra.pea.co.th:4434/request/PPIM18503C54" TargetMode="External"/><Relationship Id="rId72" Type="http://schemas.openxmlformats.org/officeDocument/2006/relationships/hyperlink" Target="https://ppim-intra.pea.co.th:4434/request/PPIM195035F4" TargetMode="External"/><Relationship Id="rId93" Type="http://schemas.openxmlformats.org/officeDocument/2006/relationships/hyperlink" Target="https://ppim-intra.pea.co.th:4434/request/PPIM195047FB" TargetMode="External"/><Relationship Id="rId98" Type="http://schemas.openxmlformats.org/officeDocument/2006/relationships/hyperlink" Target="https://ppim-intra.pea.co.th:4434/request/PPIM19505862" TargetMode="External"/><Relationship Id="rId3" Type="http://schemas.openxmlformats.org/officeDocument/2006/relationships/hyperlink" Target="https://ppim-intra.pea.co.th:4434/request/PPIM18500CF2" TargetMode="External"/><Relationship Id="rId25" Type="http://schemas.openxmlformats.org/officeDocument/2006/relationships/hyperlink" Target="https://ppim-intra.pea.co.th:4434/request/PPIM18500B60" TargetMode="External"/><Relationship Id="rId46" Type="http://schemas.openxmlformats.org/officeDocument/2006/relationships/hyperlink" Target="https://ppim-intra.pea.co.th:4434/request/PPIM18502998" TargetMode="External"/><Relationship Id="rId67" Type="http://schemas.openxmlformats.org/officeDocument/2006/relationships/hyperlink" Target="https://ppim-intra.pea.co.th:4434/request/PPIM19502583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3CCA" TargetMode="External"/><Relationship Id="rId21" Type="http://schemas.openxmlformats.org/officeDocument/2006/relationships/hyperlink" Target="https://ppim-intra.pea.co.th:4434/request/PPIM185034A5" TargetMode="External"/><Relationship Id="rId42" Type="http://schemas.openxmlformats.org/officeDocument/2006/relationships/hyperlink" Target="https://ppim-intra.pea.co.th:4434/request/PPIM18504999" TargetMode="External"/><Relationship Id="rId47" Type="http://schemas.openxmlformats.org/officeDocument/2006/relationships/hyperlink" Target="https://ppim-intra.pea.co.th:4434/request/PPIM195012F9" TargetMode="External"/><Relationship Id="rId63" Type="http://schemas.openxmlformats.org/officeDocument/2006/relationships/hyperlink" Target="https://ppim-intra.pea.co.th:4434/request/PPIM19504181" TargetMode="External"/><Relationship Id="rId68" Type="http://schemas.openxmlformats.org/officeDocument/2006/relationships/hyperlink" Target="https://ppim-intra.pea.co.th:4434/request/PPIM1950460E" TargetMode="External"/><Relationship Id="rId84" Type="http://schemas.openxmlformats.org/officeDocument/2006/relationships/hyperlink" Target="https://ppim-intra.pea.co.th:4434/request/PPIM19505996" TargetMode="External"/><Relationship Id="rId89" Type="http://schemas.openxmlformats.org/officeDocument/2006/relationships/image" Target="../media/image1.emf"/><Relationship Id="rId16" Type="http://schemas.openxmlformats.org/officeDocument/2006/relationships/hyperlink" Target="https://ppim-intra.pea.co.th:4434/request/PPIM1850303C" TargetMode="External"/><Relationship Id="rId11" Type="http://schemas.openxmlformats.org/officeDocument/2006/relationships/hyperlink" Target="https://ppim-intra.pea.co.th:4434/request/PPIM185021DA" TargetMode="External"/><Relationship Id="rId32" Type="http://schemas.openxmlformats.org/officeDocument/2006/relationships/hyperlink" Target="https://ppim-intra.pea.co.th:4434/request/PPIM18504038" TargetMode="External"/><Relationship Id="rId37" Type="http://schemas.openxmlformats.org/officeDocument/2006/relationships/hyperlink" Target="https://ppim-intra.pea.co.th:4434/request/PPIM185043D7" TargetMode="External"/><Relationship Id="rId53" Type="http://schemas.openxmlformats.org/officeDocument/2006/relationships/hyperlink" Target="https://ppim-intra.pea.co.th:4434/request/PPIM1950320A" TargetMode="External"/><Relationship Id="rId58" Type="http://schemas.openxmlformats.org/officeDocument/2006/relationships/hyperlink" Target="https://ppim-intra.pea.co.th:4434/request/PPIM195038BE" TargetMode="External"/><Relationship Id="rId74" Type="http://schemas.openxmlformats.org/officeDocument/2006/relationships/hyperlink" Target="https://ppim-intra.pea.co.th:4434/request/PPIM19504984" TargetMode="External"/><Relationship Id="rId79" Type="http://schemas.openxmlformats.org/officeDocument/2006/relationships/hyperlink" Target="https://ppim-intra.pea.co.th:4434/request/PPIM19504D50" TargetMode="External"/><Relationship Id="rId5" Type="http://schemas.openxmlformats.org/officeDocument/2006/relationships/hyperlink" Target="https://ppim-intra.pea.co.th:4434/request/PPIM18500E7A" TargetMode="External"/><Relationship Id="rId14" Type="http://schemas.openxmlformats.org/officeDocument/2006/relationships/hyperlink" Target="https://ppim-intra.pea.co.th:4434/request/PPIM18502CA1" TargetMode="External"/><Relationship Id="rId22" Type="http://schemas.openxmlformats.org/officeDocument/2006/relationships/hyperlink" Target="https://ppim-intra.pea.co.th:4434/request/PPIM1850350C" TargetMode="External"/><Relationship Id="rId27" Type="http://schemas.openxmlformats.org/officeDocument/2006/relationships/hyperlink" Target="https://ppim-intra.pea.co.th:4434/request/PPIM18503857" TargetMode="External"/><Relationship Id="rId30" Type="http://schemas.openxmlformats.org/officeDocument/2006/relationships/hyperlink" Target="https://ppim-intra.pea.co.th:4434/request/PPIM18503E82" TargetMode="External"/><Relationship Id="rId35" Type="http://schemas.openxmlformats.org/officeDocument/2006/relationships/hyperlink" Target="https://ppim-intra.pea.co.th:4434/request/PPIM185042B8" TargetMode="External"/><Relationship Id="rId43" Type="http://schemas.openxmlformats.org/officeDocument/2006/relationships/hyperlink" Target="https://ppim-intra.pea.co.th:4434/request/PPIM19500263" TargetMode="External"/><Relationship Id="rId48" Type="http://schemas.openxmlformats.org/officeDocument/2006/relationships/hyperlink" Target="https://ppim-intra.pea.co.th:4434/request/PPIM19501342" TargetMode="External"/><Relationship Id="rId56" Type="http://schemas.openxmlformats.org/officeDocument/2006/relationships/hyperlink" Target="https://ppim-intra.pea.co.th:4434/request/PPIM19503815" TargetMode="External"/><Relationship Id="rId64" Type="http://schemas.openxmlformats.org/officeDocument/2006/relationships/hyperlink" Target="https://ppim-intra.pea.co.th:4434/request/PPIM19504387" TargetMode="External"/><Relationship Id="rId69" Type="http://schemas.openxmlformats.org/officeDocument/2006/relationships/hyperlink" Target="https://ppim-intra.pea.co.th:4434/request/PPIM195047E3" TargetMode="External"/><Relationship Id="rId77" Type="http://schemas.openxmlformats.org/officeDocument/2006/relationships/hyperlink" Target="https://ppim-intra.pea.co.th:4434/request/PPIM19504C4E" TargetMode="External"/><Relationship Id="rId8" Type="http://schemas.openxmlformats.org/officeDocument/2006/relationships/hyperlink" Target="https://ppim-intra.pea.co.th:4434/request/PPIM185016D5" TargetMode="External"/><Relationship Id="rId51" Type="http://schemas.openxmlformats.org/officeDocument/2006/relationships/hyperlink" Target="https://ppim-intra.pea.co.th:4434/request/PPIM19502FBB" TargetMode="External"/><Relationship Id="rId72" Type="http://schemas.openxmlformats.org/officeDocument/2006/relationships/hyperlink" Target="https://ppim-intra.pea.co.th:4434/request/PPIM195048DD" TargetMode="External"/><Relationship Id="rId80" Type="http://schemas.openxmlformats.org/officeDocument/2006/relationships/hyperlink" Target="https://ppim-intra.pea.co.th:4434/request/PPIM19504D55" TargetMode="External"/><Relationship Id="rId85" Type="http://schemas.openxmlformats.org/officeDocument/2006/relationships/hyperlink" Target="https://ppim-intra.pea.co.th:4434/request/PPIM19505A0E" TargetMode="External"/><Relationship Id="rId3" Type="http://schemas.openxmlformats.org/officeDocument/2006/relationships/hyperlink" Target="https://ppim-intra.pea.co.th:4434/request/PPIM18501001" TargetMode="External"/><Relationship Id="rId12" Type="http://schemas.openxmlformats.org/officeDocument/2006/relationships/hyperlink" Target="https://ppim-intra.pea.co.th:4434/request/PPIM18502198" TargetMode="External"/><Relationship Id="rId17" Type="http://schemas.openxmlformats.org/officeDocument/2006/relationships/hyperlink" Target="https://ppim-intra.pea.co.th:4434/request/PPIM185030EB" TargetMode="External"/><Relationship Id="rId25" Type="http://schemas.openxmlformats.org/officeDocument/2006/relationships/hyperlink" Target="https://ppim-intra.pea.co.th:4434/request/PPIM18503C05" TargetMode="External"/><Relationship Id="rId33" Type="http://schemas.openxmlformats.org/officeDocument/2006/relationships/hyperlink" Target="https://ppim-intra.pea.co.th:4434/request/PPIM185040A4" TargetMode="External"/><Relationship Id="rId38" Type="http://schemas.openxmlformats.org/officeDocument/2006/relationships/hyperlink" Target="https://ppim-intra.pea.co.th:4434/request/PPIM1850452B" TargetMode="External"/><Relationship Id="rId46" Type="http://schemas.openxmlformats.org/officeDocument/2006/relationships/hyperlink" Target="https://ppim-intra.pea.co.th:4434/request/PPIM19500B6B" TargetMode="External"/><Relationship Id="rId59" Type="http://schemas.openxmlformats.org/officeDocument/2006/relationships/hyperlink" Target="https://ppim-intra.pea.co.th:4434/request/PPIM19503A52" TargetMode="External"/><Relationship Id="rId67" Type="http://schemas.openxmlformats.org/officeDocument/2006/relationships/hyperlink" Target="https://ppim-intra.pea.co.th:4434/request/PPIM195045BA" TargetMode="External"/><Relationship Id="rId20" Type="http://schemas.openxmlformats.org/officeDocument/2006/relationships/hyperlink" Target="https://ppim-intra.pea.co.th:4434/request/PPIM18503131" TargetMode="External"/><Relationship Id="rId41" Type="http://schemas.openxmlformats.org/officeDocument/2006/relationships/hyperlink" Target="https://ppim-intra.pea.co.th:4434/request/PPIM1850497B" TargetMode="External"/><Relationship Id="rId54" Type="http://schemas.openxmlformats.org/officeDocument/2006/relationships/hyperlink" Target="https://ppim-intra.pea.co.th:4434/request/PPIM19502100" TargetMode="External"/><Relationship Id="rId62" Type="http://schemas.openxmlformats.org/officeDocument/2006/relationships/hyperlink" Target="https://ppim-intra.pea.co.th:4434/request/PPIM1950415A" TargetMode="External"/><Relationship Id="rId70" Type="http://schemas.openxmlformats.org/officeDocument/2006/relationships/hyperlink" Target="https://ppim-intra.pea.co.th:4434/request/PPIM19504644" TargetMode="External"/><Relationship Id="rId75" Type="http://schemas.openxmlformats.org/officeDocument/2006/relationships/hyperlink" Target="https://ppim-intra.pea.co.th:4434/request/PPIM19504B4A" TargetMode="External"/><Relationship Id="rId83" Type="http://schemas.openxmlformats.org/officeDocument/2006/relationships/hyperlink" Target="https://ppim-intra.pea.co.th:4434/request/PPIM19505871" TargetMode="External"/><Relationship Id="rId88" Type="http://schemas.openxmlformats.org/officeDocument/2006/relationships/control" Target="../activeX/activeX3.xml"/><Relationship Id="rId1" Type="http://schemas.openxmlformats.org/officeDocument/2006/relationships/hyperlink" Target="https://ppim-intra.pea.co.th:4434/request/PPIM18500BE7" TargetMode="External"/><Relationship Id="rId6" Type="http://schemas.openxmlformats.org/officeDocument/2006/relationships/hyperlink" Target="https://ppim-intra.pea.co.th:4434/request/PPIM18501806" TargetMode="External"/><Relationship Id="rId15" Type="http://schemas.openxmlformats.org/officeDocument/2006/relationships/hyperlink" Target="https://ppim-intra.pea.co.th:4434/request/PPIM18502CF5" TargetMode="External"/><Relationship Id="rId23" Type="http://schemas.openxmlformats.org/officeDocument/2006/relationships/hyperlink" Target="https://ppim-intra.pea.co.th:4434/request/PPIM18503483" TargetMode="External"/><Relationship Id="rId28" Type="http://schemas.openxmlformats.org/officeDocument/2006/relationships/hyperlink" Target="https://ppim-intra.pea.co.th:4434/request/PPIM1850385A" TargetMode="External"/><Relationship Id="rId36" Type="http://schemas.openxmlformats.org/officeDocument/2006/relationships/hyperlink" Target="https://ppim-intra.pea.co.th:4434/request/PPIM1850433F" TargetMode="External"/><Relationship Id="rId49" Type="http://schemas.openxmlformats.org/officeDocument/2006/relationships/hyperlink" Target="https://ppim-intra.pea.co.th:4434/request/PPIM195029F7" TargetMode="External"/><Relationship Id="rId57" Type="http://schemas.openxmlformats.org/officeDocument/2006/relationships/hyperlink" Target="https://ppim-intra.pea.co.th:4434/request/PPIM1950381F" TargetMode="External"/><Relationship Id="rId10" Type="http://schemas.openxmlformats.org/officeDocument/2006/relationships/hyperlink" Target="https://ppim-intra.pea.co.th:4434/request/PPIM185020A5" TargetMode="External"/><Relationship Id="rId31" Type="http://schemas.openxmlformats.org/officeDocument/2006/relationships/hyperlink" Target="https://ppim-intra.pea.co.th:4434/request/PPIM18503FCE" TargetMode="External"/><Relationship Id="rId44" Type="http://schemas.openxmlformats.org/officeDocument/2006/relationships/hyperlink" Target="https://ppim-intra.pea.co.th:4434/request/PPIM19500779" TargetMode="External"/><Relationship Id="rId52" Type="http://schemas.openxmlformats.org/officeDocument/2006/relationships/hyperlink" Target="https://ppim-intra.pea.co.th:4434/request/PPIM1950311D" TargetMode="External"/><Relationship Id="rId60" Type="http://schemas.openxmlformats.org/officeDocument/2006/relationships/hyperlink" Target="https://ppim-intra.pea.co.th:4434/request/PPIM19502DB5" TargetMode="External"/><Relationship Id="rId65" Type="http://schemas.openxmlformats.org/officeDocument/2006/relationships/hyperlink" Target="https://ppim-intra.pea.co.th:4434/request/PPIM19504394" TargetMode="External"/><Relationship Id="rId73" Type="http://schemas.openxmlformats.org/officeDocument/2006/relationships/hyperlink" Target="https://ppim-intra.pea.co.th:4434/request/PPIM1950483F" TargetMode="External"/><Relationship Id="rId78" Type="http://schemas.openxmlformats.org/officeDocument/2006/relationships/hyperlink" Target="https://ppim-intra.pea.co.th:4434/request/PPIM19504CFD" TargetMode="External"/><Relationship Id="rId81" Type="http://schemas.openxmlformats.org/officeDocument/2006/relationships/hyperlink" Target="https://ppim-intra.pea.co.th:4434/request/PPIM195054DC" TargetMode="External"/><Relationship Id="rId86" Type="http://schemas.openxmlformats.org/officeDocument/2006/relationships/drawing" Target="../drawings/drawing4.xml"/><Relationship Id="rId4" Type="http://schemas.openxmlformats.org/officeDocument/2006/relationships/hyperlink" Target="https://ppim-intra.pea.co.th:4434/request/PPIM1850129E" TargetMode="External"/><Relationship Id="rId9" Type="http://schemas.openxmlformats.org/officeDocument/2006/relationships/hyperlink" Target="https://ppim-intra.pea.co.th:4434/request/PPIM18501B5C" TargetMode="External"/><Relationship Id="rId13" Type="http://schemas.openxmlformats.org/officeDocument/2006/relationships/hyperlink" Target="https://ppim-intra.pea.co.th:4434/request/PPIM18502920" TargetMode="External"/><Relationship Id="rId18" Type="http://schemas.openxmlformats.org/officeDocument/2006/relationships/hyperlink" Target="https://ppim-intra.pea.co.th:4434/request/PPIM185030F4" TargetMode="External"/><Relationship Id="rId39" Type="http://schemas.openxmlformats.org/officeDocument/2006/relationships/hyperlink" Target="https://ppim-intra.pea.co.th:4434/request/PPIM18504532" TargetMode="External"/><Relationship Id="rId34" Type="http://schemas.openxmlformats.org/officeDocument/2006/relationships/hyperlink" Target="https://ppim-intra.pea.co.th:4434/request/PPIM185041D7" TargetMode="External"/><Relationship Id="rId50" Type="http://schemas.openxmlformats.org/officeDocument/2006/relationships/hyperlink" Target="https://ppim-intra.pea.co.th:4434/request/PPIM19502BB6" TargetMode="External"/><Relationship Id="rId55" Type="http://schemas.openxmlformats.org/officeDocument/2006/relationships/hyperlink" Target="https://ppim-intra.pea.co.th:4434/request/PPIM195036EA" TargetMode="External"/><Relationship Id="rId76" Type="http://schemas.openxmlformats.org/officeDocument/2006/relationships/hyperlink" Target="https://ppim-intra.pea.co.th:4434/request/PPIM19504C24" TargetMode="External"/><Relationship Id="rId7" Type="http://schemas.openxmlformats.org/officeDocument/2006/relationships/hyperlink" Target="https://ppim-intra.pea.co.th:4434/request/PPIM18501880" TargetMode="External"/><Relationship Id="rId71" Type="http://schemas.openxmlformats.org/officeDocument/2006/relationships/hyperlink" Target="https://ppim-intra.pea.co.th:4434/request/PPIM195048D7" TargetMode="External"/><Relationship Id="rId2" Type="http://schemas.openxmlformats.org/officeDocument/2006/relationships/hyperlink" Target="https://ppim-intra.pea.co.th:4434/request/PPIM18500CDF" TargetMode="External"/><Relationship Id="rId29" Type="http://schemas.openxmlformats.org/officeDocument/2006/relationships/hyperlink" Target="https://ppim-intra.pea.co.th:4434/request/PPIM18503E73" TargetMode="External"/><Relationship Id="rId24" Type="http://schemas.openxmlformats.org/officeDocument/2006/relationships/hyperlink" Target="https://ppim-intra.pea.co.th:4434/request/PPIM18503B1C" TargetMode="External"/><Relationship Id="rId40" Type="http://schemas.openxmlformats.org/officeDocument/2006/relationships/hyperlink" Target="https://ppim-intra.pea.co.th:4434/request/PPIM185045A1" TargetMode="External"/><Relationship Id="rId45" Type="http://schemas.openxmlformats.org/officeDocument/2006/relationships/hyperlink" Target="https://ppim-intra.pea.co.th:4434/request/PPIM19500B6A" TargetMode="External"/><Relationship Id="rId66" Type="http://schemas.openxmlformats.org/officeDocument/2006/relationships/hyperlink" Target="https://ppim-intra.pea.co.th:4434/request/PPIM1950456E" TargetMode="External"/><Relationship Id="rId87" Type="http://schemas.openxmlformats.org/officeDocument/2006/relationships/vmlDrawing" Target="../drawings/vmlDrawing3.vml"/><Relationship Id="rId61" Type="http://schemas.openxmlformats.org/officeDocument/2006/relationships/hyperlink" Target="https://ppim-intra.pea.co.th:4434/request/PPIM19503FBD" TargetMode="External"/><Relationship Id="rId82" Type="http://schemas.openxmlformats.org/officeDocument/2006/relationships/hyperlink" Target="https://ppim-intra.pea.co.th:4434/request/PPIM195053D6" TargetMode="External"/><Relationship Id="rId19" Type="http://schemas.openxmlformats.org/officeDocument/2006/relationships/hyperlink" Target="https://ppim-intra.pea.co.th:4434/request/PPIM1850312B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079F" TargetMode="External"/><Relationship Id="rId21" Type="http://schemas.openxmlformats.org/officeDocument/2006/relationships/hyperlink" Target="https://ppim-intra.pea.co.th:4434/request/PPIM18501DDE" TargetMode="External"/><Relationship Id="rId63" Type="http://schemas.openxmlformats.org/officeDocument/2006/relationships/hyperlink" Target="https://ppim-intra.pea.co.th:4434/request/PPIM185034DB" TargetMode="External"/><Relationship Id="rId159" Type="http://schemas.openxmlformats.org/officeDocument/2006/relationships/hyperlink" Target="https://ppim-intra.pea.co.th:4434/request/PPIM1950212B" TargetMode="External"/><Relationship Id="rId170" Type="http://schemas.openxmlformats.org/officeDocument/2006/relationships/hyperlink" Target="https://ppim-intra.pea.co.th:4434/request/PPIM195023B7" TargetMode="External"/><Relationship Id="rId226" Type="http://schemas.openxmlformats.org/officeDocument/2006/relationships/hyperlink" Target="https://ppim-intra.pea.co.th:4434/request/PPIM1950493D" TargetMode="External"/><Relationship Id="rId268" Type="http://schemas.openxmlformats.org/officeDocument/2006/relationships/hyperlink" Target="https://ppim-intra.pea.co.th:4434/request/PPIM19504D73" TargetMode="External"/><Relationship Id="rId32" Type="http://schemas.openxmlformats.org/officeDocument/2006/relationships/hyperlink" Target="https://ppim-intra.pea.co.th:4434/request/PPIM18501CE0" TargetMode="External"/><Relationship Id="rId74" Type="http://schemas.openxmlformats.org/officeDocument/2006/relationships/hyperlink" Target="https://ppim-intra.pea.co.th:4434/request/PPIM1850397F" TargetMode="External"/><Relationship Id="rId128" Type="http://schemas.openxmlformats.org/officeDocument/2006/relationships/hyperlink" Target="https://ppim-intra.pea.co.th:4434/request/PPIM19500C7C" TargetMode="External"/><Relationship Id="rId5" Type="http://schemas.openxmlformats.org/officeDocument/2006/relationships/hyperlink" Target="https://ppim-intra.pea.co.th:4434/request/PPIM185007C6" TargetMode="External"/><Relationship Id="rId181" Type="http://schemas.openxmlformats.org/officeDocument/2006/relationships/hyperlink" Target="https://ppim-intra.pea.co.th:4434/request/PPIM195034D3" TargetMode="External"/><Relationship Id="rId237" Type="http://schemas.openxmlformats.org/officeDocument/2006/relationships/hyperlink" Target="https://ppim-intra.pea.co.th:4434/request/PPIM19504BE2" TargetMode="External"/><Relationship Id="rId279" Type="http://schemas.openxmlformats.org/officeDocument/2006/relationships/hyperlink" Target="https://ppim-intra.pea.co.th:4434/request/PPIM19505924" TargetMode="External"/><Relationship Id="rId43" Type="http://schemas.openxmlformats.org/officeDocument/2006/relationships/hyperlink" Target="https://ppim-intra.pea.co.th:4434/request/PPIM18502149" TargetMode="External"/><Relationship Id="rId139" Type="http://schemas.openxmlformats.org/officeDocument/2006/relationships/hyperlink" Target="https://ppim-intra.pea.co.th:4434/request/PPIM1950129C" TargetMode="External"/><Relationship Id="rId290" Type="http://schemas.openxmlformats.org/officeDocument/2006/relationships/hyperlink" Target="https://ppim-intra.pea.co.th:4434/request/PPIM19505A78" TargetMode="External"/><Relationship Id="rId85" Type="http://schemas.openxmlformats.org/officeDocument/2006/relationships/hyperlink" Target="https://ppim-intra.pea.co.th:4434/request/PPIM1850415F" TargetMode="External"/><Relationship Id="rId150" Type="http://schemas.openxmlformats.org/officeDocument/2006/relationships/hyperlink" Target="https://ppim-intra.pea.co.th:4434/request/PPIM19501C53" TargetMode="External"/><Relationship Id="rId192" Type="http://schemas.openxmlformats.org/officeDocument/2006/relationships/hyperlink" Target="https://ppim-intra.pea.co.th:4434/request/PPIM19502FDB" TargetMode="External"/><Relationship Id="rId206" Type="http://schemas.openxmlformats.org/officeDocument/2006/relationships/hyperlink" Target="https://ppim-intra.pea.co.th:4434/request/PPIM19504236" TargetMode="External"/><Relationship Id="rId248" Type="http://schemas.openxmlformats.org/officeDocument/2006/relationships/hyperlink" Target="https://ppim-intra.pea.co.th:4434/request/PPIM19504FDC" TargetMode="External"/><Relationship Id="rId12" Type="http://schemas.openxmlformats.org/officeDocument/2006/relationships/hyperlink" Target="https://ppim-intra.pea.co.th:4434/request/PPIM185011EE" TargetMode="External"/><Relationship Id="rId33" Type="http://schemas.openxmlformats.org/officeDocument/2006/relationships/hyperlink" Target="https://ppim-intra.pea.co.th:4434/request/PPIM18502814" TargetMode="External"/><Relationship Id="rId108" Type="http://schemas.openxmlformats.org/officeDocument/2006/relationships/hyperlink" Target="https://ppim-intra.pea.co.th:4434/request/PPIM19500365" TargetMode="External"/><Relationship Id="rId129" Type="http://schemas.openxmlformats.org/officeDocument/2006/relationships/hyperlink" Target="https://ppim-intra.pea.co.th:4434/request/PPIM18504805" TargetMode="External"/><Relationship Id="rId280" Type="http://schemas.openxmlformats.org/officeDocument/2006/relationships/hyperlink" Target="https://ppim-intra.pea.co.th:4434/request/PPIM1950592E" TargetMode="External"/><Relationship Id="rId54" Type="http://schemas.openxmlformats.org/officeDocument/2006/relationships/hyperlink" Target="https://ppim-intra.pea.co.th:4434/request/PPIM1850319C" TargetMode="External"/><Relationship Id="rId75" Type="http://schemas.openxmlformats.org/officeDocument/2006/relationships/hyperlink" Target="https://ppim-intra.pea.co.th:4434/request/PPIM18503C8B" TargetMode="External"/><Relationship Id="rId96" Type="http://schemas.openxmlformats.org/officeDocument/2006/relationships/hyperlink" Target="https://ppim-intra.pea.co.th:4434/request/PPIM18503503" TargetMode="External"/><Relationship Id="rId140" Type="http://schemas.openxmlformats.org/officeDocument/2006/relationships/hyperlink" Target="https://ppim-intra.pea.co.th:4434/request/PPIM19501323" TargetMode="External"/><Relationship Id="rId161" Type="http://schemas.openxmlformats.org/officeDocument/2006/relationships/hyperlink" Target="https://ppim-intra.pea.co.th:4434/request/PPIM19502198" TargetMode="External"/><Relationship Id="rId182" Type="http://schemas.openxmlformats.org/officeDocument/2006/relationships/hyperlink" Target="https://ppim-intra.pea.co.th:4434/request/PPIM1950350C" TargetMode="External"/><Relationship Id="rId217" Type="http://schemas.openxmlformats.org/officeDocument/2006/relationships/hyperlink" Target="https://ppim-intra.pea.co.th:4434/request/PPIM19504760" TargetMode="External"/><Relationship Id="rId6" Type="http://schemas.openxmlformats.org/officeDocument/2006/relationships/hyperlink" Target="https://ppim-intra.pea.co.th:4434/request/PPIM185009F8" TargetMode="External"/><Relationship Id="rId238" Type="http://schemas.openxmlformats.org/officeDocument/2006/relationships/hyperlink" Target="https://ppim-intra.pea.co.th:4434/request/PPIM19504BE3" TargetMode="External"/><Relationship Id="rId259" Type="http://schemas.openxmlformats.org/officeDocument/2006/relationships/hyperlink" Target="https://ppim-intra.pea.co.th:4434/request/PPIM19505382" TargetMode="External"/><Relationship Id="rId23" Type="http://schemas.openxmlformats.org/officeDocument/2006/relationships/hyperlink" Target="https://ppim-intra.pea.co.th:4434/request/PPIM185021E3" TargetMode="External"/><Relationship Id="rId119" Type="http://schemas.openxmlformats.org/officeDocument/2006/relationships/hyperlink" Target="https://ppim-intra.pea.co.th:4434/request/PPIM1950089A" TargetMode="External"/><Relationship Id="rId270" Type="http://schemas.openxmlformats.org/officeDocument/2006/relationships/hyperlink" Target="https://ppim-intra.pea.co.th:4434/request/PPIM1950571D" TargetMode="External"/><Relationship Id="rId291" Type="http://schemas.openxmlformats.org/officeDocument/2006/relationships/drawing" Target="../drawings/drawing5.xml"/><Relationship Id="rId44" Type="http://schemas.openxmlformats.org/officeDocument/2006/relationships/hyperlink" Target="https://ppim-intra.pea.co.th:4434/request/PPIM18502D71" TargetMode="External"/><Relationship Id="rId65" Type="http://schemas.openxmlformats.org/officeDocument/2006/relationships/hyperlink" Target="https://ppim-intra.pea.co.th:4434/request/PPIM1850335E" TargetMode="External"/><Relationship Id="rId86" Type="http://schemas.openxmlformats.org/officeDocument/2006/relationships/hyperlink" Target="https://ppim-intra.pea.co.th:4434/request/PPIM185034F1" TargetMode="External"/><Relationship Id="rId130" Type="http://schemas.openxmlformats.org/officeDocument/2006/relationships/hyperlink" Target="https://ppim-intra.pea.co.th:4434/request/PPIM19500D9E" TargetMode="External"/><Relationship Id="rId151" Type="http://schemas.openxmlformats.org/officeDocument/2006/relationships/hyperlink" Target="https://ppim-intra.pea.co.th:4434/request/PPIM19501CF4" TargetMode="External"/><Relationship Id="rId172" Type="http://schemas.openxmlformats.org/officeDocument/2006/relationships/hyperlink" Target="https://ppim-intra.pea.co.th:4434/request/PPIM1950279A" TargetMode="External"/><Relationship Id="rId193" Type="http://schemas.openxmlformats.org/officeDocument/2006/relationships/hyperlink" Target="https://ppim-intra.pea.co.th:4434/request/PPIM19503D74" TargetMode="External"/><Relationship Id="rId207" Type="http://schemas.openxmlformats.org/officeDocument/2006/relationships/hyperlink" Target="https://ppim-intra.pea.co.th:4434/request/PPIM19502D8B" TargetMode="External"/><Relationship Id="rId228" Type="http://schemas.openxmlformats.org/officeDocument/2006/relationships/hyperlink" Target="https://ppim-intra.pea.co.th:4434/request/PPIM195049CC" TargetMode="External"/><Relationship Id="rId249" Type="http://schemas.openxmlformats.org/officeDocument/2006/relationships/hyperlink" Target="https://ppim-intra.pea.co.th:4434/request/PPIM19504FE0" TargetMode="External"/><Relationship Id="rId13" Type="http://schemas.openxmlformats.org/officeDocument/2006/relationships/hyperlink" Target="https://ppim-intra.pea.co.th:4434/request/PPIM185015E5" TargetMode="External"/><Relationship Id="rId109" Type="http://schemas.openxmlformats.org/officeDocument/2006/relationships/hyperlink" Target="https://ppim-intra.pea.co.th:4434/request/PPIM19500366" TargetMode="External"/><Relationship Id="rId260" Type="http://schemas.openxmlformats.org/officeDocument/2006/relationships/hyperlink" Target="https://ppim-intra.pea.co.th:4434/request/PPIM1950539F" TargetMode="External"/><Relationship Id="rId281" Type="http://schemas.openxmlformats.org/officeDocument/2006/relationships/hyperlink" Target="https://ppim-intra.pea.co.th:4434/request/PPIM19505932" TargetMode="External"/><Relationship Id="rId34" Type="http://schemas.openxmlformats.org/officeDocument/2006/relationships/hyperlink" Target="https://ppim-intra.pea.co.th:4434/request/PPIM185028DB" TargetMode="External"/><Relationship Id="rId55" Type="http://schemas.openxmlformats.org/officeDocument/2006/relationships/hyperlink" Target="https://ppim-intra.pea.co.th:4434/request/PPIM185031F4" TargetMode="External"/><Relationship Id="rId76" Type="http://schemas.openxmlformats.org/officeDocument/2006/relationships/hyperlink" Target="https://ppim-intra.pea.co.th:4434/request/PPIM18503D4A" TargetMode="External"/><Relationship Id="rId97" Type="http://schemas.openxmlformats.org/officeDocument/2006/relationships/hyperlink" Target="https://ppim-intra.pea.co.th:4434/request/PPIM1850416F" TargetMode="External"/><Relationship Id="rId120" Type="http://schemas.openxmlformats.org/officeDocument/2006/relationships/hyperlink" Target="https://ppim-intra.pea.co.th:4434/request/PPIM19500A28" TargetMode="External"/><Relationship Id="rId141" Type="http://schemas.openxmlformats.org/officeDocument/2006/relationships/hyperlink" Target="https://ppim-intra.pea.co.th:4434/request/PPIM19501333" TargetMode="External"/><Relationship Id="rId7" Type="http://schemas.openxmlformats.org/officeDocument/2006/relationships/hyperlink" Target="https://ppim-intra.pea.co.th:4434/request/PPIM18500EF3" TargetMode="External"/><Relationship Id="rId162" Type="http://schemas.openxmlformats.org/officeDocument/2006/relationships/hyperlink" Target="https://ppim-intra.pea.co.th:4434/request/PPIM19500702" TargetMode="External"/><Relationship Id="rId183" Type="http://schemas.openxmlformats.org/officeDocument/2006/relationships/hyperlink" Target="https://ppim-intra.pea.co.th:4434/request/PPIM195032D8" TargetMode="External"/><Relationship Id="rId218" Type="http://schemas.openxmlformats.org/officeDocument/2006/relationships/hyperlink" Target="https://ppim-intra.pea.co.th:4434/request/PPIM19504767" TargetMode="External"/><Relationship Id="rId239" Type="http://schemas.openxmlformats.org/officeDocument/2006/relationships/hyperlink" Target="https://ppim-intra.pea.co.th:4434/request/PPIM19504BE5" TargetMode="External"/><Relationship Id="rId250" Type="http://schemas.openxmlformats.org/officeDocument/2006/relationships/hyperlink" Target="https://ppim-intra.pea.co.th:4434/request/PPIM195047A5" TargetMode="External"/><Relationship Id="rId271" Type="http://schemas.openxmlformats.org/officeDocument/2006/relationships/hyperlink" Target="https://ppim-intra.pea.co.th:4434/request/PPIM1950461F" TargetMode="External"/><Relationship Id="rId292" Type="http://schemas.openxmlformats.org/officeDocument/2006/relationships/vmlDrawing" Target="../drawings/vmlDrawing4.vml"/><Relationship Id="rId24" Type="http://schemas.openxmlformats.org/officeDocument/2006/relationships/hyperlink" Target="https://ppim-intra.pea.co.th:4434/request/PPIM18502077" TargetMode="External"/><Relationship Id="rId45" Type="http://schemas.openxmlformats.org/officeDocument/2006/relationships/hyperlink" Target="https://ppim-intra.pea.co.th:4434/request/PPIM18502B64" TargetMode="External"/><Relationship Id="rId66" Type="http://schemas.openxmlformats.org/officeDocument/2006/relationships/hyperlink" Target="https://ppim-intra.pea.co.th:4434/request/PPIM18503821" TargetMode="External"/><Relationship Id="rId87" Type="http://schemas.openxmlformats.org/officeDocument/2006/relationships/hyperlink" Target="https://ppim-intra.pea.co.th:4434/request/PPIM185042A2" TargetMode="External"/><Relationship Id="rId110" Type="http://schemas.openxmlformats.org/officeDocument/2006/relationships/hyperlink" Target="https://ppim-intra.pea.co.th:4434/request/PPIM18504287" TargetMode="External"/><Relationship Id="rId131" Type="http://schemas.openxmlformats.org/officeDocument/2006/relationships/hyperlink" Target="https://ppim-intra.pea.co.th:4434/request/PPIM195006E3" TargetMode="External"/><Relationship Id="rId152" Type="http://schemas.openxmlformats.org/officeDocument/2006/relationships/hyperlink" Target="https://ppim-intra.pea.co.th:4434/request/PPIM19501D4A" TargetMode="External"/><Relationship Id="rId173" Type="http://schemas.openxmlformats.org/officeDocument/2006/relationships/hyperlink" Target="https://ppim-intra.pea.co.th:4434/request/PPIM19502B07" TargetMode="External"/><Relationship Id="rId194" Type="http://schemas.openxmlformats.org/officeDocument/2006/relationships/hyperlink" Target="https://ppim-intra.pea.co.th:4434/request/PPIM19503EC6" TargetMode="External"/><Relationship Id="rId208" Type="http://schemas.openxmlformats.org/officeDocument/2006/relationships/hyperlink" Target="https://ppim-intra.pea.co.th:4434/request/PPIM195044E5" TargetMode="External"/><Relationship Id="rId229" Type="http://schemas.openxmlformats.org/officeDocument/2006/relationships/hyperlink" Target="https://ppim-intra.pea.co.th:4434/request/PPIM195049D1" TargetMode="External"/><Relationship Id="rId240" Type="http://schemas.openxmlformats.org/officeDocument/2006/relationships/hyperlink" Target="https://ppim-intra.pea.co.th:4434/request/PPIM19504BE6" TargetMode="External"/><Relationship Id="rId261" Type="http://schemas.openxmlformats.org/officeDocument/2006/relationships/hyperlink" Target="https://ppim-intra.pea.co.th:4434/request/PPIM195053C3" TargetMode="External"/><Relationship Id="rId14" Type="http://schemas.openxmlformats.org/officeDocument/2006/relationships/hyperlink" Target="https://ppim-intra.pea.co.th:4434/request/PPIM185010C3" TargetMode="External"/><Relationship Id="rId35" Type="http://schemas.openxmlformats.org/officeDocument/2006/relationships/hyperlink" Target="https://ppim-intra.pea.co.th:4434/request/PPIM18502962" TargetMode="External"/><Relationship Id="rId56" Type="http://schemas.openxmlformats.org/officeDocument/2006/relationships/hyperlink" Target="https://ppim-intra.pea.co.th:4434/request/PPIM18503255" TargetMode="External"/><Relationship Id="rId77" Type="http://schemas.openxmlformats.org/officeDocument/2006/relationships/hyperlink" Target="https://ppim-intra.pea.co.th:4434/request/PPIM18503B8A" TargetMode="External"/><Relationship Id="rId100" Type="http://schemas.openxmlformats.org/officeDocument/2006/relationships/hyperlink" Target="https://ppim-intra.pea.co.th:4434/request/PPIM18504A60" TargetMode="External"/><Relationship Id="rId282" Type="http://schemas.openxmlformats.org/officeDocument/2006/relationships/hyperlink" Target="https://ppim-intra.pea.co.th:4434/request/PPIM19505934" TargetMode="External"/><Relationship Id="rId8" Type="http://schemas.openxmlformats.org/officeDocument/2006/relationships/hyperlink" Target="https://ppim-intra.pea.co.th:4434/request/PPIM18500FC8" TargetMode="External"/><Relationship Id="rId98" Type="http://schemas.openxmlformats.org/officeDocument/2006/relationships/hyperlink" Target="https://ppim-intra.pea.co.th:4434/request/PPIM1850480F" TargetMode="External"/><Relationship Id="rId121" Type="http://schemas.openxmlformats.org/officeDocument/2006/relationships/hyperlink" Target="https://ppim-intra.pea.co.th:4434/request/PPIM1950066D" TargetMode="External"/><Relationship Id="rId142" Type="http://schemas.openxmlformats.org/officeDocument/2006/relationships/hyperlink" Target="https://ppim-intra.pea.co.th:4434/request/PPIM19501343" TargetMode="External"/><Relationship Id="rId163" Type="http://schemas.openxmlformats.org/officeDocument/2006/relationships/hyperlink" Target="https://ppim-intra.pea.co.th:4434/request/PPIM19502308" TargetMode="External"/><Relationship Id="rId184" Type="http://schemas.openxmlformats.org/officeDocument/2006/relationships/hyperlink" Target="https://ppim-intra.pea.co.th:4434/request/PPIM19503805" TargetMode="External"/><Relationship Id="rId219" Type="http://schemas.openxmlformats.org/officeDocument/2006/relationships/hyperlink" Target="https://ppim-intra.pea.co.th:4434/request/PPIM19504768" TargetMode="External"/><Relationship Id="rId230" Type="http://schemas.openxmlformats.org/officeDocument/2006/relationships/hyperlink" Target="https://ppim-intra.pea.co.th:4434/request/PPIM19504565" TargetMode="External"/><Relationship Id="rId251" Type="http://schemas.openxmlformats.org/officeDocument/2006/relationships/hyperlink" Target="https://ppim-intra.pea.co.th:4434/request/PPIM19505007" TargetMode="External"/><Relationship Id="rId25" Type="http://schemas.openxmlformats.org/officeDocument/2006/relationships/hyperlink" Target="https://ppim-intra.pea.co.th:4434/request/PPIM18501D3F" TargetMode="External"/><Relationship Id="rId46" Type="http://schemas.openxmlformats.org/officeDocument/2006/relationships/hyperlink" Target="https://ppim-intra.pea.co.th:4434/request/PPIM18502E28" TargetMode="External"/><Relationship Id="rId67" Type="http://schemas.openxmlformats.org/officeDocument/2006/relationships/hyperlink" Target="https://ppim-intra.pea.co.th:4434/request/PPIM18503870" TargetMode="External"/><Relationship Id="rId272" Type="http://schemas.openxmlformats.org/officeDocument/2006/relationships/hyperlink" Target="https://ppim-intra.pea.co.th:4434/request/PPIM19505743" TargetMode="External"/><Relationship Id="rId293" Type="http://schemas.openxmlformats.org/officeDocument/2006/relationships/control" Target="../activeX/activeX4.xml"/><Relationship Id="rId88" Type="http://schemas.openxmlformats.org/officeDocument/2006/relationships/hyperlink" Target="https://ppim-intra.pea.co.th:4434/request/PPIM1850430A" TargetMode="External"/><Relationship Id="rId111" Type="http://schemas.openxmlformats.org/officeDocument/2006/relationships/hyperlink" Target="https://ppim-intra.pea.co.th:4434/request/PPIM185043AA" TargetMode="External"/><Relationship Id="rId132" Type="http://schemas.openxmlformats.org/officeDocument/2006/relationships/hyperlink" Target="https://ppim-intra.pea.co.th:4434/request/PPIM19500F07" TargetMode="External"/><Relationship Id="rId153" Type="http://schemas.openxmlformats.org/officeDocument/2006/relationships/hyperlink" Target="https://ppim-intra.pea.co.th:4434/request/PPIM19500322" TargetMode="External"/><Relationship Id="rId174" Type="http://schemas.openxmlformats.org/officeDocument/2006/relationships/hyperlink" Target="https://ppim-intra.pea.co.th:4434/request/PPIM19502BC8" TargetMode="External"/><Relationship Id="rId195" Type="http://schemas.openxmlformats.org/officeDocument/2006/relationships/hyperlink" Target="https://ppim-intra.pea.co.th:4434/request/PPIM19503F8A" TargetMode="External"/><Relationship Id="rId209" Type="http://schemas.openxmlformats.org/officeDocument/2006/relationships/hyperlink" Target="https://ppim-intra.pea.co.th:4434/request/PPIM195044EB" TargetMode="External"/><Relationship Id="rId220" Type="http://schemas.openxmlformats.org/officeDocument/2006/relationships/hyperlink" Target="https://ppim-intra.pea.co.th:4434/request/PPIM1950476B" TargetMode="External"/><Relationship Id="rId241" Type="http://schemas.openxmlformats.org/officeDocument/2006/relationships/hyperlink" Target="https://ppim-intra.pea.co.th:4434/request/PPIM19504BE8" TargetMode="External"/><Relationship Id="rId15" Type="http://schemas.openxmlformats.org/officeDocument/2006/relationships/hyperlink" Target="https://ppim-intra.pea.co.th:4434/request/PPIM18501300" TargetMode="External"/><Relationship Id="rId36" Type="http://schemas.openxmlformats.org/officeDocument/2006/relationships/hyperlink" Target="https://ppim-intra.pea.co.th:4434/request/PPIM185029CF" TargetMode="External"/><Relationship Id="rId57" Type="http://schemas.openxmlformats.org/officeDocument/2006/relationships/hyperlink" Target="https://ppim-intra.pea.co.th:4434/request/PPIM18502E6B" TargetMode="External"/><Relationship Id="rId262" Type="http://schemas.openxmlformats.org/officeDocument/2006/relationships/hyperlink" Target="https://ppim-intra.pea.co.th:4434/request/PPIM195053CD" TargetMode="External"/><Relationship Id="rId283" Type="http://schemas.openxmlformats.org/officeDocument/2006/relationships/hyperlink" Target="https://ppim-intra.pea.co.th:4434/request/PPIM19505937" TargetMode="External"/><Relationship Id="rId78" Type="http://schemas.openxmlformats.org/officeDocument/2006/relationships/hyperlink" Target="https://ppim-intra.pea.co.th:4434/request/PPIM1850334A" TargetMode="External"/><Relationship Id="rId99" Type="http://schemas.openxmlformats.org/officeDocument/2006/relationships/hyperlink" Target="https://ppim-intra.pea.co.th:4434/request/PPIM1850497A" TargetMode="External"/><Relationship Id="rId101" Type="http://schemas.openxmlformats.org/officeDocument/2006/relationships/hyperlink" Target="https://ppim-intra.pea.co.th:4434/request/PPIM1950005C" TargetMode="External"/><Relationship Id="rId122" Type="http://schemas.openxmlformats.org/officeDocument/2006/relationships/hyperlink" Target="https://ppim-intra.pea.co.th:4434/request/PPIM19500B1A" TargetMode="External"/><Relationship Id="rId143" Type="http://schemas.openxmlformats.org/officeDocument/2006/relationships/hyperlink" Target="https://ppim-intra.pea.co.th:4434/request/PPIM19501492" TargetMode="External"/><Relationship Id="rId164" Type="http://schemas.openxmlformats.org/officeDocument/2006/relationships/hyperlink" Target="https://ppim-intra.pea.co.th:4434/request/PPIM19502309" TargetMode="External"/><Relationship Id="rId185" Type="http://schemas.openxmlformats.org/officeDocument/2006/relationships/hyperlink" Target="https://ppim-intra.pea.co.th:4434/request/PPIM195038F5" TargetMode="External"/><Relationship Id="rId9" Type="http://schemas.openxmlformats.org/officeDocument/2006/relationships/hyperlink" Target="https://ppim-intra.pea.co.th:4434/request/PPIM18501312" TargetMode="External"/><Relationship Id="rId210" Type="http://schemas.openxmlformats.org/officeDocument/2006/relationships/hyperlink" Target="https://ppim-intra.pea.co.th:4434/request/PPIM195045BE" TargetMode="External"/><Relationship Id="rId26" Type="http://schemas.openxmlformats.org/officeDocument/2006/relationships/hyperlink" Target="https://ppim-intra.pea.co.th:4434/request/PPIM18501D0C" TargetMode="External"/><Relationship Id="rId231" Type="http://schemas.openxmlformats.org/officeDocument/2006/relationships/hyperlink" Target="https://ppim-intra.pea.co.th:4434/request/PPIM19504BC2" TargetMode="External"/><Relationship Id="rId252" Type="http://schemas.openxmlformats.org/officeDocument/2006/relationships/hyperlink" Target="https://ppim-intra.pea.co.th:4434/request/PPIM19505012" TargetMode="External"/><Relationship Id="rId273" Type="http://schemas.openxmlformats.org/officeDocument/2006/relationships/hyperlink" Target="https://ppim-intra.pea.co.th:4434/request/PPIM19505774" TargetMode="External"/><Relationship Id="rId294" Type="http://schemas.openxmlformats.org/officeDocument/2006/relationships/image" Target="../media/image2.emf"/><Relationship Id="rId47" Type="http://schemas.openxmlformats.org/officeDocument/2006/relationships/hyperlink" Target="https://ppim-intra.pea.co.th:4434/request/PPIM18502E91" TargetMode="External"/><Relationship Id="rId68" Type="http://schemas.openxmlformats.org/officeDocument/2006/relationships/hyperlink" Target="https://ppim-intra.pea.co.th:4434/request/PPIM185039F8" TargetMode="External"/><Relationship Id="rId89" Type="http://schemas.openxmlformats.org/officeDocument/2006/relationships/hyperlink" Target="https://ppim-intra.pea.co.th:4434/request/PPIM1850437E" TargetMode="External"/><Relationship Id="rId112" Type="http://schemas.openxmlformats.org/officeDocument/2006/relationships/hyperlink" Target="https://ppim-intra.pea.co.th:4434/request/PPIM18504290" TargetMode="External"/><Relationship Id="rId133" Type="http://schemas.openxmlformats.org/officeDocument/2006/relationships/hyperlink" Target="https://ppim-intra.pea.co.th:4434/request/PPIM19500481" TargetMode="External"/><Relationship Id="rId154" Type="http://schemas.openxmlformats.org/officeDocument/2006/relationships/hyperlink" Target="https://ppim-intra.pea.co.th:4434/request/PPIM19501F33" TargetMode="External"/><Relationship Id="rId175" Type="http://schemas.openxmlformats.org/officeDocument/2006/relationships/hyperlink" Target="https://ppim-intra.pea.co.th:4434/request/PPIM19502D99" TargetMode="External"/><Relationship Id="rId196" Type="http://schemas.openxmlformats.org/officeDocument/2006/relationships/hyperlink" Target="https://ppim-intra.pea.co.th:4434/request/PPIM19503C8E" TargetMode="External"/><Relationship Id="rId200" Type="http://schemas.openxmlformats.org/officeDocument/2006/relationships/hyperlink" Target="https://ppim-intra.pea.co.th:4434/request/PPIM1950403E" TargetMode="External"/><Relationship Id="rId16" Type="http://schemas.openxmlformats.org/officeDocument/2006/relationships/hyperlink" Target="https://ppim-intra.pea.co.th:4434/request/PPIM185016CD" TargetMode="External"/><Relationship Id="rId221" Type="http://schemas.openxmlformats.org/officeDocument/2006/relationships/hyperlink" Target="https://ppim-intra.pea.co.th:4434/request/PPIM19504777" TargetMode="External"/><Relationship Id="rId242" Type="http://schemas.openxmlformats.org/officeDocument/2006/relationships/hyperlink" Target="https://ppim-intra.pea.co.th:4434/request/PPIM19503C95" TargetMode="External"/><Relationship Id="rId263" Type="http://schemas.openxmlformats.org/officeDocument/2006/relationships/hyperlink" Target="https://ppim-intra.pea.co.th:4434/request/PPIM1950544E" TargetMode="External"/><Relationship Id="rId284" Type="http://schemas.openxmlformats.org/officeDocument/2006/relationships/hyperlink" Target="https://ppim-intra.pea.co.th:4434/request/PPIM19505938" TargetMode="External"/><Relationship Id="rId37" Type="http://schemas.openxmlformats.org/officeDocument/2006/relationships/hyperlink" Target="https://ppim-intra.pea.co.th:4434/request/PPIM18502A79" TargetMode="External"/><Relationship Id="rId58" Type="http://schemas.openxmlformats.org/officeDocument/2006/relationships/hyperlink" Target="https://ppim-intra.pea.co.th:4434/request/PPIM18503207" TargetMode="External"/><Relationship Id="rId79" Type="http://schemas.openxmlformats.org/officeDocument/2006/relationships/hyperlink" Target="https://ppim-intra.pea.co.th:4434/request/PPIM18503E58" TargetMode="External"/><Relationship Id="rId102" Type="http://schemas.openxmlformats.org/officeDocument/2006/relationships/hyperlink" Target="https://ppim-intra.pea.co.th:4434/request/PPIM19500137" TargetMode="External"/><Relationship Id="rId123" Type="http://schemas.openxmlformats.org/officeDocument/2006/relationships/hyperlink" Target="https://ppim-intra.pea.co.th:4434/request/PPIM19500B3F" TargetMode="External"/><Relationship Id="rId144" Type="http://schemas.openxmlformats.org/officeDocument/2006/relationships/hyperlink" Target="https://ppim-intra.pea.co.th:4434/request/PPIM19501819" TargetMode="External"/><Relationship Id="rId90" Type="http://schemas.openxmlformats.org/officeDocument/2006/relationships/hyperlink" Target="https://ppim-intra.pea.co.th:4434/request/PPIM185043BB" TargetMode="External"/><Relationship Id="rId165" Type="http://schemas.openxmlformats.org/officeDocument/2006/relationships/hyperlink" Target="https://ppim-intra.pea.co.th:4434/request/PPIM1950230E" TargetMode="External"/><Relationship Id="rId186" Type="http://schemas.openxmlformats.org/officeDocument/2006/relationships/hyperlink" Target="https://ppim-intra.pea.co.th:4434/request/PPIM19503983" TargetMode="External"/><Relationship Id="rId211" Type="http://schemas.openxmlformats.org/officeDocument/2006/relationships/hyperlink" Target="https://ppim-intra.pea.co.th:4434/request/PPIM195045CC" TargetMode="External"/><Relationship Id="rId232" Type="http://schemas.openxmlformats.org/officeDocument/2006/relationships/hyperlink" Target="https://ppim-intra.pea.co.th:4434/request/PPIM1950484C" TargetMode="External"/><Relationship Id="rId253" Type="http://schemas.openxmlformats.org/officeDocument/2006/relationships/hyperlink" Target="https://ppim-intra.pea.co.th:4434/request/PPIM19504A24" TargetMode="External"/><Relationship Id="rId274" Type="http://schemas.openxmlformats.org/officeDocument/2006/relationships/hyperlink" Target="https://ppim-intra.pea.co.th:4434/request/PPIM195052E5" TargetMode="External"/><Relationship Id="rId27" Type="http://schemas.openxmlformats.org/officeDocument/2006/relationships/hyperlink" Target="https://ppim-intra.pea.co.th:4434/request/PPIM1850232E" TargetMode="External"/><Relationship Id="rId48" Type="http://schemas.openxmlformats.org/officeDocument/2006/relationships/hyperlink" Target="https://ppim-intra.pea.co.th:4434/request/PPIM18502F9C" TargetMode="External"/><Relationship Id="rId69" Type="http://schemas.openxmlformats.org/officeDocument/2006/relationships/hyperlink" Target="https://ppim-intra.pea.co.th:4434/request/PPIM18503A8C" TargetMode="External"/><Relationship Id="rId113" Type="http://schemas.openxmlformats.org/officeDocument/2006/relationships/hyperlink" Target="https://ppim-intra.pea.co.th:4434/request/PPIM18504731" TargetMode="External"/><Relationship Id="rId134" Type="http://schemas.openxmlformats.org/officeDocument/2006/relationships/hyperlink" Target="https://ppim-intra.pea.co.th:4434/request/PPIM19500D77" TargetMode="External"/><Relationship Id="rId80" Type="http://schemas.openxmlformats.org/officeDocument/2006/relationships/hyperlink" Target="https://ppim-intra.pea.co.th:4434/request/PPIM18503FF7" TargetMode="External"/><Relationship Id="rId155" Type="http://schemas.openxmlformats.org/officeDocument/2006/relationships/hyperlink" Target="https://ppim-intra.pea.co.th:4434/request/PPIM19501F39" TargetMode="External"/><Relationship Id="rId176" Type="http://schemas.openxmlformats.org/officeDocument/2006/relationships/hyperlink" Target="https://ppim-intra.pea.co.th:4434/request/PPIM19502E2E" TargetMode="External"/><Relationship Id="rId197" Type="http://schemas.openxmlformats.org/officeDocument/2006/relationships/hyperlink" Target="https://ppim-intra.pea.co.th:4434/request/PPIM19504032" TargetMode="External"/><Relationship Id="rId201" Type="http://schemas.openxmlformats.org/officeDocument/2006/relationships/hyperlink" Target="https://ppim-intra.pea.co.th:4434/request/PPIM1950403F" TargetMode="External"/><Relationship Id="rId222" Type="http://schemas.openxmlformats.org/officeDocument/2006/relationships/hyperlink" Target="https://ppim-intra.pea.co.th:4434/request/PPIM195047A4" TargetMode="External"/><Relationship Id="rId243" Type="http://schemas.openxmlformats.org/officeDocument/2006/relationships/hyperlink" Target="https://ppim-intra.pea.co.th:4434/request/PPIM19504CEC" TargetMode="External"/><Relationship Id="rId264" Type="http://schemas.openxmlformats.org/officeDocument/2006/relationships/hyperlink" Target="https://ppim-intra.pea.co.th:4434/request/PPIM19504DCD" TargetMode="External"/><Relationship Id="rId285" Type="http://schemas.openxmlformats.org/officeDocument/2006/relationships/hyperlink" Target="https://ppim-intra.pea.co.th:4434/request/PPIM1950465E" TargetMode="External"/><Relationship Id="rId17" Type="http://schemas.openxmlformats.org/officeDocument/2006/relationships/hyperlink" Target="https://ppim-intra.pea.co.th:4434/request/PPIM18501744" TargetMode="External"/><Relationship Id="rId38" Type="http://schemas.openxmlformats.org/officeDocument/2006/relationships/hyperlink" Target="https://ppim-intra.pea.co.th:4434/request/PPIM18502670" TargetMode="External"/><Relationship Id="rId59" Type="http://schemas.openxmlformats.org/officeDocument/2006/relationships/hyperlink" Target="https://ppim-intra.pea.co.th:4434/request/PPIM1850320A" TargetMode="External"/><Relationship Id="rId103" Type="http://schemas.openxmlformats.org/officeDocument/2006/relationships/hyperlink" Target="https://ppim-intra.pea.co.th:4434/request/PPIM19500199" TargetMode="External"/><Relationship Id="rId124" Type="http://schemas.openxmlformats.org/officeDocument/2006/relationships/hyperlink" Target="https://ppim-intra.pea.co.th:4434/request/PPIM19500BBC" TargetMode="External"/><Relationship Id="rId70" Type="http://schemas.openxmlformats.org/officeDocument/2006/relationships/hyperlink" Target="https://ppim-intra.pea.co.th:4434/request/PPIM18503ADD" TargetMode="External"/><Relationship Id="rId91" Type="http://schemas.openxmlformats.org/officeDocument/2006/relationships/hyperlink" Target="https://ppim-intra.pea.co.th:4434/request/PPIM18503B3F" TargetMode="External"/><Relationship Id="rId145" Type="http://schemas.openxmlformats.org/officeDocument/2006/relationships/hyperlink" Target="https://ppim-intra.pea.co.th:4434/request/PPIM19501863" TargetMode="External"/><Relationship Id="rId166" Type="http://schemas.openxmlformats.org/officeDocument/2006/relationships/hyperlink" Target="https://ppim-intra.pea.co.th:4434/request/PPIM19502319" TargetMode="External"/><Relationship Id="rId187" Type="http://schemas.openxmlformats.org/officeDocument/2006/relationships/hyperlink" Target="https://ppim-intra.pea.co.th:4434/request/PPIM195039A5" TargetMode="External"/><Relationship Id="rId1" Type="http://schemas.openxmlformats.org/officeDocument/2006/relationships/hyperlink" Target="https://ppim-intra.pea.co.th:4434/request/PPIM1850003B" TargetMode="External"/><Relationship Id="rId212" Type="http://schemas.openxmlformats.org/officeDocument/2006/relationships/hyperlink" Target="https://ppim-intra.pea.co.th:4434/request/PPIM19504751" TargetMode="External"/><Relationship Id="rId233" Type="http://schemas.openxmlformats.org/officeDocument/2006/relationships/hyperlink" Target="https://ppim-intra.pea.co.th:4434/request/PPIM19504BD2" TargetMode="External"/><Relationship Id="rId254" Type="http://schemas.openxmlformats.org/officeDocument/2006/relationships/hyperlink" Target="https://ppim-intra.pea.co.th:4434/request/PPIM19504A71" TargetMode="External"/><Relationship Id="rId28" Type="http://schemas.openxmlformats.org/officeDocument/2006/relationships/hyperlink" Target="https://ppim-intra.pea.co.th:4434/request/PPIM18502484" TargetMode="External"/><Relationship Id="rId49" Type="http://schemas.openxmlformats.org/officeDocument/2006/relationships/hyperlink" Target="https://ppim-intra.pea.co.th:4434/request/PPIM18502FD3" TargetMode="External"/><Relationship Id="rId114" Type="http://schemas.openxmlformats.org/officeDocument/2006/relationships/hyperlink" Target="https://ppim-intra.pea.co.th:4434/request/PPIM1850480B" TargetMode="External"/><Relationship Id="rId275" Type="http://schemas.openxmlformats.org/officeDocument/2006/relationships/hyperlink" Target="https://ppim-intra.pea.co.th:4434/request/PPIM1950527D" TargetMode="External"/><Relationship Id="rId60" Type="http://schemas.openxmlformats.org/officeDocument/2006/relationships/hyperlink" Target="https://ppim-intra.pea.co.th:4434/request/PPIM18502958" TargetMode="External"/><Relationship Id="rId81" Type="http://schemas.openxmlformats.org/officeDocument/2006/relationships/hyperlink" Target="https://ppim-intra.pea.co.th:4434/request/PPIM18504093" TargetMode="External"/><Relationship Id="rId135" Type="http://schemas.openxmlformats.org/officeDocument/2006/relationships/hyperlink" Target="https://ppim-intra.pea.co.th:4434/request/PPIM19500CB3" TargetMode="External"/><Relationship Id="rId156" Type="http://schemas.openxmlformats.org/officeDocument/2006/relationships/hyperlink" Target="https://ppim-intra.pea.co.th:4434/request/PPIM19501F41" TargetMode="External"/><Relationship Id="rId177" Type="http://schemas.openxmlformats.org/officeDocument/2006/relationships/hyperlink" Target="https://ppim-intra.pea.co.th:4434/request/PPIM19502E73" TargetMode="External"/><Relationship Id="rId198" Type="http://schemas.openxmlformats.org/officeDocument/2006/relationships/hyperlink" Target="https://ppim-intra.pea.co.th:4434/request/PPIM19504033" TargetMode="External"/><Relationship Id="rId202" Type="http://schemas.openxmlformats.org/officeDocument/2006/relationships/hyperlink" Target="https://ppim-intra.pea.co.th:4434/request/PPIM19504042" TargetMode="External"/><Relationship Id="rId223" Type="http://schemas.openxmlformats.org/officeDocument/2006/relationships/hyperlink" Target="https://ppim-intra.pea.co.th:4434/request/PPIM195047C7" TargetMode="External"/><Relationship Id="rId244" Type="http://schemas.openxmlformats.org/officeDocument/2006/relationships/hyperlink" Target="https://ppim-intra.pea.co.th:4434/request/PPIM19504D7E" TargetMode="External"/><Relationship Id="rId18" Type="http://schemas.openxmlformats.org/officeDocument/2006/relationships/hyperlink" Target="https://ppim-intra.pea.co.th:4434/request/PPIM185017E6" TargetMode="External"/><Relationship Id="rId39" Type="http://schemas.openxmlformats.org/officeDocument/2006/relationships/hyperlink" Target="https://ppim-intra.pea.co.th:4434/request/PPIM18502AF0" TargetMode="External"/><Relationship Id="rId265" Type="http://schemas.openxmlformats.org/officeDocument/2006/relationships/hyperlink" Target="https://ppim-intra.pea.co.th:4434/request/PPIM19505500" TargetMode="External"/><Relationship Id="rId286" Type="http://schemas.openxmlformats.org/officeDocument/2006/relationships/hyperlink" Target="https://ppim-intra.pea.co.th:4434/request/PPIM1950594A" TargetMode="External"/><Relationship Id="rId50" Type="http://schemas.openxmlformats.org/officeDocument/2006/relationships/hyperlink" Target="https://ppim-intra.pea.co.th:4434/request/PPIM185030A9" TargetMode="External"/><Relationship Id="rId104" Type="http://schemas.openxmlformats.org/officeDocument/2006/relationships/hyperlink" Target="https://ppim-intra.pea.co.th:4434/request/PPIM18504398" TargetMode="External"/><Relationship Id="rId125" Type="http://schemas.openxmlformats.org/officeDocument/2006/relationships/hyperlink" Target="https://ppim-intra.pea.co.th:4434/request/PPIM19500C06" TargetMode="External"/><Relationship Id="rId146" Type="http://schemas.openxmlformats.org/officeDocument/2006/relationships/hyperlink" Target="https://ppim-intra.pea.co.th:4434/request/PPIM19501874" TargetMode="External"/><Relationship Id="rId167" Type="http://schemas.openxmlformats.org/officeDocument/2006/relationships/hyperlink" Target="https://ppim-intra.pea.co.th:4434/request/PPIM19501914" TargetMode="External"/><Relationship Id="rId188" Type="http://schemas.openxmlformats.org/officeDocument/2006/relationships/hyperlink" Target="https://ppim-intra.pea.co.th:4434/request/PPIM19503310" TargetMode="External"/><Relationship Id="rId71" Type="http://schemas.openxmlformats.org/officeDocument/2006/relationships/hyperlink" Target="https://ppim-intra.pea.co.th:4434/request/PPIM18503AEE" TargetMode="External"/><Relationship Id="rId92" Type="http://schemas.openxmlformats.org/officeDocument/2006/relationships/hyperlink" Target="https://ppim-intra.pea.co.th:4434/request/PPIM185045F2" TargetMode="External"/><Relationship Id="rId213" Type="http://schemas.openxmlformats.org/officeDocument/2006/relationships/hyperlink" Target="https://ppim-intra.pea.co.th:4434/request/PPIM1950475A" TargetMode="External"/><Relationship Id="rId234" Type="http://schemas.openxmlformats.org/officeDocument/2006/relationships/hyperlink" Target="https://ppim-intra.pea.co.th:4434/request/PPIM19504BDE" TargetMode="External"/><Relationship Id="rId2" Type="http://schemas.openxmlformats.org/officeDocument/2006/relationships/hyperlink" Target="https://ppim-intra.pea.co.th:4434/request/PPIM185001AA" TargetMode="External"/><Relationship Id="rId29" Type="http://schemas.openxmlformats.org/officeDocument/2006/relationships/hyperlink" Target="https://ppim-intra.pea.co.th:4434/request/PPIM18502512" TargetMode="External"/><Relationship Id="rId255" Type="http://schemas.openxmlformats.org/officeDocument/2006/relationships/hyperlink" Target="https://ppim-intra.pea.co.th:4434/request/PPIM195050C7" TargetMode="External"/><Relationship Id="rId276" Type="http://schemas.openxmlformats.org/officeDocument/2006/relationships/hyperlink" Target="https://ppim-intra.pea.co.th:4434/request/PPIM19505810" TargetMode="External"/><Relationship Id="rId40" Type="http://schemas.openxmlformats.org/officeDocument/2006/relationships/hyperlink" Target="https://ppim-intra.pea.co.th:4434/request/PPIM18502AF1" TargetMode="External"/><Relationship Id="rId115" Type="http://schemas.openxmlformats.org/officeDocument/2006/relationships/hyperlink" Target="https://ppim-intra.pea.co.th:4434/request/PPIM19500523" TargetMode="External"/><Relationship Id="rId136" Type="http://schemas.openxmlformats.org/officeDocument/2006/relationships/hyperlink" Target="https://ppim-intra.pea.co.th:4434/request/PPIM19500F56" TargetMode="External"/><Relationship Id="rId157" Type="http://schemas.openxmlformats.org/officeDocument/2006/relationships/hyperlink" Target="https://ppim-intra.pea.co.th:4434/request/PPIM1950186C" TargetMode="External"/><Relationship Id="rId178" Type="http://schemas.openxmlformats.org/officeDocument/2006/relationships/hyperlink" Target="https://ppim-intra.pea.co.th:4434/request/PPIM19503114" TargetMode="External"/><Relationship Id="rId61" Type="http://schemas.openxmlformats.org/officeDocument/2006/relationships/hyperlink" Target="https://ppim-intra.pea.co.th:4434/request/PPIM18503359" TargetMode="External"/><Relationship Id="rId82" Type="http://schemas.openxmlformats.org/officeDocument/2006/relationships/hyperlink" Target="https://ppim-intra.pea.co.th:4434/request/PPIM185040D0" TargetMode="External"/><Relationship Id="rId199" Type="http://schemas.openxmlformats.org/officeDocument/2006/relationships/hyperlink" Target="https://ppim-intra.pea.co.th:4434/request/PPIM19504038" TargetMode="External"/><Relationship Id="rId203" Type="http://schemas.openxmlformats.org/officeDocument/2006/relationships/hyperlink" Target="https://ppim-intra.pea.co.th:4434/request/PPIM19504043" TargetMode="External"/><Relationship Id="rId19" Type="http://schemas.openxmlformats.org/officeDocument/2006/relationships/hyperlink" Target="https://ppim-intra.pea.co.th:4434/request/PPIM18501A6B" TargetMode="External"/><Relationship Id="rId224" Type="http://schemas.openxmlformats.org/officeDocument/2006/relationships/hyperlink" Target="https://ppim-intra.pea.co.th:4434/request/PPIM195047E4" TargetMode="External"/><Relationship Id="rId245" Type="http://schemas.openxmlformats.org/officeDocument/2006/relationships/hyperlink" Target="https://ppim-intra.pea.co.th:4434/request/PPIM19504EA2" TargetMode="External"/><Relationship Id="rId266" Type="http://schemas.openxmlformats.org/officeDocument/2006/relationships/hyperlink" Target="https://ppim-intra.pea.co.th:4434/request/PPIM195055A4" TargetMode="External"/><Relationship Id="rId287" Type="http://schemas.openxmlformats.org/officeDocument/2006/relationships/hyperlink" Target="https://ppim-intra.pea.co.th:4434/request/PPIM19505967" TargetMode="External"/><Relationship Id="rId30" Type="http://schemas.openxmlformats.org/officeDocument/2006/relationships/hyperlink" Target="https://ppim-intra.pea.co.th:4434/request/PPIM1850260A" TargetMode="External"/><Relationship Id="rId105" Type="http://schemas.openxmlformats.org/officeDocument/2006/relationships/hyperlink" Target="https://ppim-intra.pea.co.th:4434/request/PPIM18504584" TargetMode="External"/><Relationship Id="rId126" Type="http://schemas.openxmlformats.org/officeDocument/2006/relationships/hyperlink" Target="https://ppim-intra.pea.co.th:4434/request/PPIM19500084" TargetMode="External"/><Relationship Id="rId147" Type="http://schemas.openxmlformats.org/officeDocument/2006/relationships/hyperlink" Target="https://ppim-intra.pea.co.th:4434/request/PPIM19501967" TargetMode="External"/><Relationship Id="rId168" Type="http://schemas.openxmlformats.org/officeDocument/2006/relationships/hyperlink" Target="https://ppim-intra.pea.co.th:4434/request/PPIM195018AE" TargetMode="External"/><Relationship Id="rId51" Type="http://schemas.openxmlformats.org/officeDocument/2006/relationships/hyperlink" Target="https://ppim-intra.pea.co.th:4434/request/PPIM18502D09" TargetMode="External"/><Relationship Id="rId72" Type="http://schemas.openxmlformats.org/officeDocument/2006/relationships/hyperlink" Target="https://ppim-intra.pea.co.th:4434/request/PPIM18503B08" TargetMode="External"/><Relationship Id="rId93" Type="http://schemas.openxmlformats.org/officeDocument/2006/relationships/hyperlink" Target="https://ppim-intra.pea.co.th:4434/request/PPIM1850460F" TargetMode="External"/><Relationship Id="rId189" Type="http://schemas.openxmlformats.org/officeDocument/2006/relationships/hyperlink" Target="https://ppim-intra.pea.co.th:4434/request/PPIM195039C3" TargetMode="External"/><Relationship Id="rId3" Type="http://schemas.openxmlformats.org/officeDocument/2006/relationships/hyperlink" Target="https://ppim-intra.pea.co.th:4434/request/PPIM18500394" TargetMode="External"/><Relationship Id="rId214" Type="http://schemas.openxmlformats.org/officeDocument/2006/relationships/hyperlink" Target="https://ppim-intra.pea.co.th:4434/request/PPIM1950475C" TargetMode="External"/><Relationship Id="rId235" Type="http://schemas.openxmlformats.org/officeDocument/2006/relationships/hyperlink" Target="https://ppim-intra.pea.co.th:4434/request/PPIM19504BDF" TargetMode="External"/><Relationship Id="rId256" Type="http://schemas.openxmlformats.org/officeDocument/2006/relationships/hyperlink" Target="https://ppim-intra.pea.co.th:4434/request/PPIM19505119" TargetMode="External"/><Relationship Id="rId277" Type="http://schemas.openxmlformats.org/officeDocument/2006/relationships/hyperlink" Target="https://ppim-intra.pea.co.th:4434/request/PPIM195053F4" TargetMode="External"/><Relationship Id="rId116" Type="http://schemas.openxmlformats.org/officeDocument/2006/relationships/hyperlink" Target="https://ppim-intra.pea.co.th:4434/request/PPIM1950062E" TargetMode="External"/><Relationship Id="rId137" Type="http://schemas.openxmlformats.org/officeDocument/2006/relationships/hyperlink" Target="https://ppim-intra.pea.co.th:4434/request/PPIM19500FDE" TargetMode="External"/><Relationship Id="rId158" Type="http://schemas.openxmlformats.org/officeDocument/2006/relationships/hyperlink" Target="https://ppim-intra.pea.co.th:4434/request/PPIM19501E00" TargetMode="External"/><Relationship Id="rId20" Type="http://schemas.openxmlformats.org/officeDocument/2006/relationships/hyperlink" Target="https://ppim-intra.pea.co.th:4434/request/PPIM1850151F" TargetMode="External"/><Relationship Id="rId41" Type="http://schemas.openxmlformats.org/officeDocument/2006/relationships/hyperlink" Target="https://ppim-intra.pea.co.th:4434/request/PPIM18502BD8" TargetMode="External"/><Relationship Id="rId62" Type="http://schemas.openxmlformats.org/officeDocument/2006/relationships/hyperlink" Target="https://ppim-intra.pea.co.th:4434/request/PPIM18503085" TargetMode="External"/><Relationship Id="rId83" Type="http://schemas.openxmlformats.org/officeDocument/2006/relationships/hyperlink" Target="https://ppim-intra.pea.co.th:4434/request/PPIM18504137" TargetMode="External"/><Relationship Id="rId179" Type="http://schemas.openxmlformats.org/officeDocument/2006/relationships/hyperlink" Target="https://ppim-intra.pea.co.th:4434/request/PPIM19502BF2" TargetMode="External"/><Relationship Id="rId190" Type="http://schemas.openxmlformats.org/officeDocument/2006/relationships/hyperlink" Target="https://ppim-intra.pea.co.th:4434/request/PPIM19503A6A" TargetMode="External"/><Relationship Id="rId204" Type="http://schemas.openxmlformats.org/officeDocument/2006/relationships/hyperlink" Target="https://ppim-intra.pea.co.th:4434/request/PPIM195041BE" TargetMode="External"/><Relationship Id="rId225" Type="http://schemas.openxmlformats.org/officeDocument/2006/relationships/hyperlink" Target="https://ppim-intra.pea.co.th:4434/request/PPIM19504893" TargetMode="External"/><Relationship Id="rId246" Type="http://schemas.openxmlformats.org/officeDocument/2006/relationships/hyperlink" Target="https://ppim-intra.pea.co.th:4434/request/PPIM19504F53" TargetMode="External"/><Relationship Id="rId267" Type="http://schemas.openxmlformats.org/officeDocument/2006/relationships/hyperlink" Target="https://ppim-intra.pea.co.th:4434/request/PPIM19504D51" TargetMode="External"/><Relationship Id="rId288" Type="http://schemas.openxmlformats.org/officeDocument/2006/relationships/hyperlink" Target="https://ppim-intra.pea.co.th:4434/request/PPIM1950502B" TargetMode="External"/><Relationship Id="rId106" Type="http://schemas.openxmlformats.org/officeDocument/2006/relationships/hyperlink" Target="https://ppim-intra.pea.co.th:4434/request/PPIM1950022D" TargetMode="External"/><Relationship Id="rId127" Type="http://schemas.openxmlformats.org/officeDocument/2006/relationships/hyperlink" Target="https://ppim-intra.pea.co.th:4434/request/PPIM19500C45" TargetMode="External"/><Relationship Id="rId10" Type="http://schemas.openxmlformats.org/officeDocument/2006/relationships/hyperlink" Target="https://ppim-intra.pea.co.th:4434/request/PPIM185013C9" TargetMode="External"/><Relationship Id="rId31" Type="http://schemas.openxmlformats.org/officeDocument/2006/relationships/hyperlink" Target="https://ppim-intra.pea.co.th:4434/request/PPIM1850271D" TargetMode="External"/><Relationship Id="rId52" Type="http://schemas.openxmlformats.org/officeDocument/2006/relationships/hyperlink" Target="https://ppim-intra.pea.co.th:4434/request/PPIM185030ED" TargetMode="External"/><Relationship Id="rId73" Type="http://schemas.openxmlformats.org/officeDocument/2006/relationships/hyperlink" Target="https://ppim-intra.pea.co.th:4434/request/PPIM1850342C" TargetMode="External"/><Relationship Id="rId94" Type="http://schemas.openxmlformats.org/officeDocument/2006/relationships/hyperlink" Target="https://ppim-intra.pea.co.th:4434/request/PPIM18504625" TargetMode="External"/><Relationship Id="rId148" Type="http://schemas.openxmlformats.org/officeDocument/2006/relationships/hyperlink" Target="https://ppim-intra.pea.co.th:4434/request/PPIM195019F1" TargetMode="External"/><Relationship Id="rId169" Type="http://schemas.openxmlformats.org/officeDocument/2006/relationships/hyperlink" Target="https://ppim-intra.pea.co.th:4434/request/PPIM19502375" TargetMode="External"/><Relationship Id="rId4" Type="http://schemas.openxmlformats.org/officeDocument/2006/relationships/hyperlink" Target="https://ppim-intra.pea.co.th:4434/request/PPIM185007C5" TargetMode="External"/><Relationship Id="rId180" Type="http://schemas.openxmlformats.org/officeDocument/2006/relationships/hyperlink" Target="https://ppim-intra.pea.co.th:4434/request/PPIM19503415" TargetMode="External"/><Relationship Id="rId215" Type="http://schemas.openxmlformats.org/officeDocument/2006/relationships/hyperlink" Target="https://ppim-intra.pea.co.th:4434/request/PPIM1950475E" TargetMode="External"/><Relationship Id="rId236" Type="http://schemas.openxmlformats.org/officeDocument/2006/relationships/hyperlink" Target="https://ppim-intra.pea.co.th:4434/request/PPIM19504BE1" TargetMode="External"/><Relationship Id="rId257" Type="http://schemas.openxmlformats.org/officeDocument/2006/relationships/hyperlink" Target="https://ppim-intra.pea.co.th:4434/request/PPIM1950518A" TargetMode="External"/><Relationship Id="rId278" Type="http://schemas.openxmlformats.org/officeDocument/2006/relationships/hyperlink" Target="https://ppim-intra.pea.co.th:4434/request/PPIM1950590A" TargetMode="External"/><Relationship Id="rId42" Type="http://schemas.openxmlformats.org/officeDocument/2006/relationships/hyperlink" Target="https://ppim-intra.pea.co.th:4434/request/PPIM185028F5" TargetMode="External"/><Relationship Id="rId84" Type="http://schemas.openxmlformats.org/officeDocument/2006/relationships/hyperlink" Target="https://ppim-intra.pea.co.th:4434/request/PPIM18504147" TargetMode="External"/><Relationship Id="rId138" Type="http://schemas.openxmlformats.org/officeDocument/2006/relationships/hyperlink" Target="https://ppim-intra.pea.co.th:4434/request/PPIM1950070C" TargetMode="External"/><Relationship Id="rId191" Type="http://schemas.openxmlformats.org/officeDocument/2006/relationships/hyperlink" Target="https://ppim-intra.pea.co.th:4434/request/PPIM19503BBB" TargetMode="External"/><Relationship Id="rId205" Type="http://schemas.openxmlformats.org/officeDocument/2006/relationships/hyperlink" Target="https://ppim-intra.pea.co.th:4434/request/PPIM195041D3" TargetMode="External"/><Relationship Id="rId247" Type="http://schemas.openxmlformats.org/officeDocument/2006/relationships/hyperlink" Target="https://ppim-intra.pea.co.th:4434/request/PPIM195049D5" TargetMode="External"/><Relationship Id="rId107" Type="http://schemas.openxmlformats.org/officeDocument/2006/relationships/hyperlink" Target="https://ppim-intra.pea.co.th:4434/request/PPIM195002FC" TargetMode="External"/><Relationship Id="rId289" Type="http://schemas.openxmlformats.org/officeDocument/2006/relationships/hyperlink" Target="https://ppim-intra.pea.co.th:4434/request/PPIM19505AEA" TargetMode="External"/><Relationship Id="rId11" Type="http://schemas.openxmlformats.org/officeDocument/2006/relationships/hyperlink" Target="https://ppim-intra.pea.co.th:4434/request/PPIM185013FA" TargetMode="External"/><Relationship Id="rId53" Type="http://schemas.openxmlformats.org/officeDocument/2006/relationships/hyperlink" Target="https://ppim-intra.pea.co.th:4434/request/PPIM18503119" TargetMode="External"/><Relationship Id="rId149" Type="http://schemas.openxmlformats.org/officeDocument/2006/relationships/hyperlink" Target="https://ppim-intra.pea.co.th:4434/request/PPIM19501B73" TargetMode="External"/><Relationship Id="rId95" Type="http://schemas.openxmlformats.org/officeDocument/2006/relationships/hyperlink" Target="https://ppim-intra.pea.co.th:4434/request/PPIM18503A26" TargetMode="External"/><Relationship Id="rId160" Type="http://schemas.openxmlformats.org/officeDocument/2006/relationships/hyperlink" Target="https://ppim-intra.pea.co.th:4434/request/PPIM19502176" TargetMode="External"/><Relationship Id="rId216" Type="http://schemas.openxmlformats.org/officeDocument/2006/relationships/hyperlink" Target="https://ppim-intra.pea.co.th:4434/request/PPIM1950475F" TargetMode="External"/><Relationship Id="rId258" Type="http://schemas.openxmlformats.org/officeDocument/2006/relationships/hyperlink" Target="https://ppim-intra.pea.co.th:4434/request/PPIM19505322" TargetMode="External"/><Relationship Id="rId22" Type="http://schemas.openxmlformats.org/officeDocument/2006/relationships/hyperlink" Target="https://ppim-intra.pea.co.th:4434/request/PPIM18501E4C" TargetMode="External"/><Relationship Id="rId64" Type="http://schemas.openxmlformats.org/officeDocument/2006/relationships/hyperlink" Target="https://ppim-intra.pea.co.th:4434/request/PPIM185032D6" TargetMode="External"/><Relationship Id="rId118" Type="http://schemas.openxmlformats.org/officeDocument/2006/relationships/hyperlink" Target="https://ppim-intra.pea.co.th:4434/request/PPIM1950085D" TargetMode="External"/><Relationship Id="rId171" Type="http://schemas.openxmlformats.org/officeDocument/2006/relationships/hyperlink" Target="https://ppim-intra.pea.co.th:4434/request/PPIM19502745" TargetMode="External"/><Relationship Id="rId227" Type="http://schemas.openxmlformats.org/officeDocument/2006/relationships/hyperlink" Target="https://ppim-intra.pea.co.th:4434/request/PPIM1950466F" TargetMode="External"/><Relationship Id="rId269" Type="http://schemas.openxmlformats.org/officeDocument/2006/relationships/hyperlink" Target="https://ppim-intra.pea.co.th:4434/request/PPIM19505719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ppim-intra.pea.co.th:4434/request/PPIM1850278E" TargetMode="External"/><Relationship Id="rId18" Type="http://schemas.openxmlformats.org/officeDocument/2006/relationships/hyperlink" Target="https://ppim-intra.pea.co.th:4434/request/PPIM1850489C" TargetMode="External"/><Relationship Id="rId26" Type="http://schemas.openxmlformats.org/officeDocument/2006/relationships/hyperlink" Target="https://ppim-intra.pea.co.th:4434/request/PPIM1950097E" TargetMode="External"/><Relationship Id="rId39" Type="http://schemas.openxmlformats.org/officeDocument/2006/relationships/hyperlink" Target="https://ppim-intra.pea.co.th:4434/request/PPIM195045B4" TargetMode="External"/><Relationship Id="rId21" Type="http://schemas.openxmlformats.org/officeDocument/2006/relationships/hyperlink" Target="https://ppim-intra.pea.co.th:4434/request/PPIM18503BB3" TargetMode="External"/><Relationship Id="rId34" Type="http://schemas.openxmlformats.org/officeDocument/2006/relationships/hyperlink" Target="https://ppim-intra.pea.co.th:4434/request/PPIM195031CD" TargetMode="External"/><Relationship Id="rId42" Type="http://schemas.openxmlformats.org/officeDocument/2006/relationships/hyperlink" Target="https://ppim-intra.pea.co.th:4434/request/PPIM19504A29" TargetMode="External"/><Relationship Id="rId47" Type="http://schemas.openxmlformats.org/officeDocument/2006/relationships/hyperlink" Target="https://ppim-intra.pea.co.th:4434/request/PPIM19505005" TargetMode="External"/><Relationship Id="rId50" Type="http://schemas.openxmlformats.org/officeDocument/2006/relationships/hyperlink" Target="https://ppim-intra.pea.co.th:4434/request/PPIM19505918" TargetMode="External"/><Relationship Id="rId55" Type="http://schemas.openxmlformats.org/officeDocument/2006/relationships/image" Target="../media/image3.emf"/><Relationship Id="rId7" Type="http://schemas.openxmlformats.org/officeDocument/2006/relationships/hyperlink" Target="https://ppim-intra.pea.co.th:4434/request/PPIM185020DD" TargetMode="External"/><Relationship Id="rId2" Type="http://schemas.openxmlformats.org/officeDocument/2006/relationships/hyperlink" Target="https://ppim-intra.pea.co.th:4434/request/PPIM18500A1F" TargetMode="External"/><Relationship Id="rId16" Type="http://schemas.openxmlformats.org/officeDocument/2006/relationships/hyperlink" Target="https://ppim-intra.pea.co.th:4434/request/PPIM18504022" TargetMode="External"/><Relationship Id="rId29" Type="http://schemas.openxmlformats.org/officeDocument/2006/relationships/hyperlink" Target="https://ppim-intra.pea.co.th:4434/request/PPIM19500BCF" TargetMode="External"/><Relationship Id="rId11" Type="http://schemas.openxmlformats.org/officeDocument/2006/relationships/hyperlink" Target="https://ppim-intra.pea.co.th:4434/request/PPIM1850295D" TargetMode="External"/><Relationship Id="rId24" Type="http://schemas.openxmlformats.org/officeDocument/2006/relationships/hyperlink" Target="https://ppim-intra.pea.co.th:4434/request/PPIM19500344" TargetMode="External"/><Relationship Id="rId32" Type="http://schemas.openxmlformats.org/officeDocument/2006/relationships/hyperlink" Target="https://ppim-intra.pea.co.th:4434/request/PPIM19502973" TargetMode="External"/><Relationship Id="rId37" Type="http://schemas.openxmlformats.org/officeDocument/2006/relationships/hyperlink" Target="https://ppim-intra.pea.co.th:4434/request/PPIM19504447" TargetMode="External"/><Relationship Id="rId40" Type="http://schemas.openxmlformats.org/officeDocument/2006/relationships/hyperlink" Target="https://ppim-intra.pea.co.th:4434/request/PPIM195045C9" TargetMode="External"/><Relationship Id="rId45" Type="http://schemas.openxmlformats.org/officeDocument/2006/relationships/hyperlink" Target="https://ppim-intra.pea.co.th:4434/request/PPIM19504D06" TargetMode="External"/><Relationship Id="rId53" Type="http://schemas.openxmlformats.org/officeDocument/2006/relationships/vmlDrawing" Target="../drawings/vmlDrawing5.vml"/><Relationship Id="rId5" Type="http://schemas.openxmlformats.org/officeDocument/2006/relationships/hyperlink" Target="https://ppim-intra.pea.co.th:4434/request/PPIM18500E13" TargetMode="External"/><Relationship Id="rId10" Type="http://schemas.openxmlformats.org/officeDocument/2006/relationships/hyperlink" Target="https://ppim-intra.pea.co.th:4434/request/PPIM1850295C" TargetMode="External"/><Relationship Id="rId19" Type="http://schemas.openxmlformats.org/officeDocument/2006/relationships/hyperlink" Target="https://ppim-intra.pea.co.th:4434/request/PPIM1950005B" TargetMode="External"/><Relationship Id="rId31" Type="http://schemas.openxmlformats.org/officeDocument/2006/relationships/hyperlink" Target="https://ppim-intra.pea.co.th:4434/request/PPIM19502514" TargetMode="External"/><Relationship Id="rId44" Type="http://schemas.openxmlformats.org/officeDocument/2006/relationships/hyperlink" Target="https://ppim-intra.pea.co.th:4434/request/PPIM19502667" TargetMode="External"/><Relationship Id="rId52" Type="http://schemas.openxmlformats.org/officeDocument/2006/relationships/drawing" Target="../drawings/drawing6.xml"/><Relationship Id="rId4" Type="http://schemas.openxmlformats.org/officeDocument/2006/relationships/hyperlink" Target="https://ppim-intra.pea.co.th:4434/request/PPIM18500BE1" TargetMode="External"/><Relationship Id="rId9" Type="http://schemas.openxmlformats.org/officeDocument/2006/relationships/hyperlink" Target="https://ppim-intra.pea.co.th:4434/request/PPIM1850281D" TargetMode="External"/><Relationship Id="rId14" Type="http://schemas.openxmlformats.org/officeDocument/2006/relationships/hyperlink" Target="https://ppim-intra.pea.co.th:4434/request/PPIM18503E93" TargetMode="External"/><Relationship Id="rId22" Type="http://schemas.openxmlformats.org/officeDocument/2006/relationships/hyperlink" Target="https://ppim-intra.pea.co.th:4434/request/PPIM1850474A" TargetMode="External"/><Relationship Id="rId27" Type="http://schemas.openxmlformats.org/officeDocument/2006/relationships/hyperlink" Target="https://ppim-intra.pea.co.th:4434/request/PPIM195011E1" TargetMode="External"/><Relationship Id="rId30" Type="http://schemas.openxmlformats.org/officeDocument/2006/relationships/hyperlink" Target="https://ppim-intra.pea.co.th:4434/request/PPIM1950214E" TargetMode="External"/><Relationship Id="rId35" Type="http://schemas.openxmlformats.org/officeDocument/2006/relationships/hyperlink" Target="https://ppim-intra.pea.co.th:4434/request/PPIM1950352A" TargetMode="External"/><Relationship Id="rId43" Type="http://schemas.openxmlformats.org/officeDocument/2006/relationships/hyperlink" Target="https://ppim-intra.pea.co.th:4434/request/PPIM19504B81" TargetMode="External"/><Relationship Id="rId48" Type="http://schemas.openxmlformats.org/officeDocument/2006/relationships/hyperlink" Target="https://ppim-intra.pea.co.th:4434/request/PPIM1950305B" TargetMode="External"/><Relationship Id="rId8" Type="http://schemas.openxmlformats.org/officeDocument/2006/relationships/hyperlink" Target="https://ppim-intra.pea.co.th:4434/request/PPIM185021CB" TargetMode="External"/><Relationship Id="rId51" Type="http://schemas.openxmlformats.org/officeDocument/2006/relationships/hyperlink" Target="https://ppim-intra.pea.co.th:4434/request/PPIM19505919" TargetMode="External"/><Relationship Id="rId3" Type="http://schemas.openxmlformats.org/officeDocument/2006/relationships/hyperlink" Target="https://ppim-intra.pea.co.th:4434/request/PPIM18500BE0" TargetMode="External"/><Relationship Id="rId12" Type="http://schemas.openxmlformats.org/officeDocument/2006/relationships/hyperlink" Target="https://ppim-intra.pea.co.th:4434/request/PPIM18502F6B" TargetMode="External"/><Relationship Id="rId17" Type="http://schemas.openxmlformats.org/officeDocument/2006/relationships/hyperlink" Target="https://ppim-intra.pea.co.th:4434/request/PPIM185044C0" TargetMode="External"/><Relationship Id="rId25" Type="http://schemas.openxmlformats.org/officeDocument/2006/relationships/hyperlink" Target="https://ppim-intra.pea.co.th:4434/request/PPIM195005DA" TargetMode="External"/><Relationship Id="rId33" Type="http://schemas.openxmlformats.org/officeDocument/2006/relationships/hyperlink" Target="https://ppim-intra.pea.co.th:4434/request/PPIM195031C8" TargetMode="External"/><Relationship Id="rId38" Type="http://schemas.openxmlformats.org/officeDocument/2006/relationships/hyperlink" Target="https://ppim-intra.pea.co.th:4434/request/PPIM19503C94" TargetMode="External"/><Relationship Id="rId46" Type="http://schemas.openxmlformats.org/officeDocument/2006/relationships/hyperlink" Target="https://ppim-intra.pea.co.th:4434/request/PPIM19504ED8" TargetMode="External"/><Relationship Id="rId20" Type="http://schemas.openxmlformats.org/officeDocument/2006/relationships/hyperlink" Target="https://ppim-intra.pea.co.th:4434/request/PPIM1850339E" TargetMode="External"/><Relationship Id="rId41" Type="http://schemas.openxmlformats.org/officeDocument/2006/relationships/hyperlink" Target="https://ppim-intra.pea.co.th:4434/request/PPIM19504693" TargetMode="External"/><Relationship Id="rId54" Type="http://schemas.openxmlformats.org/officeDocument/2006/relationships/control" Target="../activeX/activeX5.xml"/><Relationship Id="rId1" Type="http://schemas.openxmlformats.org/officeDocument/2006/relationships/hyperlink" Target="https://ppim-intra.pea.co.th:4434/request/PPIM18500140" TargetMode="External"/><Relationship Id="rId6" Type="http://schemas.openxmlformats.org/officeDocument/2006/relationships/hyperlink" Target="https://ppim-intra.pea.co.th:4434/request/PPIM18501761" TargetMode="External"/><Relationship Id="rId15" Type="http://schemas.openxmlformats.org/officeDocument/2006/relationships/hyperlink" Target="https://ppim-intra.pea.co.th:4434/request/PPIM1850401E" TargetMode="External"/><Relationship Id="rId23" Type="http://schemas.openxmlformats.org/officeDocument/2006/relationships/hyperlink" Target="https://ppim-intra.pea.co.th:4434/request/PPIM1950006B" TargetMode="External"/><Relationship Id="rId28" Type="http://schemas.openxmlformats.org/officeDocument/2006/relationships/hyperlink" Target="https://ppim-intra.pea.co.th:4434/request/PPIM195011F2" TargetMode="External"/><Relationship Id="rId36" Type="http://schemas.openxmlformats.org/officeDocument/2006/relationships/hyperlink" Target="https://ppim-intra.pea.co.th:4434/request/PPIM1950414A" TargetMode="External"/><Relationship Id="rId49" Type="http://schemas.openxmlformats.org/officeDocument/2006/relationships/hyperlink" Target="https://ppim-intra.pea.co.th:4434/request/PPIM1950589F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1972" TargetMode="External"/><Relationship Id="rId21" Type="http://schemas.openxmlformats.org/officeDocument/2006/relationships/hyperlink" Target="https://ppim-intra.pea.co.th:4434/request/PPIM185024A0" TargetMode="External"/><Relationship Id="rId42" Type="http://schemas.openxmlformats.org/officeDocument/2006/relationships/hyperlink" Target="https://ppim-intra.pea.co.th:4434/request/PPIM1950007A" TargetMode="External"/><Relationship Id="rId47" Type="http://schemas.openxmlformats.org/officeDocument/2006/relationships/hyperlink" Target="https://ppim-intra.pea.co.th:4434/request/PPIM19500597" TargetMode="External"/><Relationship Id="rId63" Type="http://schemas.openxmlformats.org/officeDocument/2006/relationships/hyperlink" Target="https://ppim-intra.pea.co.th:4434/request/PPIM1950046D" TargetMode="External"/><Relationship Id="rId68" Type="http://schemas.openxmlformats.org/officeDocument/2006/relationships/hyperlink" Target="https://ppim-intra.pea.co.th:4434/request/PPIM19502D2B" TargetMode="External"/><Relationship Id="rId84" Type="http://schemas.openxmlformats.org/officeDocument/2006/relationships/hyperlink" Target="https://ppim-intra.pea.co.th:4434/request/PPIM1950457C" TargetMode="External"/><Relationship Id="rId89" Type="http://schemas.openxmlformats.org/officeDocument/2006/relationships/hyperlink" Target="https://ppim-intra.pea.co.th:4434/request/PPIM19500DD7" TargetMode="External"/><Relationship Id="rId16" Type="http://schemas.openxmlformats.org/officeDocument/2006/relationships/hyperlink" Target="https://ppim-intra.pea.co.th:4434/request/PPIM18501ECF" TargetMode="External"/><Relationship Id="rId11" Type="http://schemas.openxmlformats.org/officeDocument/2006/relationships/hyperlink" Target="https://ppim-intra.pea.co.th:4434/request/PPIM185012CA" TargetMode="External"/><Relationship Id="rId32" Type="http://schemas.openxmlformats.org/officeDocument/2006/relationships/hyperlink" Target="https://ppim-intra.pea.co.th:4434/request/PPIM18503EF6" TargetMode="External"/><Relationship Id="rId37" Type="http://schemas.openxmlformats.org/officeDocument/2006/relationships/hyperlink" Target="https://ppim-intra.pea.co.th:4434/request/PPIM18504537" TargetMode="External"/><Relationship Id="rId53" Type="http://schemas.openxmlformats.org/officeDocument/2006/relationships/hyperlink" Target="https://ppim-intra.pea.co.th:4434/request/PPIM195007BB" TargetMode="External"/><Relationship Id="rId58" Type="http://schemas.openxmlformats.org/officeDocument/2006/relationships/hyperlink" Target="https://ppim-intra.pea.co.th:4434/request/PPIM195012CA" TargetMode="External"/><Relationship Id="rId74" Type="http://schemas.openxmlformats.org/officeDocument/2006/relationships/hyperlink" Target="https://ppim-intra.pea.co.th:4434/request/PPIM19504151" TargetMode="External"/><Relationship Id="rId79" Type="http://schemas.openxmlformats.org/officeDocument/2006/relationships/hyperlink" Target="https://ppim-intra.pea.co.th:4434/request/PPIM19504524" TargetMode="External"/><Relationship Id="rId102" Type="http://schemas.openxmlformats.org/officeDocument/2006/relationships/control" Target="../activeX/activeX6.xml"/><Relationship Id="rId5" Type="http://schemas.openxmlformats.org/officeDocument/2006/relationships/hyperlink" Target="https://ppim-intra.pea.co.th:4434/request/PPIM185009A4" TargetMode="External"/><Relationship Id="rId90" Type="http://schemas.openxmlformats.org/officeDocument/2006/relationships/hyperlink" Target="https://ppim-intra.pea.co.th:4434/request/PPIM19504CAF" TargetMode="External"/><Relationship Id="rId95" Type="http://schemas.openxmlformats.org/officeDocument/2006/relationships/hyperlink" Target="https://ppim-intra.pea.co.th:4434/request/PPIM19504CD5" TargetMode="External"/><Relationship Id="rId22" Type="http://schemas.openxmlformats.org/officeDocument/2006/relationships/hyperlink" Target="https://ppim-intra.pea.co.th:4434/request/PPIM1850278F" TargetMode="External"/><Relationship Id="rId27" Type="http://schemas.openxmlformats.org/officeDocument/2006/relationships/hyperlink" Target="https://ppim-intra.pea.co.th:4434/request/PPIM185034AD" TargetMode="External"/><Relationship Id="rId43" Type="http://schemas.openxmlformats.org/officeDocument/2006/relationships/hyperlink" Target="https://ppim-intra.pea.co.th:4434/request/PPIM19500222" TargetMode="External"/><Relationship Id="rId48" Type="http://schemas.openxmlformats.org/officeDocument/2006/relationships/hyperlink" Target="https://ppim-intra.pea.co.th:4434/request/PPIM19500598" TargetMode="External"/><Relationship Id="rId64" Type="http://schemas.openxmlformats.org/officeDocument/2006/relationships/hyperlink" Target="https://ppim-intra.pea.co.th:4434/request/PPIM19502225" TargetMode="External"/><Relationship Id="rId69" Type="http://schemas.openxmlformats.org/officeDocument/2006/relationships/hyperlink" Target="https://ppim-intra.pea.co.th:4434/request/PPIM195030A5" TargetMode="External"/><Relationship Id="rId80" Type="http://schemas.openxmlformats.org/officeDocument/2006/relationships/hyperlink" Target="https://ppim-intra.pea.co.th:4434/request/PPIM19504528" TargetMode="External"/><Relationship Id="rId85" Type="http://schemas.openxmlformats.org/officeDocument/2006/relationships/hyperlink" Target="https://ppim-intra.pea.co.th:4434/request/PPIM1950458D" TargetMode="External"/><Relationship Id="rId12" Type="http://schemas.openxmlformats.org/officeDocument/2006/relationships/hyperlink" Target="https://ppim-intra.pea.co.th:4434/request/PPIM18501509" TargetMode="External"/><Relationship Id="rId17" Type="http://schemas.openxmlformats.org/officeDocument/2006/relationships/hyperlink" Target="https://ppim-intra.pea.co.th:4434/request/PPIM185021A1" TargetMode="External"/><Relationship Id="rId25" Type="http://schemas.openxmlformats.org/officeDocument/2006/relationships/hyperlink" Target="https://ppim-intra.pea.co.th:4434/request/PPIM18501975" TargetMode="External"/><Relationship Id="rId33" Type="http://schemas.openxmlformats.org/officeDocument/2006/relationships/hyperlink" Target="https://ppim-intra.pea.co.th:4434/request/PPIM185040BF" TargetMode="External"/><Relationship Id="rId38" Type="http://schemas.openxmlformats.org/officeDocument/2006/relationships/hyperlink" Target="https://ppim-intra.pea.co.th:4434/request/PPIM18503E33" TargetMode="External"/><Relationship Id="rId46" Type="http://schemas.openxmlformats.org/officeDocument/2006/relationships/hyperlink" Target="https://ppim-intra.pea.co.th:4434/request/PPIM19500582" TargetMode="External"/><Relationship Id="rId59" Type="http://schemas.openxmlformats.org/officeDocument/2006/relationships/hyperlink" Target="https://ppim-intra.pea.co.th:4434/request/PPIM19501304" TargetMode="External"/><Relationship Id="rId67" Type="http://schemas.openxmlformats.org/officeDocument/2006/relationships/hyperlink" Target="https://ppim-intra.pea.co.th:4434/request/PPIM1950072D" TargetMode="External"/><Relationship Id="rId103" Type="http://schemas.openxmlformats.org/officeDocument/2006/relationships/image" Target="../media/image3.emf"/><Relationship Id="rId20" Type="http://schemas.openxmlformats.org/officeDocument/2006/relationships/hyperlink" Target="https://ppim-intra.pea.co.th:4434/request/PPIM18500671" TargetMode="External"/><Relationship Id="rId41" Type="http://schemas.openxmlformats.org/officeDocument/2006/relationships/hyperlink" Target="https://ppim-intra.pea.co.th:4434/request/PPIM185042EC" TargetMode="External"/><Relationship Id="rId54" Type="http://schemas.openxmlformats.org/officeDocument/2006/relationships/hyperlink" Target="https://ppim-intra.pea.co.th:4434/request/PPIM195007F7" TargetMode="External"/><Relationship Id="rId62" Type="http://schemas.openxmlformats.org/officeDocument/2006/relationships/hyperlink" Target="https://ppim-intra.pea.co.th:4434/request/PPIM19500560" TargetMode="External"/><Relationship Id="rId70" Type="http://schemas.openxmlformats.org/officeDocument/2006/relationships/hyperlink" Target="https://ppim-intra.pea.co.th:4434/request/PPIM1950359E" TargetMode="External"/><Relationship Id="rId75" Type="http://schemas.openxmlformats.org/officeDocument/2006/relationships/hyperlink" Target="https://ppim-intra.pea.co.th:4434/request/PPIM195041C8" TargetMode="External"/><Relationship Id="rId83" Type="http://schemas.openxmlformats.org/officeDocument/2006/relationships/hyperlink" Target="https://ppim-intra.pea.co.th:4434/request/PPIM19501225" TargetMode="External"/><Relationship Id="rId88" Type="http://schemas.openxmlformats.org/officeDocument/2006/relationships/hyperlink" Target="https://ppim-intra.pea.co.th:4434/request/PPIM19500FE2" TargetMode="External"/><Relationship Id="rId91" Type="http://schemas.openxmlformats.org/officeDocument/2006/relationships/hyperlink" Target="https://ppim-intra.pea.co.th:4434/request/PPIM19504CD3" TargetMode="External"/><Relationship Id="rId96" Type="http://schemas.openxmlformats.org/officeDocument/2006/relationships/hyperlink" Target="https://ppim-intra.pea.co.th:4434/request/PPIM19505209" TargetMode="External"/><Relationship Id="rId1" Type="http://schemas.openxmlformats.org/officeDocument/2006/relationships/hyperlink" Target="https://ppim-intra.pea.co.th:4434/request/PPIM18500187" TargetMode="External"/><Relationship Id="rId6" Type="http://schemas.openxmlformats.org/officeDocument/2006/relationships/hyperlink" Target="https://ppim-intra.pea.co.th:4434/request/PPIM18500BCD" TargetMode="External"/><Relationship Id="rId15" Type="http://schemas.openxmlformats.org/officeDocument/2006/relationships/hyperlink" Target="https://ppim-intra.pea.co.th:4434/request/PPIM18501AC0" TargetMode="External"/><Relationship Id="rId23" Type="http://schemas.openxmlformats.org/officeDocument/2006/relationships/hyperlink" Target="https://ppim-intra.pea.co.th:4434/request/PPIM18502D6A" TargetMode="External"/><Relationship Id="rId28" Type="http://schemas.openxmlformats.org/officeDocument/2006/relationships/hyperlink" Target="https://ppim-intra.pea.co.th:4434/request/PPIM18502C77" TargetMode="External"/><Relationship Id="rId36" Type="http://schemas.openxmlformats.org/officeDocument/2006/relationships/hyperlink" Target="https://ppim-intra.pea.co.th:4434/request/PPIM185044BB" TargetMode="External"/><Relationship Id="rId49" Type="http://schemas.openxmlformats.org/officeDocument/2006/relationships/hyperlink" Target="https://ppim-intra.pea.co.th:4434/request/PPIM195001D3" TargetMode="External"/><Relationship Id="rId57" Type="http://schemas.openxmlformats.org/officeDocument/2006/relationships/hyperlink" Target="https://ppim-intra.pea.co.th:4434/request/PPIM19500FBC" TargetMode="External"/><Relationship Id="rId10" Type="http://schemas.openxmlformats.org/officeDocument/2006/relationships/hyperlink" Target="https://ppim-intra.pea.co.th:4434/request/PPIM1850123E" TargetMode="External"/><Relationship Id="rId31" Type="http://schemas.openxmlformats.org/officeDocument/2006/relationships/hyperlink" Target="https://ppim-intra.pea.co.th:4434/request/PPIM18502CE8" TargetMode="External"/><Relationship Id="rId44" Type="http://schemas.openxmlformats.org/officeDocument/2006/relationships/hyperlink" Target="https://ppim-intra.pea.co.th:4434/request/PPIM185049FE" TargetMode="External"/><Relationship Id="rId52" Type="http://schemas.openxmlformats.org/officeDocument/2006/relationships/hyperlink" Target="https://ppim-intra.pea.co.th:4434/request/PPIM195006C1" TargetMode="External"/><Relationship Id="rId60" Type="http://schemas.openxmlformats.org/officeDocument/2006/relationships/hyperlink" Target="https://ppim-intra.pea.co.th:4434/request/PPIM19500CCD" TargetMode="External"/><Relationship Id="rId65" Type="http://schemas.openxmlformats.org/officeDocument/2006/relationships/hyperlink" Target="https://ppim-intra.pea.co.th:4434/request/PPIM19502B29" TargetMode="External"/><Relationship Id="rId73" Type="http://schemas.openxmlformats.org/officeDocument/2006/relationships/hyperlink" Target="https://ppim-intra.pea.co.th:4434/request/PPIM19503CDE" TargetMode="External"/><Relationship Id="rId78" Type="http://schemas.openxmlformats.org/officeDocument/2006/relationships/hyperlink" Target="https://ppim-intra.pea.co.th:4434/request/PPIM19504237" TargetMode="External"/><Relationship Id="rId81" Type="http://schemas.openxmlformats.org/officeDocument/2006/relationships/hyperlink" Target="https://ppim-intra.pea.co.th:4434/request/PPIM19501113" TargetMode="External"/><Relationship Id="rId86" Type="http://schemas.openxmlformats.org/officeDocument/2006/relationships/hyperlink" Target="https://ppim-intra.pea.co.th:4434/request/PPIM19500FC1" TargetMode="External"/><Relationship Id="rId94" Type="http://schemas.openxmlformats.org/officeDocument/2006/relationships/hyperlink" Target="https://ppim-intra.pea.co.th:4434/request/PPIM19504CD8" TargetMode="External"/><Relationship Id="rId99" Type="http://schemas.openxmlformats.org/officeDocument/2006/relationships/hyperlink" Target="https://ppim-intra.pea.co.th:4434/request/PPIM19505751" TargetMode="External"/><Relationship Id="rId101" Type="http://schemas.openxmlformats.org/officeDocument/2006/relationships/vmlDrawing" Target="../drawings/vmlDrawing6.vml"/><Relationship Id="rId4" Type="http://schemas.openxmlformats.org/officeDocument/2006/relationships/hyperlink" Target="https://ppim-intra.pea.co.th:4434/request/PPIM18500814" TargetMode="External"/><Relationship Id="rId9" Type="http://schemas.openxmlformats.org/officeDocument/2006/relationships/hyperlink" Target="https://ppim-intra.pea.co.th:4434/request/PPIM18500FD5" TargetMode="External"/><Relationship Id="rId13" Type="http://schemas.openxmlformats.org/officeDocument/2006/relationships/hyperlink" Target="https://ppim-intra.pea.co.th:4434/request/PPIM185015DC" TargetMode="External"/><Relationship Id="rId18" Type="http://schemas.openxmlformats.org/officeDocument/2006/relationships/hyperlink" Target="https://ppim-intra.pea.co.th:4434/request/PPIM1850222C" TargetMode="External"/><Relationship Id="rId39" Type="http://schemas.openxmlformats.org/officeDocument/2006/relationships/hyperlink" Target="https://ppim-intra.pea.co.th:4434/request/PPIM185043DC" TargetMode="External"/><Relationship Id="rId34" Type="http://schemas.openxmlformats.org/officeDocument/2006/relationships/hyperlink" Target="https://ppim-intra.pea.co.th:4434/request/PPIM18504307" TargetMode="External"/><Relationship Id="rId50" Type="http://schemas.openxmlformats.org/officeDocument/2006/relationships/hyperlink" Target="https://ppim-intra.pea.co.th:4434/request/PPIM1950056D" TargetMode="External"/><Relationship Id="rId55" Type="http://schemas.openxmlformats.org/officeDocument/2006/relationships/hyperlink" Target="https://ppim-intra.pea.co.th:4434/request/PPIM1950094D" TargetMode="External"/><Relationship Id="rId76" Type="http://schemas.openxmlformats.org/officeDocument/2006/relationships/hyperlink" Target="https://ppim-intra.pea.co.th:4434/request/PPIM195041D5" TargetMode="External"/><Relationship Id="rId97" Type="http://schemas.openxmlformats.org/officeDocument/2006/relationships/hyperlink" Target="https://ppim-intra.pea.co.th:4434/request/PPIM1950543E" TargetMode="External"/><Relationship Id="rId7" Type="http://schemas.openxmlformats.org/officeDocument/2006/relationships/hyperlink" Target="https://ppim-intra.pea.co.th:4434/request/PPIM18500CFF" TargetMode="External"/><Relationship Id="rId71" Type="http://schemas.openxmlformats.org/officeDocument/2006/relationships/hyperlink" Target="https://ppim-intra.pea.co.th:4434/request/PPIM195039CD" TargetMode="External"/><Relationship Id="rId92" Type="http://schemas.openxmlformats.org/officeDocument/2006/relationships/hyperlink" Target="https://ppim-intra.pea.co.th:4434/request/PPIM19504D2C" TargetMode="External"/><Relationship Id="rId2" Type="http://schemas.openxmlformats.org/officeDocument/2006/relationships/hyperlink" Target="https://ppim-intra.pea.co.th:4434/request/PPIM18500360" TargetMode="External"/><Relationship Id="rId29" Type="http://schemas.openxmlformats.org/officeDocument/2006/relationships/hyperlink" Target="https://ppim-intra.pea.co.th:4434/request/PPIM18502CCC" TargetMode="External"/><Relationship Id="rId24" Type="http://schemas.openxmlformats.org/officeDocument/2006/relationships/hyperlink" Target="https://ppim-intra.pea.co.th:4434/request/PPIM18502DE4" TargetMode="External"/><Relationship Id="rId40" Type="http://schemas.openxmlformats.org/officeDocument/2006/relationships/hyperlink" Target="https://ppim-intra.pea.co.th:4434/request/PPIM185047AC" TargetMode="External"/><Relationship Id="rId45" Type="http://schemas.openxmlformats.org/officeDocument/2006/relationships/hyperlink" Target="https://ppim-intra.pea.co.th:4434/request/PPIM195004B5" TargetMode="External"/><Relationship Id="rId66" Type="http://schemas.openxmlformats.org/officeDocument/2006/relationships/hyperlink" Target="https://ppim-intra.pea.co.th:4434/request/PPIM19502B3C" TargetMode="External"/><Relationship Id="rId87" Type="http://schemas.openxmlformats.org/officeDocument/2006/relationships/hyperlink" Target="https://ppim-intra.pea.co.th:4434/request/PPIM19501556" TargetMode="External"/><Relationship Id="rId61" Type="http://schemas.openxmlformats.org/officeDocument/2006/relationships/hyperlink" Target="https://ppim-intra.pea.co.th:4434/request/PPIM19501952" TargetMode="External"/><Relationship Id="rId82" Type="http://schemas.openxmlformats.org/officeDocument/2006/relationships/hyperlink" Target="https://ppim-intra.pea.co.th:4434/request/PPIM1950102A" TargetMode="External"/><Relationship Id="rId19" Type="http://schemas.openxmlformats.org/officeDocument/2006/relationships/hyperlink" Target="https://ppim-intra.pea.co.th:4434/request/PPIM18500817" TargetMode="External"/><Relationship Id="rId14" Type="http://schemas.openxmlformats.org/officeDocument/2006/relationships/hyperlink" Target="https://ppim-intra.pea.co.th:4434/request/PPIM18501764" TargetMode="External"/><Relationship Id="rId30" Type="http://schemas.openxmlformats.org/officeDocument/2006/relationships/hyperlink" Target="https://ppim-intra.pea.co.th:4434/request/PPIM18502C64" TargetMode="External"/><Relationship Id="rId35" Type="http://schemas.openxmlformats.org/officeDocument/2006/relationships/hyperlink" Target="https://ppim-intra.pea.co.th:4434/request/PPIM18503043" TargetMode="External"/><Relationship Id="rId56" Type="http://schemas.openxmlformats.org/officeDocument/2006/relationships/hyperlink" Target="https://ppim-intra.pea.co.th:4434/request/PPIM19500C54" TargetMode="External"/><Relationship Id="rId77" Type="http://schemas.openxmlformats.org/officeDocument/2006/relationships/hyperlink" Target="https://ppim-intra.pea.co.th:4434/request/PPIM19500AA4" TargetMode="External"/><Relationship Id="rId100" Type="http://schemas.openxmlformats.org/officeDocument/2006/relationships/drawing" Target="../drawings/drawing7.xml"/><Relationship Id="rId8" Type="http://schemas.openxmlformats.org/officeDocument/2006/relationships/hyperlink" Target="https://ppim-intra.pea.co.th:4434/request/PPIM18500D08" TargetMode="External"/><Relationship Id="rId51" Type="http://schemas.openxmlformats.org/officeDocument/2006/relationships/hyperlink" Target="https://ppim-intra.pea.co.th:4434/request/PPIM195006AB" TargetMode="External"/><Relationship Id="rId72" Type="http://schemas.openxmlformats.org/officeDocument/2006/relationships/hyperlink" Target="https://ppim-intra.pea.co.th:4434/request/PPIM195007D3" TargetMode="External"/><Relationship Id="rId93" Type="http://schemas.openxmlformats.org/officeDocument/2006/relationships/hyperlink" Target="https://ppim-intra.pea.co.th:4434/request/PPIM19504D54" TargetMode="External"/><Relationship Id="rId98" Type="http://schemas.openxmlformats.org/officeDocument/2006/relationships/hyperlink" Target="https://ppim-intra.pea.co.th:4434/request/PPIM19505736" TargetMode="External"/><Relationship Id="rId3" Type="http://schemas.openxmlformats.org/officeDocument/2006/relationships/hyperlink" Target="https://ppim-intra.pea.co.th:4434/request/PPIM1850036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121B" TargetMode="External"/><Relationship Id="rId21" Type="http://schemas.openxmlformats.org/officeDocument/2006/relationships/hyperlink" Target="https://ppim-intra.pea.co.th:4434/request/PPIM18500D87" TargetMode="External"/><Relationship Id="rId42" Type="http://schemas.openxmlformats.org/officeDocument/2006/relationships/hyperlink" Target="https://ppim-intra.pea.co.th:4434/request/PPIM185016B3" TargetMode="External"/><Relationship Id="rId63" Type="http://schemas.openxmlformats.org/officeDocument/2006/relationships/hyperlink" Target="https://ppim-intra.pea.co.th:4434/request/PPIM185027FA" TargetMode="External"/><Relationship Id="rId84" Type="http://schemas.openxmlformats.org/officeDocument/2006/relationships/hyperlink" Target="https://ppim-intra.pea.co.th:4434/request/PPIM185033C2" TargetMode="External"/><Relationship Id="rId138" Type="http://schemas.openxmlformats.org/officeDocument/2006/relationships/hyperlink" Target="https://ppim-intra.pea.co.th:4434/request/PPIM19502E1E" TargetMode="External"/><Relationship Id="rId159" Type="http://schemas.openxmlformats.org/officeDocument/2006/relationships/hyperlink" Target="https://ppim-intra.pea.co.th:4434/request/PPIM19503DAD" TargetMode="External"/><Relationship Id="rId170" Type="http://schemas.openxmlformats.org/officeDocument/2006/relationships/hyperlink" Target="https://ppim-intra.pea.co.th:4434/request/PPIM1950449A" TargetMode="External"/><Relationship Id="rId191" Type="http://schemas.openxmlformats.org/officeDocument/2006/relationships/hyperlink" Target="https://ppim-intra.pea.co.th:4434/request/PPIM19505020" TargetMode="External"/><Relationship Id="rId205" Type="http://schemas.openxmlformats.org/officeDocument/2006/relationships/vmlDrawing" Target="../drawings/vmlDrawing7.vml"/><Relationship Id="rId107" Type="http://schemas.openxmlformats.org/officeDocument/2006/relationships/hyperlink" Target="https://ppim-intra.pea.co.th:4434/request/PPIM18504A0B" TargetMode="External"/><Relationship Id="rId11" Type="http://schemas.openxmlformats.org/officeDocument/2006/relationships/hyperlink" Target="https://ppim-intra.pea.co.th:4434/request/PPIM185003E0" TargetMode="External"/><Relationship Id="rId32" Type="http://schemas.openxmlformats.org/officeDocument/2006/relationships/hyperlink" Target="https://ppim-intra.pea.co.th:4434/request/PPIM185004C3" TargetMode="External"/><Relationship Id="rId53" Type="http://schemas.openxmlformats.org/officeDocument/2006/relationships/hyperlink" Target="https://ppim-intra.pea.co.th:4434/request/PPIM18501F96" TargetMode="External"/><Relationship Id="rId74" Type="http://schemas.openxmlformats.org/officeDocument/2006/relationships/hyperlink" Target="https://ppim-intra.pea.co.th:4434/request/PPIM18502752" TargetMode="External"/><Relationship Id="rId128" Type="http://schemas.openxmlformats.org/officeDocument/2006/relationships/hyperlink" Target="https://ppim-intra.pea.co.th:4434/request/PPIM19502128" TargetMode="External"/><Relationship Id="rId149" Type="http://schemas.openxmlformats.org/officeDocument/2006/relationships/hyperlink" Target="https://ppim-intra.pea.co.th:4434/request/PPIM195039DB" TargetMode="External"/><Relationship Id="rId5" Type="http://schemas.openxmlformats.org/officeDocument/2006/relationships/hyperlink" Target="https://ppim-intra.pea.co.th:4434/request/PPIM18500271" TargetMode="External"/><Relationship Id="rId95" Type="http://schemas.openxmlformats.org/officeDocument/2006/relationships/hyperlink" Target="https://ppim-intra.pea.co.th:4434/request/PPIM18503E6B" TargetMode="External"/><Relationship Id="rId160" Type="http://schemas.openxmlformats.org/officeDocument/2006/relationships/hyperlink" Target="https://ppim-intra.pea.co.th:4434/request/PPIM19503E29" TargetMode="External"/><Relationship Id="rId181" Type="http://schemas.openxmlformats.org/officeDocument/2006/relationships/hyperlink" Target="https://ppim-intra.pea.co.th:4434/request/PPIM19504B0F" TargetMode="External"/><Relationship Id="rId22" Type="http://schemas.openxmlformats.org/officeDocument/2006/relationships/hyperlink" Target="https://ppim-intra.pea.co.th:4434/request/PPIM18500D8D" TargetMode="External"/><Relationship Id="rId43" Type="http://schemas.openxmlformats.org/officeDocument/2006/relationships/hyperlink" Target="https://ppim-intra.pea.co.th:4434/request/PPIM18501AFE" TargetMode="External"/><Relationship Id="rId64" Type="http://schemas.openxmlformats.org/officeDocument/2006/relationships/hyperlink" Target="https://ppim-intra.pea.co.th:4434/request/PPIM18502144" TargetMode="External"/><Relationship Id="rId118" Type="http://schemas.openxmlformats.org/officeDocument/2006/relationships/hyperlink" Target="https://ppim-intra.pea.co.th:4434/request/PPIM195015D0" TargetMode="External"/><Relationship Id="rId139" Type="http://schemas.openxmlformats.org/officeDocument/2006/relationships/hyperlink" Target="https://ppim-intra.pea.co.th:4434/request/PPIM19502F2E" TargetMode="External"/><Relationship Id="rId85" Type="http://schemas.openxmlformats.org/officeDocument/2006/relationships/hyperlink" Target="https://ppim-intra.pea.co.th:4434/request/PPIM185033CD" TargetMode="External"/><Relationship Id="rId150" Type="http://schemas.openxmlformats.org/officeDocument/2006/relationships/hyperlink" Target="https://ppim-intra.pea.co.th:4434/request/PPIM19502D0F" TargetMode="External"/><Relationship Id="rId171" Type="http://schemas.openxmlformats.org/officeDocument/2006/relationships/hyperlink" Target="https://ppim-intra.pea.co.th:4434/request/PPIM19504541" TargetMode="External"/><Relationship Id="rId192" Type="http://schemas.openxmlformats.org/officeDocument/2006/relationships/hyperlink" Target="https://ppim-intra.pea.co.th:4434/request/PPIM19504C45" TargetMode="External"/><Relationship Id="rId206" Type="http://schemas.openxmlformats.org/officeDocument/2006/relationships/control" Target="../activeX/activeX7.xml"/><Relationship Id="rId12" Type="http://schemas.openxmlformats.org/officeDocument/2006/relationships/hyperlink" Target="https://ppim-intra.pea.co.th:4434/request/PPIM185003FA" TargetMode="External"/><Relationship Id="rId33" Type="http://schemas.openxmlformats.org/officeDocument/2006/relationships/hyperlink" Target="https://ppim-intra.pea.co.th:4434/request/PPIM185013A3" TargetMode="External"/><Relationship Id="rId108" Type="http://schemas.openxmlformats.org/officeDocument/2006/relationships/hyperlink" Target="https://ppim-intra.pea.co.th:4434/request/PPIM1950045D" TargetMode="External"/><Relationship Id="rId129" Type="http://schemas.openxmlformats.org/officeDocument/2006/relationships/hyperlink" Target="https://ppim-intra.pea.co.th:4434/request/PPIM19502135" TargetMode="External"/><Relationship Id="rId54" Type="http://schemas.openxmlformats.org/officeDocument/2006/relationships/hyperlink" Target="https://ppim-intra.pea.co.th:4434/request/PPIM18501FB6" TargetMode="External"/><Relationship Id="rId75" Type="http://schemas.openxmlformats.org/officeDocument/2006/relationships/hyperlink" Target="https://ppim-intra.pea.co.th:4434/request/PPIM18502FCC" TargetMode="External"/><Relationship Id="rId96" Type="http://schemas.openxmlformats.org/officeDocument/2006/relationships/hyperlink" Target="https://ppim-intra.pea.co.th:4434/request/PPIM18503EBA" TargetMode="External"/><Relationship Id="rId140" Type="http://schemas.openxmlformats.org/officeDocument/2006/relationships/hyperlink" Target="https://ppim-intra.pea.co.th:4434/request/PPIM1950304D" TargetMode="External"/><Relationship Id="rId161" Type="http://schemas.openxmlformats.org/officeDocument/2006/relationships/hyperlink" Target="https://ppim-intra.pea.co.th:4434/request/PPIM19503F39" TargetMode="External"/><Relationship Id="rId182" Type="http://schemas.openxmlformats.org/officeDocument/2006/relationships/hyperlink" Target="https://ppim-intra.pea.co.th:4434/request/PPIM19504B9D" TargetMode="External"/><Relationship Id="rId6" Type="http://schemas.openxmlformats.org/officeDocument/2006/relationships/hyperlink" Target="https://ppim-intra.pea.co.th:4434/request/PPIM18500289" TargetMode="External"/><Relationship Id="rId23" Type="http://schemas.openxmlformats.org/officeDocument/2006/relationships/hyperlink" Target="https://ppim-intra.pea.co.th:4434/request/PPIM18500E2A" TargetMode="External"/><Relationship Id="rId119" Type="http://schemas.openxmlformats.org/officeDocument/2006/relationships/hyperlink" Target="https://ppim-intra.pea.co.th:4434/request/PPIM19501786" TargetMode="External"/><Relationship Id="rId44" Type="http://schemas.openxmlformats.org/officeDocument/2006/relationships/hyperlink" Target="https://ppim-intra.pea.co.th:4434/request/PPIM18501B11" TargetMode="External"/><Relationship Id="rId65" Type="http://schemas.openxmlformats.org/officeDocument/2006/relationships/hyperlink" Target="https://ppim-intra.pea.co.th:4434/request/PPIM18502931" TargetMode="External"/><Relationship Id="rId86" Type="http://schemas.openxmlformats.org/officeDocument/2006/relationships/hyperlink" Target="https://ppim-intra.pea.co.th:4434/request/PPIM18502603" TargetMode="External"/><Relationship Id="rId130" Type="http://schemas.openxmlformats.org/officeDocument/2006/relationships/hyperlink" Target="https://ppim-intra.pea.co.th:4434/request/PPIM19502097" TargetMode="External"/><Relationship Id="rId151" Type="http://schemas.openxmlformats.org/officeDocument/2006/relationships/hyperlink" Target="https://ppim-intra.pea.co.th:4434/request/PPIM195031AF" TargetMode="External"/><Relationship Id="rId172" Type="http://schemas.openxmlformats.org/officeDocument/2006/relationships/hyperlink" Target="https://ppim-intra.pea.co.th:4434/request/PPIM19504650" TargetMode="External"/><Relationship Id="rId193" Type="http://schemas.openxmlformats.org/officeDocument/2006/relationships/hyperlink" Target="https://ppim-intra.pea.co.th:4434/request/PPIM195050D6" TargetMode="External"/><Relationship Id="rId207" Type="http://schemas.openxmlformats.org/officeDocument/2006/relationships/image" Target="../media/image1.emf"/><Relationship Id="rId13" Type="http://schemas.openxmlformats.org/officeDocument/2006/relationships/hyperlink" Target="https://ppim-intra.pea.co.th:4434/request/PPIM1850040A" TargetMode="External"/><Relationship Id="rId109" Type="http://schemas.openxmlformats.org/officeDocument/2006/relationships/hyperlink" Target="https://ppim-intra.pea.co.th:4434/request/PPIM195004C5" TargetMode="External"/><Relationship Id="rId34" Type="http://schemas.openxmlformats.org/officeDocument/2006/relationships/hyperlink" Target="https://ppim-intra.pea.co.th:4434/request/PPIM18500DFE" TargetMode="External"/><Relationship Id="rId55" Type="http://schemas.openxmlformats.org/officeDocument/2006/relationships/hyperlink" Target="https://ppim-intra.pea.co.th:4434/request/PPIM18501FBC" TargetMode="External"/><Relationship Id="rId76" Type="http://schemas.openxmlformats.org/officeDocument/2006/relationships/hyperlink" Target="https://ppim-intra.pea.co.th:4434/request/PPIM18503145" TargetMode="External"/><Relationship Id="rId97" Type="http://schemas.openxmlformats.org/officeDocument/2006/relationships/hyperlink" Target="https://ppim-intra.pea.co.th:4434/request/PPIM1850350B" TargetMode="External"/><Relationship Id="rId120" Type="http://schemas.openxmlformats.org/officeDocument/2006/relationships/hyperlink" Target="https://ppim-intra.pea.co.th:4434/request/PPIM1950187C" TargetMode="External"/><Relationship Id="rId141" Type="http://schemas.openxmlformats.org/officeDocument/2006/relationships/hyperlink" Target="https://ppim-intra.pea.co.th:4434/request/PPIM195030B4" TargetMode="External"/><Relationship Id="rId7" Type="http://schemas.openxmlformats.org/officeDocument/2006/relationships/hyperlink" Target="https://ppim-intra.pea.co.th:4434/request/PPIM185002D0" TargetMode="External"/><Relationship Id="rId162" Type="http://schemas.openxmlformats.org/officeDocument/2006/relationships/hyperlink" Target="https://ppim-intra.pea.co.th:4434/request/PPIM19503F83" TargetMode="External"/><Relationship Id="rId183" Type="http://schemas.openxmlformats.org/officeDocument/2006/relationships/hyperlink" Target="https://ppim-intra.pea.co.th:4434/request/PPIM19504A5D" TargetMode="External"/><Relationship Id="rId24" Type="http://schemas.openxmlformats.org/officeDocument/2006/relationships/hyperlink" Target="https://ppim-intra.pea.co.th:4434/request/PPIM18500E64" TargetMode="External"/><Relationship Id="rId40" Type="http://schemas.openxmlformats.org/officeDocument/2006/relationships/hyperlink" Target="https://ppim-intra.pea.co.th:4434/request/PPIM18501808" TargetMode="External"/><Relationship Id="rId45" Type="http://schemas.openxmlformats.org/officeDocument/2006/relationships/hyperlink" Target="https://ppim-intra.pea.co.th:4434/request/PPIM18501C06" TargetMode="External"/><Relationship Id="rId66" Type="http://schemas.openxmlformats.org/officeDocument/2006/relationships/hyperlink" Target="https://ppim-intra.pea.co.th:4434/request/PPIM18502299" TargetMode="External"/><Relationship Id="rId87" Type="http://schemas.openxmlformats.org/officeDocument/2006/relationships/hyperlink" Target="https://ppim-intra.pea.co.th:4434/request/PPIM18502E95" TargetMode="External"/><Relationship Id="rId110" Type="http://schemas.openxmlformats.org/officeDocument/2006/relationships/hyperlink" Target="https://ppim-intra.pea.co.th:4434/request/PPIM19500109" TargetMode="External"/><Relationship Id="rId115" Type="http://schemas.openxmlformats.org/officeDocument/2006/relationships/hyperlink" Target="https://ppim-intra.pea.co.th:4434/request/PPIM19500FD9" TargetMode="External"/><Relationship Id="rId131" Type="http://schemas.openxmlformats.org/officeDocument/2006/relationships/hyperlink" Target="https://ppim-intra.pea.co.th:4434/request/PPIM19502604" TargetMode="External"/><Relationship Id="rId136" Type="http://schemas.openxmlformats.org/officeDocument/2006/relationships/hyperlink" Target="https://ppim-intra.pea.co.th:4434/request/PPIM19502A9D" TargetMode="External"/><Relationship Id="rId157" Type="http://schemas.openxmlformats.org/officeDocument/2006/relationships/hyperlink" Target="https://ppim-intra.pea.co.th:4434/request/PPIM19503C1A" TargetMode="External"/><Relationship Id="rId178" Type="http://schemas.openxmlformats.org/officeDocument/2006/relationships/hyperlink" Target="https://ppim-intra.pea.co.th:4434/request/PPIM19504959" TargetMode="External"/><Relationship Id="rId61" Type="http://schemas.openxmlformats.org/officeDocument/2006/relationships/hyperlink" Target="https://ppim-intra.pea.co.th:4434/request/PPIM185025C2" TargetMode="External"/><Relationship Id="rId82" Type="http://schemas.openxmlformats.org/officeDocument/2006/relationships/hyperlink" Target="https://ppim-intra.pea.co.th:4434/request/PPIM18503311" TargetMode="External"/><Relationship Id="rId152" Type="http://schemas.openxmlformats.org/officeDocument/2006/relationships/hyperlink" Target="https://ppim-intra.pea.co.th:4434/request/PPIM19502A69" TargetMode="External"/><Relationship Id="rId173" Type="http://schemas.openxmlformats.org/officeDocument/2006/relationships/hyperlink" Target="https://ppim-intra.pea.co.th:4434/request/PPIM19504781" TargetMode="External"/><Relationship Id="rId194" Type="http://schemas.openxmlformats.org/officeDocument/2006/relationships/hyperlink" Target="https://ppim-intra.pea.co.th:4434/request/PPIM1950520A" TargetMode="External"/><Relationship Id="rId199" Type="http://schemas.openxmlformats.org/officeDocument/2006/relationships/hyperlink" Target="https://ppim-intra.pea.co.th:4434/request/PPIM1950577F" TargetMode="External"/><Relationship Id="rId203" Type="http://schemas.openxmlformats.org/officeDocument/2006/relationships/hyperlink" Target="https://ppim-intra.pea.co.th:4434/request/PPIM19505315" TargetMode="External"/><Relationship Id="rId19" Type="http://schemas.openxmlformats.org/officeDocument/2006/relationships/hyperlink" Target="https://ppim-intra.pea.co.th:4434/request/PPIM18500C22" TargetMode="External"/><Relationship Id="rId14" Type="http://schemas.openxmlformats.org/officeDocument/2006/relationships/hyperlink" Target="https://ppim-intra.pea.co.th:4434/request/PPIM1850063B" TargetMode="External"/><Relationship Id="rId30" Type="http://schemas.openxmlformats.org/officeDocument/2006/relationships/hyperlink" Target="https://ppim-intra.pea.co.th:4434/request/PPIM18500980" TargetMode="External"/><Relationship Id="rId35" Type="http://schemas.openxmlformats.org/officeDocument/2006/relationships/hyperlink" Target="https://ppim-intra.pea.co.th:4434/request/PPIM18500EA5" TargetMode="External"/><Relationship Id="rId56" Type="http://schemas.openxmlformats.org/officeDocument/2006/relationships/hyperlink" Target="https://ppim-intra.pea.co.th:4434/request/PPIM18501FCB" TargetMode="External"/><Relationship Id="rId77" Type="http://schemas.openxmlformats.org/officeDocument/2006/relationships/hyperlink" Target="https://ppim-intra.pea.co.th:4434/request/PPIM18503184" TargetMode="External"/><Relationship Id="rId100" Type="http://schemas.openxmlformats.org/officeDocument/2006/relationships/hyperlink" Target="https://ppim-intra.pea.co.th:4434/request/PPIM185042CA" TargetMode="External"/><Relationship Id="rId105" Type="http://schemas.openxmlformats.org/officeDocument/2006/relationships/hyperlink" Target="https://ppim-intra.pea.co.th:4434/request/PPIM18504298" TargetMode="External"/><Relationship Id="rId126" Type="http://schemas.openxmlformats.org/officeDocument/2006/relationships/hyperlink" Target="https://ppim-intra.pea.co.th:4434/request/PPIM19502023" TargetMode="External"/><Relationship Id="rId147" Type="http://schemas.openxmlformats.org/officeDocument/2006/relationships/hyperlink" Target="https://ppim-intra.pea.co.th:4434/request/PPIM19503802" TargetMode="External"/><Relationship Id="rId168" Type="http://schemas.openxmlformats.org/officeDocument/2006/relationships/hyperlink" Target="https://ppim-intra.pea.co.th:4434/request/PPIM19504475" TargetMode="External"/><Relationship Id="rId8" Type="http://schemas.openxmlformats.org/officeDocument/2006/relationships/hyperlink" Target="https://ppim-intra.pea.co.th:4434/request/PPIM185002E6" TargetMode="External"/><Relationship Id="rId51" Type="http://schemas.openxmlformats.org/officeDocument/2006/relationships/hyperlink" Target="https://ppim-intra.pea.co.th:4434/request/PPIM18501C92" TargetMode="External"/><Relationship Id="rId72" Type="http://schemas.openxmlformats.org/officeDocument/2006/relationships/hyperlink" Target="https://ppim-intra.pea.co.th:4434/request/PPIM18502E56" TargetMode="External"/><Relationship Id="rId93" Type="http://schemas.openxmlformats.org/officeDocument/2006/relationships/hyperlink" Target="https://ppim-intra.pea.co.th:4434/request/PPIM18503BDD" TargetMode="External"/><Relationship Id="rId98" Type="http://schemas.openxmlformats.org/officeDocument/2006/relationships/hyperlink" Target="https://ppim-intra.pea.co.th:4434/request/PPIM18504024" TargetMode="External"/><Relationship Id="rId121" Type="http://schemas.openxmlformats.org/officeDocument/2006/relationships/hyperlink" Target="https://ppim-intra.pea.co.th:4434/request/PPIM195018D7" TargetMode="External"/><Relationship Id="rId142" Type="http://schemas.openxmlformats.org/officeDocument/2006/relationships/hyperlink" Target="https://ppim-intra.pea.co.th:4434/request/PPIM1950260D" TargetMode="External"/><Relationship Id="rId163" Type="http://schemas.openxmlformats.org/officeDocument/2006/relationships/hyperlink" Target="https://ppim-intra.pea.co.th:4434/request/PPIM1950404A" TargetMode="External"/><Relationship Id="rId184" Type="http://schemas.openxmlformats.org/officeDocument/2006/relationships/hyperlink" Target="https://ppim-intra.pea.co.th:4434/request/PPIM19504D03" TargetMode="External"/><Relationship Id="rId189" Type="http://schemas.openxmlformats.org/officeDocument/2006/relationships/hyperlink" Target="https://ppim-intra.pea.co.th:4434/request/PPIM19504FBD" TargetMode="External"/><Relationship Id="rId3" Type="http://schemas.openxmlformats.org/officeDocument/2006/relationships/hyperlink" Target="https://ppim-intra.pea.co.th:4434/request/PPIM185001ED" TargetMode="External"/><Relationship Id="rId25" Type="http://schemas.openxmlformats.org/officeDocument/2006/relationships/hyperlink" Target="https://ppim-intra.pea.co.th:4434/request/PPIM18500EEA" TargetMode="External"/><Relationship Id="rId46" Type="http://schemas.openxmlformats.org/officeDocument/2006/relationships/hyperlink" Target="https://ppim-intra.pea.co.th:4434/request/PPIM18501C3C" TargetMode="External"/><Relationship Id="rId67" Type="http://schemas.openxmlformats.org/officeDocument/2006/relationships/hyperlink" Target="https://ppim-intra.pea.co.th:4434/request/PPIM185029D1" TargetMode="External"/><Relationship Id="rId116" Type="http://schemas.openxmlformats.org/officeDocument/2006/relationships/hyperlink" Target="https://ppim-intra.pea.co.th:4434/request/PPIM1950072F" TargetMode="External"/><Relationship Id="rId137" Type="http://schemas.openxmlformats.org/officeDocument/2006/relationships/hyperlink" Target="https://ppim-intra.pea.co.th:4434/request/PPIM19502BE9" TargetMode="External"/><Relationship Id="rId158" Type="http://schemas.openxmlformats.org/officeDocument/2006/relationships/hyperlink" Target="https://ppim-intra.pea.co.th:4434/request/PPIM19503D8F" TargetMode="External"/><Relationship Id="rId20" Type="http://schemas.openxmlformats.org/officeDocument/2006/relationships/hyperlink" Target="https://ppim-intra.pea.co.th:4434/request/PPIM18500D73" TargetMode="External"/><Relationship Id="rId41" Type="http://schemas.openxmlformats.org/officeDocument/2006/relationships/hyperlink" Target="https://ppim-intra.pea.co.th:4434/request/PPIM18501697" TargetMode="External"/><Relationship Id="rId62" Type="http://schemas.openxmlformats.org/officeDocument/2006/relationships/hyperlink" Target="https://ppim-intra.pea.co.th:4434/request/PPIM18502662" TargetMode="External"/><Relationship Id="rId83" Type="http://schemas.openxmlformats.org/officeDocument/2006/relationships/hyperlink" Target="https://ppim-intra.pea.co.th:4434/request/PPIM18503375" TargetMode="External"/><Relationship Id="rId88" Type="http://schemas.openxmlformats.org/officeDocument/2006/relationships/hyperlink" Target="https://ppim-intra.pea.co.th:4434/request/PPIM1850363B" TargetMode="External"/><Relationship Id="rId111" Type="http://schemas.openxmlformats.org/officeDocument/2006/relationships/hyperlink" Target="https://ppim-intra.pea.co.th:4434/request/PPIM19500B96" TargetMode="External"/><Relationship Id="rId132" Type="http://schemas.openxmlformats.org/officeDocument/2006/relationships/hyperlink" Target="https://ppim-intra.pea.co.th:4434/request/PPIM1950260C" TargetMode="External"/><Relationship Id="rId153" Type="http://schemas.openxmlformats.org/officeDocument/2006/relationships/hyperlink" Target="https://ppim-intra.pea.co.th:4434/request/PPIM195039A6" TargetMode="External"/><Relationship Id="rId174" Type="http://schemas.openxmlformats.org/officeDocument/2006/relationships/hyperlink" Target="https://ppim-intra.pea.co.th:4434/request/PPIM19504814" TargetMode="External"/><Relationship Id="rId179" Type="http://schemas.openxmlformats.org/officeDocument/2006/relationships/hyperlink" Target="https://ppim-intra.pea.co.th:4434/request/PPIM195049BE" TargetMode="External"/><Relationship Id="rId195" Type="http://schemas.openxmlformats.org/officeDocument/2006/relationships/hyperlink" Target="https://ppim-intra.pea.co.th:4434/request/PPIM19505287" TargetMode="External"/><Relationship Id="rId190" Type="http://schemas.openxmlformats.org/officeDocument/2006/relationships/hyperlink" Target="https://ppim-intra.pea.co.th:4434/request/PPIM19505009" TargetMode="External"/><Relationship Id="rId204" Type="http://schemas.openxmlformats.org/officeDocument/2006/relationships/drawing" Target="../drawings/drawing8.xml"/><Relationship Id="rId15" Type="http://schemas.openxmlformats.org/officeDocument/2006/relationships/hyperlink" Target="https://ppim-intra.pea.co.th:4434/request/PPIM18500A02" TargetMode="External"/><Relationship Id="rId36" Type="http://schemas.openxmlformats.org/officeDocument/2006/relationships/hyperlink" Target="https://ppim-intra.pea.co.th:4434/request/PPIM185016A2" TargetMode="External"/><Relationship Id="rId57" Type="http://schemas.openxmlformats.org/officeDocument/2006/relationships/hyperlink" Target="https://ppim-intra.pea.co.th:4434/request/PPIM18501A2D" TargetMode="External"/><Relationship Id="rId106" Type="http://schemas.openxmlformats.org/officeDocument/2006/relationships/hyperlink" Target="https://ppim-intra.pea.co.th:4434/request/PPIM1850452A" TargetMode="External"/><Relationship Id="rId127" Type="http://schemas.openxmlformats.org/officeDocument/2006/relationships/hyperlink" Target="https://ppim-intra.pea.co.th:4434/request/PPIM19502065" TargetMode="External"/><Relationship Id="rId10" Type="http://schemas.openxmlformats.org/officeDocument/2006/relationships/hyperlink" Target="https://ppim-intra.pea.co.th:4434/request/PPIM185003A0" TargetMode="External"/><Relationship Id="rId31" Type="http://schemas.openxmlformats.org/officeDocument/2006/relationships/hyperlink" Target="https://ppim-intra.pea.co.th:4434/request/PPIM18501203" TargetMode="External"/><Relationship Id="rId52" Type="http://schemas.openxmlformats.org/officeDocument/2006/relationships/hyperlink" Target="https://ppim-intra.pea.co.th:4434/request/PPIM18501CA1" TargetMode="External"/><Relationship Id="rId73" Type="http://schemas.openxmlformats.org/officeDocument/2006/relationships/hyperlink" Target="https://ppim-intra.pea.co.th:4434/request/PPIM18502E58" TargetMode="External"/><Relationship Id="rId78" Type="http://schemas.openxmlformats.org/officeDocument/2006/relationships/hyperlink" Target="https://ppim-intra.pea.co.th:4434/request/PPIM185031F3" TargetMode="External"/><Relationship Id="rId94" Type="http://schemas.openxmlformats.org/officeDocument/2006/relationships/hyperlink" Target="https://ppim-intra.pea.co.th:4434/request/PPIM18503DFE" TargetMode="External"/><Relationship Id="rId99" Type="http://schemas.openxmlformats.org/officeDocument/2006/relationships/hyperlink" Target="https://ppim-intra.pea.co.th:4434/request/PPIM18504134" TargetMode="External"/><Relationship Id="rId101" Type="http://schemas.openxmlformats.org/officeDocument/2006/relationships/hyperlink" Target="https://ppim-intra.pea.co.th:4434/request/PPIM18504336" TargetMode="External"/><Relationship Id="rId122" Type="http://schemas.openxmlformats.org/officeDocument/2006/relationships/hyperlink" Target="https://ppim-intra.pea.co.th:4434/request/PPIM195018F2" TargetMode="External"/><Relationship Id="rId143" Type="http://schemas.openxmlformats.org/officeDocument/2006/relationships/hyperlink" Target="https://ppim-intra.pea.co.th:4434/request/PPIM195028FB" TargetMode="External"/><Relationship Id="rId148" Type="http://schemas.openxmlformats.org/officeDocument/2006/relationships/hyperlink" Target="https://ppim-intra.pea.co.th:4434/request/PPIM1950388F" TargetMode="External"/><Relationship Id="rId164" Type="http://schemas.openxmlformats.org/officeDocument/2006/relationships/hyperlink" Target="https://ppim-intra.pea.co.th:4434/request/PPIM19503DB2" TargetMode="External"/><Relationship Id="rId169" Type="http://schemas.openxmlformats.org/officeDocument/2006/relationships/hyperlink" Target="https://ppim-intra.pea.co.th:4434/request/PPIM195043C9" TargetMode="External"/><Relationship Id="rId185" Type="http://schemas.openxmlformats.org/officeDocument/2006/relationships/hyperlink" Target="https://ppim-intra.pea.co.th:4434/request/PPIM19504EE8" TargetMode="External"/><Relationship Id="rId4" Type="http://schemas.openxmlformats.org/officeDocument/2006/relationships/hyperlink" Target="https://ppim-intra.pea.co.th:4434/request/PPIM1850022E" TargetMode="External"/><Relationship Id="rId9" Type="http://schemas.openxmlformats.org/officeDocument/2006/relationships/hyperlink" Target="https://ppim-intra.pea.co.th:4434/request/PPIM185002F3" TargetMode="External"/><Relationship Id="rId180" Type="http://schemas.openxmlformats.org/officeDocument/2006/relationships/hyperlink" Target="https://ppim-intra.pea.co.th:4434/request/PPIM19504AD5" TargetMode="External"/><Relationship Id="rId26" Type="http://schemas.openxmlformats.org/officeDocument/2006/relationships/hyperlink" Target="https://ppim-intra.pea.co.th:4434/request/PPIM18500F60" TargetMode="External"/><Relationship Id="rId47" Type="http://schemas.openxmlformats.org/officeDocument/2006/relationships/hyperlink" Target="https://ppim-intra.pea.co.th:4434/request/PPIM18501C43" TargetMode="External"/><Relationship Id="rId68" Type="http://schemas.openxmlformats.org/officeDocument/2006/relationships/hyperlink" Target="https://ppim-intra.pea.co.th:4434/request/PPIM185029EA" TargetMode="External"/><Relationship Id="rId89" Type="http://schemas.openxmlformats.org/officeDocument/2006/relationships/hyperlink" Target="https://ppim-intra.pea.co.th:4434/request/PPIM185033A1" TargetMode="External"/><Relationship Id="rId112" Type="http://schemas.openxmlformats.org/officeDocument/2006/relationships/hyperlink" Target="https://ppim-intra.pea.co.th:4434/request/PPIM19500C1C" TargetMode="External"/><Relationship Id="rId133" Type="http://schemas.openxmlformats.org/officeDocument/2006/relationships/hyperlink" Target="https://ppim-intra.pea.co.th:4434/request/PPIM19502618" TargetMode="External"/><Relationship Id="rId154" Type="http://schemas.openxmlformats.org/officeDocument/2006/relationships/hyperlink" Target="https://ppim-intra.pea.co.th:4434/request/PPIM19503AF3" TargetMode="External"/><Relationship Id="rId175" Type="http://schemas.openxmlformats.org/officeDocument/2006/relationships/hyperlink" Target="https://ppim-intra.pea.co.th:4434/request/PPIM195042D6" TargetMode="External"/><Relationship Id="rId196" Type="http://schemas.openxmlformats.org/officeDocument/2006/relationships/hyperlink" Target="https://ppim-intra.pea.co.th:4434/request/PPIM195053C2" TargetMode="External"/><Relationship Id="rId200" Type="http://schemas.openxmlformats.org/officeDocument/2006/relationships/hyperlink" Target="https://ppim-intra.pea.co.th:4434/request/PPIM195057DA" TargetMode="External"/><Relationship Id="rId16" Type="http://schemas.openxmlformats.org/officeDocument/2006/relationships/hyperlink" Target="https://ppim-intra.pea.co.th:4434/request/PPIM18500A96" TargetMode="External"/><Relationship Id="rId37" Type="http://schemas.openxmlformats.org/officeDocument/2006/relationships/hyperlink" Target="https://ppim-intra.pea.co.th:4434/request/PPIM18501630" TargetMode="External"/><Relationship Id="rId58" Type="http://schemas.openxmlformats.org/officeDocument/2006/relationships/hyperlink" Target="https://ppim-intra.pea.co.th:4434/request/PPIM185021F9" TargetMode="External"/><Relationship Id="rId79" Type="http://schemas.openxmlformats.org/officeDocument/2006/relationships/hyperlink" Target="https://ppim-intra.pea.co.th:4434/request/PPIM185031FD" TargetMode="External"/><Relationship Id="rId102" Type="http://schemas.openxmlformats.org/officeDocument/2006/relationships/hyperlink" Target="https://ppim-intra.pea.co.th:4434/request/PPIM185045FA" TargetMode="External"/><Relationship Id="rId123" Type="http://schemas.openxmlformats.org/officeDocument/2006/relationships/hyperlink" Target="https://ppim-intra.pea.co.th:4434/request/PPIM19501338" TargetMode="External"/><Relationship Id="rId144" Type="http://schemas.openxmlformats.org/officeDocument/2006/relationships/hyperlink" Target="https://ppim-intra.pea.co.th:4434/request/PPIM195033CF" TargetMode="External"/><Relationship Id="rId90" Type="http://schemas.openxmlformats.org/officeDocument/2006/relationships/hyperlink" Target="https://ppim-intra.pea.co.th:4434/request/PPIM185036FD" TargetMode="External"/><Relationship Id="rId165" Type="http://schemas.openxmlformats.org/officeDocument/2006/relationships/hyperlink" Target="https://ppim-intra.pea.co.th:4434/request/PPIM19503CB9" TargetMode="External"/><Relationship Id="rId186" Type="http://schemas.openxmlformats.org/officeDocument/2006/relationships/hyperlink" Target="https://ppim-intra.pea.co.th:4434/request/PPIM19504F3F" TargetMode="External"/><Relationship Id="rId27" Type="http://schemas.openxmlformats.org/officeDocument/2006/relationships/hyperlink" Target="https://ppim-intra.pea.co.th:4434/request/PPIM185010AD" TargetMode="External"/><Relationship Id="rId48" Type="http://schemas.openxmlformats.org/officeDocument/2006/relationships/hyperlink" Target="https://ppim-intra.pea.co.th:4434/request/PPIM18501C4B" TargetMode="External"/><Relationship Id="rId69" Type="http://schemas.openxmlformats.org/officeDocument/2006/relationships/hyperlink" Target="https://ppim-intra.pea.co.th:4434/request/PPIM18502B9D" TargetMode="External"/><Relationship Id="rId113" Type="http://schemas.openxmlformats.org/officeDocument/2006/relationships/hyperlink" Target="https://ppim-intra.pea.co.th:4434/request/PPIM19500F21" TargetMode="External"/><Relationship Id="rId134" Type="http://schemas.openxmlformats.org/officeDocument/2006/relationships/hyperlink" Target="https://ppim-intra.pea.co.th:4434/request/PPIM1950261B" TargetMode="External"/><Relationship Id="rId80" Type="http://schemas.openxmlformats.org/officeDocument/2006/relationships/hyperlink" Target="https://ppim-intra.pea.co.th:4434/request/PPIM18502EC9" TargetMode="External"/><Relationship Id="rId155" Type="http://schemas.openxmlformats.org/officeDocument/2006/relationships/hyperlink" Target="https://ppim-intra.pea.co.th:4434/request/PPIM1950351B" TargetMode="External"/><Relationship Id="rId176" Type="http://schemas.openxmlformats.org/officeDocument/2006/relationships/hyperlink" Target="https://ppim-intra.pea.co.th:4434/request/PPIM1950488A" TargetMode="External"/><Relationship Id="rId197" Type="http://schemas.openxmlformats.org/officeDocument/2006/relationships/hyperlink" Target="https://ppim-intra.pea.co.th:4434/request/PPIM1950556D" TargetMode="External"/><Relationship Id="rId201" Type="http://schemas.openxmlformats.org/officeDocument/2006/relationships/hyperlink" Target="https://ppim-intra.pea.co.th:4434/request/PPIM19505820" TargetMode="External"/><Relationship Id="rId17" Type="http://schemas.openxmlformats.org/officeDocument/2006/relationships/hyperlink" Target="https://ppim-intra.pea.co.th:4434/request/PPIM18500AF0" TargetMode="External"/><Relationship Id="rId38" Type="http://schemas.openxmlformats.org/officeDocument/2006/relationships/hyperlink" Target="https://ppim-intra.pea.co.th:4434/request/PPIM1850108F" TargetMode="External"/><Relationship Id="rId59" Type="http://schemas.openxmlformats.org/officeDocument/2006/relationships/hyperlink" Target="https://ppim-intra.pea.co.th:4434/request/PPIM18502486" TargetMode="External"/><Relationship Id="rId103" Type="http://schemas.openxmlformats.org/officeDocument/2006/relationships/hyperlink" Target="https://ppim-intra.pea.co.th:4434/request/PPIM185047A0" TargetMode="External"/><Relationship Id="rId124" Type="http://schemas.openxmlformats.org/officeDocument/2006/relationships/hyperlink" Target="https://ppim-intra.pea.co.th:4434/request/PPIM19501A04" TargetMode="External"/><Relationship Id="rId70" Type="http://schemas.openxmlformats.org/officeDocument/2006/relationships/hyperlink" Target="https://ppim-intra.pea.co.th:4434/request/PPIM18502BF9" TargetMode="External"/><Relationship Id="rId91" Type="http://schemas.openxmlformats.org/officeDocument/2006/relationships/hyperlink" Target="https://ppim-intra.pea.co.th:4434/request/PPIM185030CC" TargetMode="External"/><Relationship Id="rId145" Type="http://schemas.openxmlformats.org/officeDocument/2006/relationships/hyperlink" Target="https://ppim-intra.pea.co.th:4434/request/PPIM195034AA" TargetMode="External"/><Relationship Id="rId166" Type="http://schemas.openxmlformats.org/officeDocument/2006/relationships/hyperlink" Target="https://ppim-intra.pea.co.th:4434/request/PPIM19503FEC" TargetMode="External"/><Relationship Id="rId187" Type="http://schemas.openxmlformats.org/officeDocument/2006/relationships/hyperlink" Target="https://ppim-intra.pea.co.th:4434/request/PPIM19504F4F" TargetMode="External"/><Relationship Id="rId1" Type="http://schemas.openxmlformats.org/officeDocument/2006/relationships/hyperlink" Target="https://ppim-intra.pea.co.th:4434/request/PPIM18500003" TargetMode="External"/><Relationship Id="rId28" Type="http://schemas.openxmlformats.org/officeDocument/2006/relationships/hyperlink" Target="https://ppim-intra.pea.co.th:4434/request/PPIM1850063C" TargetMode="External"/><Relationship Id="rId49" Type="http://schemas.openxmlformats.org/officeDocument/2006/relationships/hyperlink" Target="https://ppim-intra.pea.co.th:4434/request/PPIM18501C7B" TargetMode="External"/><Relationship Id="rId114" Type="http://schemas.openxmlformats.org/officeDocument/2006/relationships/hyperlink" Target="https://ppim-intra.pea.co.th:4434/request/PPIM1950053C" TargetMode="External"/><Relationship Id="rId60" Type="http://schemas.openxmlformats.org/officeDocument/2006/relationships/hyperlink" Target="https://ppim-intra.pea.co.th:4434/request/PPIM185025B6" TargetMode="External"/><Relationship Id="rId81" Type="http://schemas.openxmlformats.org/officeDocument/2006/relationships/hyperlink" Target="https://ppim-intra.pea.co.th:4434/request/PPIM18502F5F" TargetMode="External"/><Relationship Id="rId135" Type="http://schemas.openxmlformats.org/officeDocument/2006/relationships/hyperlink" Target="https://ppim-intra.pea.co.th:4434/request/PPIM19502620" TargetMode="External"/><Relationship Id="rId156" Type="http://schemas.openxmlformats.org/officeDocument/2006/relationships/hyperlink" Target="https://ppim-intra.pea.co.th:4434/request/PPIM19502E6F" TargetMode="External"/><Relationship Id="rId177" Type="http://schemas.openxmlformats.org/officeDocument/2006/relationships/hyperlink" Target="https://ppim-intra.pea.co.th:4434/request/PPIM19504894" TargetMode="External"/><Relationship Id="rId198" Type="http://schemas.openxmlformats.org/officeDocument/2006/relationships/hyperlink" Target="https://ppim-intra.pea.co.th:4434/request/PPIM195055B2" TargetMode="External"/><Relationship Id="rId202" Type="http://schemas.openxmlformats.org/officeDocument/2006/relationships/hyperlink" Target="https://ppim-intra.pea.co.th:4434/request/PPIM1950586C" TargetMode="External"/><Relationship Id="rId18" Type="http://schemas.openxmlformats.org/officeDocument/2006/relationships/hyperlink" Target="https://ppim-intra.pea.co.th:4434/request/PPIM18500B42" TargetMode="External"/><Relationship Id="rId39" Type="http://schemas.openxmlformats.org/officeDocument/2006/relationships/hyperlink" Target="https://ppim-intra.pea.co.th:4434/request/PPIM1850145D" TargetMode="External"/><Relationship Id="rId50" Type="http://schemas.openxmlformats.org/officeDocument/2006/relationships/hyperlink" Target="https://ppim-intra.pea.co.th:4434/request/PPIM18501C8F" TargetMode="External"/><Relationship Id="rId104" Type="http://schemas.openxmlformats.org/officeDocument/2006/relationships/hyperlink" Target="https://ppim-intra.pea.co.th:4434/request/PPIM18504926" TargetMode="External"/><Relationship Id="rId125" Type="http://schemas.openxmlformats.org/officeDocument/2006/relationships/hyperlink" Target="https://ppim-intra.pea.co.th:4434/request/PPIM19501CF0" TargetMode="External"/><Relationship Id="rId146" Type="http://schemas.openxmlformats.org/officeDocument/2006/relationships/hyperlink" Target="https://ppim-intra.pea.co.th:4434/request/PPIM19502C74" TargetMode="External"/><Relationship Id="rId167" Type="http://schemas.openxmlformats.org/officeDocument/2006/relationships/hyperlink" Target="https://ppim-intra.pea.co.th:4434/request/PPIM195041B0" TargetMode="External"/><Relationship Id="rId188" Type="http://schemas.openxmlformats.org/officeDocument/2006/relationships/hyperlink" Target="https://ppim-intra.pea.co.th:4434/request/PPIM19504FAB" TargetMode="External"/><Relationship Id="rId71" Type="http://schemas.openxmlformats.org/officeDocument/2006/relationships/hyperlink" Target="https://ppim-intra.pea.co.th:4434/request/PPIM18502DC0" TargetMode="External"/><Relationship Id="rId92" Type="http://schemas.openxmlformats.org/officeDocument/2006/relationships/hyperlink" Target="https://ppim-intra.pea.co.th:4434/request/PPIM18503A0C" TargetMode="External"/><Relationship Id="rId2" Type="http://schemas.openxmlformats.org/officeDocument/2006/relationships/hyperlink" Target="https://ppim-intra.pea.co.th:4434/request/PPIM185001BD" TargetMode="External"/><Relationship Id="rId29" Type="http://schemas.openxmlformats.org/officeDocument/2006/relationships/hyperlink" Target="https://ppim-intra.pea.co.th:4434/request/PPIM185009D8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850442F" TargetMode="External"/><Relationship Id="rId299" Type="http://schemas.openxmlformats.org/officeDocument/2006/relationships/hyperlink" Target="https://ppim-intra.pea.co.th:4434/request/PPIM1950522F" TargetMode="External"/><Relationship Id="rId21" Type="http://schemas.openxmlformats.org/officeDocument/2006/relationships/hyperlink" Target="https://ppim-intra.pea.co.th:4434/request/PPIM185017E7" TargetMode="External"/><Relationship Id="rId63" Type="http://schemas.openxmlformats.org/officeDocument/2006/relationships/hyperlink" Target="https://ppim-intra.pea.co.th:4434/request/PPIM185031E4" TargetMode="External"/><Relationship Id="rId159" Type="http://schemas.openxmlformats.org/officeDocument/2006/relationships/hyperlink" Target="https://ppim-intra.pea.co.th:4434/request/PPIM195008CA" TargetMode="External"/><Relationship Id="rId324" Type="http://schemas.openxmlformats.org/officeDocument/2006/relationships/hyperlink" Target="https://ppim-intra.pea.co.th:4434/request/PPIM1950579D" TargetMode="External"/><Relationship Id="rId170" Type="http://schemas.openxmlformats.org/officeDocument/2006/relationships/hyperlink" Target="https://ppim-intra.pea.co.th:4434/request/PPIM19500F1C" TargetMode="External"/><Relationship Id="rId226" Type="http://schemas.openxmlformats.org/officeDocument/2006/relationships/hyperlink" Target="https://ppim-intra.pea.co.th:4434/request/PPIM19502ACD" TargetMode="External"/><Relationship Id="rId268" Type="http://schemas.openxmlformats.org/officeDocument/2006/relationships/hyperlink" Target="https://ppim-intra.pea.co.th:4434/request/PPIM19503E26" TargetMode="External"/><Relationship Id="rId32" Type="http://schemas.openxmlformats.org/officeDocument/2006/relationships/hyperlink" Target="https://ppim-intra.pea.co.th:4434/request/PPIM18501EEA" TargetMode="External"/><Relationship Id="rId74" Type="http://schemas.openxmlformats.org/officeDocument/2006/relationships/hyperlink" Target="https://ppim-intra.pea.co.th:4434/request/PPIM1850286C" TargetMode="External"/><Relationship Id="rId128" Type="http://schemas.openxmlformats.org/officeDocument/2006/relationships/hyperlink" Target="https://ppim-intra.pea.co.th:4434/request/PPIM1950000F" TargetMode="External"/><Relationship Id="rId5" Type="http://schemas.openxmlformats.org/officeDocument/2006/relationships/hyperlink" Target="https://ppim-intra.pea.co.th:4434/request/PPIM18500BF8" TargetMode="External"/><Relationship Id="rId181" Type="http://schemas.openxmlformats.org/officeDocument/2006/relationships/hyperlink" Target="https://ppim-intra.pea.co.th:4434/request/PPIM19501394" TargetMode="External"/><Relationship Id="rId237" Type="http://schemas.openxmlformats.org/officeDocument/2006/relationships/hyperlink" Target="https://ppim-intra.pea.co.th:4434/request/PPIM1950366E" TargetMode="External"/><Relationship Id="rId279" Type="http://schemas.openxmlformats.org/officeDocument/2006/relationships/hyperlink" Target="https://ppim-intra.pea.co.th:4434/request/PPIM19504993" TargetMode="External"/><Relationship Id="rId43" Type="http://schemas.openxmlformats.org/officeDocument/2006/relationships/hyperlink" Target="https://ppim-intra.pea.co.th:4434/request/PPIM185023A0" TargetMode="External"/><Relationship Id="rId139" Type="http://schemas.openxmlformats.org/officeDocument/2006/relationships/hyperlink" Target="https://ppim-intra.pea.co.th:4434/request/PPIM195001BF" TargetMode="External"/><Relationship Id="rId290" Type="http://schemas.openxmlformats.org/officeDocument/2006/relationships/hyperlink" Target="https://ppim-intra.pea.co.th:4434/request/PPIM19504F07" TargetMode="External"/><Relationship Id="rId304" Type="http://schemas.openxmlformats.org/officeDocument/2006/relationships/hyperlink" Target="https://ppim-intra.pea.co.th:4434/request/PPIM19505546" TargetMode="External"/><Relationship Id="rId85" Type="http://schemas.openxmlformats.org/officeDocument/2006/relationships/hyperlink" Target="https://ppim-intra.pea.co.th:4434/request/PPIM185039C1" TargetMode="External"/><Relationship Id="rId150" Type="http://schemas.openxmlformats.org/officeDocument/2006/relationships/hyperlink" Target="https://ppim-intra.pea.co.th:4434/request/PPIM195004E3" TargetMode="External"/><Relationship Id="rId192" Type="http://schemas.openxmlformats.org/officeDocument/2006/relationships/hyperlink" Target="https://ppim-intra.pea.co.th:4434/request/PPIM185046D2" TargetMode="External"/><Relationship Id="rId206" Type="http://schemas.openxmlformats.org/officeDocument/2006/relationships/hyperlink" Target="https://ppim-intra.pea.co.th:4434/request/PPIM195020C8" TargetMode="External"/><Relationship Id="rId248" Type="http://schemas.openxmlformats.org/officeDocument/2006/relationships/hyperlink" Target="https://ppim-intra.pea.co.th:4434/request/PPIM19503C3D" TargetMode="External"/><Relationship Id="rId12" Type="http://schemas.openxmlformats.org/officeDocument/2006/relationships/hyperlink" Target="https://ppim-intra.pea.co.th:4434/request/PPIM18501360" TargetMode="External"/><Relationship Id="rId108" Type="http://schemas.openxmlformats.org/officeDocument/2006/relationships/hyperlink" Target="https://ppim-intra.pea.co.th:4434/request/PPIM18503F37" TargetMode="External"/><Relationship Id="rId315" Type="http://schemas.openxmlformats.org/officeDocument/2006/relationships/hyperlink" Target="https://ppim-intra.pea.co.th:4434/request/PPIM19505A4B" TargetMode="External"/><Relationship Id="rId54" Type="http://schemas.openxmlformats.org/officeDocument/2006/relationships/hyperlink" Target="https://ppim-intra.pea.co.th:4434/request/PPIM18502A29" TargetMode="External"/><Relationship Id="rId96" Type="http://schemas.openxmlformats.org/officeDocument/2006/relationships/hyperlink" Target="https://ppim-intra.pea.co.th:4434/request/PPIM18503BAF" TargetMode="External"/><Relationship Id="rId161" Type="http://schemas.openxmlformats.org/officeDocument/2006/relationships/hyperlink" Target="https://ppim-intra.pea.co.th:4434/request/PPIM195009B4" TargetMode="External"/><Relationship Id="rId217" Type="http://schemas.openxmlformats.org/officeDocument/2006/relationships/hyperlink" Target="https://ppim-intra.pea.co.th:4434/request/PPIM19502B94" TargetMode="External"/><Relationship Id="rId259" Type="http://schemas.openxmlformats.org/officeDocument/2006/relationships/hyperlink" Target="https://ppim-intra.pea.co.th:4434/request/PPIM19502B9F" TargetMode="External"/><Relationship Id="rId23" Type="http://schemas.openxmlformats.org/officeDocument/2006/relationships/hyperlink" Target="https://ppim-intra.pea.co.th:4434/request/PPIM1850194F" TargetMode="External"/><Relationship Id="rId119" Type="http://schemas.openxmlformats.org/officeDocument/2006/relationships/hyperlink" Target="https://ppim-intra.pea.co.th:4434/request/PPIM1850447F" TargetMode="External"/><Relationship Id="rId270" Type="http://schemas.openxmlformats.org/officeDocument/2006/relationships/hyperlink" Target="https://ppim-intra.pea.co.th:4434/request/PPIM19504770" TargetMode="External"/><Relationship Id="rId326" Type="http://schemas.openxmlformats.org/officeDocument/2006/relationships/vmlDrawing" Target="../drawings/vmlDrawing8.vml"/><Relationship Id="rId65" Type="http://schemas.openxmlformats.org/officeDocument/2006/relationships/hyperlink" Target="https://ppim-intra.pea.co.th:4434/request/PPIM1850334F" TargetMode="External"/><Relationship Id="rId130" Type="http://schemas.openxmlformats.org/officeDocument/2006/relationships/hyperlink" Target="https://ppim-intra.pea.co.th:4434/request/PPIM19500053" TargetMode="External"/><Relationship Id="rId172" Type="http://schemas.openxmlformats.org/officeDocument/2006/relationships/hyperlink" Target="https://ppim-intra.pea.co.th:4434/request/PPIM19500F9D" TargetMode="External"/><Relationship Id="rId228" Type="http://schemas.openxmlformats.org/officeDocument/2006/relationships/hyperlink" Target="https://ppim-intra.pea.co.th:4434/request/PPIM19503375" TargetMode="External"/><Relationship Id="rId281" Type="http://schemas.openxmlformats.org/officeDocument/2006/relationships/hyperlink" Target="https://ppim-intra.pea.co.th:4434/request/PPIM195047F2" TargetMode="External"/><Relationship Id="rId34" Type="http://schemas.openxmlformats.org/officeDocument/2006/relationships/hyperlink" Target="https://ppim-intra.pea.co.th:4434/request/PPIM18501FFC" TargetMode="External"/><Relationship Id="rId76" Type="http://schemas.openxmlformats.org/officeDocument/2006/relationships/hyperlink" Target="https://ppim-intra.pea.co.th:4434/request/PPIM18503669" TargetMode="External"/><Relationship Id="rId141" Type="http://schemas.openxmlformats.org/officeDocument/2006/relationships/hyperlink" Target="https://ppim-intra.pea.co.th:4434/request/PPIM1950029E" TargetMode="External"/><Relationship Id="rId7" Type="http://schemas.openxmlformats.org/officeDocument/2006/relationships/hyperlink" Target="https://ppim-intra.pea.co.th:4434/request/PPIM18500DD3" TargetMode="External"/><Relationship Id="rId162" Type="http://schemas.openxmlformats.org/officeDocument/2006/relationships/hyperlink" Target="https://ppim-intra.pea.co.th:4434/request/PPIM19500AEB" TargetMode="External"/><Relationship Id="rId183" Type="http://schemas.openxmlformats.org/officeDocument/2006/relationships/hyperlink" Target="https://ppim-intra.pea.co.th:4434/request/PPIM19501545" TargetMode="External"/><Relationship Id="rId218" Type="http://schemas.openxmlformats.org/officeDocument/2006/relationships/hyperlink" Target="https://ppim-intra.pea.co.th:4434/request/PPIM19502C0D" TargetMode="External"/><Relationship Id="rId239" Type="http://schemas.openxmlformats.org/officeDocument/2006/relationships/hyperlink" Target="https://ppim-intra.pea.co.th:4434/request/PPIM195036AA" TargetMode="External"/><Relationship Id="rId250" Type="http://schemas.openxmlformats.org/officeDocument/2006/relationships/hyperlink" Target="https://ppim-intra.pea.co.th:4434/request/PPIM19503CBE" TargetMode="External"/><Relationship Id="rId271" Type="http://schemas.openxmlformats.org/officeDocument/2006/relationships/hyperlink" Target="https://ppim-intra.pea.co.th:4434/request/PPIM1950477C" TargetMode="External"/><Relationship Id="rId292" Type="http://schemas.openxmlformats.org/officeDocument/2006/relationships/hyperlink" Target="https://ppim-intra.pea.co.th:4434/request/PPIM1950415D" TargetMode="External"/><Relationship Id="rId306" Type="http://schemas.openxmlformats.org/officeDocument/2006/relationships/hyperlink" Target="https://ppim-intra.pea.co.th:4434/request/PPIM19505615" TargetMode="External"/><Relationship Id="rId24" Type="http://schemas.openxmlformats.org/officeDocument/2006/relationships/hyperlink" Target="https://ppim-intra.pea.co.th:4434/request/PPIM185019BA" TargetMode="External"/><Relationship Id="rId45" Type="http://schemas.openxmlformats.org/officeDocument/2006/relationships/hyperlink" Target="https://ppim-intra.pea.co.th:4434/request/PPIM18501EF5" TargetMode="External"/><Relationship Id="rId66" Type="http://schemas.openxmlformats.org/officeDocument/2006/relationships/hyperlink" Target="https://ppim-intra.pea.co.th:4434/request/PPIM185033D2" TargetMode="External"/><Relationship Id="rId87" Type="http://schemas.openxmlformats.org/officeDocument/2006/relationships/hyperlink" Target="https://ppim-intra.pea.co.th:4434/request/PPIM185039EC" TargetMode="External"/><Relationship Id="rId110" Type="http://schemas.openxmlformats.org/officeDocument/2006/relationships/hyperlink" Target="https://ppim-intra.pea.co.th:4434/request/PPIM18503F47" TargetMode="External"/><Relationship Id="rId131" Type="http://schemas.openxmlformats.org/officeDocument/2006/relationships/hyperlink" Target="https://ppim-intra.pea.co.th:4434/request/PPIM19500087" TargetMode="External"/><Relationship Id="rId327" Type="http://schemas.openxmlformats.org/officeDocument/2006/relationships/control" Target="../activeX/activeX8.xml"/><Relationship Id="rId152" Type="http://schemas.openxmlformats.org/officeDocument/2006/relationships/hyperlink" Target="https://ppim-intra.pea.co.th:4434/request/PPIM195005CC" TargetMode="External"/><Relationship Id="rId173" Type="http://schemas.openxmlformats.org/officeDocument/2006/relationships/hyperlink" Target="https://ppim-intra.pea.co.th:4434/request/PPIM19501017" TargetMode="External"/><Relationship Id="rId194" Type="http://schemas.openxmlformats.org/officeDocument/2006/relationships/hyperlink" Target="https://ppim-intra.pea.co.th:4434/request/PPIM195018C9" TargetMode="External"/><Relationship Id="rId208" Type="http://schemas.openxmlformats.org/officeDocument/2006/relationships/hyperlink" Target="https://ppim-intra.pea.co.th:4434/request/PPIM195023C9" TargetMode="External"/><Relationship Id="rId229" Type="http://schemas.openxmlformats.org/officeDocument/2006/relationships/hyperlink" Target="https://ppim-intra.pea.co.th:4434/request/PPIM1950141C" TargetMode="External"/><Relationship Id="rId240" Type="http://schemas.openxmlformats.org/officeDocument/2006/relationships/hyperlink" Target="https://ppim-intra.pea.co.th:4434/request/PPIM195036AC" TargetMode="External"/><Relationship Id="rId261" Type="http://schemas.openxmlformats.org/officeDocument/2006/relationships/hyperlink" Target="https://ppim-intra.pea.co.th:4434/request/PPIM195041AA" TargetMode="External"/><Relationship Id="rId14" Type="http://schemas.openxmlformats.org/officeDocument/2006/relationships/hyperlink" Target="https://ppim-intra.pea.co.th:4434/request/PPIM18501458" TargetMode="External"/><Relationship Id="rId35" Type="http://schemas.openxmlformats.org/officeDocument/2006/relationships/hyperlink" Target="https://ppim-intra.pea.co.th:4434/request/PPIM1850201D" TargetMode="External"/><Relationship Id="rId56" Type="http://schemas.openxmlformats.org/officeDocument/2006/relationships/hyperlink" Target="https://ppim-intra.pea.co.th:4434/request/PPIM18502B2E" TargetMode="External"/><Relationship Id="rId77" Type="http://schemas.openxmlformats.org/officeDocument/2006/relationships/hyperlink" Target="https://ppim-intra.pea.co.th:4434/request/PPIM1850372B" TargetMode="External"/><Relationship Id="rId100" Type="http://schemas.openxmlformats.org/officeDocument/2006/relationships/hyperlink" Target="https://ppim-intra.pea.co.th:4434/request/PPIM18503D57" TargetMode="External"/><Relationship Id="rId282" Type="http://schemas.openxmlformats.org/officeDocument/2006/relationships/hyperlink" Target="https://ppim-intra.pea.co.th:4434/request/PPIM19504B19" TargetMode="External"/><Relationship Id="rId317" Type="http://schemas.openxmlformats.org/officeDocument/2006/relationships/hyperlink" Target="https://ppim-intra.pea.co.th:4434/request/PPIM19505ABA" TargetMode="External"/><Relationship Id="rId8" Type="http://schemas.openxmlformats.org/officeDocument/2006/relationships/hyperlink" Target="https://ppim-intra.pea.co.th:4434/request/PPIM18500EB8" TargetMode="External"/><Relationship Id="rId98" Type="http://schemas.openxmlformats.org/officeDocument/2006/relationships/hyperlink" Target="https://ppim-intra.pea.co.th:4434/request/PPIM18503C16" TargetMode="External"/><Relationship Id="rId121" Type="http://schemas.openxmlformats.org/officeDocument/2006/relationships/hyperlink" Target="https://ppim-intra.pea.co.th:4434/request/PPIM185045EC" TargetMode="External"/><Relationship Id="rId142" Type="http://schemas.openxmlformats.org/officeDocument/2006/relationships/hyperlink" Target="https://ppim-intra.pea.co.th:4434/request/PPIM195002B6" TargetMode="External"/><Relationship Id="rId163" Type="http://schemas.openxmlformats.org/officeDocument/2006/relationships/hyperlink" Target="https://ppim-intra.pea.co.th:4434/request/PPIM19500B25" TargetMode="External"/><Relationship Id="rId184" Type="http://schemas.openxmlformats.org/officeDocument/2006/relationships/hyperlink" Target="https://ppim-intra.pea.co.th:4434/request/PPIM1950157A" TargetMode="External"/><Relationship Id="rId219" Type="http://schemas.openxmlformats.org/officeDocument/2006/relationships/hyperlink" Target="https://ppim-intra.pea.co.th:4434/request/PPIM19502CD1" TargetMode="External"/><Relationship Id="rId230" Type="http://schemas.openxmlformats.org/officeDocument/2006/relationships/hyperlink" Target="https://ppim-intra.pea.co.th:4434/request/PPIM195033CE" TargetMode="External"/><Relationship Id="rId251" Type="http://schemas.openxmlformats.org/officeDocument/2006/relationships/hyperlink" Target="https://ppim-intra.pea.co.th:4434/request/PPIM19503D5E" TargetMode="External"/><Relationship Id="rId25" Type="http://schemas.openxmlformats.org/officeDocument/2006/relationships/hyperlink" Target="https://ppim-intra.pea.co.th:4434/request/PPIM18501B8C" TargetMode="External"/><Relationship Id="rId46" Type="http://schemas.openxmlformats.org/officeDocument/2006/relationships/hyperlink" Target="https://ppim-intra.pea.co.th:4434/request/PPIM18502435" TargetMode="External"/><Relationship Id="rId67" Type="http://schemas.openxmlformats.org/officeDocument/2006/relationships/hyperlink" Target="https://ppim-intra.pea.co.th:4434/request/PPIM18502551" TargetMode="External"/><Relationship Id="rId272" Type="http://schemas.openxmlformats.org/officeDocument/2006/relationships/hyperlink" Target="https://ppim-intra.pea.co.th:4434/request/PPIM195047A9" TargetMode="External"/><Relationship Id="rId293" Type="http://schemas.openxmlformats.org/officeDocument/2006/relationships/hyperlink" Target="https://ppim-intra.pea.co.th:4434/request/PPIM1950481B" TargetMode="External"/><Relationship Id="rId307" Type="http://schemas.openxmlformats.org/officeDocument/2006/relationships/hyperlink" Target="https://ppim-intra.pea.co.th:4434/request/PPIM1950578F" TargetMode="External"/><Relationship Id="rId328" Type="http://schemas.openxmlformats.org/officeDocument/2006/relationships/image" Target="../media/image1.emf"/><Relationship Id="rId88" Type="http://schemas.openxmlformats.org/officeDocument/2006/relationships/hyperlink" Target="https://ppim-intra.pea.co.th:4434/request/PPIM18503A4F" TargetMode="External"/><Relationship Id="rId111" Type="http://schemas.openxmlformats.org/officeDocument/2006/relationships/hyperlink" Target="https://ppim-intra.pea.co.th:4434/request/PPIM18504007" TargetMode="External"/><Relationship Id="rId132" Type="http://schemas.openxmlformats.org/officeDocument/2006/relationships/hyperlink" Target="https://ppim-intra.pea.co.th:4434/request/PPIM19500094" TargetMode="External"/><Relationship Id="rId153" Type="http://schemas.openxmlformats.org/officeDocument/2006/relationships/hyperlink" Target="https://ppim-intra.pea.co.th:4434/request/PPIM18503F80" TargetMode="External"/><Relationship Id="rId174" Type="http://schemas.openxmlformats.org/officeDocument/2006/relationships/hyperlink" Target="https://ppim-intra.pea.co.th:4434/request/PPIM19500761" TargetMode="External"/><Relationship Id="rId195" Type="http://schemas.openxmlformats.org/officeDocument/2006/relationships/hyperlink" Target="https://ppim-intra.pea.co.th:4434/request/PPIM195000F2" TargetMode="External"/><Relationship Id="rId209" Type="http://schemas.openxmlformats.org/officeDocument/2006/relationships/hyperlink" Target="https://ppim-intra.pea.co.th:4434/request/PPIM195023F6" TargetMode="External"/><Relationship Id="rId220" Type="http://schemas.openxmlformats.org/officeDocument/2006/relationships/hyperlink" Target="https://ppim-intra.pea.co.th:4434/request/PPIM195020B9" TargetMode="External"/><Relationship Id="rId241" Type="http://schemas.openxmlformats.org/officeDocument/2006/relationships/hyperlink" Target="https://ppim-intra.pea.co.th:4434/request/PPIM195037A7" TargetMode="External"/><Relationship Id="rId15" Type="http://schemas.openxmlformats.org/officeDocument/2006/relationships/hyperlink" Target="https://ppim-intra.pea.co.th:4434/request/PPIM1850149C" TargetMode="External"/><Relationship Id="rId36" Type="http://schemas.openxmlformats.org/officeDocument/2006/relationships/hyperlink" Target="https://ppim-intra.pea.co.th:4434/request/PPIM18502050" TargetMode="External"/><Relationship Id="rId57" Type="http://schemas.openxmlformats.org/officeDocument/2006/relationships/hyperlink" Target="https://ppim-intra.pea.co.th:4434/request/PPIM18502CA7" TargetMode="External"/><Relationship Id="rId262" Type="http://schemas.openxmlformats.org/officeDocument/2006/relationships/hyperlink" Target="https://ppim-intra.pea.co.th:4434/request/PPIM195041B6" TargetMode="External"/><Relationship Id="rId283" Type="http://schemas.openxmlformats.org/officeDocument/2006/relationships/hyperlink" Target="https://ppim-intra.pea.co.th:4434/request/PPIM1950413F" TargetMode="External"/><Relationship Id="rId318" Type="http://schemas.openxmlformats.org/officeDocument/2006/relationships/hyperlink" Target="https://ppim-intra.pea.co.th:4434/request/PPIM19505AD0" TargetMode="External"/><Relationship Id="rId78" Type="http://schemas.openxmlformats.org/officeDocument/2006/relationships/hyperlink" Target="https://ppim-intra.pea.co.th:4434/request/PPIM18503850" TargetMode="External"/><Relationship Id="rId99" Type="http://schemas.openxmlformats.org/officeDocument/2006/relationships/hyperlink" Target="https://ppim-intra.pea.co.th:4434/request/PPIM18503C2D" TargetMode="External"/><Relationship Id="rId101" Type="http://schemas.openxmlformats.org/officeDocument/2006/relationships/hyperlink" Target="https://ppim-intra.pea.co.th:4434/request/PPIM18503D7B" TargetMode="External"/><Relationship Id="rId122" Type="http://schemas.openxmlformats.org/officeDocument/2006/relationships/hyperlink" Target="https://ppim-intra.pea.co.th:4434/request/PPIM1850462B" TargetMode="External"/><Relationship Id="rId143" Type="http://schemas.openxmlformats.org/officeDocument/2006/relationships/hyperlink" Target="https://ppim-intra.pea.co.th:4434/request/PPIM18503DEF" TargetMode="External"/><Relationship Id="rId164" Type="http://schemas.openxmlformats.org/officeDocument/2006/relationships/hyperlink" Target="https://ppim-intra.pea.co.th:4434/request/PPIM19500B54" TargetMode="External"/><Relationship Id="rId185" Type="http://schemas.openxmlformats.org/officeDocument/2006/relationships/hyperlink" Target="https://ppim-intra.pea.co.th:4434/request/PPIM195015F3" TargetMode="External"/><Relationship Id="rId9" Type="http://schemas.openxmlformats.org/officeDocument/2006/relationships/hyperlink" Target="https://ppim-intra.pea.co.th:4434/request/PPIM18500F87" TargetMode="External"/><Relationship Id="rId210" Type="http://schemas.openxmlformats.org/officeDocument/2006/relationships/hyperlink" Target="https://ppim-intra.pea.co.th:4434/request/PPIM19502675" TargetMode="External"/><Relationship Id="rId26" Type="http://schemas.openxmlformats.org/officeDocument/2006/relationships/hyperlink" Target="https://ppim-intra.pea.co.th:4434/request/PPIM18501C28" TargetMode="External"/><Relationship Id="rId231" Type="http://schemas.openxmlformats.org/officeDocument/2006/relationships/hyperlink" Target="https://ppim-intra.pea.co.th:4434/request/PPIM19503402" TargetMode="External"/><Relationship Id="rId252" Type="http://schemas.openxmlformats.org/officeDocument/2006/relationships/hyperlink" Target="https://ppim-intra.pea.co.th:4434/request/PPIM19503DB4" TargetMode="External"/><Relationship Id="rId273" Type="http://schemas.openxmlformats.org/officeDocument/2006/relationships/hyperlink" Target="https://ppim-intra.pea.co.th:4434/request/PPIM1950413B" TargetMode="External"/><Relationship Id="rId294" Type="http://schemas.openxmlformats.org/officeDocument/2006/relationships/hyperlink" Target="https://ppim-intra.pea.co.th:4434/request/PPIM19504A06" TargetMode="External"/><Relationship Id="rId308" Type="http://schemas.openxmlformats.org/officeDocument/2006/relationships/hyperlink" Target="https://ppim-intra.pea.co.th:4434/request/PPIM195052EA" TargetMode="External"/><Relationship Id="rId47" Type="http://schemas.openxmlformats.org/officeDocument/2006/relationships/hyperlink" Target="https://ppim-intra.pea.co.th:4434/request/PPIM185025C4" TargetMode="External"/><Relationship Id="rId68" Type="http://schemas.openxmlformats.org/officeDocument/2006/relationships/hyperlink" Target="https://ppim-intra.pea.co.th:4434/request/PPIM1850347D" TargetMode="External"/><Relationship Id="rId89" Type="http://schemas.openxmlformats.org/officeDocument/2006/relationships/hyperlink" Target="https://ppim-intra.pea.co.th:4434/request/PPIM18503A5B" TargetMode="External"/><Relationship Id="rId112" Type="http://schemas.openxmlformats.org/officeDocument/2006/relationships/hyperlink" Target="https://ppim-intra.pea.co.th:4434/request/PPIM185042D6" TargetMode="External"/><Relationship Id="rId133" Type="http://schemas.openxmlformats.org/officeDocument/2006/relationships/hyperlink" Target="https://ppim-intra.pea.co.th:4434/request/PPIM1950009A" TargetMode="External"/><Relationship Id="rId154" Type="http://schemas.openxmlformats.org/officeDocument/2006/relationships/hyperlink" Target="https://ppim-intra.pea.co.th:4434/request/PPIM18503AA1" TargetMode="External"/><Relationship Id="rId175" Type="http://schemas.openxmlformats.org/officeDocument/2006/relationships/hyperlink" Target="https://ppim-intra.pea.co.th:4434/request/PPIM1950117A" TargetMode="External"/><Relationship Id="rId196" Type="http://schemas.openxmlformats.org/officeDocument/2006/relationships/hyperlink" Target="https://ppim-intra.pea.co.th:4434/request/PPIM19501281" TargetMode="External"/><Relationship Id="rId200" Type="http://schemas.openxmlformats.org/officeDocument/2006/relationships/hyperlink" Target="https://ppim-intra.pea.co.th:4434/request/PPIM19501DD2" TargetMode="External"/><Relationship Id="rId16" Type="http://schemas.openxmlformats.org/officeDocument/2006/relationships/hyperlink" Target="https://ppim-intra.pea.co.th:4434/request/PPIM185015B4" TargetMode="External"/><Relationship Id="rId221" Type="http://schemas.openxmlformats.org/officeDocument/2006/relationships/hyperlink" Target="https://ppim-intra.pea.co.th:4434/request/PPIM1950245D" TargetMode="External"/><Relationship Id="rId242" Type="http://schemas.openxmlformats.org/officeDocument/2006/relationships/hyperlink" Target="https://ppim-intra.pea.co.th:4434/request/PPIM19503819" TargetMode="External"/><Relationship Id="rId263" Type="http://schemas.openxmlformats.org/officeDocument/2006/relationships/hyperlink" Target="https://ppim-intra.pea.co.th:4434/request/PPIM19504279" TargetMode="External"/><Relationship Id="rId284" Type="http://schemas.openxmlformats.org/officeDocument/2006/relationships/hyperlink" Target="https://ppim-intra.pea.co.th:4434/request/PPIM19504BD8" TargetMode="External"/><Relationship Id="rId319" Type="http://schemas.openxmlformats.org/officeDocument/2006/relationships/hyperlink" Target="https://ppim-intra.pea.co.th:4434/request/PPIM19505B15" TargetMode="External"/><Relationship Id="rId37" Type="http://schemas.openxmlformats.org/officeDocument/2006/relationships/hyperlink" Target="https://ppim-intra.pea.co.th:4434/request/PPIM18502075" TargetMode="External"/><Relationship Id="rId58" Type="http://schemas.openxmlformats.org/officeDocument/2006/relationships/hyperlink" Target="https://ppim-intra.pea.co.th:4434/request/PPIM18502DE2" TargetMode="External"/><Relationship Id="rId79" Type="http://schemas.openxmlformats.org/officeDocument/2006/relationships/hyperlink" Target="https://ppim-intra.pea.co.th:4434/request/PPIM18503874" TargetMode="External"/><Relationship Id="rId102" Type="http://schemas.openxmlformats.org/officeDocument/2006/relationships/hyperlink" Target="https://ppim-intra.pea.co.th:4434/request/PPIM18503DD7" TargetMode="External"/><Relationship Id="rId123" Type="http://schemas.openxmlformats.org/officeDocument/2006/relationships/hyperlink" Target="https://ppim-intra.pea.co.th:4434/request/PPIM1850480D" TargetMode="External"/><Relationship Id="rId144" Type="http://schemas.openxmlformats.org/officeDocument/2006/relationships/hyperlink" Target="https://ppim-intra.pea.co.th:4434/request/PPIM185037F5" TargetMode="External"/><Relationship Id="rId90" Type="http://schemas.openxmlformats.org/officeDocument/2006/relationships/hyperlink" Target="https://ppim-intra.pea.co.th:4434/request/PPIM18503AAA" TargetMode="External"/><Relationship Id="rId165" Type="http://schemas.openxmlformats.org/officeDocument/2006/relationships/hyperlink" Target="https://ppim-intra.pea.co.th:4434/request/PPIM19500B62" TargetMode="External"/><Relationship Id="rId186" Type="http://schemas.openxmlformats.org/officeDocument/2006/relationships/hyperlink" Target="https://ppim-intra.pea.co.th:4434/request/PPIM19501618" TargetMode="External"/><Relationship Id="rId211" Type="http://schemas.openxmlformats.org/officeDocument/2006/relationships/hyperlink" Target="https://ppim-intra.pea.co.th:4434/request/PPIM195026D8" TargetMode="External"/><Relationship Id="rId232" Type="http://schemas.openxmlformats.org/officeDocument/2006/relationships/hyperlink" Target="https://ppim-intra.pea.co.th:4434/request/PPIM1950342C" TargetMode="External"/><Relationship Id="rId253" Type="http://schemas.openxmlformats.org/officeDocument/2006/relationships/hyperlink" Target="https://ppim-intra.pea.co.th:4434/request/PPIM19503DBC" TargetMode="External"/><Relationship Id="rId274" Type="http://schemas.openxmlformats.org/officeDocument/2006/relationships/hyperlink" Target="https://ppim-intra.pea.co.th:4434/request/PPIM19504806" TargetMode="External"/><Relationship Id="rId295" Type="http://schemas.openxmlformats.org/officeDocument/2006/relationships/hyperlink" Target="https://ppim-intra.pea.co.th:4434/request/PPIM19504B2B" TargetMode="External"/><Relationship Id="rId309" Type="http://schemas.openxmlformats.org/officeDocument/2006/relationships/hyperlink" Target="https://ppim-intra.pea.co.th:4434/request/PPIM19505864" TargetMode="External"/><Relationship Id="rId27" Type="http://schemas.openxmlformats.org/officeDocument/2006/relationships/hyperlink" Target="https://ppim-intra.pea.co.th:4434/request/PPIM18501C53" TargetMode="External"/><Relationship Id="rId48" Type="http://schemas.openxmlformats.org/officeDocument/2006/relationships/hyperlink" Target="https://ppim-intra.pea.co.th:4434/request/PPIM185026CD" TargetMode="External"/><Relationship Id="rId69" Type="http://schemas.openxmlformats.org/officeDocument/2006/relationships/hyperlink" Target="https://ppim-intra.pea.co.th:4434/request/PPIM185034C4" TargetMode="External"/><Relationship Id="rId113" Type="http://schemas.openxmlformats.org/officeDocument/2006/relationships/hyperlink" Target="https://ppim-intra.pea.co.th:4434/request/PPIM1850430F" TargetMode="External"/><Relationship Id="rId134" Type="http://schemas.openxmlformats.org/officeDocument/2006/relationships/hyperlink" Target="https://ppim-intra.pea.co.th:4434/request/PPIM195000B5" TargetMode="External"/><Relationship Id="rId320" Type="http://schemas.openxmlformats.org/officeDocument/2006/relationships/hyperlink" Target="https://ppim-intra.pea.co.th:4434/request/PPIM19505BCE" TargetMode="External"/><Relationship Id="rId80" Type="http://schemas.openxmlformats.org/officeDocument/2006/relationships/hyperlink" Target="https://ppim-intra.pea.co.th:4434/request/PPIM185038B2" TargetMode="External"/><Relationship Id="rId155" Type="http://schemas.openxmlformats.org/officeDocument/2006/relationships/hyperlink" Target="https://ppim-intra.pea.co.th:4434/request/PPIM19500812" TargetMode="External"/><Relationship Id="rId176" Type="http://schemas.openxmlformats.org/officeDocument/2006/relationships/hyperlink" Target="https://ppim-intra.pea.co.th:4434/request/PPIM1950118F" TargetMode="External"/><Relationship Id="rId197" Type="http://schemas.openxmlformats.org/officeDocument/2006/relationships/hyperlink" Target="https://ppim-intra.pea.co.th:4434/request/PPIM19500805" TargetMode="External"/><Relationship Id="rId201" Type="http://schemas.openxmlformats.org/officeDocument/2006/relationships/hyperlink" Target="https://ppim-intra.pea.co.th:4434/request/PPIM19501EC9" TargetMode="External"/><Relationship Id="rId222" Type="http://schemas.openxmlformats.org/officeDocument/2006/relationships/hyperlink" Target="https://ppim-intra.pea.co.th:4434/request/PPIM19503162" TargetMode="External"/><Relationship Id="rId243" Type="http://schemas.openxmlformats.org/officeDocument/2006/relationships/hyperlink" Target="https://ppim-intra.pea.co.th:4434/request/PPIM19503823" TargetMode="External"/><Relationship Id="rId264" Type="http://schemas.openxmlformats.org/officeDocument/2006/relationships/hyperlink" Target="https://ppim-intra.pea.co.th:4434/request/PPIM19503B3E" TargetMode="External"/><Relationship Id="rId285" Type="http://schemas.openxmlformats.org/officeDocument/2006/relationships/hyperlink" Target="https://ppim-intra.pea.co.th:4434/request/PPIM195048F0" TargetMode="External"/><Relationship Id="rId17" Type="http://schemas.openxmlformats.org/officeDocument/2006/relationships/hyperlink" Target="https://ppim-intra.pea.co.th:4434/request/PPIM185016EC" TargetMode="External"/><Relationship Id="rId38" Type="http://schemas.openxmlformats.org/officeDocument/2006/relationships/hyperlink" Target="https://ppim-intra.pea.co.th:4434/request/PPIM185020B7" TargetMode="External"/><Relationship Id="rId59" Type="http://schemas.openxmlformats.org/officeDocument/2006/relationships/hyperlink" Target="https://ppim-intra.pea.co.th:4434/request/PPIM18502E0C" TargetMode="External"/><Relationship Id="rId103" Type="http://schemas.openxmlformats.org/officeDocument/2006/relationships/hyperlink" Target="https://ppim-intra.pea.co.th:4434/request/PPIM18503E0C" TargetMode="External"/><Relationship Id="rId124" Type="http://schemas.openxmlformats.org/officeDocument/2006/relationships/hyperlink" Target="https://ppim-intra.pea.co.th:4434/request/PPIM1850486A" TargetMode="External"/><Relationship Id="rId310" Type="http://schemas.openxmlformats.org/officeDocument/2006/relationships/hyperlink" Target="https://ppim-intra.pea.co.th:4434/request/PPIM19505886" TargetMode="External"/><Relationship Id="rId70" Type="http://schemas.openxmlformats.org/officeDocument/2006/relationships/hyperlink" Target="https://ppim-intra.pea.co.th:4434/request/PPIM1850357D" TargetMode="External"/><Relationship Id="rId91" Type="http://schemas.openxmlformats.org/officeDocument/2006/relationships/hyperlink" Target="https://ppim-intra.pea.co.th:4434/request/PPIM18503ACD" TargetMode="External"/><Relationship Id="rId145" Type="http://schemas.openxmlformats.org/officeDocument/2006/relationships/hyperlink" Target="https://ppim-intra.pea.co.th:4434/request/PPIM19500313" TargetMode="External"/><Relationship Id="rId166" Type="http://schemas.openxmlformats.org/officeDocument/2006/relationships/hyperlink" Target="https://ppim-intra.pea.co.th:4434/request/PPIM19500C8C" TargetMode="External"/><Relationship Id="rId187" Type="http://schemas.openxmlformats.org/officeDocument/2006/relationships/hyperlink" Target="https://ppim-intra.pea.co.th:4434/request/PPIM185048F8" TargetMode="External"/><Relationship Id="rId1" Type="http://schemas.openxmlformats.org/officeDocument/2006/relationships/hyperlink" Target="https://ppim-intra.pea.co.th:4434/request/PPIM185001B8" TargetMode="External"/><Relationship Id="rId212" Type="http://schemas.openxmlformats.org/officeDocument/2006/relationships/hyperlink" Target="https://ppim-intra.pea.co.th:4434/request/PPIM195026DB" TargetMode="External"/><Relationship Id="rId233" Type="http://schemas.openxmlformats.org/officeDocument/2006/relationships/hyperlink" Target="https://ppim-intra.pea.co.th:4434/request/PPIM19503505" TargetMode="External"/><Relationship Id="rId254" Type="http://schemas.openxmlformats.org/officeDocument/2006/relationships/hyperlink" Target="https://ppim-intra.pea.co.th:4434/request/PPIM195030B6" TargetMode="External"/><Relationship Id="rId28" Type="http://schemas.openxmlformats.org/officeDocument/2006/relationships/hyperlink" Target="https://ppim-intra.pea.co.th:4434/request/PPIM18501C76" TargetMode="External"/><Relationship Id="rId49" Type="http://schemas.openxmlformats.org/officeDocument/2006/relationships/hyperlink" Target="https://ppim-intra.pea.co.th:4434/request/PPIM18502728" TargetMode="External"/><Relationship Id="rId114" Type="http://schemas.openxmlformats.org/officeDocument/2006/relationships/hyperlink" Target="https://ppim-intra.pea.co.th:4434/request/PPIM1850431B" TargetMode="External"/><Relationship Id="rId275" Type="http://schemas.openxmlformats.org/officeDocument/2006/relationships/hyperlink" Target="https://ppim-intra.pea.co.th:4434/request/PPIM195046E5" TargetMode="External"/><Relationship Id="rId296" Type="http://schemas.openxmlformats.org/officeDocument/2006/relationships/hyperlink" Target="https://ppim-intra.pea.co.th:4434/request/PPIM195043BF" TargetMode="External"/><Relationship Id="rId300" Type="http://schemas.openxmlformats.org/officeDocument/2006/relationships/hyperlink" Target="https://ppim-intra.pea.co.th:4434/request/PPIM1950534D" TargetMode="External"/><Relationship Id="rId60" Type="http://schemas.openxmlformats.org/officeDocument/2006/relationships/hyperlink" Target="https://ppim-intra.pea.co.th:4434/request/PPIM1850303F" TargetMode="External"/><Relationship Id="rId81" Type="http://schemas.openxmlformats.org/officeDocument/2006/relationships/hyperlink" Target="https://ppim-intra.pea.co.th:4434/request/PPIM1850300B" TargetMode="External"/><Relationship Id="rId135" Type="http://schemas.openxmlformats.org/officeDocument/2006/relationships/hyperlink" Target="https://ppim-intra.pea.co.th:4434/request/PPIM195000D4" TargetMode="External"/><Relationship Id="rId156" Type="http://schemas.openxmlformats.org/officeDocument/2006/relationships/hyperlink" Target="https://ppim-intra.pea.co.th:4434/request/PPIM19500826" TargetMode="External"/><Relationship Id="rId177" Type="http://schemas.openxmlformats.org/officeDocument/2006/relationships/hyperlink" Target="https://ppim-intra.pea.co.th:4434/request/PPIM195011A6" TargetMode="External"/><Relationship Id="rId198" Type="http://schemas.openxmlformats.org/officeDocument/2006/relationships/hyperlink" Target="https://ppim-intra.pea.co.th:4434/request/PPIM19501D4E" TargetMode="External"/><Relationship Id="rId321" Type="http://schemas.openxmlformats.org/officeDocument/2006/relationships/hyperlink" Target="https://ppim-intra.pea.co.th:4434/request/PPIM19505A45" TargetMode="External"/><Relationship Id="rId202" Type="http://schemas.openxmlformats.org/officeDocument/2006/relationships/hyperlink" Target="https://ppim-intra.pea.co.th:4434/request/PPIM19501F7F" TargetMode="External"/><Relationship Id="rId223" Type="http://schemas.openxmlformats.org/officeDocument/2006/relationships/hyperlink" Target="https://ppim-intra.pea.co.th:4434/request/PPIM1950316B" TargetMode="External"/><Relationship Id="rId244" Type="http://schemas.openxmlformats.org/officeDocument/2006/relationships/hyperlink" Target="https://ppim-intra.pea.co.th:4434/request/PPIM19503A4C" TargetMode="External"/><Relationship Id="rId18" Type="http://schemas.openxmlformats.org/officeDocument/2006/relationships/hyperlink" Target="https://ppim-intra.pea.co.th:4434/request/PPIM1850173C" TargetMode="External"/><Relationship Id="rId39" Type="http://schemas.openxmlformats.org/officeDocument/2006/relationships/hyperlink" Target="https://ppim-intra.pea.co.th:4434/request/PPIM18502134" TargetMode="External"/><Relationship Id="rId265" Type="http://schemas.openxmlformats.org/officeDocument/2006/relationships/hyperlink" Target="https://ppim-intra.pea.co.th:4434/request/PPIM19504444" TargetMode="External"/><Relationship Id="rId286" Type="http://schemas.openxmlformats.org/officeDocument/2006/relationships/hyperlink" Target="https://ppim-intra.pea.co.th:4434/request/PPIM19504D29" TargetMode="External"/><Relationship Id="rId50" Type="http://schemas.openxmlformats.org/officeDocument/2006/relationships/hyperlink" Target="https://ppim-intra.pea.co.th:4434/request/PPIM18502874" TargetMode="External"/><Relationship Id="rId104" Type="http://schemas.openxmlformats.org/officeDocument/2006/relationships/hyperlink" Target="https://ppim-intra.pea.co.th:4434/request/PPIM18503E75" TargetMode="External"/><Relationship Id="rId125" Type="http://schemas.openxmlformats.org/officeDocument/2006/relationships/hyperlink" Target="https://ppim-intra.pea.co.th:4434/request/PPIM1850492D" TargetMode="External"/><Relationship Id="rId146" Type="http://schemas.openxmlformats.org/officeDocument/2006/relationships/hyperlink" Target="https://ppim-intra.pea.co.th:4434/request/PPIM19500321" TargetMode="External"/><Relationship Id="rId167" Type="http://schemas.openxmlformats.org/officeDocument/2006/relationships/hyperlink" Target="https://ppim-intra.pea.co.th:4434/request/PPIM19500CB9" TargetMode="External"/><Relationship Id="rId188" Type="http://schemas.openxmlformats.org/officeDocument/2006/relationships/hyperlink" Target="https://ppim-intra.pea.co.th:4434/request/PPIM19501215" TargetMode="External"/><Relationship Id="rId311" Type="http://schemas.openxmlformats.org/officeDocument/2006/relationships/hyperlink" Target="https://ppim-intra.pea.co.th:4434/request/PPIM19505887" TargetMode="External"/><Relationship Id="rId71" Type="http://schemas.openxmlformats.org/officeDocument/2006/relationships/hyperlink" Target="https://ppim-intra.pea.co.th:4434/request/PPIM18503585" TargetMode="External"/><Relationship Id="rId92" Type="http://schemas.openxmlformats.org/officeDocument/2006/relationships/hyperlink" Target="https://ppim-intra.pea.co.th:4434/request/PPIM185035EA" TargetMode="External"/><Relationship Id="rId213" Type="http://schemas.openxmlformats.org/officeDocument/2006/relationships/hyperlink" Target="https://ppim-intra.pea.co.th:4434/request/PPIM19502706" TargetMode="External"/><Relationship Id="rId234" Type="http://schemas.openxmlformats.org/officeDocument/2006/relationships/hyperlink" Target="https://ppim-intra.pea.co.th:4434/request/PPIM19503538" TargetMode="External"/><Relationship Id="rId2" Type="http://schemas.openxmlformats.org/officeDocument/2006/relationships/hyperlink" Target="https://ppim-intra.pea.co.th:4434/request/PPIM18500288" TargetMode="External"/><Relationship Id="rId29" Type="http://schemas.openxmlformats.org/officeDocument/2006/relationships/hyperlink" Target="https://ppim-intra.pea.co.th:4434/request/PPIM18501CE3" TargetMode="External"/><Relationship Id="rId255" Type="http://schemas.openxmlformats.org/officeDocument/2006/relationships/hyperlink" Target="https://ppim-intra.pea.co.th:4434/request/PPIM19503E68" TargetMode="External"/><Relationship Id="rId276" Type="http://schemas.openxmlformats.org/officeDocument/2006/relationships/hyperlink" Target="https://ppim-intra.pea.co.th:4434/request/PPIM195048C5" TargetMode="External"/><Relationship Id="rId297" Type="http://schemas.openxmlformats.org/officeDocument/2006/relationships/hyperlink" Target="https://ppim-intra.pea.co.th:4434/request/PPIM19505157" TargetMode="External"/><Relationship Id="rId40" Type="http://schemas.openxmlformats.org/officeDocument/2006/relationships/hyperlink" Target="https://ppim-intra.pea.co.th:4434/request/PPIM185021C7" TargetMode="External"/><Relationship Id="rId115" Type="http://schemas.openxmlformats.org/officeDocument/2006/relationships/hyperlink" Target="https://ppim-intra.pea.co.th:4434/request/PPIM185043E7" TargetMode="External"/><Relationship Id="rId136" Type="http://schemas.openxmlformats.org/officeDocument/2006/relationships/hyperlink" Target="https://ppim-intra.pea.co.th:4434/request/PPIM195000EB" TargetMode="External"/><Relationship Id="rId157" Type="http://schemas.openxmlformats.org/officeDocument/2006/relationships/hyperlink" Target="https://ppim-intra.pea.co.th:4434/request/PPIM19500852" TargetMode="External"/><Relationship Id="rId178" Type="http://schemas.openxmlformats.org/officeDocument/2006/relationships/hyperlink" Target="https://ppim-intra.pea.co.th:4434/request/PPIM195009F4" TargetMode="External"/><Relationship Id="rId301" Type="http://schemas.openxmlformats.org/officeDocument/2006/relationships/hyperlink" Target="https://ppim-intra.pea.co.th:4434/request/PPIM19505377" TargetMode="External"/><Relationship Id="rId322" Type="http://schemas.openxmlformats.org/officeDocument/2006/relationships/hyperlink" Target="https://ppim-intra.pea.co.th:4434/request/PPIM19505BD6" TargetMode="External"/><Relationship Id="rId61" Type="http://schemas.openxmlformats.org/officeDocument/2006/relationships/hyperlink" Target="https://ppim-intra.pea.co.th:4434/request/PPIM1850318F" TargetMode="External"/><Relationship Id="rId82" Type="http://schemas.openxmlformats.org/officeDocument/2006/relationships/hyperlink" Target="https://ppim-intra.pea.co.th:4434/request/PPIM18503633" TargetMode="External"/><Relationship Id="rId199" Type="http://schemas.openxmlformats.org/officeDocument/2006/relationships/hyperlink" Target="https://ppim-intra.pea.co.th:4434/request/PPIM19501D9D" TargetMode="External"/><Relationship Id="rId203" Type="http://schemas.openxmlformats.org/officeDocument/2006/relationships/hyperlink" Target="https://ppim-intra.pea.co.th:4434/request/PPIM19501FE0" TargetMode="External"/><Relationship Id="rId19" Type="http://schemas.openxmlformats.org/officeDocument/2006/relationships/hyperlink" Target="https://ppim-intra.pea.co.th:4434/request/PPIM18500F04" TargetMode="External"/><Relationship Id="rId224" Type="http://schemas.openxmlformats.org/officeDocument/2006/relationships/hyperlink" Target="https://ppim-intra.pea.co.th:4434/request/PPIM19503204" TargetMode="External"/><Relationship Id="rId245" Type="http://schemas.openxmlformats.org/officeDocument/2006/relationships/hyperlink" Target="https://ppim-intra.pea.co.th:4434/request/PPIM19503AD4" TargetMode="External"/><Relationship Id="rId266" Type="http://schemas.openxmlformats.org/officeDocument/2006/relationships/hyperlink" Target="https://ppim-intra.pea.co.th:4434/request/PPIM19504627" TargetMode="External"/><Relationship Id="rId287" Type="http://schemas.openxmlformats.org/officeDocument/2006/relationships/hyperlink" Target="https://ppim-intra.pea.co.th:4434/request/PPIM1950379B" TargetMode="External"/><Relationship Id="rId30" Type="http://schemas.openxmlformats.org/officeDocument/2006/relationships/hyperlink" Target="https://ppim-intra.pea.co.th:4434/request/PPIM18501D05" TargetMode="External"/><Relationship Id="rId105" Type="http://schemas.openxmlformats.org/officeDocument/2006/relationships/hyperlink" Target="https://ppim-intra.pea.co.th:4434/request/PPIM18503E94" TargetMode="External"/><Relationship Id="rId126" Type="http://schemas.openxmlformats.org/officeDocument/2006/relationships/hyperlink" Target="https://ppim-intra.pea.co.th:4434/request/PPIM185049F5" TargetMode="External"/><Relationship Id="rId147" Type="http://schemas.openxmlformats.org/officeDocument/2006/relationships/hyperlink" Target="https://ppim-intra.pea.co.th:4434/request/PPIM1950036A" TargetMode="External"/><Relationship Id="rId168" Type="http://schemas.openxmlformats.org/officeDocument/2006/relationships/hyperlink" Target="https://ppim-intra.pea.co.th:4434/request/PPIM19500CBA" TargetMode="External"/><Relationship Id="rId312" Type="http://schemas.openxmlformats.org/officeDocument/2006/relationships/hyperlink" Target="https://ppim-intra.pea.co.th:4434/request/PPIM19505376" TargetMode="External"/><Relationship Id="rId51" Type="http://schemas.openxmlformats.org/officeDocument/2006/relationships/hyperlink" Target="https://ppim-intra.pea.co.th:4434/request/PPIM185028AC" TargetMode="External"/><Relationship Id="rId72" Type="http://schemas.openxmlformats.org/officeDocument/2006/relationships/hyperlink" Target="https://ppim-intra.pea.co.th:4434/request/PPIM185035A9" TargetMode="External"/><Relationship Id="rId93" Type="http://schemas.openxmlformats.org/officeDocument/2006/relationships/hyperlink" Target="https://ppim-intra.pea.co.th:4434/request/PPIM18503B3E" TargetMode="External"/><Relationship Id="rId189" Type="http://schemas.openxmlformats.org/officeDocument/2006/relationships/hyperlink" Target="https://ppim-intra.pea.co.th:4434/request/PPIM195016A6" TargetMode="External"/><Relationship Id="rId3" Type="http://schemas.openxmlformats.org/officeDocument/2006/relationships/hyperlink" Target="https://ppim-intra.pea.co.th:4434/request/PPIM1850064E" TargetMode="External"/><Relationship Id="rId214" Type="http://schemas.openxmlformats.org/officeDocument/2006/relationships/hyperlink" Target="https://ppim-intra.pea.co.th:4434/request/PPIM1950276B" TargetMode="External"/><Relationship Id="rId235" Type="http://schemas.openxmlformats.org/officeDocument/2006/relationships/hyperlink" Target="https://ppim-intra.pea.co.th:4434/request/PPIM19502C26" TargetMode="External"/><Relationship Id="rId256" Type="http://schemas.openxmlformats.org/officeDocument/2006/relationships/hyperlink" Target="https://ppim-intra.pea.co.th:4434/request/PPIM19503F87" TargetMode="External"/><Relationship Id="rId277" Type="http://schemas.openxmlformats.org/officeDocument/2006/relationships/hyperlink" Target="https://ppim-intra.pea.co.th:4434/request/PPIM1950491C" TargetMode="External"/><Relationship Id="rId298" Type="http://schemas.openxmlformats.org/officeDocument/2006/relationships/hyperlink" Target="https://ppim-intra.pea.co.th:4434/request/PPIM195051AE" TargetMode="External"/><Relationship Id="rId116" Type="http://schemas.openxmlformats.org/officeDocument/2006/relationships/hyperlink" Target="https://ppim-intra.pea.co.th:4434/request/PPIM18504424" TargetMode="External"/><Relationship Id="rId137" Type="http://schemas.openxmlformats.org/officeDocument/2006/relationships/hyperlink" Target="https://ppim-intra.pea.co.th:4434/request/PPIM195000FE" TargetMode="External"/><Relationship Id="rId158" Type="http://schemas.openxmlformats.org/officeDocument/2006/relationships/hyperlink" Target="https://ppim-intra.pea.co.th:4434/request/PPIM1950088B" TargetMode="External"/><Relationship Id="rId302" Type="http://schemas.openxmlformats.org/officeDocument/2006/relationships/hyperlink" Target="https://ppim-intra.pea.co.th:4434/request/PPIM19505379" TargetMode="External"/><Relationship Id="rId323" Type="http://schemas.openxmlformats.org/officeDocument/2006/relationships/hyperlink" Target="https://ppim-intra.pea.co.th:4434/request/PPIM19505C18" TargetMode="External"/><Relationship Id="rId20" Type="http://schemas.openxmlformats.org/officeDocument/2006/relationships/hyperlink" Target="https://ppim-intra.pea.co.th:4434/request/PPIM185001BC" TargetMode="External"/><Relationship Id="rId41" Type="http://schemas.openxmlformats.org/officeDocument/2006/relationships/hyperlink" Target="https://ppim-intra.pea.co.th:4434/request/PPIM18502234" TargetMode="External"/><Relationship Id="rId62" Type="http://schemas.openxmlformats.org/officeDocument/2006/relationships/hyperlink" Target="https://ppim-intra.pea.co.th:4434/request/PPIM185031D9" TargetMode="External"/><Relationship Id="rId83" Type="http://schemas.openxmlformats.org/officeDocument/2006/relationships/hyperlink" Target="https://ppim-intra.pea.co.th:4434/request/PPIM18503923" TargetMode="External"/><Relationship Id="rId179" Type="http://schemas.openxmlformats.org/officeDocument/2006/relationships/hyperlink" Target="https://ppim-intra.pea.co.th:4434/request/PPIM19501250" TargetMode="External"/><Relationship Id="rId190" Type="http://schemas.openxmlformats.org/officeDocument/2006/relationships/hyperlink" Target="https://ppim-intra.pea.co.th:4434/request/PPIM19501781" TargetMode="External"/><Relationship Id="rId204" Type="http://schemas.openxmlformats.org/officeDocument/2006/relationships/hyperlink" Target="https://ppim-intra.pea.co.th:4434/request/PPIM19501FE2" TargetMode="External"/><Relationship Id="rId225" Type="http://schemas.openxmlformats.org/officeDocument/2006/relationships/hyperlink" Target="https://ppim-intra.pea.co.th:4434/request/PPIM1950323B" TargetMode="External"/><Relationship Id="rId246" Type="http://schemas.openxmlformats.org/officeDocument/2006/relationships/hyperlink" Target="https://ppim-intra.pea.co.th:4434/request/PPIM19503B96" TargetMode="External"/><Relationship Id="rId267" Type="http://schemas.openxmlformats.org/officeDocument/2006/relationships/hyperlink" Target="https://ppim-intra.pea.co.th:4434/request/PPIM19504651" TargetMode="External"/><Relationship Id="rId288" Type="http://schemas.openxmlformats.org/officeDocument/2006/relationships/hyperlink" Target="https://ppim-intra.pea.co.th:4434/request/PPIM195040B7" TargetMode="External"/><Relationship Id="rId106" Type="http://schemas.openxmlformats.org/officeDocument/2006/relationships/hyperlink" Target="https://ppim-intra.pea.co.th:4434/request/PPIM18503EF7" TargetMode="External"/><Relationship Id="rId127" Type="http://schemas.openxmlformats.org/officeDocument/2006/relationships/hyperlink" Target="https://ppim-intra.pea.co.th:4434/request/PPIM18504A10" TargetMode="External"/><Relationship Id="rId313" Type="http://schemas.openxmlformats.org/officeDocument/2006/relationships/hyperlink" Target="https://ppim-intra.pea.co.th:4434/request/PPIM1950562A" TargetMode="External"/><Relationship Id="rId10" Type="http://schemas.openxmlformats.org/officeDocument/2006/relationships/hyperlink" Target="https://ppim-intra.pea.co.th:4434/request/PPIM185012F3" TargetMode="External"/><Relationship Id="rId31" Type="http://schemas.openxmlformats.org/officeDocument/2006/relationships/hyperlink" Target="https://ppim-intra.pea.co.th:4434/request/PPIM18501E90" TargetMode="External"/><Relationship Id="rId52" Type="http://schemas.openxmlformats.org/officeDocument/2006/relationships/hyperlink" Target="https://ppim-intra.pea.co.th:4434/request/PPIM185029BB" TargetMode="External"/><Relationship Id="rId73" Type="http://schemas.openxmlformats.org/officeDocument/2006/relationships/hyperlink" Target="https://ppim-intra.pea.co.th:4434/request/PPIM1850302A" TargetMode="External"/><Relationship Id="rId94" Type="http://schemas.openxmlformats.org/officeDocument/2006/relationships/hyperlink" Target="https://ppim-intra.pea.co.th:4434/request/PPIM18503B6A" TargetMode="External"/><Relationship Id="rId148" Type="http://schemas.openxmlformats.org/officeDocument/2006/relationships/hyperlink" Target="https://ppim-intra.pea.co.th:4434/request/PPIM19500386" TargetMode="External"/><Relationship Id="rId169" Type="http://schemas.openxmlformats.org/officeDocument/2006/relationships/hyperlink" Target="https://ppim-intra.pea.co.th:4434/request/PPIM19500DBD" TargetMode="External"/><Relationship Id="rId4" Type="http://schemas.openxmlformats.org/officeDocument/2006/relationships/hyperlink" Target="https://ppim-intra.pea.co.th:4434/request/PPIM18500B46" TargetMode="External"/><Relationship Id="rId180" Type="http://schemas.openxmlformats.org/officeDocument/2006/relationships/hyperlink" Target="https://ppim-intra.pea.co.th:4434/request/PPIM195012BB" TargetMode="External"/><Relationship Id="rId215" Type="http://schemas.openxmlformats.org/officeDocument/2006/relationships/hyperlink" Target="https://ppim-intra.pea.co.th:4434/request/PPIM1950276C" TargetMode="External"/><Relationship Id="rId236" Type="http://schemas.openxmlformats.org/officeDocument/2006/relationships/hyperlink" Target="https://ppim-intra.pea.co.th:4434/request/PPIM19502FBA" TargetMode="External"/><Relationship Id="rId257" Type="http://schemas.openxmlformats.org/officeDocument/2006/relationships/hyperlink" Target="https://ppim-intra.pea.co.th:4434/request/PPIM19501C9D" TargetMode="External"/><Relationship Id="rId278" Type="http://schemas.openxmlformats.org/officeDocument/2006/relationships/hyperlink" Target="https://ppim-intra.pea.co.th:4434/request/PPIM1950498E" TargetMode="External"/><Relationship Id="rId303" Type="http://schemas.openxmlformats.org/officeDocument/2006/relationships/hyperlink" Target="https://ppim-intra.pea.co.th:4434/request/PPIM195054CF" TargetMode="External"/><Relationship Id="rId42" Type="http://schemas.openxmlformats.org/officeDocument/2006/relationships/hyperlink" Target="https://ppim-intra.pea.co.th:4434/request/PPIM18502311" TargetMode="External"/><Relationship Id="rId84" Type="http://schemas.openxmlformats.org/officeDocument/2006/relationships/hyperlink" Target="https://ppim-intra.pea.co.th:4434/request/PPIM185039A1" TargetMode="External"/><Relationship Id="rId138" Type="http://schemas.openxmlformats.org/officeDocument/2006/relationships/hyperlink" Target="https://ppim-intra.pea.co.th:4434/request/PPIM19500128" TargetMode="External"/><Relationship Id="rId191" Type="http://schemas.openxmlformats.org/officeDocument/2006/relationships/hyperlink" Target="https://ppim-intra.pea.co.th:4434/request/PPIM195008CD" TargetMode="External"/><Relationship Id="rId205" Type="http://schemas.openxmlformats.org/officeDocument/2006/relationships/hyperlink" Target="https://ppim-intra.pea.co.th:4434/request/PPIM19501FFB" TargetMode="External"/><Relationship Id="rId247" Type="http://schemas.openxmlformats.org/officeDocument/2006/relationships/hyperlink" Target="https://ppim-intra.pea.co.th:4434/request/PPIM19503C20" TargetMode="External"/><Relationship Id="rId107" Type="http://schemas.openxmlformats.org/officeDocument/2006/relationships/hyperlink" Target="https://ppim-intra.pea.co.th:4434/request/PPIM18503F22" TargetMode="External"/><Relationship Id="rId289" Type="http://schemas.openxmlformats.org/officeDocument/2006/relationships/hyperlink" Target="https://ppim-intra.pea.co.th:4434/request/PPIM195040B5" TargetMode="External"/><Relationship Id="rId11" Type="http://schemas.openxmlformats.org/officeDocument/2006/relationships/hyperlink" Target="https://ppim-intra.pea.co.th:4434/request/PPIM18501316" TargetMode="External"/><Relationship Id="rId53" Type="http://schemas.openxmlformats.org/officeDocument/2006/relationships/hyperlink" Target="https://ppim-intra.pea.co.th:4434/request/PPIM18502A07" TargetMode="External"/><Relationship Id="rId149" Type="http://schemas.openxmlformats.org/officeDocument/2006/relationships/hyperlink" Target="https://ppim-intra.pea.co.th:4434/request/PPIM195003E9" TargetMode="External"/><Relationship Id="rId314" Type="http://schemas.openxmlformats.org/officeDocument/2006/relationships/hyperlink" Target="https://ppim-intra.pea.co.th:4434/request/PPIM19505A3A" TargetMode="External"/><Relationship Id="rId95" Type="http://schemas.openxmlformats.org/officeDocument/2006/relationships/hyperlink" Target="https://ppim-intra.pea.co.th:4434/request/PPIM185037D1" TargetMode="External"/><Relationship Id="rId160" Type="http://schemas.openxmlformats.org/officeDocument/2006/relationships/hyperlink" Target="https://ppim-intra.pea.co.th:4434/request/PPIM19500927" TargetMode="External"/><Relationship Id="rId216" Type="http://schemas.openxmlformats.org/officeDocument/2006/relationships/hyperlink" Target="https://ppim-intra.pea.co.th:4434/request/PPIM195027B9" TargetMode="External"/><Relationship Id="rId258" Type="http://schemas.openxmlformats.org/officeDocument/2006/relationships/hyperlink" Target="https://ppim-intra.pea.co.th:4434/request/PPIM1950409C" TargetMode="External"/><Relationship Id="rId22" Type="http://schemas.openxmlformats.org/officeDocument/2006/relationships/hyperlink" Target="https://ppim-intra.pea.co.th:4434/request/PPIM18501893" TargetMode="External"/><Relationship Id="rId64" Type="http://schemas.openxmlformats.org/officeDocument/2006/relationships/hyperlink" Target="https://ppim-intra.pea.co.th:4434/request/PPIM1850331D" TargetMode="External"/><Relationship Id="rId118" Type="http://schemas.openxmlformats.org/officeDocument/2006/relationships/hyperlink" Target="https://ppim-intra.pea.co.th:4434/request/PPIM18504449" TargetMode="External"/><Relationship Id="rId325" Type="http://schemas.openxmlformats.org/officeDocument/2006/relationships/drawing" Target="../drawings/drawing9.xml"/><Relationship Id="rId171" Type="http://schemas.openxmlformats.org/officeDocument/2006/relationships/hyperlink" Target="https://ppim-intra.pea.co.th:4434/request/PPIM19500F2D" TargetMode="External"/><Relationship Id="rId227" Type="http://schemas.openxmlformats.org/officeDocument/2006/relationships/hyperlink" Target="https://ppim-intra.pea.co.th:4434/request/PPIM1950331E" TargetMode="External"/><Relationship Id="rId269" Type="http://schemas.openxmlformats.org/officeDocument/2006/relationships/hyperlink" Target="https://ppim-intra.pea.co.th:4434/request/PPIM1950474C" TargetMode="External"/><Relationship Id="rId33" Type="http://schemas.openxmlformats.org/officeDocument/2006/relationships/hyperlink" Target="https://ppim-intra.pea.co.th:4434/request/PPIM18501BDF" TargetMode="External"/><Relationship Id="rId129" Type="http://schemas.openxmlformats.org/officeDocument/2006/relationships/hyperlink" Target="https://ppim-intra.pea.co.th:4434/request/PPIM1950003E" TargetMode="External"/><Relationship Id="rId280" Type="http://schemas.openxmlformats.org/officeDocument/2006/relationships/hyperlink" Target="https://ppim-intra.pea.co.th:4434/request/PPIM19504A15" TargetMode="External"/><Relationship Id="rId75" Type="http://schemas.openxmlformats.org/officeDocument/2006/relationships/hyperlink" Target="https://ppim-intra.pea.co.th:4434/request/PPIM18503632" TargetMode="External"/><Relationship Id="rId140" Type="http://schemas.openxmlformats.org/officeDocument/2006/relationships/hyperlink" Target="https://ppim-intra.pea.co.th:4434/request/PPIM19500292" TargetMode="External"/><Relationship Id="rId182" Type="http://schemas.openxmlformats.org/officeDocument/2006/relationships/hyperlink" Target="https://ppim-intra.pea.co.th:4434/request/PPIM19501172" TargetMode="External"/><Relationship Id="rId6" Type="http://schemas.openxmlformats.org/officeDocument/2006/relationships/hyperlink" Target="https://ppim-intra.pea.co.th:4434/request/PPIM18500C32" TargetMode="External"/><Relationship Id="rId238" Type="http://schemas.openxmlformats.org/officeDocument/2006/relationships/hyperlink" Target="https://ppim-intra.pea.co.th:4434/request/PPIM19503060" TargetMode="External"/><Relationship Id="rId291" Type="http://schemas.openxmlformats.org/officeDocument/2006/relationships/hyperlink" Target="https://ppim-intra.pea.co.th:4434/request/PPIM19504FAA" TargetMode="External"/><Relationship Id="rId305" Type="http://schemas.openxmlformats.org/officeDocument/2006/relationships/hyperlink" Target="https://ppim-intra.pea.co.th:4434/request/PPIM195055A1" TargetMode="External"/><Relationship Id="rId44" Type="http://schemas.openxmlformats.org/officeDocument/2006/relationships/hyperlink" Target="https://ppim-intra.pea.co.th:4434/request/PPIM18501CF0" TargetMode="External"/><Relationship Id="rId86" Type="http://schemas.openxmlformats.org/officeDocument/2006/relationships/hyperlink" Target="https://ppim-intra.pea.co.th:4434/request/PPIM185039E4" TargetMode="External"/><Relationship Id="rId151" Type="http://schemas.openxmlformats.org/officeDocument/2006/relationships/hyperlink" Target="https://ppim-intra.pea.co.th:4434/request/PPIM195004F3" TargetMode="External"/><Relationship Id="rId193" Type="http://schemas.openxmlformats.org/officeDocument/2006/relationships/hyperlink" Target="https://ppim-intra.pea.co.th:4434/request/PPIM195018C7" TargetMode="External"/><Relationship Id="rId207" Type="http://schemas.openxmlformats.org/officeDocument/2006/relationships/hyperlink" Target="https://ppim-intra.pea.co.th:4434/request/PPIM1950217A" TargetMode="External"/><Relationship Id="rId249" Type="http://schemas.openxmlformats.org/officeDocument/2006/relationships/hyperlink" Target="https://ppim-intra.pea.co.th:4434/request/PPIM19503CA7" TargetMode="External"/><Relationship Id="rId13" Type="http://schemas.openxmlformats.org/officeDocument/2006/relationships/hyperlink" Target="https://ppim-intra.pea.co.th:4434/request/PPIM18501393" TargetMode="External"/><Relationship Id="rId109" Type="http://schemas.openxmlformats.org/officeDocument/2006/relationships/hyperlink" Target="https://ppim-intra.pea.co.th:4434/request/PPIM18503F45" TargetMode="External"/><Relationship Id="rId260" Type="http://schemas.openxmlformats.org/officeDocument/2006/relationships/hyperlink" Target="https://ppim-intra.pea.co.th:4434/request/PPIM195041A7" TargetMode="External"/><Relationship Id="rId316" Type="http://schemas.openxmlformats.org/officeDocument/2006/relationships/hyperlink" Target="https://ppim-intra.pea.co.th:4434/request/PPIM19505AB9" TargetMode="External"/><Relationship Id="rId55" Type="http://schemas.openxmlformats.org/officeDocument/2006/relationships/hyperlink" Target="https://ppim-intra.pea.co.th:4434/request/PPIM18502A77" TargetMode="External"/><Relationship Id="rId97" Type="http://schemas.openxmlformats.org/officeDocument/2006/relationships/hyperlink" Target="https://ppim-intra.pea.co.th:4434/request/PPIM18503741" TargetMode="External"/><Relationship Id="rId120" Type="http://schemas.openxmlformats.org/officeDocument/2006/relationships/hyperlink" Target="https://ppim-intra.pea.co.th:4434/request/PPIM185045B2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476A" TargetMode="External"/><Relationship Id="rId21" Type="http://schemas.openxmlformats.org/officeDocument/2006/relationships/hyperlink" Target="https://ppim-intra.pea.co.th:4434/request/PPIM1850405B" TargetMode="External"/><Relationship Id="rId42" Type="http://schemas.openxmlformats.org/officeDocument/2006/relationships/hyperlink" Target="https://ppim-intra.pea.co.th:4434/request/PPIM195024F3" TargetMode="External"/><Relationship Id="rId47" Type="http://schemas.openxmlformats.org/officeDocument/2006/relationships/hyperlink" Target="https://ppim-intra.pea.co.th:4434/request/PPIM19502CEA" TargetMode="External"/><Relationship Id="rId63" Type="http://schemas.openxmlformats.org/officeDocument/2006/relationships/hyperlink" Target="https://ppim-intra.pea.co.th:4434/request/PPIM195055D1" TargetMode="External"/><Relationship Id="rId68" Type="http://schemas.openxmlformats.org/officeDocument/2006/relationships/vmlDrawing" Target="../drawings/vmlDrawing9.vml"/><Relationship Id="rId7" Type="http://schemas.openxmlformats.org/officeDocument/2006/relationships/hyperlink" Target="https://ppim-intra.pea.co.th:4434/request/PPIM18501A47" TargetMode="External"/><Relationship Id="rId2" Type="http://schemas.openxmlformats.org/officeDocument/2006/relationships/hyperlink" Target="https://ppim-intra.pea.co.th:4434/request/PPIM18500729" TargetMode="External"/><Relationship Id="rId16" Type="http://schemas.openxmlformats.org/officeDocument/2006/relationships/hyperlink" Target="https://ppim-intra.pea.co.th:4434/request/PPIM18502FD8" TargetMode="External"/><Relationship Id="rId29" Type="http://schemas.openxmlformats.org/officeDocument/2006/relationships/hyperlink" Target="https://ppim-intra.pea.co.th:4434/request/PPIM19500F25" TargetMode="External"/><Relationship Id="rId11" Type="http://schemas.openxmlformats.org/officeDocument/2006/relationships/hyperlink" Target="https://ppim-intra.pea.co.th:4434/request/PPIM18501FD2" TargetMode="External"/><Relationship Id="rId24" Type="http://schemas.openxmlformats.org/officeDocument/2006/relationships/hyperlink" Target="https://ppim-intra.pea.co.th:4434/request/PPIM1850451C" TargetMode="External"/><Relationship Id="rId32" Type="http://schemas.openxmlformats.org/officeDocument/2006/relationships/hyperlink" Target="https://ppim-intra.pea.co.th:4434/request/PPIM1950142E" TargetMode="External"/><Relationship Id="rId37" Type="http://schemas.openxmlformats.org/officeDocument/2006/relationships/hyperlink" Target="https://ppim-intra.pea.co.th:4434/request/PPIM19501A69" TargetMode="External"/><Relationship Id="rId40" Type="http://schemas.openxmlformats.org/officeDocument/2006/relationships/hyperlink" Target="https://ppim-intra.pea.co.th:4434/request/PPIM19502276" TargetMode="External"/><Relationship Id="rId45" Type="http://schemas.openxmlformats.org/officeDocument/2006/relationships/hyperlink" Target="https://ppim-intra.pea.co.th:4434/request/PPIM19502B4F" TargetMode="External"/><Relationship Id="rId53" Type="http://schemas.openxmlformats.org/officeDocument/2006/relationships/hyperlink" Target="https://ppim-intra.pea.co.th:4434/request/PPIM19503917" TargetMode="External"/><Relationship Id="rId58" Type="http://schemas.openxmlformats.org/officeDocument/2006/relationships/hyperlink" Target="https://ppim-intra.pea.co.th:4434/request/PPIM19503F66" TargetMode="External"/><Relationship Id="rId66" Type="http://schemas.openxmlformats.org/officeDocument/2006/relationships/hyperlink" Target="https://ppim-intra.pea.co.th:4434/request/PPIM19505A44" TargetMode="External"/><Relationship Id="rId5" Type="http://schemas.openxmlformats.org/officeDocument/2006/relationships/hyperlink" Target="https://ppim-intra.pea.co.th:4434/request/PPIM185012B7" TargetMode="External"/><Relationship Id="rId61" Type="http://schemas.openxmlformats.org/officeDocument/2006/relationships/hyperlink" Target="https://ppim-intra.pea.co.th:4434/request/PPIM19505078" TargetMode="External"/><Relationship Id="rId19" Type="http://schemas.openxmlformats.org/officeDocument/2006/relationships/hyperlink" Target="https://ppim-intra.pea.co.th:4434/request/PPIM18503558" TargetMode="External"/><Relationship Id="rId14" Type="http://schemas.openxmlformats.org/officeDocument/2006/relationships/hyperlink" Target="https://ppim-intra.pea.co.th:4434/request/PPIM18502A8F" TargetMode="External"/><Relationship Id="rId22" Type="http://schemas.openxmlformats.org/officeDocument/2006/relationships/hyperlink" Target="https://ppim-intra.pea.co.th:4434/request/PPIM1850438C" TargetMode="External"/><Relationship Id="rId27" Type="http://schemas.openxmlformats.org/officeDocument/2006/relationships/hyperlink" Target="https://ppim-intra.pea.co.th:4434/request/PPIM1950062F" TargetMode="External"/><Relationship Id="rId30" Type="http://schemas.openxmlformats.org/officeDocument/2006/relationships/hyperlink" Target="https://ppim-intra.pea.co.th:4434/request/PPIM195010F1" TargetMode="External"/><Relationship Id="rId35" Type="http://schemas.openxmlformats.org/officeDocument/2006/relationships/hyperlink" Target="https://ppim-intra.pea.co.th:4434/request/PPIM19501A2C" TargetMode="External"/><Relationship Id="rId43" Type="http://schemas.openxmlformats.org/officeDocument/2006/relationships/hyperlink" Target="https://ppim-intra.pea.co.th:4434/request/PPIM19502951" TargetMode="External"/><Relationship Id="rId48" Type="http://schemas.openxmlformats.org/officeDocument/2006/relationships/hyperlink" Target="https://ppim-intra.pea.co.th:4434/request/PPIM19503281" TargetMode="External"/><Relationship Id="rId56" Type="http://schemas.openxmlformats.org/officeDocument/2006/relationships/hyperlink" Target="https://ppim-intra.pea.co.th:4434/request/PPIM19503F1C" TargetMode="External"/><Relationship Id="rId64" Type="http://schemas.openxmlformats.org/officeDocument/2006/relationships/hyperlink" Target="https://ppim-intra.pea.co.th:4434/request/PPIM195055D6" TargetMode="External"/><Relationship Id="rId69" Type="http://schemas.openxmlformats.org/officeDocument/2006/relationships/control" Target="../activeX/activeX9.xml"/><Relationship Id="rId8" Type="http://schemas.openxmlformats.org/officeDocument/2006/relationships/hyperlink" Target="https://ppim-intra.pea.co.th:4434/request/PPIM18501DB2" TargetMode="External"/><Relationship Id="rId51" Type="http://schemas.openxmlformats.org/officeDocument/2006/relationships/hyperlink" Target="https://ppim-intra.pea.co.th:4434/request/PPIM195036FA" TargetMode="External"/><Relationship Id="rId3" Type="http://schemas.openxmlformats.org/officeDocument/2006/relationships/hyperlink" Target="https://ppim-intra.pea.co.th:4434/request/PPIM185009CF" TargetMode="External"/><Relationship Id="rId12" Type="http://schemas.openxmlformats.org/officeDocument/2006/relationships/hyperlink" Target="https://ppim-intra.pea.co.th:4434/request/PPIM18502592" TargetMode="External"/><Relationship Id="rId17" Type="http://schemas.openxmlformats.org/officeDocument/2006/relationships/hyperlink" Target="https://ppim-intra.pea.co.th:4434/request/PPIM185033D0" TargetMode="External"/><Relationship Id="rId25" Type="http://schemas.openxmlformats.org/officeDocument/2006/relationships/hyperlink" Target="https://ppim-intra.pea.co.th:4434/request/PPIM18504520" TargetMode="External"/><Relationship Id="rId33" Type="http://schemas.openxmlformats.org/officeDocument/2006/relationships/hyperlink" Target="https://ppim-intra.pea.co.th:4434/request/PPIM19501464" TargetMode="External"/><Relationship Id="rId38" Type="http://schemas.openxmlformats.org/officeDocument/2006/relationships/hyperlink" Target="https://ppim-intra.pea.co.th:4434/request/PPIM19501E9C" TargetMode="External"/><Relationship Id="rId46" Type="http://schemas.openxmlformats.org/officeDocument/2006/relationships/hyperlink" Target="https://ppim-intra.pea.co.th:4434/request/PPIM19502BD7" TargetMode="External"/><Relationship Id="rId59" Type="http://schemas.openxmlformats.org/officeDocument/2006/relationships/hyperlink" Target="https://ppim-intra.pea.co.th:4434/request/PPIM19504094" TargetMode="External"/><Relationship Id="rId67" Type="http://schemas.openxmlformats.org/officeDocument/2006/relationships/drawing" Target="../drawings/drawing10.xml"/><Relationship Id="rId20" Type="http://schemas.openxmlformats.org/officeDocument/2006/relationships/hyperlink" Target="https://ppim-intra.pea.co.th:4434/request/PPIM18504006" TargetMode="External"/><Relationship Id="rId41" Type="http://schemas.openxmlformats.org/officeDocument/2006/relationships/hyperlink" Target="https://ppim-intra.pea.co.th:4434/request/PPIM19502338" TargetMode="External"/><Relationship Id="rId54" Type="http://schemas.openxmlformats.org/officeDocument/2006/relationships/hyperlink" Target="https://ppim-intra.pea.co.th:4434/request/PPIM19503CAC" TargetMode="External"/><Relationship Id="rId62" Type="http://schemas.openxmlformats.org/officeDocument/2006/relationships/hyperlink" Target="https://ppim-intra.pea.co.th:4434/request/PPIM195053FE" TargetMode="External"/><Relationship Id="rId70" Type="http://schemas.openxmlformats.org/officeDocument/2006/relationships/image" Target="../media/image3.emf"/><Relationship Id="rId1" Type="http://schemas.openxmlformats.org/officeDocument/2006/relationships/hyperlink" Target="https://ppim-intra.pea.co.th:4434/request/PPIM185003DE" TargetMode="External"/><Relationship Id="rId6" Type="http://schemas.openxmlformats.org/officeDocument/2006/relationships/hyperlink" Target="https://ppim-intra.pea.co.th:4434/request/PPIM185012BF" TargetMode="External"/><Relationship Id="rId15" Type="http://schemas.openxmlformats.org/officeDocument/2006/relationships/hyperlink" Target="https://ppim-intra.pea.co.th:4434/request/PPIM18502B83" TargetMode="External"/><Relationship Id="rId23" Type="http://schemas.openxmlformats.org/officeDocument/2006/relationships/hyperlink" Target="https://ppim-intra.pea.co.th:4434/request/PPIM18504471" TargetMode="External"/><Relationship Id="rId28" Type="http://schemas.openxmlformats.org/officeDocument/2006/relationships/hyperlink" Target="https://ppim-intra.pea.co.th:4434/request/PPIM19500B31" TargetMode="External"/><Relationship Id="rId36" Type="http://schemas.openxmlformats.org/officeDocument/2006/relationships/hyperlink" Target="https://ppim-intra.pea.co.th:4434/request/PPIM19501BEF" TargetMode="External"/><Relationship Id="rId49" Type="http://schemas.openxmlformats.org/officeDocument/2006/relationships/hyperlink" Target="https://ppim-intra.pea.co.th:4434/request/PPIM195032B4" TargetMode="External"/><Relationship Id="rId57" Type="http://schemas.openxmlformats.org/officeDocument/2006/relationships/hyperlink" Target="https://ppim-intra.pea.co.th:4434/request/PPIM19503F38" TargetMode="External"/><Relationship Id="rId10" Type="http://schemas.openxmlformats.org/officeDocument/2006/relationships/hyperlink" Target="https://ppim-intra.pea.co.th:4434/request/PPIM18501FCF" TargetMode="External"/><Relationship Id="rId31" Type="http://schemas.openxmlformats.org/officeDocument/2006/relationships/hyperlink" Target="https://ppim-intra.pea.co.th:4434/request/PPIM195012AC" TargetMode="External"/><Relationship Id="rId44" Type="http://schemas.openxmlformats.org/officeDocument/2006/relationships/hyperlink" Target="https://ppim-intra.pea.co.th:4434/request/PPIM19502A70" TargetMode="External"/><Relationship Id="rId52" Type="http://schemas.openxmlformats.org/officeDocument/2006/relationships/hyperlink" Target="https://ppim-intra.pea.co.th:4434/request/PPIM195038B1" TargetMode="External"/><Relationship Id="rId60" Type="http://schemas.openxmlformats.org/officeDocument/2006/relationships/hyperlink" Target="https://ppim-intra.pea.co.th:4434/request/PPIM195049F0" TargetMode="External"/><Relationship Id="rId65" Type="http://schemas.openxmlformats.org/officeDocument/2006/relationships/hyperlink" Target="https://ppim-intra.pea.co.th:4434/request/PPIM19505A42" TargetMode="External"/><Relationship Id="rId4" Type="http://schemas.openxmlformats.org/officeDocument/2006/relationships/hyperlink" Target="https://ppim-intra.pea.co.th:4434/request/PPIM18500A94" TargetMode="External"/><Relationship Id="rId9" Type="http://schemas.openxmlformats.org/officeDocument/2006/relationships/hyperlink" Target="https://ppim-intra.pea.co.th:4434/request/PPIM18501E9E" TargetMode="External"/><Relationship Id="rId13" Type="http://schemas.openxmlformats.org/officeDocument/2006/relationships/hyperlink" Target="https://ppim-intra.pea.co.th:4434/request/PPIM18502957" TargetMode="External"/><Relationship Id="rId18" Type="http://schemas.openxmlformats.org/officeDocument/2006/relationships/hyperlink" Target="https://ppim-intra.pea.co.th:4434/request/PPIM18503486" TargetMode="External"/><Relationship Id="rId39" Type="http://schemas.openxmlformats.org/officeDocument/2006/relationships/hyperlink" Target="https://ppim-intra.pea.co.th:4434/request/PPIM19501F81" TargetMode="External"/><Relationship Id="rId34" Type="http://schemas.openxmlformats.org/officeDocument/2006/relationships/hyperlink" Target="https://ppim-intra.pea.co.th:4434/request/PPIM19501703" TargetMode="External"/><Relationship Id="rId50" Type="http://schemas.openxmlformats.org/officeDocument/2006/relationships/hyperlink" Target="https://ppim-intra.pea.co.th:4434/request/PPIM195036DF" TargetMode="External"/><Relationship Id="rId55" Type="http://schemas.openxmlformats.org/officeDocument/2006/relationships/hyperlink" Target="https://ppim-intra.pea.co.th:4434/request/PPIM19503ED9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ppim-intra.pea.co.th:4434/request/PPIM18502240" TargetMode="External"/><Relationship Id="rId18" Type="http://schemas.openxmlformats.org/officeDocument/2006/relationships/hyperlink" Target="https://ppim-intra.pea.co.th:4434/request/PPIM185034BC" TargetMode="External"/><Relationship Id="rId26" Type="http://schemas.openxmlformats.org/officeDocument/2006/relationships/hyperlink" Target="https://ppim-intra.pea.co.th:4434/request/PPIM19501962" TargetMode="External"/><Relationship Id="rId39" Type="http://schemas.openxmlformats.org/officeDocument/2006/relationships/hyperlink" Target="https://ppim-intra.pea.co.th:4434/request/PPIM19504406" TargetMode="External"/><Relationship Id="rId21" Type="http://schemas.openxmlformats.org/officeDocument/2006/relationships/hyperlink" Target="https://ppim-intra.pea.co.th:4434/request/PPIM18503A1D" TargetMode="External"/><Relationship Id="rId34" Type="http://schemas.openxmlformats.org/officeDocument/2006/relationships/hyperlink" Target="https://ppim-intra.pea.co.th:4434/request/PPIM195039F8" TargetMode="External"/><Relationship Id="rId42" Type="http://schemas.openxmlformats.org/officeDocument/2006/relationships/hyperlink" Target="https://ppim-intra.pea.co.th:4434/request/PPIM195047F6" TargetMode="External"/><Relationship Id="rId47" Type="http://schemas.openxmlformats.org/officeDocument/2006/relationships/hyperlink" Target="https://ppim-intra.pea.co.th:4434/request/PPIM19504B74" TargetMode="External"/><Relationship Id="rId50" Type="http://schemas.openxmlformats.org/officeDocument/2006/relationships/hyperlink" Target="https://ppim-intra.pea.co.th:4434/request/PPIM19504FE9" TargetMode="External"/><Relationship Id="rId55" Type="http://schemas.openxmlformats.org/officeDocument/2006/relationships/control" Target="../activeX/activeX10.xml"/><Relationship Id="rId7" Type="http://schemas.openxmlformats.org/officeDocument/2006/relationships/hyperlink" Target="https://ppim-intra.pea.co.th:4434/request/PPIM185010D8" TargetMode="External"/><Relationship Id="rId2" Type="http://schemas.openxmlformats.org/officeDocument/2006/relationships/hyperlink" Target="https://ppim-intra.pea.co.th:4434/request/PPIM18500449" TargetMode="External"/><Relationship Id="rId16" Type="http://schemas.openxmlformats.org/officeDocument/2006/relationships/hyperlink" Target="https://ppim-intra.pea.co.th:4434/request/PPIM18502562" TargetMode="External"/><Relationship Id="rId29" Type="http://schemas.openxmlformats.org/officeDocument/2006/relationships/hyperlink" Target="https://ppim-intra.pea.co.th:4434/request/PPIM19502EEC" TargetMode="External"/><Relationship Id="rId11" Type="http://schemas.openxmlformats.org/officeDocument/2006/relationships/hyperlink" Target="https://ppim-intra.pea.co.th:4434/request/PPIM18501A7B" TargetMode="External"/><Relationship Id="rId24" Type="http://schemas.openxmlformats.org/officeDocument/2006/relationships/hyperlink" Target="https://ppim-intra.pea.co.th:4434/request/PPIM195012C0" TargetMode="External"/><Relationship Id="rId32" Type="http://schemas.openxmlformats.org/officeDocument/2006/relationships/hyperlink" Target="https://ppim-intra.pea.co.th:4434/request/PPIM19503861" TargetMode="External"/><Relationship Id="rId37" Type="http://schemas.openxmlformats.org/officeDocument/2006/relationships/hyperlink" Target="https://ppim-intra.pea.co.th:4434/request/PPIM19503C47" TargetMode="External"/><Relationship Id="rId40" Type="http://schemas.openxmlformats.org/officeDocument/2006/relationships/hyperlink" Target="https://ppim-intra.pea.co.th:4434/request/PPIM1950444C" TargetMode="External"/><Relationship Id="rId45" Type="http://schemas.openxmlformats.org/officeDocument/2006/relationships/hyperlink" Target="https://ppim-intra.pea.co.th:4434/request/PPIM19504ACD" TargetMode="External"/><Relationship Id="rId53" Type="http://schemas.openxmlformats.org/officeDocument/2006/relationships/drawing" Target="../drawings/drawing11.xml"/><Relationship Id="rId5" Type="http://schemas.openxmlformats.org/officeDocument/2006/relationships/hyperlink" Target="https://ppim-intra.pea.co.th:4434/request/PPIM1850185C" TargetMode="External"/><Relationship Id="rId10" Type="http://schemas.openxmlformats.org/officeDocument/2006/relationships/hyperlink" Target="https://ppim-intra.pea.co.th:4434/request/PPIM18501A4C" TargetMode="External"/><Relationship Id="rId19" Type="http://schemas.openxmlformats.org/officeDocument/2006/relationships/hyperlink" Target="https://ppim-intra.pea.co.th:4434/request/PPIM185037BF" TargetMode="External"/><Relationship Id="rId31" Type="http://schemas.openxmlformats.org/officeDocument/2006/relationships/hyperlink" Target="https://ppim-intra.pea.co.th:4434/request/PPIM195036A6" TargetMode="External"/><Relationship Id="rId44" Type="http://schemas.openxmlformats.org/officeDocument/2006/relationships/hyperlink" Target="https://ppim-intra.pea.co.th:4434/request/PPIM19504A42" TargetMode="External"/><Relationship Id="rId52" Type="http://schemas.openxmlformats.org/officeDocument/2006/relationships/hyperlink" Target="https://ppim-intra.pea.co.th:4434/request/PPIM195054D6" TargetMode="External"/><Relationship Id="rId4" Type="http://schemas.openxmlformats.org/officeDocument/2006/relationships/hyperlink" Target="https://ppim-intra.pea.co.th:4434/request/PPIM185010E7" TargetMode="External"/><Relationship Id="rId9" Type="http://schemas.openxmlformats.org/officeDocument/2006/relationships/hyperlink" Target="https://ppim-intra.pea.co.th:4434/request/PPIM1850198E" TargetMode="External"/><Relationship Id="rId14" Type="http://schemas.openxmlformats.org/officeDocument/2006/relationships/hyperlink" Target="https://ppim-intra.pea.co.th:4434/request/PPIM18502925" TargetMode="External"/><Relationship Id="rId22" Type="http://schemas.openxmlformats.org/officeDocument/2006/relationships/hyperlink" Target="https://ppim-intra.pea.co.th:4434/request/PPIM195000BD" TargetMode="External"/><Relationship Id="rId27" Type="http://schemas.openxmlformats.org/officeDocument/2006/relationships/hyperlink" Target="https://ppim-intra.pea.co.th:4434/request/PPIM19503242" TargetMode="External"/><Relationship Id="rId30" Type="http://schemas.openxmlformats.org/officeDocument/2006/relationships/hyperlink" Target="https://ppim-intra.pea.co.th:4434/request/PPIM19503705" TargetMode="External"/><Relationship Id="rId35" Type="http://schemas.openxmlformats.org/officeDocument/2006/relationships/hyperlink" Target="https://ppim-intra.pea.co.th:4434/request/PPIM19503A89" TargetMode="External"/><Relationship Id="rId43" Type="http://schemas.openxmlformats.org/officeDocument/2006/relationships/hyperlink" Target="https://ppim-intra.pea.co.th:4434/request/PPIM19504897" TargetMode="External"/><Relationship Id="rId48" Type="http://schemas.openxmlformats.org/officeDocument/2006/relationships/hyperlink" Target="https://ppim-intra.pea.co.th:4434/request/PPIM19504FCC" TargetMode="External"/><Relationship Id="rId56" Type="http://schemas.openxmlformats.org/officeDocument/2006/relationships/image" Target="../media/image1.emf"/><Relationship Id="rId8" Type="http://schemas.openxmlformats.org/officeDocument/2006/relationships/hyperlink" Target="https://ppim-intra.pea.co.th:4434/request/PPIM185018CB" TargetMode="External"/><Relationship Id="rId51" Type="http://schemas.openxmlformats.org/officeDocument/2006/relationships/hyperlink" Target="https://ppim-intra.pea.co.th:4434/request/PPIM19505150" TargetMode="External"/><Relationship Id="rId3" Type="http://schemas.openxmlformats.org/officeDocument/2006/relationships/hyperlink" Target="https://ppim-intra.pea.co.th:4434/request/PPIM18500E3E" TargetMode="External"/><Relationship Id="rId12" Type="http://schemas.openxmlformats.org/officeDocument/2006/relationships/hyperlink" Target="https://ppim-intra.pea.co.th:4434/request/PPIM18502015" TargetMode="External"/><Relationship Id="rId17" Type="http://schemas.openxmlformats.org/officeDocument/2006/relationships/hyperlink" Target="https://ppim-intra.pea.co.th:4434/request/PPIM185030BD" TargetMode="External"/><Relationship Id="rId25" Type="http://schemas.openxmlformats.org/officeDocument/2006/relationships/hyperlink" Target="https://ppim-intra.pea.co.th:4434/request/PPIM19500353" TargetMode="External"/><Relationship Id="rId33" Type="http://schemas.openxmlformats.org/officeDocument/2006/relationships/hyperlink" Target="https://ppim-intra.pea.co.th:4434/request/PPIM1950395E" TargetMode="External"/><Relationship Id="rId38" Type="http://schemas.openxmlformats.org/officeDocument/2006/relationships/hyperlink" Target="https://ppim-intra.pea.co.th:4434/request/PPIM19504312" TargetMode="External"/><Relationship Id="rId46" Type="http://schemas.openxmlformats.org/officeDocument/2006/relationships/hyperlink" Target="https://ppim-intra.pea.co.th:4434/request/PPIM19504B35" TargetMode="External"/><Relationship Id="rId20" Type="http://schemas.openxmlformats.org/officeDocument/2006/relationships/hyperlink" Target="https://ppim-intra.pea.co.th:4434/request/PPIM185039E9" TargetMode="External"/><Relationship Id="rId41" Type="http://schemas.openxmlformats.org/officeDocument/2006/relationships/hyperlink" Target="https://ppim-intra.pea.co.th:4434/request/PPIM195044DE" TargetMode="External"/><Relationship Id="rId54" Type="http://schemas.openxmlformats.org/officeDocument/2006/relationships/vmlDrawing" Target="../drawings/vmlDrawing10.vml"/><Relationship Id="rId1" Type="http://schemas.openxmlformats.org/officeDocument/2006/relationships/hyperlink" Target="https://ppim-intra.pea.co.th:4434/request/PPIM1850011B" TargetMode="External"/><Relationship Id="rId6" Type="http://schemas.openxmlformats.org/officeDocument/2006/relationships/hyperlink" Target="https://ppim-intra.pea.co.th:4434/request/PPIM18501889" TargetMode="External"/><Relationship Id="rId15" Type="http://schemas.openxmlformats.org/officeDocument/2006/relationships/hyperlink" Target="https://ppim-intra.pea.co.th:4434/request/PPIM18502B1D" TargetMode="External"/><Relationship Id="rId23" Type="http://schemas.openxmlformats.org/officeDocument/2006/relationships/hyperlink" Target="https://ppim-intra.pea.co.th:4434/request/PPIM1950078C" TargetMode="External"/><Relationship Id="rId28" Type="http://schemas.openxmlformats.org/officeDocument/2006/relationships/hyperlink" Target="https://ppim-intra.pea.co.th:4434/request/PPIM19503354" TargetMode="External"/><Relationship Id="rId36" Type="http://schemas.openxmlformats.org/officeDocument/2006/relationships/hyperlink" Target="https://ppim-intra.pea.co.th:4434/request/PPIM19503BF0" TargetMode="External"/><Relationship Id="rId49" Type="http://schemas.openxmlformats.org/officeDocument/2006/relationships/hyperlink" Target="https://ppim-intra.pea.co.th:4434/request/PPIM19504FE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A92" TargetMode="External"/><Relationship Id="rId21" Type="http://schemas.openxmlformats.org/officeDocument/2006/relationships/hyperlink" Target="https://ppim-intra.pea.co.th:4434/request/PPIM18502636" TargetMode="External"/><Relationship Id="rId42" Type="http://schemas.openxmlformats.org/officeDocument/2006/relationships/hyperlink" Target="https://ppim-intra.pea.co.th:4434/request/PPIM1850411F" TargetMode="External"/><Relationship Id="rId47" Type="http://schemas.openxmlformats.org/officeDocument/2006/relationships/hyperlink" Target="https://ppim-intra.pea.co.th:4434/request/PPIM195000C2" TargetMode="External"/><Relationship Id="rId63" Type="http://schemas.openxmlformats.org/officeDocument/2006/relationships/hyperlink" Target="https://ppim-intra.pea.co.th:4434/request/PPIM19500B10" TargetMode="External"/><Relationship Id="rId68" Type="http://schemas.openxmlformats.org/officeDocument/2006/relationships/hyperlink" Target="https://ppim-intra.pea.co.th:4434/request/PPIM19501390" TargetMode="External"/><Relationship Id="rId84" Type="http://schemas.openxmlformats.org/officeDocument/2006/relationships/hyperlink" Target="https://ppim-intra.pea.co.th:4434/request/PPIM195038FA" TargetMode="External"/><Relationship Id="rId89" Type="http://schemas.openxmlformats.org/officeDocument/2006/relationships/hyperlink" Target="https://ppim-intra.pea.co.th:4434/request/PPIM19503BF8" TargetMode="External"/><Relationship Id="rId112" Type="http://schemas.openxmlformats.org/officeDocument/2006/relationships/image" Target="../media/image2.emf"/><Relationship Id="rId16" Type="http://schemas.openxmlformats.org/officeDocument/2006/relationships/hyperlink" Target="https://ppim-intra.pea.co.th:4434/request/PPIM18501B82" TargetMode="External"/><Relationship Id="rId107" Type="http://schemas.openxmlformats.org/officeDocument/2006/relationships/hyperlink" Target="https://ppim-intra.pea.co.th:4434/request/PPIM19505983" TargetMode="External"/><Relationship Id="rId11" Type="http://schemas.openxmlformats.org/officeDocument/2006/relationships/hyperlink" Target="https://ppim-intra.pea.co.th:4434/request/PPIM185017B0" TargetMode="External"/><Relationship Id="rId32" Type="http://schemas.openxmlformats.org/officeDocument/2006/relationships/hyperlink" Target="https://ppim-intra.pea.co.th:4434/request/PPIM185033C9" TargetMode="External"/><Relationship Id="rId37" Type="http://schemas.openxmlformats.org/officeDocument/2006/relationships/hyperlink" Target="https://ppim-intra.pea.co.th:4434/request/PPIM18503B19" TargetMode="External"/><Relationship Id="rId53" Type="http://schemas.openxmlformats.org/officeDocument/2006/relationships/hyperlink" Target="https://ppim-intra.pea.co.th:4434/request/PPIM1950057B" TargetMode="External"/><Relationship Id="rId58" Type="http://schemas.openxmlformats.org/officeDocument/2006/relationships/hyperlink" Target="https://ppim-intra.pea.co.th:4434/request/PPIM195009B7" TargetMode="External"/><Relationship Id="rId74" Type="http://schemas.openxmlformats.org/officeDocument/2006/relationships/hyperlink" Target="https://ppim-intra.pea.co.th:4434/request/PPIM19502317" TargetMode="External"/><Relationship Id="rId79" Type="http://schemas.openxmlformats.org/officeDocument/2006/relationships/hyperlink" Target="https://ppim-intra.pea.co.th:4434/request/PPIM19502EBD" TargetMode="External"/><Relationship Id="rId102" Type="http://schemas.openxmlformats.org/officeDocument/2006/relationships/hyperlink" Target="https://ppim-intra.pea.co.th:4434/request/PPIM195051EA" TargetMode="External"/><Relationship Id="rId5" Type="http://schemas.openxmlformats.org/officeDocument/2006/relationships/hyperlink" Target="https://ppim-intra.pea.co.th:4434/request/PPIM18500DFB" TargetMode="External"/><Relationship Id="rId90" Type="http://schemas.openxmlformats.org/officeDocument/2006/relationships/hyperlink" Target="https://ppim-intra.pea.co.th:4434/request/PPIM19503E83" TargetMode="External"/><Relationship Id="rId95" Type="http://schemas.openxmlformats.org/officeDocument/2006/relationships/hyperlink" Target="https://ppim-intra.pea.co.th:4434/request/PPIM195045DE" TargetMode="External"/><Relationship Id="rId22" Type="http://schemas.openxmlformats.org/officeDocument/2006/relationships/hyperlink" Target="https://ppim-intra.pea.co.th:4434/request/PPIM1850265B" TargetMode="External"/><Relationship Id="rId27" Type="http://schemas.openxmlformats.org/officeDocument/2006/relationships/hyperlink" Target="https://ppim-intra.pea.co.th:4434/request/PPIM18502E6E" TargetMode="External"/><Relationship Id="rId43" Type="http://schemas.openxmlformats.org/officeDocument/2006/relationships/hyperlink" Target="https://ppim-intra.pea.co.th:4434/request/PPIM185041DE" TargetMode="External"/><Relationship Id="rId48" Type="http://schemas.openxmlformats.org/officeDocument/2006/relationships/hyperlink" Target="https://ppim-intra.pea.co.th:4434/request/PPIM195001D1" TargetMode="External"/><Relationship Id="rId64" Type="http://schemas.openxmlformats.org/officeDocument/2006/relationships/hyperlink" Target="https://ppim-intra.pea.co.th:4434/request/PPIM19500B11" TargetMode="External"/><Relationship Id="rId69" Type="http://schemas.openxmlformats.org/officeDocument/2006/relationships/hyperlink" Target="https://ppim-intra.pea.co.th:4434/request/PPIM19501579" TargetMode="External"/><Relationship Id="rId80" Type="http://schemas.openxmlformats.org/officeDocument/2006/relationships/hyperlink" Target="https://ppim-intra.pea.co.th:4434/request/PPIM19502EC2" TargetMode="External"/><Relationship Id="rId85" Type="http://schemas.openxmlformats.org/officeDocument/2006/relationships/hyperlink" Target="https://ppim-intra.pea.co.th:4434/request/PPIM19503924" TargetMode="External"/><Relationship Id="rId12" Type="http://schemas.openxmlformats.org/officeDocument/2006/relationships/hyperlink" Target="https://ppim-intra.pea.co.th:4434/request/PPIM18501873" TargetMode="External"/><Relationship Id="rId17" Type="http://schemas.openxmlformats.org/officeDocument/2006/relationships/hyperlink" Target="https://ppim-intra.pea.co.th:4434/request/PPIM185018DE" TargetMode="External"/><Relationship Id="rId33" Type="http://schemas.openxmlformats.org/officeDocument/2006/relationships/hyperlink" Target="https://ppim-intra.pea.co.th:4434/request/PPIM1850341D" TargetMode="External"/><Relationship Id="rId38" Type="http://schemas.openxmlformats.org/officeDocument/2006/relationships/hyperlink" Target="https://ppim-intra.pea.co.th:4434/request/PPIM185038F1" TargetMode="External"/><Relationship Id="rId59" Type="http://schemas.openxmlformats.org/officeDocument/2006/relationships/hyperlink" Target="https://ppim-intra.pea.co.th:4434/request/PPIM19500B0F" TargetMode="External"/><Relationship Id="rId103" Type="http://schemas.openxmlformats.org/officeDocument/2006/relationships/hyperlink" Target="https://ppim-intra.pea.co.th:4434/request/PPIM19505262" TargetMode="External"/><Relationship Id="rId108" Type="http://schemas.openxmlformats.org/officeDocument/2006/relationships/hyperlink" Target="https://ppim-intra.pea.co.th:4434/request/PPIM19505A9B" TargetMode="External"/><Relationship Id="rId54" Type="http://schemas.openxmlformats.org/officeDocument/2006/relationships/hyperlink" Target="https://ppim-intra.pea.co.th:4434/request/PPIM19500634" TargetMode="External"/><Relationship Id="rId70" Type="http://schemas.openxmlformats.org/officeDocument/2006/relationships/hyperlink" Target="https://ppim-intra.pea.co.th:4434/request/PPIM19501583" TargetMode="External"/><Relationship Id="rId75" Type="http://schemas.openxmlformats.org/officeDocument/2006/relationships/hyperlink" Target="https://ppim-intra.pea.co.th:4434/request/PPIM195023BB" TargetMode="External"/><Relationship Id="rId91" Type="http://schemas.openxmlformats.org/officeDocument/2006/relationships/hyperlink" Target="https://ppim-intra.pea.co.th:4434/request/PPIM19503E9A" TargetMode="External"/><Relationship Id="rId96" Type="http://schemas.openxmlformats.org/officeDocument/2006/relationships/hyperlink" Target="https://ppim-intra.pea.co.th:4434/request/PPIM195045E5" TargetMode="External"/><Relationship Id="rId1" Type="http://schemas.openxmlformats.org/officeDocument/2006/relationships/hyperlink" Target="https://ppim-intra.pea.co.th:4434/request/PPIM18500047" TargetMode="External"/><Relationship Id="rId6" Type="http://schemas.openxmlformats.org/officeDocument/2006/relationships/hyperlink" Target="https://ppim-intra.pea.co.th:4434/request/PPIM18500DFC" TargetMode="External"/><Relationship Id="rId15" Type="http://schemas.openxmlformats.org/officeDocument/2006/relationships/hyperlink" Target="https://ppim-intra.pea.co.th:4434/request/PPIM18501D28" TargetMode="External"/><Relationship Id="rId23" Type="http://schemas.openxmlformats.org/officeDocument/2006/relationships/hyperlink" Target="https://ppim-intra.pea.co.th:4434/request/PPIM18502A10" TargetMode="External"/><Relationship Id="rId28" Type="http://schemas.openxmlformats.org/officeDocument/2006/relationships/hyperlink" Target="https://ppim-intra.pea.co.th:4434/request/PPIM18502E71" TargetMode="External"/><Relationship Id="rId36" Type="http://schemas.openxmlformats.org/officeDocument/2006/relationships/hyperlink" Target="https://ppim-intra.pea.co.th:4434/request/PPIM185038D1" TargetMode="External"/><Relationship Id="rId49" Type="http://schemas.openxmlformats.org/officeDocument/2006/relationships/hyperlink" Target="https://ppim-intra.pea.co.th:4434/request/PPIM19500348" TargetMode="External"/><Relationship Id="rId57" Type="http://schemas.openxmlformats.org/officeDocument/2006/relationships/hyperlink" Target="https://ppim-intra.pea.co.th:4434/request/PPIM1950091F" TargetMode="External"/><Relationship Id="rId106" Type="http://schemas.openxmlformats.org/officeDocument/2006/relationships/hyperlink" Target="https://ppim-intra.pea.co.th:4434/request/PPIM195058DB" TargetMode="External"/><Relationship Id="rId10" Type="http://schemas.openxmlformats.org/officeDocument/2006/relationships/hyperlink" Target="https://ppim-intra.pea.co.th:4434/request/PPIM18500FCA" TargetMode="External"/><Relationship Id="rId31" Type="http://schemas.openxmlformats.org/officeDocument/2006/relationships/hyperlink" Target="https://ppim-intra.pea.co.th:4434/request/PPIM185031E5" TargetMode="External"/><Relationship Id="rId44" Type="http://schemas.openxmlformats.org/officeDocument/2006/relationships/hyperlink" Target="https://ppim-intra.pea.co.th:4434/request/PPIM18504485" TargetMode="External"/><Relationship Id="rId52" Type="http://schemas.openxmlformats.org/officeDocument/2006/relationships/hyperlink" Target="https://ppim-intra.pea.co.th:4434/request/PPIM19500480" TargetMode="External"/><Relationship Id="rId60" Type="http://schemas.openxmlformats.org/officeDocument/2006/relationships/hyperlink" Target="https://ppim-intra.pea.co.th:4434/request/PPIM19500B12" TargetMode="External"/><Relationship Id="rId65" Type="http://schemas.openxmlformats.org/officeDocument/2006/relationships/hyperlink" Target="https://ppim-intra.pea.co.th:4434/request/PPIM19500E68" TargetMode="External"/><Relationship Id="rId73" Type="http://schemas.openxmlformats.org/officeDocument/2006/relationships/hyperlink" Target="https://ppim-intra.pea.co.th:4434/request/PPIM1950211F" TargetMode="External"/><Relationship Id="rId78" Type="http://schemas.openxmlformats.org/officeDocument/2006/relationships/hyperlink" Target="https://ppim-intra.pea.co.th:4434/request/PPIM19502E61" TargetMode="External"/><Relationship Id="rId81" Type="http://schemas.openxmlformats.org/officeDocument/2006/relationships/hyperlink" Target="https://ppim-intra.pea.co.th:4434/request/PPIM195033DC" TargetMode="External"/><Relationship Id="rId86" Type="http://schemas.openxmlformats.org/officeDocument/2006/relationships/hyperlink" Target="https://ppim-intra.pea.co.th:4434/request/PPIM1950392B" TargetMode="External"/><Relationship Id="rId94" Type="http://schemas.openxmlformats.org/officeDocument/2006/relationships/hyperlink" Target="https://ppim-intra.pea.co.th:4434/request/PPIM1950426C" TargetMode="External"/><Relationship Id="rId99" Type="http://schemas.openxmlformats.org/officeDocument/2006/relationships/hyperlink" Target="https://ppim-intra.pea.co.th:4434/request/PPIM19504B07" TargetMode="External"/><Relationship Id="rId101" Type="http://schemas.openxmlformats.org/officeDocument/2006/relationships/hyperlink" Target="https://ppim-intra.pea.co.th:4434/request/PPIM1950516F" TargetMode="External"/><Relationship Id="rId4" Type="http://schemas.openxmlformats.org/officeDocument/2006/relationships/hyperlink" Target="https://ppim-intra.pea.co.th:4434/request/PPIM18500DD1" TargetMode="External"/><Relationship Id="rId9" Type="http://schemas.openxmlformats.org/officeDocument/2006/relationships/hyperlink" Target="https://ppim-intra.pea.co.th:4434/request/PPIM1850110D" TargetMode="External"/><Relationship Id="rId13" Type="http://schemas.openxmlformats.org/officeDocument/2006/relationships/hyperlink" Target="https://ppim-intra.pea.co.th:4434/request/PPIM18501930" TargetMode="External"/><Relationship Id="rId18" Type="http://schemas.openxmlformats.org/officeDocument/2006/relationships/hyperlink" Target="https://ppim-intra.pea.co.th:4434/request/PPIM1850202C" TargetMode="External"/><Relationship Id="rId39" Type="http://schemas.openxmlformats.org/officeDocument/2006/relationships/hyperlink" Target="https://ppim-intra.pea.co.th:4434/request/PPIM18503C48" TargetMode="External"/><Relationship Id="rId109" Type="http://schemas.openxmlformats.org/officeDocument/2006/relationships/drawing" Target="../drawings/drawing12.xml"/><Relationship Id="rId34" Type="http://schemas.openxmlformats.org/officeDocument/2006/relationships/hyperlink" Target="https://ppim-intra.pea.co.th:4434/request/PPIM18503668" TargetMode="External"/><Relationship Id="rId50" Type="http://schemas.openxmlformats.org/officeDocument/2006/relationships/hyperlink" Target="https://ppim-intra.pea.co.th:4434/request/PPIM1950036B" TargetMode="External"/><Relationship Id="rId55" Type="http://schemas.openxmlformats.org/officeDocument/2006/relationships/hyperlink" Target="https://ppim-intra.pea.co.th:4434/request/PPIM195006CE" TargetMode="External"/><Relationship Id="rId76" Type="http://schemas.openxmlformats.org/officeDocument/2006/relationships/hyperlink" Target="https://ppim-intra.pea.co.th:4434/request/PPIM19502C1A" TargetMode="External"/><Relationship Id="rId97" Type="http://schemas.openxmlformats.org/officeDocument/2006/relationships/hyperlink" Target="https://ppim-intra.pea.co.th:4434/request/PPIM1950463C" TargetMode="External"/><Relationship Id="rId104" Type="http://schemas.openxmlformats.org/officeDocument/2006/relationships/hyperlink" Target="https://ppim-intra.pea.co.th:4434/request/PPIM195053BF" TargetMode="External"/><Relationship Id="rId7" Type="http://schemas.openxmlformats.org/officeDocument/2006/relationships/hyperlink" Target="https://ppim-intra.pea.co.th:4434/request/PPIM18500DDD" TargetMode="External"/><Relationship Id="rId71" Type="http://schemas.openxmlformats.org/officeDocument/2006/relationships/hyperlink" Target="https://ppim-intra.pea.co.th:4434/request/PPIM19501F7E" TargetMode="External"/><Relationship Id="rId92" Type="http://schemas.openxmlformats.org/officeDocument/2006/relationships/hyperlink" Target="https://ppim-intra.pea.co.th:4434/request/PPIM1950409A" TargetMode="External"/><Relationship Id="rId2" Type="http://schemas.openxmlformats.org/officeDocument/2006/relationships/hyperlink" Target="https://ppim-intra.pea.co.th:4434/request/PPIM18500249" TargetMode="External"/><Relationship Id="rId29" Type="http://schemas.openxmlformats.org/officeDocument/2006/relationships/hyperlink" Target="https://ppim-intra.pea.co.th:4434/request/PPIM185030AE" TargetMode="External"/><Relationship Id="rId24" Type="http://schemas.openxmlformats.org/officeDocument/2006/relationships/hyperlink" Target="https://ppim-intra.pea.co.th:4434/request/PPIM18502A17" TargetMode="External"/><Relationship Id="rId40" Type="http://schemas.openxmlformats.org/officeDocument/2006/relationships/hyperlink" Target="https://ppim-intra.pea.co.th:4434/request/PPIM18503E6A" TargetMode="External"/><Relationship Id="rId45" Type="http://schemas.openxmlformats.org/officeDocument/2006/relationships/hyperlink" Target="https://ppim-intra.pea.co.th:4434/request/PPIM185044A6" TargetMode="External"/><Relationship Id="rId66" Type="http://schemas.openxmlformats.org/officeDocument/2006/relationships/hyperlink" Target="https://ppim-intra.pea.co.th:4434/request/PPIM19500FB3" TargetMode="External"/><Relationship Id="rId87" Type="http://schemas.openxmlformats.org/officeDocument/2006/relationships/hyperlink" Target="https://ppim-intra.pea.co.th:4434/request/PPIM19503941" TargetMode="External"/><Relationship Id="rId110" Type="http://schemas.openxmlformats.org/officeDocument/2006/relationships/vmlDrawing" Target="../drawings/vmlDrawing11.vml"/><Relationship Id="rId61" Type="http://schemas.openxmlformats.org/officeDocument/2006/relationships/hyperlink" Target="https://ppim-intra.pea.co.th:4434/request/PPIM19500B13" TargetMode="External"/><Relationship Id="rId82" Type="http://schemas.openxmlformats.org/officeDocument/2006/relationships/hyperlink" Target="https://ppim-intra.pea.co.th:4434/request/PPIM1950369C" TargetMode="External"/><Relationship Id="rId19" Type="http://schemas.openxmlformats.org/officeDocument/2006/relationships/hyperlink" Target="https://ppim-intra.pea.co.th:4434/request/PPIM18502130" TargetMode="External"/><Relationship Id="rId14" Type="http://schemas.openxmlformats.org/officeDocument/2006/relationships/hyperlink" Target="https://ppim-intra.pea.co.th:4434/request/PPIM18501B51" TargetMode="External"/><Relationship Id="rId30" Type="http://schemas.openxmlformats.org/officeDocument/2006/relationships/hyperlink" Target="https://ppim-intra.pea.co.th:4434/request/PPIM18503165" TargetMode="External"/><Relationship Id="rId35" Type="http://schemas.openxmlformats.org/officeDocument/2006/relationships/hyperlink" Target="https://ppim-intra.pea.co.th:4434/request/PPIM18503506" TargetMode="External"/><Relationship Id="rId56" Type="http://schemas.openxmlformats.org/officeDocument/2006/relationships/hyperlink" Target="https://ppim-intra.pea.co.th:4434/request/PPIM19500863" TargetMode="External"/><Relationship Id="rId77" Type="http://schemas.openxmlformats.org/officeDocument/2006/relationships/hyperlink" Target="https://ppim-intra.pea.co.th:4434/request/PPIM19502DAE" TargetMode="External"/><Relationship Id="rId100" Type="http://schemas.openxmlformats.org/officeDocument/2006/relationships/hyperlink" Target="https://ppim-intra.pea.co.th:4434/request/PPIM19504FE7" TargetMode="External"/><Relationship Id="rId105" Type="http://schemas.openxmlformats.org/officeDocument/2006/relationships/hyperlink" Target="https://ppim-intra.pea.co.th:4434/request/PPIM1950555B" TargetMode="External"/><Relationship Id="rId8" Type="http://schemas.openxmlformats.org/officeDocument/2006/relationships/hyperlink" Target="https://ppim-intra.pea.co.th:4434/request/PPIM18500EF4" TargetMode="External"/><Relationship Id="rId51" Type="http://schemas.openxmlformats.org/officeDocument/2006/relationships/hyperlink" Target="https://ppim-intra.pea.co.th:4434/request/PPIM19500373" TargetMode="External"/><Relationship Id="rId72" Type="http://schemas.openxmlformats.org/officeDocument/2006/relationships/hyperlink" Target="https://ppim-intra.pea.co.th:4434/request/PPIM19502022" TargetMode="External"/><Relationship Id="rId93" Type="http://schemas.openxmlformats.org/officeDocument/2006/relationships/hyperlink" Target="https://ppim-intra.pea.co.th:4434/request/PPIM195041DD" TargetMode="External"/><Relationship Id="rId98" Type="http://schemas.openxmlformats.org/officeDocument/2006/relationships/hyperlink" Target="https://ppim-intra.pea.co.th:4434/request/PPIM19504A4F" TargetMode="External"/><Relationship Id="rId3" Type="http://schemas.openxmlformats.org/officeDocument/2006/relationships/hyperlink" Target="https://ppim-intra.pea.co.th:4434/request/PPIM18500CA6" TargetMode="External"/><Relationship Id="rId25" Type="http://schemas.openxmlformats.org/officeDocument/2006/relationships/hyperlink" Target="https://ppim-intra.pea.co.th:4434/request/PPIM18502A45" TargetMode="External"/><Relationship Id="rId46" Type="http://schemas.openxmlformats.org/officeDocument/2006/relationships/hyperlink" Target="https://ppim-intra.pea.co.th:4434/request/PPIM1850462C" TargetMode="External"/><Relationship Id="rId67" Type="http://schemas.openxmlformats.org/officeDocument/2006/relationships/hyperlink" Target="https://ppim-intra.pea.co.th:4434/request/PPIM19501287" TargetMode="External"/><Relationship Id="rId20" Type="http://schemas.openxmlformats.org/officeDocument/2006/relationships/hyperlink" Target="https://ppim-intra.pea.co.th:4434/request/PPIM1850237E" TargetMode="External"/><Relationship Id="rId41" Type="http://schemas.openxmlformats.org/officeDocument/2006/relationships/hyperlink" Target="https://ppim-intra.pea.co.th:4434/request/PPIM1850390E" TargetMode="External"/><Relationship Id="rId62" Type="http://schemas.openxmlformats.org/officeDocument/2006/relationships/hyperlink" Target="https://ppim-intra.pea.co.th:4434/request/PPIM19500CB0" TargetMode="External"/><Relationship Id="rId83" Type="http://schemas.openxmlformats.org/officeDocument/2006/relationships/hyperlink" Target="https://ppim-intra.pea.co.th:4434/request/PPIM195037A6" TargetMode="External"/><Relationship Id="rId88" Type="http://schemas.openxmlformats.org/officeDocument/2006/relationships/hyperlink" Target="https://ppim-intra.pea.co.th:4434/request/PPIM19503B1F" TargetMode="External"/><Relationship Id="rId111" Type="http://schemas.openxmlformats.org/officeDocument/2006/relationships/control" Target="../activeX/activeX11.xm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85044A8" TargetMode="External"/><Relationship Id="rId21" Type="http://schemas.openxmlformats.org/officeDocument/2006/relationships/hyperlink" Target="https://ppim-intra.pea.co.th:4434/request/PPIM18501F34" TargetMode="External"/><Relationship Id="rId63" Type="http://schemas.openxmlformats.org/officeDocument/2006/relationships/hyperlink" Target="https://ppim-intra.pea.co.th:4434/request/PPIM18503594" TargetMode="External"/><Relationship Id="rId159" Type="http://schemas.openxmlformats.org/officeDocument/2006/relationships/hyperlink" Target="https://ppim-intra.pea.co.th:4434/request/PPIM19501189" TargetMode="External"/><Relationship Id="rId170" Type="http://schemas.openxmlformats.org/officeDocument/2006/relationships/hyperlink" Target="https://ppim-intra.pea.co.th:4434/request/PPIM19501B3D" TargetMode="External"/><Relationship Id="rId226" Type="http://schemas.openxmlformats.org/officeDocument/2006/relationships/hyperlink" Target="https://ppim-intra.pea.co.th:4434/request/PPIM19503452" TargetMode="External"/><Relationship Id="rId268" Type="http://schemas.openxmlformats.org/officeDocument/2006/relationships/hyperlink" Target="https://ppim-intra.pea.co.th:4434/request/PPIM19504E81" TargetMode="External"/><Relationship Id="rId32" Type="http://schemas.openxmlformats.org/officeDocument/2006/relationships/hyperlink" Target="https://ppim-intra.pea.co.th:4434/request/PPIM1850262C" TargetMode="External"/><Relationship Id="rId74" Type="http://schemas.openxmlformats.org/officeDocument/2006/relationships/hyperlink" Target="https://ppim-intra.pea.co.th:4434/request/PPIM185035A4" TargetMode="External"/><Relationship Id="rId128" Type="http://schemas.openxmlformats.org/officeDocument/2006/relationships/hyperlink" Target="https://ppim-intra.pea.co.th:4434/request/PPIM18504657" TargetMode="External"/><Relationship Id="rId5" Type="http://schemas.openxmlformats.org/officeDocument/2006/relationships/hyperlink" Target="https://ppim-intra.pea.co.th:4434/request/PPIM18500555" TargetMode="External"/><Relationship Id="rId181" Type="http://schemas.openxmlformats.org/officeDocument/2006/relationships/hyperlink" Target="https://ppim-intra.pea.co.th:4434/request/PPIM19502134" TargetMode="External"/><Relationship Id="rId237" Type="http://schemas.openxmlformats.org/officeDocument/2006/relationships/hyperlink" Target="https://ppim-intra.pea.co.th:4434/request/PPIM19503AEF" TargetMode="External"/><Relationship Id="rId279" Type="http://schemas.openxmlformats.org/officeDocument/2006/relationships/hyperlink" Target="https://ppim-intra.pea.co.th:4434/request/PPIM19504FBB" TargetMode="External"/><Relationship Id="rId43" Type="http://schemas.openxmlformats.org/officeDocument/2006/relationships/hyperlink" Target="https://ppim-intra.pea.co.th:4434/request/PPIM18502914" TargetMode="External"/><Relationship Id="rId139" Type="http://schemas.openxmlformats.org/officeDocument/2006/relationships/hyperlink" Target="https://ppim-intra.pea.co.th:4434/request/PPIM1850475A" TargetMode="External"/><Relationship Id="rId290" Type="http://schemas.openxmlformats.org/officeDocument/2006/relationships/hyperlink" Target="https://ppim-intra.pea.co.th:4434/request/PPIM195057AE" TargetMode="External"/><Relationship Id="rId85" Type="http://schemas.openxmlformats.org/officeDocument/2006/relationships/hyperlink" Target="https://ppim-intra.pea.co.th:4434/request/PPIM18503B51" TargetMode="External"/><Relationship Id="rId150" Type="http://schemas.openxmlformats.org/officeDocument/2006/relationships/hyperlink" Target="https://ppim-intra.pea.co.th:4434/request/PPIM195008BC" TargetMode="External"/><Relationship Id="rId192" Type="http://schemas.openxmlformats.org/officeDocument/2006/relationships/hyperlink" Target="https://ppim-intra.pea.co.th:4434/request/PPIM195023EA" TargetMode="External"/><Relationship Id="rId206" Type="http://schemas.openxmlformats.org/officeDocument/2006/relationships/hyperlink" Target="https://ppim-intra.pea.co.th:4434/request/PPIM19502C1D" TargetMode="External"/><Relationship Id="rId248" Type="http://schemas.openxmlformats.org/officeDocument/2006/relationships/hyperlink" Target="https://ppim-intra.pea.co.th:4434/request/PPIM195040DF" TargetMode="External"/><Relationship Id="rId12" Type="http://schemas.openxmlformats.org/officeDocument/2006/relationships/hyperlink" Target="https://ppim-intra.pea.co.th:4434/request/PPIM18500A89" TargetMode="External"/><Relationship Id="rId33" Type="http://schemas.openxmlformats.org/officeDocument/2006/relationships/hyperlink" Target="https://ppim-intra.pea.co.th:4434/request/PPIM1850221A" TargetMode="External"/><Relationship Id="rId108" Type="http://schemas.openxmlformats.org/officeDocument/2006/relationships/hyperlink" Target="https://ppim-intra.pea.co.th:4434/request/PPIM18504125" TargetMode="External"/><Relationship Id="rId129" Type="http://schemas.openxmlformats.org/officeDocument/2006/relationships/hyperlink" Target="https://ppim-intra.pea.co.th:4434/request/PPIM1850436B" TargetMode="External"/><Relationship Id="rId280" Type="http://schemas.openxmlformats.org/officeDocument/2006/relationships/hyperlink" Target="https://ppim-intra.pea.co.th:4434/request/PPIM1950536D" TargetMode="External"/><Relationship Id="rId54" Type="http://schemas.openxmlformats.org/officeDocument/2006/relationships/hyperlink" Target="https://ppim-intra.pea.co.th:4434/request/PPIM18502222" TargetMode="External"/><Relationship Id="rId75" Type="http://schemas.openxmlformats.org/officeDocument/2006/relationships/hyperlink" Target="https://ppim-intra.pea.co.th:4434/request/PPIM185035FF" TargetMode="External"/><Relationship Id="rId96" Type="http://schemas.openxmlformats.org/officeDocument/2006/relationships/hyperlink" Target="https://ppim-intra.pea.co.th:4434/request/PPIM18503D55" TargetMode="External"/><Relationship Id="rId140" Type="http://schemas.openxmlformats.org/officeDocument/2006/relationships/hyperlink" Target="https://ppim-intra.pea.co.th:4434/request/PPIM18504A2B" TargetMode="External"/><Relationship Id="rId161" Type="http://schemas.openxmlformats.org/officeDocument/2006/relationships/hyperlink" Target="https://ppim-intra.pea.co.th:4434/request/PPIM195012ED" TargetMode="External"/><Relationship Id="rId182" Type="http://schemas.openxmlformats.org/officeDocument/2006/relationships/hyperlink" Target="https://ppim-intra.pea.co.th:4434/request/PPIM19502183" TargetMode="External"/><Relationship Id="rId217" Type="http://schemas.openxmlformats.org/officeDocument/2006/relationships/hyperlink" Target="https://ppim-intra.pea.co.th:4434/request/PPIM19502EC6" TargetMode="External"/><Relationship Id="rId6" Type="http://schemas.openxmlformats.org/officeDocument/2006/relationships/hyperlink" Target="https://ppim-intra.pea.co.th:4434/request/PPIM18500569" TargetMode="External"/><Relationship Id="rId238" Type="http://schemas.openxmlformats.org/officeDocument/2006/relationships/hyperlink" Target="https://ppim-intra.pea.co.th:4434/request/PPIM195039FB" TargetMode="External"/><Relationship Id="rId259" Type="http://schemas.openxmlformats.org/officeDocument/2006/relationships/hyperlink" Target="https://ppim-intra.pea.co.th:4434/request/PPIM195046EC" TargetMode="External"/><Relationship Id="rId23" Type="http://schemas.openxmlformats.org/officeDocument/2006/relationships/hyperlink" Target="https://ppim-intra.pea.co.th:4434/request/PPIM18501386" TargetMode="External"/><Relationship Id="rId119" Type="http://schemas.openxmlformats.org/officeDocument/2006/relationships/hyperlink" Target="https://ppim-intra.pea.co.th:4434/request/PPIM1850437C" TargetMode="External"/><Relationship Id="rId270" Type="http://schemas.openxmlformats.org/officeDocument/2006/relationships/hyperlink" Target="https://ppim-intra.pea.co.th:4434/request/PPIM19504EA9" TargetMode="External"/><Relationship Id="rId291" Type="http://schemas.openxmlformats.org/officeDocument/2006/relationships/hyperlink" Target="https://ppim-intra.pea.co.th:4434/request/PPIM19505C31" TargetMode="External"/><Relationship Id="rId44" Type="http://schemas.openxmlformats.org/officeDocument/2006/relationships/hyperlink" Target="https://ppim-intra.pea.co.th:4434/request/PPIM18502B18" TargetMode="External"/><Relationship Id="rId65" Type="http://schemas.openxmlformats.org/officeDocument/2006/relationships/hyperlink" Target="https://ppim-intra.pea.co.th:4434/request/PPIM185035B0" TargetMode="External"/><Relationship Id="rId86" Type="http://schemas.openxmlformats.org/officeDocument/2006/relationships/hyperlink" Target="https://ppim-intra.pea.co.th:4434/request/PPIM18503900" TargetMode="External"/><Relationship Id="rId130" Type="http://schemas.openxmlformats.org/officeDocument/2006/relationships/hyperlink" Target="https://ppim-intra.pea.co.th:4434/request/PPIM1850436E" TargetMode="External"/><Relationship Id="rId151" Type="http://schemas.openxmlformats.org/officeDocument/2006/relationships/hyperlink" Target="https://ppim-intra.pea.co.th:4434/request/PPIM19500CD9" TargetMode="External"/><Relationship Id="rId172" Type="http://schemas.openxmlformats.org/officeDocument/2006/relationships/hyperlink" Target="https://ppim-intra.pea.co.th:4434/request/PPIM19501CAD" TargetMode="External"/><Relationship Id="rId193" Type="http://schemas.openxmlformats.org/officeDocument/2006/relationships/hyperlink" Target="https://ppim-intra.pea.co.th:4434/request/PPIM19502476" TargetMode="External"/><Relationship Id="rId207" Type="http://schemas.openxmlformats.org/officeDocument/2006/relationships/hyperlink" Target="https://ppim-intra.pea.co.th:4434/request/PPIM19502A34" TargetMode="External"/><Relationship Id="rId228" Type="http://schemas.openxmlformats.org/officeDocument/2006/relationships/hyperlink" Target="https://ppim-intra.pea.co.th:4434/request/PPIM19503521" TargetMode="External"/><Relationship Id="rId249" Type="http://schemas.openxmlformats.org/officeDocument/2006/relationships/hyperlink" Target="https://ppim-intra.pea.co.th:4434/request/PPIM1950412B" TargetMode="External"/><Relationship Id="rId13" Type="http://schemas.openxmlformats.org/officeDocument/2006/relationships/hyperlink" Target="https://ppim-intra.pea.co.th:4434/request/PPIM18500AEF" TargetMode="External"/><Relationship Id="rId109" Type="http://schemas.openxmlformats.org/officeDocument/2006/relationships/hyperlink" Target="https://ppim-intra.pea.co.th:4434/request/PPIM18504180" TargetMode="External"/><Relationship Id="rId260" Type="http://schemas.openxmlformats.org/officeDocument/2006/relationships/hyperlink" Target="https://ppim-intra.pea.co.th:4434/request/PPIM19504914" TargetMode="External"/><Relationship Id="rId281" Type="http://schemas.openxmlformats.org/officeDocument/2006/relationships/hyperlink" Target="https://ppim-intra.pea.co.th:4434/request/PPIM195053B7" TargetMode="External"/><Relationship Id="rId34" Type="http://schemas.openxmlformats.org/officeDocument/2006/relationships/hyperlink" Target="https://ppim-intra.pea.co.th:4434/request/PPIM185021EC" TargetMode="External"/><Relationship Id="rId55" Type="http://schemas.openxmlformats.org/officeDocument/2006/relationships/hyperlink" Target="https://ppim-intra.pea.co.th:4434/request/PPIM185030AF" TargetMode="External"/><Relationship Id="rId76" Type="http://schemas.openxmlformats.org/officeDocument/2006/relationships/hyperlink" Target="https://ppim-intra.pea.co.th:4434/request/PPIM18503852" TargetMode="External"/><Relationship Id="rId97" Type="http://schemas.openxmlformats.org/officeDocument/2006/relationships/hyperlink" Target="https://ppim-intra.pea.co.th:4434/request/PPIM18503DDB" TargetMode="External"/><Relationship Id="rId120" Type="http://schemas.openxmlformats.org/officeDocument/2006/relationships/hyperlink" Target="https://ppim-intra.pea.co.th:4434/request/PPIM1850448E" TargetMode="External"/><Relationship Id="rId141" Type="http://schemas.openxmlformats.org/officeDocument/2006/relationships/hyperlink" Target="https://ppim-intra.pea.co.th:4434/request/PPIM18504A73" TargetMode="External"/><Relationship Id="rId7" Type="http://schemas.openxmlformats.org/officeDocument/2006/relationships/hyperlink" Target="https://ppim-intra.pea.co.th:4434/request/PPIM1850062D" TargetMode="External"/><Relationship Id="rId162" Type="http://schemas.openxmlformats.org/officeDocument/2006/relationships/hyperlink" Target="https://ppim-intra.pea.co.th:4434/request/PPIM19501578" TargetMode="External"/><Relationship Id="rId183" Type="http://schemas.openxmlformats.org/officeDocument/2006/relationships/hyperlink" Target="https://ppim-intra.pea.co.th:4434/request/PPIM19502185" TargetMode="External"/><Relationship Id="rId218" Type="http://schemas.openxmlformats.org/officeDocument/2006/relationships/hyperlink" Target="https://ppim-intra.pea.co.th:4434/request/PPIM19502ECD" TargetMode="External"/><Relationship Id="rId239" Type="http://schemas.openxmlformats.org/officeDocument/2006/relationships/hyperlink" Target="https://ppim-intra.pea.co.th:4434/request/PPIM19503D19" TargetMode="External"/><Relationship Id="rId250" Type="http://schemas.openxmlformats.org/officeDocument/2006/relationships/hyperlink" Target="https://ppim-intra.pea.co.th:4434/request/PPIM19504233" TargetMode="External"/><Relationship Id="rId271" Type="http://schemas.openxmlformats.org/officeDocument/2006/relationships/hyperlink" Target="https://ppim-intra.pea.co.th:4434/request/PPIM19504F1D" TargetMode="External"/><Relationship Id="rId292" Type="http://schemas.openxmlformats.org/officeDocument/2006/relationships/drawing" Target="../drawings/drawing13.xml"/><Relationship Id="rId24" Type="http://schemas.openxmlformats.org/officeDocument/2006/relationships/hyperlink" Target="https://ppim-intra.pea.co.th:4434/request/PPIM185006C7" TargetMode="External"/><Relationship Id="rId45" Type="http://schemas.openxmlformats.org/officeDocument/2006/relationships/hyperlink" Target="https://ppim-intra.pea.co.th:4434/request/PPIM18502BE5" TargetMode="External"/><Relationship Id="rId66" Type="http://schemas.openxmlformats.org/officeDocument/2006/relationships/hyperlink" Target="https://ppim-intra.pea.co.th:4434/request/PPIM18503548" TargetMode="External"/><Relationship Id="rId87" Type="http://schemas.openxmlformats.org/officeDocument/2006/relationships/hyperlink" Target="https://ppim-intra.pea.co.th:4434/request/PPIM18503C22" TargetMode="External"/><Relationship Id="rId110" Type="http://schemas.openxmlformats.org/officeDocument/2006/relationships/hyperlink" Target="https://ppim-intra.pea.co.th:4434/request/PPIM18504324" TargetMode="External"/><Relationship Id="rId131" Type="http://schemas.openxmlformats.org/officeDocument/2006/relationships/hyperlink" Target="https://ppim-intra.pea.co.th:4434/request/PPIM1850469A" TargetMode="External"/><Relationship Id="rId152" Type="http://schemas.openxmlformats.org/officeDocument/2006/relationships/hyperlink" Target="https://ppim-intra.pea.co.th:4434/request/PPIM19500CDA" TargetMode="External"/><Relationship Id="rId173" Type="http://schemas.openxmlformats.org/officeDocument/2006/relationships/hyperlink" Target="https://ppim-intra.pea.co.th:4434/request/PPIM19501D1D" TargetMode="External"/><Relationship Id="rId194" Type="http://schemas.openxmlformats.org/officeDocument/2006/relationships/hyperlink" Target="https://ppim-intra.pea.co.th:4434/request/PPIM195026A2" TargetMode="External"/><Relationship Id="rId208" Type="http://schemas.openxmlformats.org/officeDocument/2006/relationships/hyperlink" Target="https://ppim-intra.pea.co.th:4434/request/PPIM19502CDC" TargetMode="External"/><Relationship Id="rId229" Type="http://schemas.openxmlformats.org/officeDocument/2006/relationships/hyperlink" Target="https://ppim-intra.pea.co.th:4434/request/PPIM19503733" TargetMode="External"/><Relationship Id="rId240" Type="http://schemas.openxmlformats.org/officeDocument/2006/relationships/hyperlink" Target="https://ppim-intra.pea.co.th:4434/request/PPIM19503D7B" TargetMode="External"/><Relationship Id="rId261" Type="http://schemas.openxmlformats.org/officeDocument/2006/relationships/hyperlink" Target="https://ppim-intra.pea.co.th:4434/request/PPIM19504915" TargetMode="External"/><Relationship Id="rId14" Type="http://schemas.openxmlformats.org/officeDocument/2006/relationships/hyperlink" Target="https://ppim-intra.pea.co.th:4434/request/PPIM18500DFD" TargetMode="External"/><Relationship Id="rId35" Type="http://schemas.openxmlformats.org/officeDocument/2006/relationships/hyperlink" Target="https://ppim-intra.pea.co.th:4434/request/PPIM18502733" TargetMode="External"/><Relationship Id="rId56" Type="http://schemas.openxmlformats.org/officeDocument/2006/relationships/hyperlink" Target="https://ppim-intra.pea.co.th:4434/request/PPIM1850325C" TargetMode="External"/><Relationship Id="rId77" Type="http://schemas.openxmlformats.org/officeDocument/2006/relationships/hyperlink" Target="https://ppim-intra.pea.co.th:4434/request/PPIM1850387E" TargetMode="External"/><Relationship Id="rId100" Type="http://schemas.openxmlformats.org/officeDocument/2006/relationships/hyperlink" Target="https://ppim-intra.pea.co.th:4434/request/PPIM18503E8B" TargetMode="External"/><Relationship Id="rId282" Type="http://schemas.openxmlformats.org/officeDocument/2006/relationships/hyperlink" Target="https://ppim-intra.pea.co.th:4434/request/PPIM195050B7" TargetMode="External"/><Relationship Id="rId8" Type="http://schemas.openxmlformats.org/officeDocument/2006/relationships/hyperlink" Target="https://ppim-intra.pea.co.th:4434/request/PPIM185009BF" TargetMode="External"/><Relationship Id="rId98" Type="http://schemas.openxmlformats.org/officeDocument/2006/relationships/hyperlink" Target="https://ppim-intra.pea.co.th:4434/request/PPIM18503AB2" TargetMode="External"/><Relationship Id="rId121" Type="http://schemas.openxmlformats.org/officeDocument/2006/relationships/hyperlink" Target="https://ppim-intra.pea.co.th:4434/request/PPIM185044FA" TargetMode="External"/><Relationship Id="rId142" Type="http://schemas.openxmlformats.org/officeDocument/2006/relationships/hyperlink" Target="https://ppim-intra.pea.co.th:4434/request/PPIM18504A46" TargetMode="External"/><Relationship Id="rId163" Type="http://schemas.openxmlformats.org/officeDocument/2006/relationships/hyperlink" Target="https://ppim-intra.pea.co.th:4434/request/PPIM19501639" TargetMode="External"/><Relationship Id="rId184" Type="http://schemas.openxmlformats.org/officeDocument/2006/relationships/hyperlink" Target="https://ppim-intra.pea.co.th:4434/request/PPIM19502186" TargetMode="External"/><Relationship Id="rId219" Type="http://schemas.openxmlformats.org/officeDocument/2006/relationships/hyperlink" Target="https://ppim-intra.pea.co.th:4434/request/PPIM19502EC3" TargetMode="External"/><Relationship Id="rId230" Type="http://schemas.openxmlformats.org/officeDocument/2006/relationships/hyperlink" Target="https://ppim-intra.pea.co.th:4434/request/PPIM19503817" TargetMode="External"/><Relationship Id="rId251" Type="http://schemas.openxmlformats.org/officeDocument/2006/relationships/hyperlink" Target="https://ppim-intra.pea.co.th:4434/request/PPIM19504382" TargetMode="External"/><Relationship Id="rId25" Type="http://schemas.openxmlformats.org/officeDocument/2006/relationships/hyperlink" Target="https://ppim-intra.pea.co.th:4434/request/PPIM185006C0" TargetMode="External"/><Relationship Id="rId46" Type="http://schemas.openxmlformats.org/officeDocument/2006/relationships/hyperlink" Target="https://ppim-intra.pea.co.th:4434/request/PPIM18502C06" TargetMode="External"/><Relationship Id="rId67" Type="http://schemas.openxmlformats.org/officeDocument/2006/relationships/hyperlink" Target="https://ppim-intra.pea.co.th:4434/request/PPIM185035B3" TargetMode="External"/><Relationship Id="rId272" Type="http://schemas.openxmlformats.org/officeDocument/2006/relationships/hyperlink" Target="https://ppim-intra.pea.co.th:4434/request/PPIM19504F1F" TargetMode="External"/><Relationship Id="rId293" Type="http://schemas.openxmlformats.org/officeDocument/2006/relationships/vmlDrawing" Target="../drawings/vmlDrawing12.vml"/><Relationship Id="rId88" Type="http://schemas.openxmlformats.org/officeDocument/2006/relationships/hyperlink" Target="https://ppim-intra.pea.co.th:4434/request/PPIM18503C14" TargetMode="External"/><Relationship Id="rId111" Type="http://schemas.openxmlformats.org/officeDocument/2006/relationships/hyperlink" Target="https://ppim-intra.pea.co.th:4434/request/PPIM1850433E" TargetMode="External"/><Relationship Id="rId132" Type="http://schemas.openxmlformats.org/officeDocument/2006/relationships/hyperlink" Target="https://ppim-intra.pea.co.th:4434/request/PPIM1850469B" TargetMode="External"/><Relationship Id="rId153" Type="http://schemas.openxmlformats.org/officeDocument/2006/relationships/hyperlink" Target="https://ppim-intra.pea.co.th:4434/request/PPIM19500DEE" TargetMode="External"/><Relationship Id="rId174" Type="http://schemas.openxmlformats.org/officeDocument/2006/relationships/hyperlink" Target="https://ppim-intra.pea.co.th:4434/request/PPIM19501D1E" TargetMode="External"/><Relationship Id="rId195" Type="http://schemas.openxmlformats.org/officeDocument/2006/relationships/hyperlink" Target="https://ppim-intra.pea.co.th:4434/request/PPIM19502777" TargetMode="External"/><Relationship Id="rId209" Type="http://schemas.openxmlformats.org/officeDocument/2006/relationships/hyperlink" Target="https://ppim-intra.pea.co.th:4434/request/PPIM19502CED" TargetMode="External"/><Relationship Id="rId220" Type="http://schemas.openxmlformats.org/officeDocument/2006/relationships/hyperlink" Target="https://ppim-intra.pea.co.th:4434/request/PPIM19502F82" TargetMode="External"/><Relationship Id="rId241" Type="http://schemas.openxmlformats.org/officeDocument/2006/relationships/hyperlink" Target="https://ppim-intra.pea.co.th:4434/request/PPIM19503D84" TargetMode="External"/><Relationship Id="rId15" Type="http://schemas.openxmlformats.org/officeDocument/2006/relationships/hyperlink" Target="https://ppim-intra.pea.co.th:4434/request/PPIM18500E20" TargetMode="External"/><Relationship Id="rId36" Type="http://schemas.openxmlformats.org/officeDocument/2006/relationships/hyperlink" Target="https://ppim-intra.pea.co.th:4434/request/PPIM185026B3" TargetMode="External"/><Relationship Id="rId57" Type="http://schemas.openxmlformats.org/officeDocument/2006/relationships/hyperlink" Target="https://ppim-intra.pea.co.th:4434/request/PPIM185033A7" TargetMode="External"/><Relationship Id="rId262" Type="http://schemas.openxmlformats.org/officeDocument/2006/relationships/hyperlink" Target="https://ppim-intra.pea.co.th:4434/request/PPIM19504B46" TargetMode="External"/><Relationship Id="rId283" Type="http://schemas.openxmlformats.org/officeDocument/2006/relationships/hyperlink" Target="https://ppim-intra.pea.co.th:4434/request/PPIM19505409" TargetMode="External"/><Relationship Id="rId78" Type="http://schemas.openxmlformats.org/officeDocument/2006/relationships/hyperlink" Target="https://ppim-intra.pea.co.th:4434/request/PPIM1850377F" TargetMode="External"/><Relationship Id="rId99" Type="http://schemas.openxmlformats.org/officeDocument/2006/relationships/hyperlink" Target="https://ppim-intra.pea.co.th:4434/request/PPIM18503E16" TargetMode="External"/><Relationship Id="rId101" Type="http://schemas.openxmlformats.org/officeDocument/2006/relationships/hyperlink" Target="https://ppim-intra.pea.co.th:4434/request/PPIM18503E64" TargetMode="External"/><Relationship Id="rId122" Type="http://schemas.openxmlformats.org/officeDocument/2006/relationships/hyperlink" Target="https://ppim-intra.pea.co.th:4434/request/PPIM18504576" TargetMode="External"/><Relationship Id="rId143" Type="http://schemas.openxmlformats.org/officeDocument/2006/relationships/hyperlink" Target="https://ppim-intra.pea.co.th:4434/request/PPIM19500169" TargetMode="External"/><Relationship Id="rId164" Type="http://schemas.openxmlformats.org/officeDocument/2006/relationships/hyperlink" Target="https://ppim-intra.pea.co.th:4434/request/PPIM19501865" TargetMode="External"/><Relationship Id="rId185" Type="http://schemas.openxmlformats.org/officeDocument/2006/relationships/hyperlink" Target="https://ppim-intra.pea.co.th:4434/request/PPIM1950218C" TargetMode="External"/><Relationship Id="rId9" Type="http://schemas.openxmlformats.org/officeDocument/2006/relationships/hyperlink" Target="https://ppim-intra.pea.co.th:4434/request/PPIM18500A14" TargetMode="External"/><Relationship Id="rId210" Type="http://schemas.openxmlformats.org/officeDocument/2006/relationships/hyperlink" Target="https://ppim-intra.pea.co.th:4434/request/PPIM195029F8" TargetMode="External"/><Relationship Id="rId26" Type="http://schemas.openxmlformats.org/officeDocument/2006/relationships/hyperlink" Target="https://ppim-intra.pea.co.th:4434/request/PPIM18502215" TargetMode="External"/><Relationship Id="rId231" Type="http://schemas.openxmlformats.org/officeDocument/2006/relationships/hyperlink" Target="https://ppim-intra.pea.co.th:4434/request/PPIM195038CC" TargetMode="External"/><Relationship Id="rId252" Type="http://schemas.openxmlformats.org/officeDocument/2006/relationships/hyperlink" Target="https://ppim-intra.pea.co.th:4434/request/PPIM195042EC" TargetMode="External"/><Relationship Id="rId273" Type="http://schemas.openxmlformats.org/officeDocument/2006/relationships/hyperlink" Target="https://ppim-intra.pea.co.th:4434/request/PPIM19505032" TargetMode="External"/><Relationship Id="rId294" Type="http://schemas.openxmlformats.org/officeDocument/2006/relationships/control" Target="../activeX/activeX12.xml"/><Relationship Id="rId47" Type="http://schemas.openxmlformats.org/officeDocument/2006/relationships/hyperlink" Target="https://ppim-intra.pea.co.th:4434/request/PPIM18502D0F" TargetMode="External"/><Relationship Id="rId68" Type="http://schemas.openxmlformats.org/officeDocument/2006/relationships/hyperlink" Target="https://ppim-intra.pea.co.th:4434/request/PPIM185035FA" TargetMode="External"/><Relationship Id="rId89" Type="http://schemas.openxmlformats.org/officeDocument/2006/relationships/hyperlink" Target="https://ppim-intra.pea.co.th:4434/request/PPIM18503CCC" TargetMode="External"/><Relationship Id="rId112" Type="http://schemas.openxmlformats.org/officeDocument/2006/relationships/hyperlink" Target="https://ppim-intra.pea.co.th:4434/request/PPIM185043A3" TargetMode="External"/><Relationship Id="rId133" Type="http://schemas.openxmlformats.org/officeDocument/2006/relationships/hyperlink" Target="https://ppim-intra.pea.co.th:4434/request/PPIM185046C0" TargetMode="External"/><Relationship Id="rId154" Type="http://schemas.openxmlformats.org/officeDocument/2006/relationships/hyperlink" Target="https://ppim-intra.pea.co.th:4434/request/PPIM19500E26" TargetMode="External"/><Relationship Id="rId175" Type="http://schemas.openxmlformats.org/officeDocument/2006/relationships/hyperlink" Target="https://ppim-intra.pea.co.th:4434/request/PPIM19501D75" TargetMode="External"/><Relationship Id="rId196" Type="http://schemas.openxmlformats.org/officeDocument/2006/relationships/hyperlink" Target="https://ppim-intra.pea.co.th:4434/request/PPIM1950284C" TargetMode="External"/><Relationship Id="rId200" Type="http://schemas.openxmlformats.org/officeDocument/2006/relationships/hyperlink" Target="https://ppim-intra.pea.co.th:4434/request/PPIM19502AC3" TargetMode="External"/><Relationship Id="rId16" Type="http://schemas.openxmlformats.org/officeDocument/2006/relationships/hyperlink" Target="https://ppim-intra.pea.co.th:4434/request/PPIM18501768" TargetMode="External"/><Relationship Id="rId221" Type="http://schemas.openxmlformats.org/officeDocument/2006/relationships/hyperlink" Target="https://ppim-intra.pea.co.th:4434/request/PPIM19503089" TargetMode="External"/><Relationship Id="rId242" Type="http://schemas.openxmlformats.org/officeDocument/2006/relationships/hyperlink" Target="https://ppim-intra.pea.co.th:4434/request/PPIM19503F35" TargetMode="External"/><Relationship Id="rId263" Type="http://schemas.openxmlformats.org/officeDocument/2006/relationships/hyperlink" Target="https://ppim-intra.pea.co.th:4434/request/PPIM19504BAD" TargetMode="External"/><Relationship Id="rId284" Type="http://schemas.openxmlformats.org/officeDocument/2006/relationships/hyperlink" Target="https://ppim-intra.pea.co.th:4434/request/PPIM19505446" TargetMode="External"/><Relationship Id="rId37" Type="http://schemas.openxmlformats.org/officeDocument/2006/relationships/hyperlink" Target="https://ppim-intra.pea.co.th:4434/request/PPIM185026BA" TargetMode="External"/><Relationship Id="rId58" Type="http://schemas.openxmlformats.org/officeDocument/2006/relationships/hyperlink" Target="https://ppim-intra.pea.co.th:4434/request/PPIM1850334B" TargetMode="External"/><Relationship Id="rId79" Type="http://schemas.openxmlformats.org/officeDocument/2006/relationships/hyperlink" Target="https://ppim-intra.pea.co.th:4434/request/PPIM18503990" TargetMode="External"/><Relationship Id="rId102" Type="http://schemas.openxmlformats.org/officeDocument/2006/relationships/hyperlink" Target="https://ppim-intra.pea.co.th:4434/request/PPIM18503EE7" TargetMode="External"/><Relationship Id="rId123" Type="http://schemas.openxmlformats.org/officeDocument/2006/relationships/hyperlink" Target="https://ppim-intra.pea.co.th:4434/request/PPIM1850457D" TargetMode="External"/><Relationship Id="rId144" Type="http://schemas.openxmlformats.org/officeDocument/2006/relationships/hyperlink" Target="https://ppim-intra.pea.co.th:4434/request/PPIM1950012E" TargetMode="External"/><Relationship Id="rId90" Type="http://schemas.openxmlformats.org/officeDocument/2006/relationships/hyperlink" Target="https://ppim-intra.pea.co.th:4434/request/PPIM18503CD1" TargetMode="External"/><Relationship Id="rId165" Type="http://schemas.openxmlformats.org/officeDocument/2006/relationships/hyperlink" Target="https://ppim-intra.pea.co.th:4434/request/PPIM19501867" TargetMode="External"/><Relationship Id="rId186" Type="http://schemas.openxmlformats.org/officeDocument/2006/relationships/hyperlink" Target="https://ppim-intra.pea.co.th:4434/request/PPIM1950219D" TargetMode="External"/><Relationship Id="rId211" Type="http://schemas.openxmlformats.org/officeDocument/2006/relationships/hyperlink" Target="https://ppim-intra.pea.co.th:4434/request/PPIM19502E97" TargetMode="External"/><Relationship Id="rId232" Type="http://schemas.openxmlformats.org/officeDocument/2006/relationships/hyperlink" Target="https://ppim-intra.pea.co.th:4434/request/PPIM1950393D" TargetMode="External"/><Relationship Id="rId253" Type="http://schemas.openxmlformats.org/officeDocument/2006/relationships/hyperlink" Target="https://ppim-intra.pea.co.th:4434/request/PPIM19504420" TargetMode="External"/><Relationship Id="rId274" Type="http://schemas.openxmlformats.org/officeDocument/2006/relationships/hyperlink" Target="https://ppim-intra.pea.co.th:4434/request/PPIM19505035" TargetMode="External"/><Relationship Id="rId295" Type="http://schemas.openxmlformats.org/officeDocument/2006/relationships/image" Target="../media/image1.emf"/><Relationship Id="rId27" Type="http://schemas.openxmlformats.org/officeDocument/2006/relationships/hyperlink" Target="https://ppim-intra.pea.co.th:4434/request/PPIM18502382" TargetMode="External"/><Relationship Id="rId48" Type="http://schemas.openxmlformats.org/officeDocument/2006/relationships/hyperlink" Target="https://ppim-intra.pea.co.th:4434/request/PPIM18502D28" TargetMode="External"/><Relationship Id="rId69" Type="http://schemas.openxmlformats.org/officeDocument/2006/relationships/hyperlink" Target="https://ppim-intra.pea.co.th:4434/request/PPIM18503695" TargetMode="External"/><Relationship Id="rId113" Type="http://schemas.openxmlformats.org/officeDocument/2006/relationships/hyperlink" Target="https://ppim-intra.pea.co.th:4434/request/PPIM185043D8" TargetMode="External"/><Relationship Id="rId134" Type="http://schemas.openxmlformats.org/officeDocument/2006/relationships/hyperlink" Target="https://ppim-intra.pea.co.th:4434/request/PPIM185046D9" TargetMode="External"/><Relationship Id="rId80" Type="http://schemas.openxmlformats.org/officeDocument/2006/relationships/hyperlink" Target="https://ppim-intra.pea.co.th:4434/request/PPIM185039A9" TargetMode="External"/><Relationship Id="rId155" Type="http://schemas.openxmlformats.org/officeDocument/2006/relationships/hyperlink" Target="https://ppim-intra.pea.co.th:4434/request/PPIM19500B19" TargetMode="External"/><Relationship Id="rId176" Type="http://schemas.openxmlformats.org/officeDocument/2006/relationships/hyperlink" Target="https://ppim-intra.pea.co.th:4434/request/PPIM19501E98" TargetMode="External"/><Relationship Id="rId197" Type="http://schemas.openxmlformats.org/officeDocument/2006/relationships/hyperlink" Target="https://ppim-intra.pea.co.th:4434/request/PPIM195028B1" TargetMode="External"/><Relationship Id="rId201" Type="http://schemas.openxmlformats.org/officeDocument/2006/relationships/hyperlink" Target="https://ppim-intra.pea.co.th:4434/request/PPIM19502B8A" TargetMode="External"/><Relationship Id="rId222" Type="http://schemas.openxmlformats.org/officeDocument/2006/relationships/hyperlink" Target="https://ppim-intra.pea.co.th:4434/request/PPIM195032E3" TargetMode="External"/><Relationship Id="rId243" Type="http://schemas.openxmlformats.org/officeDocument/2006/relationships/hyperlink" Target="https://ppim-intra.pea.co.th:4434/request/PPIM19503F36" TargetMode="External"/><Relationship Id="rId264" Type="http://schemas.openxmlformats.org/officeDocument/2006/relationships/hyperlink" Target="https://ppim-intra.pea.co.th:4434/request/PPIM19504C76" TargetMode="External"/><Relationship Id="rId285" Type="http://schemas.openxmlformats.org/officeDocument/2006/relationships/hyperlink" Target="https://ppim-intra.pea.co.th:4434/request/PPIM19505163" TargetMode="External"/><Relationship Id="rId17" Type="http://schemas.openxmlformats.org/officeDocument/2006/relationships/hyperlink" Target="https://ppim-intra.pea.co.th:4434/request/PPIM1850199C" TargetMode="External"/><Relationship Id="rId38" Type="http://schemas.openxmlformats.org/officeDocument/2006/relationships/hyperlink" Target="https://ppim-intra.pea.co.th:4434/request/PPIM185026BC" TargetMode="External"/><Relationship Id="rId59" Type="http://schemas.openxmlformats.org/officeDocument/2006/relationships/hyperlink" Target="https://ppim-intra.pea.co.th:4434/request/PPIM18503291" TargetMode="External"/><Relationship Id="rId103" Type="http://schemas.openxmlformats.org/officeDocument/2006/relationships/hyperlink" Target="https://ppim-intra.pea.co.th:4434/request/PPIM18504044" TargetMode="External"/><Relationship Id="rId124" Type="http://schemas.openxmlformats.org/officeDocument/2006/relationships/hyperlink" Target="https://ppim-intra.pea.co.th:4434/request/PPIM18503CF4" TargetMode="External"/><Relationship Id="rId70" Type="http://schemas.openxmlformats.org/officeDocument/2006/relationships/hyperlink" Target="https://ppim-intra.pea.co.th:4434/request/PPIM18503707" TargetMode="External"/><Relationship Id="rId91" Type="http://schemas.openxmlformats.org/officeDocument/2006/relationships/hyperlink" Target="https://ppim-intra.pea.co.th:4434/request/PPIM18503D54" TargetMode="External"/><Relationship Id="rId145" Type="http://schemas.openxmlformats.org/officeDocument/2006/relationships/hyperlink" Target="https://ppim-intra.pea.co.th:4434/request/PPIM19500396" TargetMode="External"/><Relationship Id="rId166" Type="http://schemas.openxmlformats.org/officeDocument/2006/relationships/hyperlink" Target="https://ppim-intra.pea.co.th:4434/request/PPIM195018BD" TargetMode="External"/><Relationship Id="rId187" Type="http://schemas.openxmlformats.org/officeDocument/2006/relationships/hyperlink" Target="https://ppim-intra.pea.co.th:4434/request/PPIM195021F5" TargetMode="External"/><Relationship Id="rId1" Type="http://schemas.openxmlformats.org/officeDocument/2006/relationships/hyperlink" Target="https://ppim-intra.pea.co.th:4434/request/PPIM185000AF" TargetMode="External"/><Relationship Id="rId212" Type="http://schemas.openxmlformats.org/officeDocument/2006/relationships/hyperlink" Target="https://ppim-intra.pea.co.th:4434/request/PPIM19502EA8" TargetMode="External"/><Relationship Id="rId233" Type="http://schemas.openxmlformats.org/officeDocument/2006/relationships/hyperlink" Target="https://ppim-intra.pea.co.th:4434/request/PPIM19503790" TargetMode="External"/><Relationship Id="rId254" Type="http://schemas.openxmlformats.org/officeDocument/2006/relationships/hyperlink" Target="https://ppim-intra.pea.co.th:4434/request/PPIM19504480" TargetMode="External"/><Relationship Id="rId28" Type="http://schemas.openxmlformats.org/officeDocument/2006/relationships/hyperlink" Target="https://ppim-intra.pea.co.th:4434/request/PPIM1850247B" TargetMode="External"/><Relationship Id="rId49" Type="http://schemas.openxmlformats.org/officeDocument/2006/relationships/hyperlink" Target="https://ppim-intra.pea.co.th:4434/request/PPIM18502E86" TargetMode="External"/><Relationship Id="rId114" Type="http://schemas.openxmlformats.org/officeDocument/2006/relationships/hyperlink" Target="https://ppim-intra.pea.co.th:4434/request/PPIM1850441B" TargetMode="External"/><Relationship Id="rId275" Type="http://schemas.openxmlformats.org/officeDocument/2006/relationships/hyperlink" Target="https://ppim-intra.pea.co.th:4434/request/PPIM1950503C" TargetMode="External"/><Relationship Id="rId60" Type="http://schemas.openxmlformats.org/officeDocument/2006/relationships/hyperlink" Target="https://ppim-intra.pea.co.th:4434/request/PPIM18503443" TargetMode="External"/><Relationship Id="rId81" Type="http://schemas.openxmlformats.org/officeDocument/2006/relationships/hyperlink" Target="https://ppim-intra.pea.co.th:4434/request/PPIM185039AD" TargetMode="External"/><Relationship Id="rId135" Type="http://schemas.openxmlformats.org/officeDocument/2006/relationships/hyperlink" Target="https://ppim-intra.pea.co.th:4434/request/PPIM18504730" TargetMode="External"/><Relationship Id="rId156" Type="http://schemas.openxmlformats.org/officeDocument/2006/relationships/hyperlink" Target="https://ppim-intra.pea.co.th:4434/request/PPIM19500EA7" TargetMode="External"/><Relationship Id="rId177" Type="http://schemas.openxmlformats.org/officeDocument/2006/relationships/hyperlink" Target="https://ppim-intra.pea.co.th:4434/request/PPIM19502025" TargetMode="External"/><Relationship Id="rId198" Type="http://schemas.openxmlformats.org/officeDocument/2006/relationships/hyperlink" Target="https://ppim-intra.pea.co.th:4434/request/PPIM19502968" TargetMode="External"/><Relationship Id="rId202" Type="http://schemas.openxmlformats.org/officeDocument/2006/relationships/hyperlink" Target="https://ppim-intra.pea.co.th:4434/request/PPIM19502639" TargetMode="External"/><Relationship Id="rId223" Type="http://schemas.openxmlformats.org/officeDocument/2006/relationships/hyperlink" Target="https://ppim-intra.pea.co.th:4434/request/PPIM19503355" TargetMode="External"/><Relationship Id="rId244" Type="http://schemas.openxmlformats.org/officeDocument/2006/relationships/hyperlink" Target="https://ppim-intra.pea.co.th:4434/request/PPIM19503F34" TargetMode="External"/><Relationship Id="rId18" Type="http://schemas.openxmlformats.org/officeDocument/2006/relationships/hyperlink" Target="https://ppim-intra.pea.co.th:4434/request/PPIM18501BA3" TargetMode="External"/><Relationship Id="rId39" Type="http://schemas.openxmlformats.org/officeDocument/2006/relationships/hyperlink" Target="https://ppim-intra.pea.co.th:4434/request/PPIM185026BE" TargetMode="External"/><Relationship Id="rId265" Type="http://schemas.openxmlformats.org/officeDocument/2006/relationships/hyperlink" Target="https://ppim-intra.pea.co.th:4434/request/PPIM19504D26" TargetMode="External"/><Relationship Id="rId286" Type="http://schemas.openxmlformats.org/officeDocument/2006/relationships/hyperlink" Target="https://ppim-intra.pea.co.th:4434/request/PPIM19505452" TargetMode="External"/><Relationship Id="rId50" Type="http://schemas.openxmlformats.org/officeDocument/2006/relationships/hyperlink" Target="https://ppim-intra.pea.co.th:4434/request/PPIM18502ECC" TargetMode="External"/><Relationship Id="rId104" Type="http://schemas.openxmlformats.org/officeDocument/2006/relationships/hyperlink" Target="https://ppim-intra.pea.co.th:4434/request/PPIM185040D6" TargetMode="External"/><Relationship Id="rId125" Type="http://schemas.openxmlformats.org/officeDocument/2006/relationships/hyperlink" Target="https://ppim-intra.pea.co.th:4434/request/PPIM185045EA" TargetMode="External"/><Relationship Id="rId146" Type="http://schemas.openxmlformats.org/officeDocument/2006/relationships/hyperlink" Target="https://ppim-intra.pea.co.th:4434/request/PPIM1950039D" TargetMode="External"/><Relationship Id="rId167" Type="http://schemas.openxmlformats.org/officeDocument/2006/relationships/hyperlink" Target="https://ppim-intra.pea.co.th:4434/request/PPIM19501905" TargetMode="External"/><Relationship Id="rId188" Type="http://schemas.openxmlformats.org/officeDocument/2006/relationships/hyperlink" Target="https://ppim-intra.pea.co.th:4434/request/PPIM19502256" TargetMode="External"/><Relationship Id="rId71" Type="http://schemas.openxmlformats.org/officeDocument/2006/relationships/hyperlink" Target="https://ppim-intra.pea.co.th:4434/request/PPIM18503762" TargetMode="External"/><Relationship Id="rId92" Type="http://schemas.openxmlformats.org/officeDocument/2006/relationships/hyperlink" Target="https://ppim-intra.pea.co.th:4434/request/PPIM18503D7A" TargetMode="External"/><Relationship Id="rId213" Type="http://schemas.openxmlformats.org/officeDocument/2006/relationships/hyperlink" Target="https://ppim-intra.pea.co.th:4434/request/PPIM19502EAA" TargetMode="External"/><Relationship Id="rId234" Type="http://schemas.openxmlformats.org/officeDocument/2006/relationships/hyperlink" Target="https://ppim-intra.pea.co.th:4434/request/PPIM195039F9" TargetMode="External"/><Relationship Id="rId2" Type="http://schemas.openxmlformats.org/officeDocument/2006/relationships/hyperlink" Target="https://ppim-intra.pea.co.th:4434/request/PPIM18500171" TargetMode="External"/><Relationship Id="rId29" Type="http://schemas.openxmlformats.org/officeDocument/2006/relationships/hyperlink" Target="https://ppim-intra.pea.co.th:4434/request/PPIM1850041D" TargetMode="External"/><Relationship Id="rId255" Type="http://schemas.openxmlformats.org/officeDocument/2006/relationships/hyperlink" Target="https://ppim-intra.pea.co.th:4434/request/PPIM1950451E" TargetMode="External"/><Relationship Id="rId276" Type="http://schemas.openxmlformats.org/officeDocument/2006/relationships/hyperlink" Target="https://ppim-intra.pea.co.th:4434/request/PPIM19505141" TargetMode="External"/><Relationship Id="rId40" Type="http://schemas.openxmlformats.org/officeDocument/2006/relationships/hyperlink" Target="https://ppim-intra.pea.co.th:4434/request/PPIM18501F92" TargetMode="External"/><Relationship Id="rId115" Type="http://schemas.openxmlformats.org/officeDocument/2006/relationships/hyperlink" Target="https://ppim-intra.pea.co.th:4434/request/PPIM18504431" TargetMode="External"/><Relationship Id="rId136" Type="http://schemas.openxmlformats.org/officeDocument/2006/relationships/hyperlink" Target="https://ppim-intra.pea.co.th:4434/request/PPIM185047FA" TargetMode="External"/><Relationship Id="rId157" Type="http://schemas.openxmlformats.org/officeDocument/2006/relationships/hyperlink" Target="https://ppim-intra.pea.co.th:4434/request/PPIM19500FFD" TargetMode="External"/><Relationship Id="rId178" Type="http://schemas.openxmlformats.org/officeDocument/2006/relationships/hyperlink" Target="https://ppim-intra.pea.co.th:4434/request/PPIM19501D74" TargetMode="External"/><Relationship Id="rId61" Type="http://schemas.openxmlformats.org/officeDocument/2006/relationships/hyperlink" Target="https://ppim-intra.pea.co.th:4434/request/PPIM185034AF" TargetMode="External"/><Relationship Id="rId82" Type="http://schemas.openxmlformats.org/officeDocument/2006/relationships/hyperlink" Target="https://ppim-intra.pea.co.th:4434/request/PPIM185039F3" TargetMode="External"/><Relationship Id="rId199" Type="http://schemas.openxmlformats.org/officeDocument/2006/relationships/hyperlink" Target="https://ppim-intra.pea.co.th:4434/request/PPIM19502B50" TargetMode="External"/><Relationship Id="rId203" Type="http://schemas.openxmlformats.org/officeDocument/2006/relationships/hyperlink" Target="https://ppim-intra.pea.co.th:4434/request/PPIM1950264C" TargetMode="External"/><Relationship Id="rId19" Type="http://schemas.openxmlformats.org/officeDocument/2006/relationships/hyperlink" Target="https://ppim-intra.pea.co.th:4434/request/PPIM18501BD5" TargetMode="External"/><Relationship Id="rId224" Type="http://schemas.openxmlformats.org/officeDocument/2006/relationships/hyperlink" Target="https://ppim-intra.pea.co.th:4434/request/PPIM19503358" TargetMode="External"/><Relationship Id="rId245" Type="http://schemas.openxmlformats.org/officeDocument/2006/relationships/hyperlink" Target="https://ppim-intra.pea.co.th:4434/request/PPIM19503FC9" TargetMode="External"/><Relationship Id="rId266" Type="http://schemas.openxmlformats.org/officeDocument/2006/relationships/hyperlink" Target="https://ppim-intra.pea.co.th:4434/request/PPIM19504E61" TargetMode="External"/><Relationship Id="rId287" Type="http://schemas.openxmlformats.org/officeDocument/2006/relationships/hyperlink" Target="https://ppim-intra.pea.co.th:4434/request/PPIM1950579A" TargetMode="External"/><Relationship Id="rId30" Type="http://schemas.openxmlformats.org/officeDocument/2006/relationships/hyperlink" Target="https://ppim-intra.pea.co.th:4434/request/PPIM185025AF" TargetMode="External"/><Relationship Id="rId105" Type="http://schemas.openxmlformats.org/officeDocument/2006/relationships/hyperlink" Target="https://ppim-intra.pea.co.th:4434/request/PPIM185040E2" TargetMode="External"/><Relationship Id="rId126" Type="http://schemas.openxmlformats.org/officeDocument/2006/relationships/hyperlink" Target="https://ppim-intra.pea.co.th:4434/request/PPIM185045EE" TargetMode="External"/><Relationship Id="rId147" Type="http://schemas.openxmlformats.org/officeDocument/2006/relationships/hyperlink" Target="https://ppim-intra.pea.co.th:4434/request/PPIM19500573" TargetMode="External"/><Relationship Id="rId168" Type="http://schemas.openxmlformats.org/officeDocument/2006/relationships/hyperlink" Target="https://ppim-intra.pea.co.th:4434/request/PPIM19501A0C" TargetMode="External"/><Relationship Id="rId51" Type="http://schemas.openxmlformats.org/officeDocument/2006/relationships/hyperlink" Target="https://ppim-intra.pea.co.th:4434/request/PPIM18502C0D" TargetMode="External"/><Relationship Id="rId72" Type="http://schemas.openxmlformats.org/officeDocument/2006/relationships/hyperlink" Target="https://ppim-intra.pea.co.th:4434/request/PPIM18503528" TargetMode="External"/><Relationship Id="rId93" Type="http://schemas.openxmlformats.org/officeDocument/2006/relationships/hyperlink" Target="https://ppim-intra.pea.co.th:4434/request/PPIM18503C3A" TargetMode="External"/><Relationship Id="rId189" Type="http://schemas.openxmlformats.org/officeDocument/2006/relationships/hyperlink" Target="https://ppim-intra.pea.co.th:4434/request/PPIM1950227E" TargetMode="External"/><Relationship Id="rId3" Type="http://schemas.openxmlformats.org/officeDocument/2006/relationships/hyperlink" Target="https://ppim-intra.pea.co.th:4434/request/PPIM185002E9" TargetMode="External"/><Relationship Id="rId214" Type="http://schemas.openxmlformats.org/officeDocument/2006/relationships/hyperlink" Target="https://ppim-intra.pea.co.th:4434/request/PPIM19502EAB" TargetMode="External"/><Relationship Id="rId235" Type="http://schemas.openxmlformats.org/officeDocument/2006/relationships/hyperlink" Target="https://ppim-intra.pea.co.th:4434/request/PPIM19503A1A" TargetMode="External"/><Relationship Id="rId256" Type="http://schemas.openxmlformats.org/officeDocument/2006/relationships/hyperlink" Target="https://ppim-intra.pea.co.th:4434/request/PPIM1950453A" TargetMode="External"/><Relationship Id="rId277" Type="http://schemas.openxmlformats.org/officeDocument/2006/relationships/hyperlink" Target="https://ppim-intra.pea.co.th:4434/request/PPIM19505159" TargetMode="External"/><Relationship Id="rId116" Type="http://schemas.openxmlformats.org/officeDocument/2006/relationships/hyperlink" Target="https://ppim-intra.pea.co.th:4434/request/PPIM18504457" TargetMode="External"/><Relationship Id="rId137" Type="http://schemas.openxmlformats.org/officeDocument/2006/relationships/hyperlink" Target="https://ppim-intra.pea.co.th:4434/request/PPIM185047F2" TargetMode="External"/><Relationship Id="rId158" Type="http://schemas.openxmlformats.org/officeDocument/2006/relationships/hyperlink" Target="https://ppim-intra.pea.co.th:4434/request/PPIM1950106F" TargetMode="External"/><Relationship Id="rId20" Type="http://schemas.openxmlformats.org/officeDocument/2006/relationships/hyperlink" Target="https://ppim-intra.pea.co.th:4434/request/PPIM18501EB6" TargetMode="External"/><Relationship Id="rId41" Type="http://schemas.openxmlformats.org/officeDocument/2006/relationships/hyperlink" Target="https://ppim-intra.pea.co.th:4434/request/PPIM185028E2" TargetMode="External"/><Relationship Id="rId62" Type="http://schemas.openxmlformats.org/officeDocument/2006/relationships/hyperlink" Target="https://ppim-intra.pea.co.th:4434/request/PPIM18503520" TargetMode="External"/><Relationship Id="rId83" Type="http://schemas.openxmlformats.org/officeDocument/2006/relationships/hyperlink" Target="https://ppim-intra.pea.co.th:4434/request/PPIM1850387F" TargetMode="External"/><Relationship Id="rId179" Type="http://schemas.openxmlformats.org/officeDocument/2006/relationships/hyperlink" Target="https://ppim-intra.pea.co.th:4434/request/PPIM19502044" TargetMode="External"/><Relationship Id="rId190" Type="http://schemas.openxmlformats.org/officeDocument/2006/relationships/hyperlink" Target="https://ppim-intra.pea.co.th:4434/request/PPIM19502360" TargetMode="External"/><Relationship Id="rId204" Type="http://schemas.openxmlformats.org/officeDocument/2006/relationships/hyperlink" Target="https://ppim-intra.pea.co.th:4434/request/PPIM19502659" TargetMode="External"/><Relationship Id="rId225" Type="http://schemas.openxmlformats.org/officeDocument/2006/relationships/hyperlink" Target="https://ppim-intra.pea.co.th:4434/request/PPIM1950336C" TargetMode="External"/><Relationship Id="rId246" Type="http://schemas.openxmlformats.org/officeDocument/2006/relationships/hyperlink" Target="https://ppim-intra.pea.co.th:4434/request/PPIM1950405F" TargetMode="External"/><Relationship Id="rId267" Type="http://schemas.openxmlformats.org/officeDocument/2006/relationships/hyperlink" Target="https://ppim-intra.pea.co.th:4434/request/PPIM19504E7D" TargetMode="External"/><Relationship Id="rId288" Type="http://schemas.openxmlformats.org/officeDocument/2006/relationships/hyperlink" Target="https://ppim-intra.pea.co.th:4434/request/PPIM1950598D" TargetMode="External"/><Relationship Id="rId106" Type="http://schemas.openxmlformats.org/officeDocument/2006/relationships/hyperlink" Target="https://ppim-intra.pea.co.th:4434/request/PPIM185040F5" TargetMode="External"/><Relationship Id="rId127" Type="http://schemas.openxmlformats.org/officeDocument/2006/relationships/hyperlink" Target="https://ppim-intra.pea.co.th:4434/request/PPIM18504622" TargetMode="External"/><Relationship Id="rId10" Type="http://schemas.openxmlformats.org/officeDocument/2006/relationships/hyperlink" Target="https://ppim-intra.pea.co.th:4434/request/PPIM18500A44" TargetMode="External"/><Relationship Id="rId31" Type="http://schemas.openxmlformats.org/officeDocument/2006/relationships/hyperlink" Target="https://ppim-intra.pea.co.th:4434/request/PPIM18502621" TargetMode="External"/><Relationship Id="rId52" Type="http://schemas.openxmlformats.org/officeDocument/2006/relationships/hyperlink" Target="https://ppim-intra.pea.co.th:4434/request/PPIM18502F8D" TargetMode="External"/><Relationship Id="rId73" Type="http://schemas.openxmlformats.org/officeDocument/2006/relationships/hyperlink" Target="https://ppim-intra.pea.co.th:4434/request/PPIM185034FF" TargetMode="External"/><Relationship Id="rId94" Type="http://schemas.openxmlformats.org/officeDocument/2006/relationships/hyperlink" Target="https://ppim-intra.pea.co.th:4434/request/PPIM18503C43" TargetMode="External"/><Relationship Id="rId148" Type="http://schemas.openxmlformats.org/officeDocument/2006/relationships/hyperlink" Target="https://ppim-intra.pea.co.th:4434/request/PPIM19500870" TargetMode="External"/><Relationship Id="rId169" Type="http://schemas.openxmlformats.org/officeDocument/2006/relationships/hyperlink" Target="https://ppim-intra.pea.co.th:4434/request/PPIM19501A27" TargetMode="External"/><Relationship Id="rId4" Type="http://schemas.openxmlformats.org/officeDocument/2006/relationships/hyperlink" Target="https://ppim-intra.pea.co.th:4434/request/PPIM185004F1" TargetMode="External"/><Relationship Id="rId180" Type="http://schemas.openxmlformats.org/officeDocument/2006/relationships/hyperlink" Target="https://ppim-intra.pea.co.th:4434/request/PPIM19501F45" TargetMode="External"/><Relationship Id="rId215" Type="http://schemas.openxmlformats.org/officeDocument/2006/relationships/hyperlink" Target="https://ppim-intra.pea.co.th:4434/request/PPIM19502EB7" TargetMode="External"/><Relationship Id="rId236" Type="http://schemas.openxmlformats.org/officeDocument/2006/relationships/hyperlink" Target="https://ppim-intra.pea.co.th:4434/request/PPIM19503A34" TargetMode="External"/><Relationship Id="rId257" Type="http://schemas.openxmlformats.org/officeDocument/2006/relationships/hyperlink" Target="https://ppim-intra.pea.co.th:4434/request/PPIM19504611" TargetMode="External"/><Relationship Id="rId278" Type="http://schemas.openxmlformats.org/officeDocument/2006/relationships/hyperlink" Target="https://ppim-intra.pea.co.th:4434/request/PPIM19504F70" TargetMode="External"/><Relationship Id="rId42" Type="http://schemas.openxmlformats.org/officeDocument/2006/relationships/hyperlink" Target="https://ppim-intra.pea.co.th:4434/request/PPIM185028F3" TargetMode="External"/><Relationship Id="rId84" Type="http://schemas.openxmlformats.org/officeDocument/2006/relationships/hyperlink" Target="https://ppim-intra.pea.co.th:4434/request/PPIM18503AAF" TargetMode="External"/><Relationship Id="rId138" Type="http://schemas.openxmlformats.org/officeDocument/2006/relationships/hyperlink" Target="https://ppim-intra.pea.co.th:4434/request/PPIM1850485E" TargetMode="External"/><Relationship Id="rId191" Type="http://schemas.openxmlformats.org/officeDocument/2006/relationships/hyperlink" Target="https://ppim-intra.pea.co.th:4434/request/PPIM195022FD" TargetMode="External"/><Relationship Id="rId205" Type="http://schemas.openxmlformats.org/officeDocument/2006/relationships/hyperlink" Target="https://ppim-intra.pea.co.th:4434/request/PPIM195027F5" TargetMode="External"/><Relationship Id="rId247" Type="http://schemas.openxmlformats.org/officeDocument/2006/relationships/hyperlink" Target="https://ppim-intra.pea.co.th:4434/request/PPIM195040B3" TargetMode="External"/><Relationship Id="rId107" Type="http://schemas.openxmlformats.org/officeDocument/2006/relationships/hyperlink" Target="https://ppim-intra.pea.co.th:4434/request/PPIM1850410D" TargetMode="External"/><Relationship Id="rId289" Type="http://schemas.openxmlformats.org/officeDocument/2006/relationships/hyperlink" Target="https://ppim-intra.pea.co.th:4434/request/PPIM19505AE4" TargetMode="External"/><Relationship Id="rId11" Type="http://schemas.openxmlformats.org/officeDocument/2006/relationships/hyperlink" Target="https://ppim-intra.pea.co.th:4434/request/PPIM18500A4B" TargetMode="External"/><Relationship Id="rId53" Type="http://schemas.openxmlformats.org/officeDocument/2006/relationships/hyperlink" Target="https://ppim-intra.pea.co.th:4434/request/PPIM18502FEE" TargetMode="External"/><Relationship Id="rId149" Type="http://schemas.openxmlformats.org/officeDocument/2006/relationships/hyperlink" Target="https://ppim-intra.pea.co.th:4434/request/PPIM195008B9" TargetMode="External"/><Relationship Id="rId95" Type="http://schemas.openxmlformats.org/officeDocument/2006/relationships/hyperlink" Target="https://ppim-intra.pea.co.th:4434/request/PPIM18503D76" TargetMode="External"/><Relationship Id="rId160" Type="http://schemas.openxmlformats.org/officeDocument/2006/relationships/hyperlink" Target="https://ppim-intra.pea.co.th:4434/request/PPIM195012E4" TargetMode="External"/><Relationship Id="rId216" Type="http://schemas.openxmlformats.org/officeDocument/2006/relationships/hyperlink" Target="https://ppim-intra.pea.co.th:4434/request/PPIM19502EBC" TargetMode="External"/><Relationship Id="rId258" Type="http://schemas.openxmlformats.org/officeDocument/2006/relationships/hyperlink" Target="https://ppim-intra.pea.co.th:4434/request/PPIM1950453E" TargetMode="External"/><Relationship Id="rId22" Type="http://schemas.openxmlformats.org/officeDocument/2006/relationships/hyperlink" Target="https://ppim-intra.pea.co.th:4434/request/PPIM18502168" TargetMode="External"/><Relationship Id="rId64" Type="http://schemas.openxmlformats.org/officeDocument/2006/relationships/hyperlink" Target="https://ppim-intra.pea.co.th:4434/request/PPIM18503597" TargetMode="External"/><Relationship Id="rId118" Type="http://schemas.openxmlformats.org/officeDocument/2006/relationships/hyperlink" Target="https://ppim-intra.pea.co.th:4434/request/PPIM185044A9" TargetMode="External"/><Relationship Id="rId171" Type="http://schemas.openxmlformats.org/officeDocument/2006/relationships/hyperlink" Target="https://ppim-intra.pea.co.th:4434/request/PPIM19501BCF" TargetMode="External"/><Relationship Id="rId227" Type="http://schemas.openxmlformats.org/officeDocument/2006/relationships/hyperlink" Target="https://ppim-intra.pea.co.th:4434/request/PPIM19503453" TargetMode="External"/><Relationship Id="rId269" Type="http://schemas.openxmlformats.org/officeDocument/2006/relationships/hyperlink" Target="https://ppim-intra.pea.co.th:4434/request/PPIM19504EA6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ppim-intra.pea.co.th:4434/request/PPIM18502808" TargetMode="External"/><Relationship Id="rId18" Type="http://schemas.openxmlformats.org/officeDocument/2006/relationships/hyperlink" Target="https://ppim-intra.pea.co.th:4434/request/PPIM185033C6" TargetMode="External"/><Relationship Id="rId26" Type="http://schemas.openxmlformats.org/officeDocument/2006/relationships/hyperlink" Target="https://ppim-intra.pea.co.th:4434/request/PPIM1850485F" TargetMode="External"/><Relationship Id="rId39" Type="http://schemas.openxmlformats.org/officeDocument/2006/relationships/hyperlink" Target="https://ppim-intra.pea.co.th:4434/request/PPIM19502B8B" TargetMode="External"/><Relationship Id="rId21" Type="http://schemas.openxmlformats.org/officeDocument/2006/relationships/hyperlink" Target="https://ppim-intra.pea.co.th:4434/request/PPIM1850428E" TargetMode="External"/><Relationship Id="rId34" Type="http://schemas.openxmlformats.org/officeDocument/2006/relationships/hyperlink" Target="https://ppim-intra.pea.co.th:4434/request/PPIM19501B24" TargetMode="External"/><Relationship Id="rId42" Type="http://schemas.openxmlformats.org/officeDocument/2006/relationships/hyperlink" Target="https://ppim-intra.pea.co.th:4434/request/PPIM19502CCF" TargetMode="External"/><Relationship Id="rId47" Type="http://schemas.openxmlformats.org/officeDocument/2006/relationships/hyperlink" Target="https://ppim-intra.pea.co.th:4434/request/PPIM19503B3D" TargetMode="External"/><Relationship Id="rId50" Type="http://schemas.openxmlformats.org/officeDocument/2006/relationships/hyperlink" Target="https://ppim-intra.pea.co.th:4434/request/PPIM19503DA8" TargetMode="External"/><Relationship Id="rId7" Type="http://schemas.openxmlformats.org/officeDocument/2006/relationships/hyperlink" Target="https://ppim-intra.pea.co.th:4434/request/PPIM1850228B" TargetMode="External"/><Relationship Id="rId2" Type="http://schemas.openxmlformats.org/officeDocument/2006/relationships/hyperlink" Target="https://ppim-intra.pea.co.th:4434/request/PPIM18501560" TargetMode="External"/><Relationship Id="rId16" Type="http://schemas.openxmlformats.org/officeDocument/2006/relationships/hyperlink" Target="https://ppim-intra.pea.co.th:4434/request/PPIM18502AC1" TargetMode="External"/><Relationship Id="rId29" Type="http://schemas.openxmlformats.org/officeDocument/2006/relationships/hyperlink" Target="https://ppim-intra.pea.co.th:4434/request/PPIM19500E4E" TargetMode="External"/><Relationship Id="rId11" Type="http://schemas.openxmlformats.org/officeDocument/2006/relationships/hyperlink" Target="https://ppim-intra.pea.co.th:4434/request/PPIM185025A1" TargetMode="External"/><Relationship Id="rId24" Type="http://schemas.openxmlformats.org/officeDocument/2006/relationships/hyperlink" Target="https://ppim-intra.pea.co.th:4434/request/PPIM18503BE1" TargetMode="External"/><Relationship Id="rId32" Type="http://schemas.openxmlformats.org/officeDocument/2006/relationships/hyperlink" Target="https://ppim-intra.pea.co.th:4434/request/PPIM19500BE8" TargetMode="External"/><Relationship Id="rId37" Type="http://schemas.openxmlformats.org/officeDocument/2006/relationships/hyperlink" Target="https://ppim-intra.pea.co.th:4434/request/PPIM19502B2B" TargetMode="External"/><Relationship Id="rId40" Type="http://schemas.openxmlformats.org/officeDocument/2006/relationships/hyperlink" Target="https://ppim-intra.pea.co.th:4434/request/PPIM19502C68" TargetMode="External"/><Relationship Id="rId45" Type="http://schemas.openxmlformats.org/officeDocument/2006/relationships/hyperlink" Target="https://ppim-intra.pea.co.th:4434/request/PPIM195032A9" TargetMode="External"/><Relationship Id="rId53" Type="http://schemas.openxmlformats.org/officeDocument/2006/relationships/hyperlink" Target="https://ppim-intra.pea.co.th:4434/request/PPIM19504F6C" TargetMode="External"/><Relationship Id="rId5" Type="http://schemas.openxmlformats.org/officeDocument/2006/relationships/hyperlink" Target="https://ppim-intra.pea.co.th:4434/request/PPIM1850217B" TargetMode="External"/><Relationship Id="rId10" Type="http://schemas.openxmlformats.org/officeDocument/2006/relationships/hyperlink" Target="https://ppim-intra.pea.co.th:4434/request/PPIM1850259E" TargetMode="External"/><Relationship Id="rId19" Type="http://schemas.openxmlformats.org/officeDocument/2006/relationships/hyperlink" Target="https://ppim-intra.pea.co.th:4434/request/PPIM18503445" TargetMode="External"/><Relationship Id="rId31" Type="http://schemas.openxmlformats.org/officeDocument/2006/relationships/hyperlink" Target="https://ppim-intra.pea.co.th:4434/request/PPIM19501098" TargetMode="External"/><Relationship Id="rId44" Type="http://schemas.openxmlformats.org/officeDocument/2006/relationships/hyperlink" Target="https://ppim-intra.pea.co.th:4434/request/PPIM19502CE4" TargetMode="External"/><Relationship Id="rId52" Type="http://schemas.openxmlformats.org/officeDocument/2006/relationships/hyperlink" Target="https://ppim-intra.pea.co.th:4434/request/PPIM1950535E" TargetMode="External"/><Relationship Id="rId4" Type="http://schemas.openxmlformats.org/officeDocument/2006/relationships/hyperlink" Target="https://ppim-intra.pea.co.th:4434/request/PPIM1850209C" TargetMode="External"/><Relationship Id="rId9" Type="http://schemas.openxmlformats.org/officeDocument/2006/relationships/hyperlink" Target="https://ppim-intra.pea.co.th:4434/request/PPIM18502580" TargetMode="External"/><Relationship Id="rId14" Type="http://schemas.openxmlformats.org/officeDocument/2006/relationships/hyperlink" Target="https://ppim-intra.pea.co.th:4434/request/PPIM18502A1F" TargetMode="External"/><Relationship Id="rId22" Type="http://schemas.openxmlformats.org/officeDocument/2006/relationships/hyperlink" Target="https://ppim-intra.pea.co.th:4434/request/PPIM185044D2" TargetMode="External"/><Relationship Id="rId27" Type="http://schemas.openxmlformats.org/officeDocument/2006/relationships/hyperlink" Target="https://ppim-intra.pea.co.th:4434/request/PPIM19500357" TargetMode="External"/><Relationship Id="rId30" Type="http://schemas.openxmlformats.org/officeDocument/2006/relationships/hyperlink" Target="https://ppim-intra.pea.co.th:4434/request/PPIM19500F62" TargetMode="External"/><Relationship Id="rId35" Type="http://schemas.openxmlformats.org/officeDocument/2006/relationships/hyperlink" Target="https://ppim-intra.pea.co.th:4434/request/PPIM19502075" TargetMode="External"/><Relationship Id="rId43" Type="http://schemas.openxmlformats.org/officeDocument/2006/relationships/hyperlink" Target="https://ppim-intra.pea.co.th:4434/request/PPIM19502CD6" TargetMode="External"/><Relationship Id="rId48" Type="http://schemas.openxmlformats.org/officeDocument/2006/relationships/hyperlink" Target="https://ppim-intra.pea.co.th:4434/request/PPIM19503EEF" TargetMode="External"/><Relationship Id="rId8" Type="http://schemas.openxmlformats.org/officeDocument/2006/relationships/hyperlink" Target="https://ppim-intra.pea.co.th:4434/request/PPIM1850228D" TargetMode="External"/><Relationship Id="rId51" Type="http://schemas.openxmlformats.org/officeDocument/2006/relationships/hyperlink" Target="https://ppim-intra.pea.co.th:4434/request/PPIM19504300" TargetMode="External"/><Relationship Id="rId3" Type="http://schemas.openxmlformats.org/officeDocument/2006/relationships/hyperlink" Target="https://ppim-intra.pea.co.th:4434/request/PPIM18502099" TargetMode="External"/><Relationship Id="rId12" Type="http://schemas.openxmlformats.org/officeDocument/2006/relationships/hyperlink" Target="https://ppim-intra.pea.co.th:4434/request/PPIM185025EF" TargetMode="External"/><Relationship Id="rId17" Type="http://schemas.openxmlformats.org/officeDocument/2006/relationships/hyperlink" Target="https://ppim-intra.pea.co.th:4434/request/PPIM1850316A" TargetMode="External"/><Relationship Id="rId25" Type="http://schemas.openxmlformats.org/officeDocument/2006/relationships/hyperlink" Target="https://ppim-intra.pea.co.th:4434/request/PPIM18503DA0" TargetMode="External"/><Relationship Id="rId33" Type="http://schemas.openxmlformats.org/officeDocument/2006/relationships/hyperlink" Target="https://ppim-intra.pea.co.th:4434/request/PPIM19501A80" TargetMode="External"/><Relationship Id="rId38" Type="http://schemas.openxmlformats.org/officeDocument/2006/relationships/hyperlink" Target="https://ppim-intra.pea.co.th:4434/request/PPIM19502A37" TargetMode="External"/><Relationship Id="rId46" Type="http://schemas.openxmlformats.org/officeDocument/2006/relationships/hyperlink" Target="https://ppim-intra.pea.co.th:4434/request/PPIM19503397" TargetMode="External"/><Relationship Id="rId20" Type="http://schemas.openxmlformats.org/officeDocument/2006/relationships/hyperlink" Target="https://ppim-intra.pea.co.th:4434/request/PPIM18504245" TargetMode="External"/><Relationship Id="rId41" Type="http://schemas.openxmlformats.org/officeDocument/2006/relationships/hyperlink" Target="https://ppim-intra.pea.co.th:4434/request/PPIM19502CC9" TargetMode="External"/><Relationship Id="rId54" Type="http://schemas.openxmlformats.org/officeDocument/2006/relationships/hyperlink" Target="https://ppim-intra.pea.co.th:4434/request/PPIM19505C8A" TargetMode="External"/><Relationship Id="rId1" Type="http://schemas.openxmlformats.org/officeDocument/2006/relationships/hyperlink" Target="https://ppim-intra.pea.co.th:4434/request/PPIM185017FA" TargetMode="External"/><Relationship Id="rId6" Type="http://schemas.openxmlformats.org/officeDocument/2006/relationships/hyperlink" Target="https://ppim-intra.pea.co.th:4434/request/PPIM18502287" TargetMode="External"/><Relationship Id="rId15" Type="http://schemas.openxmlformats.org/officeDocument/2006/relationships/hyperlink" Target="https://ppim-intra.pea.co.th:4434/request/PPIM18502A7C" TargetMode="External"/><Relationship Id="rId23" Type="http://schemas.openxmlformats.org/officeDocument/2006/relationships/hyperlink" Target="https://ppim-intra.pea.co.th:4434/request/PPIM185046D8" TargetMode="External"/><Relationship Id="rId28" Type="http://schemas.openxmlformats.org/officeDocument/2006/relationships/hyperlink" Target="https://ppim-intra.pea.co.th:4434/request/PPIM18503F93" TargetMode="External"/><Relationship Id="rId36" Type="http://schemas.openxmlformats.org/officeDocument/2006/relationships/hyperlink" Target="https://ppim-intra.pea.co.th:4434/request/PPIM19502A32" TargetMode="External"/><Relationship Id="rId49" Type="http://schemas.openxmlformats.org/officeDocument/2006/relationships/hyperlink" Target="https://ppim-intra.pea.co.th:4434/request/PPIM195046A0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3739" TargetMode="External"/><Relationship Id="rId21" Type="http://schemas.openxmlformats.org/officeDocument/2006/relationships/hyperlink" Target="https://ppim-intra.pea.co.th:4434/request/PPIM18502D42" TargetMode="External"/><Relationship Id="rId42" Type="http://schemas.openxmlformats.org/officeDocument/2006/relationships/hyperlink" Target="https://ppim-intra.pea.co.th:4434/request/PPIM1850493F" TargetMode="External"/><Relationship Id="rId47" Type="http://schemas.openxmlformats.org/officeDocument/2006/relationships/hyperlink" Target="https://ppim-intra.pea.co.th:4434/request/PPIM1950058B" TargetMode="External"/><Relationship Id="rId63" Type="http://schemas.openxmlformats.org/officeDocument/2006/relationships/hyperlink" Target="https://ppim-intra.pea.co.th:4434/request/PPIM195042A3" TargetMode="External"/><Relationship Id="rId68" Type="http://schemas.openxmlformats.org/officeDocument/2006/relationships/hyperlink" Target="https://ppim-intra.pea.co.th:4434/request/PPIM195056CB" TargetMode="External"/><Relationship Id="rId16" Type="http://schemas.openxmlformats.org/officeDocument/2006/relationships/hyperlink" Target="https://ppim-intra.pea.co.th:4434/request/PPIM185026BF" TargetMode="External"/><Relationship Id="rId11" Type="http://schemas.openxmlformats.org/officeDocument/2006/relationships/hyperlink" Target="https://ppim-intra.pea.co.th:4434/request/PPIM18501677" TargetMode="External"/><Relationship Id="rId24" Type="http://schemas.openxmlformats.org/officeDocument/2006/relationships/hyperlink" Target="https://ppim-intra.pea.co.th:4434/request/PPIM185030D2" TargetMode="External"/><Relationship Id="rId32" Type="http://schemas.openxmlformats.org/officeDocument/2006/relationships/hyperlink" Target="https://ppim-intra.pea.co.th:4434/request/PPIM18503EF2" TargetMode="External"/><Relationship Id="rId37" Type="http://schemas.openxmlformats.org/officeDocument/2006/relationships/hyperlink" Target="https://ppim-intra.pea.co.th:4434/request/PPIM185043B0" TargetMode="External"/><Relationship Id="rId40" Type="http://schemas.openxmlformats.org/officeDocument/2006/relationships/hyperlink" Target="https://ppim-intra.pea.co.th:4434/request/PPIM185041CA" TargetMode="External"/><Relationship Id="rId45" Type="http://schemas.openxmlformats.org/officeDocument/2006/relationships/hyperlink" Target="https://ppim-intra.pea.co.th:4434/request/PPIM19500786" TargetMode="External"/><Relationship Id="rId53" Type="http://schemas.openxmlformats.org/officeDocument/2006/relationships/hyperlink" Target="https://ppim-intra.pea.co.th:4434/request/PPIM19502C30" TargetMode="External"/><Relationship Id="rId58" Type="http://schemas.openxmlformats.org/officeDocument/2006/relationships/hyperlink" Target="https://ppim-intra.pea.co.th:4434/request/PPIM1950418A" TargetMode="External"/><Relationship Id="rId66" Type="http://schemas.openxmlformats.org/officeDocument/2006/relationships/hyperlink" Target="https://ppim-intra.pea.co.th:4434/request/PPIM19504CCB" TargetMode="External"/><Relationship Id="rId74" Type="http://schemas.openxmlformats.org/officeDocument/2006/relationships/hyperlink" Target="https://ppim-intra.pea.co.th:4434/request/PPIM19505C9D" TargetMode="External"/><Relationship Id="rId5" Type="http://schemas.openxmlformats.org/officeDocument/2006/relationships/hyperlink" Target="https://ppim-intra.pea.co.th:4434/request/PPIM18501863" TargetMode="External"/><Relationship Id="rId61" Type="http://schemas.openxmlformats.org/officeDocument/2006/relationships/hyperlink" Target="https://ppim-intra.pea.co.th:4434/request/PPIM19504679" TargetMode="External"/><Relationship Id="rId19" Type="http://schemas.openxmlformats.org/officeDocument/2006/relationships/hyperlink" Target="https://ppim-intra.pea.co.th:4434/request/PPIM1850243A" TargetMode="External"/><Relationship Id="rId14" Type="http://schemas.openxmlformats.org/officeDocument/2006/relationships/hyperlink" Target="https://ppim-intra.pea.co.th:4434/request/PPIM1850265C" TargetMode="External"/><Relationship Id="rId22" Type="http://schemas.openxmlformats.org/officeDocument/2006/relationships/hyperlink" Target="https://ppim-intra.pea.co.th:4434/request/PPIM18502B7D" TargetMode="External"/><Relationship Id="rId27" Type="http://schemas.openxmlformats.org/officeDocument/2006/relationships/hyperlink" Target="https://ppim-intra.pea.co.th:4434/request/PPIM18503766" TargetMode="External"/><Relationship Id="rId30" Type="http://schemas.openxmlformats.org/officeDocument/2006/relationships/hyperlink" Target="https://ppim-intra.pea.co.th:4434/request/PPIM18503BF3" TargetMode="External"/><Relationship Id="rId35" Type="http://schemas.openxmlformats.org/officeDocument/2006/relationships/hyperlink" Target="https://ppim-intra.pea.co.th:4434/request/PPIM18504151" TargetMode="External"/><Relationship Id="rId43" Type="http://schemas.openxmlformats.org/officeDocument/2006/relationships/hyperlink" Target="https://ppim-intra.pea.co.th:4434/request/PPIM19500C39" TargetMode="External"/><Relationship Id="rId48" Type="http://schemas.openxmlformats.org/officeDocument/2006/relationships/hyperlink" Target="https://ppim-intra.pea.co.th:4434/request/PPIM19501AF4" TargetMode="External"/><Relationship Id="rId56" Type="http://schemas.openxmlformats.org/officeDocument/2006/relationships/hyperlink" Target="https://ppim-intra.pea.co.th:4434/request/PPIM19503DE0" TargetMode="External"/><Relationship Id="rId64" Type="http://schemas.openxmlformats.org/officeDocument/2006/relationships/hyperlink" Target="https://ppim-intra.pea.co.th:4434/request/PPIM19503C92" TargetMode="External"/><Relationship Id="rId69" Type="http://schemas.openxmlformats.org/officeDocument/2006/relationships/hyperlink" Target="https://ppim-intra.pea.co.th:4434/request/PPIM19505786" TargetMode="External"/><Relationship Id="rId77" Type="http://schemas.openxmlformats.org/officeDocument/2006/relationships/control" Target="../activeX/activeX13.xml"/><Relationship Id="rId8" Type="http://schemas.openxmlformats.org/officeDocument/2006/relationships/hyperlink" Target="https://ppim-intra.pea.co.th:4434/request/PPIM18501B36" TargetMode="External"/><Relationship Id="rId51" Type="http://schemas.openxmlformats.org/officeDocument/2006/relationships/hyperlink" Target="https://ppim-intra.pea.co.th:4434/request/PPIM19501E28" TargetMode="External"/><Relationship Id="rId72" Type="http://schemas.openxmlformats.org/officeDocument/2006/relationships/hyperlink" Target="https://ppim-intra.pea.co.th:4434/request/PPIM19505BA0" TargetMode="External"/><Relationship Id="rId3" Type="http://schemas.openxmlformats.org/officeDocument/2006/relationships/hyperlink" Target="https://ppim-intra.pea.co.th:4434/request/PPIM185011D2" TargetMode="External"/><Relationship Id="rId12" Type="http://schemas.openxmlformats.org/officeDocument/2006/relationships/hyperlink" Target="https://ppim-intra.pea.co.th:4434/request/PPIM18502638" TargetMode="External"/><Relationship Id="rId17" Type="http://schemas.openxmlformats.org/officeDocument/2006/relationships/hyperlink" Target="https://ppim-intra.pea.co.th:4434/request/PPIM185026E5" TargetMode="External"/><Relationship Id="rId25" Type="http://schemas.openxmlformats.org/officeDocument/2006/relationships/hyperlink" Target="https://ppim-intra.pea.co.th:4434/request/PPIM18503236" TargetMode="External"/><Relationship Id="rId33" Type="http://schemas.openxmlformats.org/officeDocument/2006/relationships/hyperlink" Target="https://ppim-intra.pea.co.th:4434/request/PPIM185040B4" TargetMode="External"/><Relationship Id="rId38" Type="http://schemas.openxmlformats.org/officeDocument/2006/relationships/hyperlink" Target="https://ppim-intra.pea.co.th:4434/request/PPIM1850445B" TargetMode="External"/><Relationship Id="rId46" Type="http://schemas.openxmlformats.org/officeDocument/2006/relationships/hyperlink" Target="https://ppim-intra.pea.co.th:4434/request/PPIM19500A69" TargetMode="External"/><Relationship Id="rId59" Type="http://schemas.openxmlformats.org/officeDocument/2006/relationships/hyperlink" Target="https://ppim-intra.pea.co.th:4434/request/PPIM1950370B" TargetMode="External"/><Relationship Id="rId67" Type="http://schemas.openxmlformats.org/officeDocument/2006/relationships/hyperlink" Target="https://ppim-intra.pea.co.th:4434/request/PPIM195049D8" TargetMode="External"/><Relationship Id="rId20" Type="http://schemas.openxmlformats.org/officeDocument/2006/relationships/hyperlink" Target="https://ppim-intra.pea.co.th:4434/request/PPIM18502C1B" TargetMode="External"/><Relationship Id="rId41" Type="http://schemas.openxmlformats.org/officeDocument/2006/relationships/hyperlink" Target="https://ppim-intra.pea.co.th:4434/request/PPIM195006F4" TargetMode="External"/><Relationship Id="rId54" Type="http://schemas.openxmlformats.org/officeDocument/2006/relationships/hyperlink" Target="https://ppim-intra.pea.co.th:4434/request/PPIM19502D5E" TargetMode="External"/><Relationship Id="rId62" Type="http://schemas.openxmlformats.org/officeDocument/2006/relationships/hyperlink" Target="https://ppim-intra.pea.co.th:4434/request/PPIM1950479D" TargetMode="External"/><Relationship Id="rId70" Type="http://schemas.openxmlformats.org/officeDocument/2006/relationships/hyperlink" Target="https://ppim-intra.pea.co.th:4434/request/PPIM1950589A" TargetMode="External"/><Relationship Id="rId75" Type="http://schemas.openxmlformats.org/officeDocument/2006/relationships/drawing" Target="../drawings/drawing14.xml"/><Relationship Id="rId1" Type="http://schemas.openxmlformats.org/officeDocument/2006/relationships/hyperlink" Target="https://ppim-intra.pea.co.th:4434/request/PPIM185002D2" TargetMode="External"/><Relationship Id="rId6" Type="http://schemas.openxmlformats.org/officeDocument/2006/relationships/hyperlink" Target="https://ppim-intra.pea.co.th:4434/request/PPIM18501876" TargetMode="External"/><Relationship Id="rId15" Type="http://schemas.openxmlformats.org/officeDocument/2006/relationships/hyperlink" Target="https://ppim-intra.pea.co.th:4434/request/PPIM185026B9" TargetMode="External"/><Relationship Id="rId23" Type="http://schemas.openxmlformats.org/officeDocument/2006/relationships/hyperlink" Target="https://ppim-intra.pea.co.th:4434/request/PPIM18503036" TargetMode="External"/><Relationship Id="rId28" Type="http://schemas.openxmlformats.org/officeDocument/2006/relationships/hyperlink" Target="https://ppim-intra.pea.co.th:4434/request/PPIM1850385B" TargetMode="External"/><Relationship Id="rId36" Type="http://schemas.openxmlformats.org/officeDocument/2006/relationships/hyperlink" Target="https://ppim-intra.pea.co.th:4434/request/PPIM18503C0C" TargetMode="External"/><Relationship Id="rId49" Type="http://schemas.openxmlformats.org/officeDocument/2006/relationships/hyperlink" Target="https://ppim-intra.pea.co.th:4434/request/PPIM19500E0C" TargetMode="External"/><Relationship Id="rId57" Type="http://schemas.openxmlformats.org/officeDocument/2006/relationships/hyperlink" Target="https://ppim-intra.pea.co.th:4434/request/PPIM19503F37" TargetMode="External"/><Relationship Id="rId10" Type="http://schemas.openxmlformats.org/officeDocument/2006/relationships/hyperlink" Target="https://ppim-intra.pea.co.th:4434/request/PPIM18501667" TargetMode="External"/><Relationship Id="rId31" Type="http://schemas.openxmlformats.org/officeDocument/2006/relationships/hyperlink" Target="https://ppim-intra.pea.co.th:4434/request/PPIM18503C75" TargetMode="External"/><Relationship Id="rId44" Type="http://schemas.openxmlformats.org/officeDocument/2006/relationships/hyperlink" Target="https://ppim-intra.pea.co.th:4434/request/PPIM19500C49" TargetMode="External"/><Relationship Id="rId52" Type="http://schemas.openxmlformats.org/officeDocument/2006/relationships/hyperlink" Target="https://ppim-intra.pea.co.th:4434/request/PPIM19503414" TargetMode="External"/><Relationship Id="rId60" Type="http://schemas.openxmlformats.org/officeDocument/2006/relationships/hyperlink" Target="https://ppim-intra.pea.co.th:4434/request/PPIM19503558" TargetMode="External"/><Relationship Id="rId65" Type="http://schemas.openxmlformats.org/officeDocument/2006/relationships/hyperlink" Target="https://ppim-intra.pea.co.th:4434/request/PPIM195032CB" TargetMode="External"/><Relationship Id="rId73" Type="http://schemas.openxmlformats.org/officeDocument/2006/relationships/hyperlink" Target="https://ppim-intra.pea.co.th:4434/request/PPIM19505C93" TargetMode="External"/><Relationship Id="rId78" Type="http://schemas.openxmlformats.org/officeDocument/2006/relationships/image" Target="../media/image3.emf"/><Relationship Id="rId4" Type="http://schemas.openxmlformats.org/officeDocument/2006/relationships/hyperlink" Target="https://ppim-intra.pea.co.th:4434/request/PPIM18501320" TargetMode="External"/><Relationship Id="rId9" Type="http://schemas.openxmlformats.org/officeDocument/2006/relationships/hyperlink" Target="https://ppim-intra.pea.co.th:4434/request/PPIM185019F7" TargetMode="External"/><Relationship Id="rId13" Type="http://schemas.openxmlformats.org/officeDocument/2006/relationships/hyperlink" Target="https://ppim-intra.pea.co.th:4434/request/PPIM1850264F" TargetMode="External"/><Relationship Id="rId18" Type="http://schemas.openxmlformats.org/officeDocument/2006/relationships/hyperlink" Target="https://ppim-intra.pea.co.th:4434/request/PPIM185026E6" TargetMode="External"/><Relationship Id="rId39" Type="http://schemas.openxmlformats.org/officeDocument/2006/relationships/hyperlink" Target="https://ppim-intra.pea.co.th:4434/request/PPIM1950037B" TargetMode="External"/><Relationship Id="rId34" Type="http://schemas.openxmlformats.org/officeDocument/2006/relationships/hyperlink" Target="https://ppim-intra.pea.co.th:4434/request/PPIM18503F9B" TargetMode="External"/><Relationship Id="rId50" Type="http://schemas.openxmlformats.org/officeDocument/2006/relationships/hyperlink" Target="https://ppim-intra.pea.co.th:4434/request/PPIM19501FDF" TargetMode="External"/><Relationship Id="rId55" Type="http://schemas.openxmlformats.org/officeDocument/2006/relationships/hyperlink" Target="https://ppim-intra.pea.co.th:4434/request/PPIM19503870" TargetMode="External"/><Relationship Id="rId76" Type="http://schemas.openxmlformats.org/officeDocument/2006/relationships/vmlDrawing" Target="../drawings/vmlDrawing13.vml"/><Relationship Id="rId7" Type="http://schemas.openxmlformats.org/officeDocument/2006/relationships/hyperlink" Target="https://ppim-intra.pea.co.th:4434/request/PPIM18501B18" TargetMode="External"/><Relationship Id="rId71" Type="http://schemas.openxmlformats.org/officeDocument/2006/relationships/hyperlink" Target="https://ppim-intra.pea.co.th:4434/request/PPIM19505B55" TargetMode="External"/><Relationship Id="rId2" Type="http://schemas.openxmlformats.org/officeDocument/2006/relationships/hyperlink" Target="https://ppim-intra.pea.co.th:4434/request/PPIM18500B08" TargetMode="External"/><Relationship Id="rId29" Type="http://schemas.openxmlformats.org/officeDocument/2006/relationships/hyperlink" Target="https://ppim-intra.pea.co.th:4434/request/PPIM18503B4F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im-intra.pea.co.th:4434/request/PPIM19500CD1" TargetMode="External"/><Relationship Id="rId21" Type="http://schemas.openxmlformats.org/officeDocument/2006/relationships/hyperlink" Target="https://ppim-intra.pea.co.th:4434/request/PPIM18501A4F" TargetMode="External"/><Relationship Id="rId42" Type="http://schemas.openxmlformats.org/officeDocument/2006/relationships/hyperlink" Target="https://ppim-intra.pea.co.th:4434/request/PPIM185022AE" TargetMode="External"/><Relationship Id="rId63" Type="http://schemas.openxmlformats.org/officeDocument/2006/relationships/hyperlink" Target="https://ppim-intra.pea.co.th:4434/request/PPIM1850355B" TargetMode="External"/><Relationship Id="rId84" Type="http://schemas.openxmlformats.org/officeDocument/2006/relationships/hyperlink" Target="https://ppim-intra.pea.co.th:4434/request/PPIM18503D25" TargetMode="External"/><Relationship Id="rId138" Type="http://schemas.openxmlformats.org/officeDocument/2006/relationships/hyperlink" Target="https://ppim-intra.pea.co.th:4434/request/PPIM19501A82" TargetMode="External"/><Relationship Id="rId159" Type="http://schemas.openxmlformats.org/officeDocument/2006/relationships/hyperlink" Target="https://ppim-intra.pea.co.th:4434/request/PPIM195031FB" TargetMode="External"/><Relationship Id="rId170" Type="http://schemas.openxmlformats.org/officeDocument/2006/relationships/hyperlink" Target="https://ppim-intra.pea.co.th:4434/request/PPIM19503B3F" TargetMode="External"/><Relationship Id="rId191" Type="http://schemas.openxmlformats.org/officeDocument/2006/relationships/hyperlink" Target="https://ppim-intra.pea.co.th:4434/request/PPIM19504D38" TargetMode="External"/><Relationship Id="rId205" Type="http://schemas.openxmlformats.org/officeDocument/2006/relationships/hyperlink" Target="https://ppim-intra.pea.co.th:4434/request/PPIM19505851" TargetMode="External"/><Relationship Id="rId107" Type="http://schemas.openxmlformats.org/officeDocument/2006/relationships/hyperlink" Target="https://ppim-intra.pea.co.th:4434/request/PPIM195002A1" TargetMode="External"/><Relationship Id="rId11" Type="http://schemas.openxmlformats.org/officeDocument/2006/relationships/hyperlink" Target="https://ppim-intra.pea.co.th:4434/request/PPIM18500F26" TargetMode="External"/><Relationship Id="rId32" Type="http://schemas.openxmlformats.org/officeDocument/2006/relationships/hyperlink" Target="https://ppim-intra.pea.co.th:4434/request/PPIM18501CD7" TargetMode="External"/><Relationship Id="rId53" Type="http://schemas.openxmlformats.org/officeDocument/2006/relationships/hyperlink" Target="https://ppim-intra.pea.co.th:4434/request/PPIM18502BEE" TargetMode="External"/><Relationship Id="rId74" Type="http://schemas.openxmlformats.org/officeDocument/2006/relationships/hyperlink" Target="https://ppim-intra.pea.co.th:4434/request/PPIM18503B10" TargetMode="External"/><Relationship Id="rId128" Type="http://schemas.openxmlformats.org/officeDocument/2006/relationships/hyperlink" Target="https://ppim-intra.pea.co.th:4434/request/PPIM19501738" TargetMode="External"/><Relationship Id="rId149" Type="http://schemas.openxmlformats.org/officeDocument/2006/relationships/hyperlink" Target="https://ppim-intra.pea.co.th:4434/request/PPIM19502B08" TargetMode="External"/><Relationship Id="rId5" Type="http://schemas.openxmlformats.org/officeDocument/2006/relationships/hyperlink" Target="https://ppim-intra.pea.co.th:4434/request/PPIM185007F3" TargetMode="External"/><Relationship Id="rId95" Type="http://schemas.openxmlformats.org/officeDocument/2006/relationships/hyperlink" Target="https://ppim-intra.pea.co.th:4434/request/PPIM18504299" TargetMode="External"/><Relationship Id="rId160" Type="http://schemas.openxmlformats.org/officeDocument/2006/relationships/hyperlink" Target="https://ppim-intra.pea.co.th:4434/request/PPIM19503289" TargetMode="External"/><Relationship Id="rId181" Type="http://schemas.openxmlformats.org/officeDocument/2006/relationships/hyperlink" Target="https://ppim-intra.pea.co.th:4434/request/PPIM195045C4" TargetMode="External"/><Relationship Id="rId216" Type="http://schemas.openxmlformats.org/officeDocument/2006/relationships/drawing" Target="../drawings/drawing15.xml"/><Relationship Id="rId22" Type="http://schemas.openxmlformats.org/officeDocument/2006/relationships/hyperlink" Target="https://ppim-intra.pea.co.th:4434/request/PPIM18501A98" TargetMode="External"/><Relationship Id="rId43" Type="http://schemas.openxmlformats.org/officeDocument/2006/relationships/hyperlink" Target="https://ppim-intra.pea.co.th:4434/request/PPIM185014EC" TargetMode="External"/><Relationship Id="rId64" Type="http://schemas.openxmlformats.org/officeDocument/2006/relationships/hyperlink" Target="https://ppim-intra.pea.co.th:4434/request/PPIM18502096" TargetMode="External"/><Relationship Id="rId118" Type="http://schemas.openxmlformats.org/officeDocument/2006/relationships/hyperlink" Target="https://ppim-intra.pea.co.th:4434/request/PPIM19500D3A" TargetMode="External"/><Relationship Id="rId139" Type="http://schemas.openxmlformats.org/officeDocument/2006/relationships/hyperlink" Target="https://ppim-intra.pea.co.th:4434/request/PPIM19500CF6" TargetMode="External"/><Relationship Id="rId85" Type="http://schemas.openxmlformats.org/officeDocument/2006/relationships/hyperlink" Target="https://ppim-intra.pea.co.th:4434/request/PPIM18503D2C" TargetMode="External"/><Relationship Id="rId150" Type="http://schemas.openxmlformats.org/officeDocument/2006/relationships/hyperlink" Target="https://ppim-intra.pea.co.th:4434/request/PPIM19502B23" TargetMode="External"/><Relationship Id="rId171" Type="http://schemas.openxmlformats.org/officeDocument/2006/relationships/hyperlink" Target="https://ppim-intra.pea.co.th:4434/request/PPIM19503B77" TargetMode="External"/><Relationship Id="rId192" Type="http://schemas.openxmlformats.org/officeDocument/2006/relationships/hyperlink" Target="https://ppim-intra.pea.co.th:4434/request/PPIM19504E0C" TargetMode="External"/><Relationship Id="rId206" Type="http://schemas.openxmlformats.org/officeDocument/2006/relationships/hyperlink" Target="https://ppim-intra.pea.co.th:4434/request/PPIM19505928" TargetMode="External"/><Relationship Id="rId12" Type="http://schemas.openxmlformats.org/officeDocument/2006/relationships/hyperlink" Target="https://ppim-intra.pea.co.th:4434/request/PPIM185010E8" TargetMode="External"/><Relationship Id="rId33" Type="http://schemas.openxmlformats.org/officeDocument/2006/relationships/hyperlink" Target="https://ppim-intra.pea.co.th:4434/request/PPIM1850203B" TargetMode="External"/><Relationship Id="rId108" Type="http://schemas.openxmlformats.org/officeDocument/2006/relationships/hyperlink" Target="https://ppim-intra.pea.co.th:4434/request/PPIM19500346" TargetMode="External"/><Relationship Id="rId129" Type="http://schemas.openxmlformats.org/officeDocument/2006/relationships/hyperlink" Target="https://ppim-intra.pea.co.th:4434/request/PPIM18503887" TargetMode="External"/><Relationship Id="rId54" Type="http://schemas.openxmlformats.org/officeDocument/2006/relationships/hyperlink" Target="https://ppim-intra.pea.co.th:4434/request/PPIM18502CF7" TargetMode="External"/><Relationship Id="rId75" Type="http://schemas.openxmlformats.org/officeDocument/2006/relationships/hyperlink" Target="https://ppim-intra.pea.co.th:4434/request/PPIM18503B13" TargetMode="External"/><Relationship Id="rId96" Type="http://schemas.openxmlformats.org/officeDocument/2006/relationships/hyperlink" Target="https://ppim-intra.pea.co.th:4434/request/PPIM185042B7" TargetMode="External"/><Relationship Id="rId140" Type="http://schemas.openxmlformats.org/officeDocument/2006/relationships/hyperlink" Target="https://ppim-intra.pea.co.th:4434/request/PPIM195013A8" TargetMode="External"/><Relationship Id="rId161" Type="http://schemas.openxmlformats.org/officeDocument/2006/relationships/hyperlink" Target="https://ppim-intra.pea.co.th:4434/request/PPIM1950340F" TargetMode="External"/><Relationship Id="rId182" Type="http://schemas.openxmlformats.org/officeDocument/2006/relationships/hyperlink" Target="https://ppim-intra.pea.co.th:4434/request/PPIM195046F0" TargetMode="External"/><Relationship Id="rId217" Type="http://schemas.openxmlformats.org/officeDocument/2006/relationships/vmlDrawing" Target="../drawings/vmlDrawing14.vml"/><Relationship Id="rId6" Type="http://schemas.openxmlformats.org/officeDocument/2006/relationships/hyperlink" Target="https://ppim-intra.pea.co.th:4434/request/PPIM185009F6" TargetMode="External"/><Relationship Id="rId23" Type="http://schemas.openxmlformats.org/officeDocument/2006/relationships/hyperlink" Target="https://ppim-intra.pea.co.th:4434/request/PPIM18500DFF" TargetMode="External"/><Relationship Id="rId119" Type="http://schemas.openxmlformats.org/officeDocument/2006/relationships/hyperlink" Target="https://ppim-intra.pea.co.th:4434/request/PPIM19500EF3" TargetMode="External"/><Relationship Id="rId44" Type="http://schemas.openxmlformats.org/officeDocument/2006/relationships/hyperlink" Target="https://ppim-intra.pea.co.th:4434/request/PPIM18502528" TargetMode="External"/><Relationship Id="rId65" Type="http://schemas.openxmlformats.org/officeDocument/2006/relationships/hyperlink" Target="https://ppim-intra.pea.co.th:4434/request/PPIM185029A3" TargetMode="External"/><Relationship Id="rId86" Type="http://schemas.openxmlformats.org/officeDocument/2006/relationships/hyperlink" Target="https://ppim-intra.pea.co.th:4434/request/PPIM18503D96" TargetMode="External"/><Relationship Id="rId130" Type="http://schemas.openxmlformats.org/officeDocument/2006/relationships/hyperlink" Target="https://ppim-intra.pea.co.th:4434/request/PPIM195003F1" TargetMode="External"/><Relationship Id="rId151" Type="http://schemas.openxmlformats.org/officeDocument/2006/relationships/hyperlink" Target="https://ppim-intra.pea.co.th:4434/request/PPIM19502D29" TargetMode="External"/><Relationship Id="rId172" Type="http://schemas.openxmlformats.org/officeDocument/2006/relationships/hyperlink" Target="https://ppim-intra.pea.co.th:4434/request/PPIM19503F3A" TargetMode="External"/><Relationship Id="rId193" Type="http://schemas.openxmlformats.org/officeDocument/2006/relationships/hyperlink" Target="https://ppim-intra.pea.co.th:4434/request/PPIM19504FA5" TargetMode="External"/><Relationship Id="rId207" Type="http://schemas.openxmlformats.org/officeDocument/2006/relationships/hyperlink" Target="https://ppim-intra.pea.co.th:4434/request/PPIM1950592D" TargetMode="External"/><Relationship Id="rId13" Type="http://schemas.openxmlformats.org/officeDocument/2006/relationships/hyperlink" Target="https://ppim-intra.pea.co.th:4434/request/PPIM1850113D" TargetMode="External"/><Relationship Id="rId109" Type="http://schemas.openxmlformats.org/officeDocument/2006/relationships/hyperlink" Target="https://ppim-intra.pea.co.th:4434/request/PPIM195003B6" TargetMode="External"/><Relationship Id="rId34" Type="http://schemas.openxmlformats.org/officeDocument/2006/relationships/hyperlink" Target="https://ppim-intra.pea.co.th:4434/request/PPIM18502072" TargetMode="External"/><Relationship Id="rId55" Type="http://schemas.openxmlformats.org/officeDocument/2006/relationships/hyperlink" Target="https://ppim-intra.pea.co.th:4434/request/PPIM18502EAE" TargetMode="External"/><Relationship Id="rId76" Type="http://schemas.openxmlformats.org/officeDocument/2006/relationships/hyperlink" Target="https://ppim-intra.pea.co.th:4434/request/PPIM18503B86" TargetMode="External"/><Relationship Id="rId97" Type="http://schemas.openxmlformats.org/officeDocument/2006/relationships/hyperlink" Target="https://ppim-intra.pea.co.th:4434/request/PPIM185043E3" TargetMode="External"/><Relationship Id="rId120" Type="http://schemas.openxmlformats.org/officeDocument/2006/relationships/hyperlink" Target="https://ppim-intra.pea.co.th:4434/request/PPIM1950100E" TargetMode="External"/><Relationship Id="rId141" Type="http://schemas.openxmlformats.org/officeDocument/2006/relationships/hyperlink" Target="https://ppim-intra.pea.co.th:4434/request/PPIM19501C9A" TargetMode="External"/><Relationship Id="rId7" Type="http://schemas.openxmlformats.org/officeDocument/2006/relationships/hyperlink" Target="https://ppim-intra.pea.co.th:4434/request/PPIM185005A9" TargetMode="External"/><Relationship Id="rId162" Type="http://schemas.openxmlformats.org/officeDocument/2006/relationships/hyperlink" Target="https://ppim-intra.pea.co.th:4434/request/PPIM1950362E" TargetMode="External"/><Relationship Id="rId183" Type="http://schemas.openxmlformats.org/officeDocument/2006/relationships/hyperlink" Target="https://ppim-intra.pea.co.th:4434/request/PPIM195047F3" TargetMode="External"/><Relationship Id="rId218" Type="http://schemas.openxmlformats.org/officeDocument/2006/relationships/control" Target="../activeX/activeX14.xml"/><Relationship Id="rId24" Type="http://schemas.openxmlformats.org/officeDocument/2006/relationships/hyperlink" Target="https://ppim-intra.pea.co.th:4434/request/PPIM18501F36" TargetMode="External"/><Relationship Id="rId45" Type="http://schemas.openxmlformats.org/officeDocument/2006/relationships/hyperlink" Target="https://ppim-intra.pea.co.th:4434/request/PPIM18502529" TargetMode="External"/><Relationship Id="rId66" Type="http://schemas.openxmlformats.org/officeDocument/2006/relationships/hyperlink" Target="https://ppim-intra.pea.co.th:4434/request/PPIM185038C1" TargetMode="External"/><Relationship Id="rId87" Type="http://schemas.openxmlformats.org/officeDocument/2006/relationships/hyperlink" Target="https://ppim-intra.pea.co.th:4434/request/PPIM18503DE5" TargetMode="External"/><Relationship Id="rId110" Type="http://schemas.openxmlformats.org/officeDocument/2006/relationships/hyperlink" Target="https://ppim-intra.pea.co.th:4434/request/PPIM19500460" TargetMode="External"/><Relationship Id="rId131" Type="http://schemas.openxmlformats.org/officeDocument/2006/relationships/hyperlink" Target="https://ppim-intra.pea.co.th:4434/request/PPIM19500F89" TargetMode="External"/><Relationship Id="rId152" Type="http://schemas.openxmlformats.org/officeDocument/2006/relationships/hyperlink" Target="https://ppim-intra.pea.co.th:4434/request/PPIM185039DE" TargetMode="External"/><Relationship Id="rId173" Type="http://schemas.openxmlformats.org/officeDocument/2006/relationships/hyperlink" Target="https://ppim-intra.pea.co.th:4434/request/PPIM19503F88" TargetMode="External"/><Relationship Id="rId194" Type="http://schemas.openxmlformats.org/officeDocument/2006/relationships/hyperlink" Target="https://ppim-intra.pea.co.th:4434/request/PPIM19504C8A" TargetMode="External"/><Relationship Id="rId208" Type="http://schemas.openxmlformats.org/officeDocument/2006/relationships/hyperlink" Target="https://ppim-intra.pea.co.th:4434/request/PPIM19505930" TargetMode="External"/><Relationship Id="rId14" Type="http://schemas.openxmlformats.org/officeDocument/2006/relationships/hyperlink" Target="https://ppim-intra.pea.co.th:4434/request/PPIM18501765" TargetMode="External"/><Relationship Id="rId30" Type="http://schemas.openxmlformats.org/officeDocument/2006/relationships/hyperlink" Target="https://ppim-intra.pea.co.th:4434/request/PPIM18500A1E" TargetMode="External"/><Relationship Id="rId35" Type="http://schemas.openxmlformats.org/officeDocument/2006/relationships/hyperlink" Target="https://ppim-intra.pea.co.th:4434/request/PPIM1850207F" TargetMode="External"/><Relationship Id="rId56" Type="http://schemas.openxmlformats.org/officeDocument/2006/relationships/hyperlink" Target="https://ppim-intra.pea.co.th:4434/request/PPIM1850310D" TargetMode="External"/><Relationship Id="rId77" Type="http://schemas.openxmlformats.org/officeDocument/2006/relationships/hyperlink" Target="https://ppim-intra.pea.co.th:4434/request/PPIM18503BB0" TargetMode="External"/><Relationship Id="rId100" Type="http://schemas.openxmlformats.org/officeDocument/2006/relationships/hyperlink" Target="https://ppim-intra.pea.co.th:4434/request/PPIM18504500" TargetMode="External"/><Relationship Id="rId105" Type="http://schemas.openxmlformats.org/officeDocument/2006/relationships/hyperlink" Target="https://ppim-intra.pea.co.th:4434/request/PPIM1950014E" TargetMode="External"/><Relationship Id="rId126" Type="http://schemas.openxmlformats.org/officeDocument/2006/relationships/hyperlink" Target="https://ppim-intra.pea.co.th:4434/request/PPIM195015A7" TargetMode="External"/><Relationship Id="rId147" Type="http://schemas.openxmlformats.org/officeDocument/2006/relationships/hyperlink" Target="https://ppim-intra.pea.co.th:4434/request/PPIM19502664" TargetMode="External"/><Relationship Id="rId168" Type="http://schemas.openxmlformats.org/officeDocument/2006/relationships/hyperlink" Target="https://ppim-intra.pea.co.th:4434/request/PPIM19503886" TargetMode="External"/><Relationship Id="rId8" Type="http://schemas.openxmlformats.org/officeDocument/2006/relationships/hyperlink" Target="https://ppim-intra.pea.co.th:4434/request/PPIM18500B80" TargetMode="External"/><Relationship Id="rId51" Type="http://schemas.openxmlformats.org/officeDocument/2006/relationships/hyperlink" Target="https://ppim-intra.pea.co.th:4434/request/PPIM18502E70" TargetMode="External"/><Relationship Id="rId72" Type="http://schemas.openxmlformats.org/officeDocument/2006/relationships/hyperlink" Target="https://ppim-intra.pea.co.th:4434/request/PPIM185024C1" TargetMode="External"/><Relationship Id="rId93" Type="http://schemas.openxmlformats.org/officeDocument/2006/relationships/hyperlink" Target="https://ppim-intra.pea.co.th:4434/request/PPIM185040B8" TargetMode="External"/><Relationship Id="rId98" Type="http://schemas.openxmlformats.org/officeDocument/2006/relationships/hyperlink" Target="https://ppim-intra.pea.co.th:4434/request/PPIM1850445A" TargetMode="External"/><Relationship Id="rId121" Type="http://schemas.openxmlformats.org/officeDocument/2006/relationships/hyperlink" Target="https://ppim-intra.pea.co.th:4434/request/PPIM19501086" TargetMode="External"/><Relationship Id="rId142" Type="http://schemas.openxmlformats.org/officeDocument/2006/relationships/hyperlink" Target="https://ppim-intra.pea.co.th:4434/request/PPIM19502123" TargetMode="External"/><Relationship Id="rId163" Type="http://schemas.openxmlformats.org/officeDocument/2006/relationships/hyperlink" Target="https://ppim-intra.pea.co.th:4434/request/PPIM19503748" TargetMode="External"/><Relationship Id="rId184" Type="http://schemas.openxmlformats.org/officeDocument/2006/relationships/hyperlink" Target="https://ppim-intra.pea.co.th:4434/request/PPIM195046E6" TargetMode="External"/><Relationship Id="rId189" Type="http://schemas.openxmlformats.org/officeDocument/2006/relationships/hyperlink" Target="https://ppim-intra.pea.co.th:4434/request/PPIM19504BB7" TargetMode="External"/><Relationship Id="rId219" Type="http://schemas.openxmlformats.org/officeDocument/2006/relationships/image" Target="../media/image1.emf"/><Relationship Id="rId3" Type="http://schemas.openxmlformats.org/officeDocument/2006/relationships/hyperlink" Target="https://ppim-intra.pea.co.th:4434/request/PPIM1850003D" TargetMode="External"/><Relationship Id="rId214" Type="http://schemas.openxmlformats.org/officeDocument/2006/relationships/hyperlink" Target="https://ppim-intra.pea.co.th:4434/request/PPIM19505BBC" TargetMode="External"/><Relationship Id="rId25" Type="http://schemas.openxmlformats.org/officeDocument/2006/relationships/hyperlink" Target="https://ppim-intra.pea.co.th:4434/request/PPIM18500E8E" TargetMode="External"/><Relationship Id="rId46" Type="http://schemas.openxmlformats.org/officeDocument/2006/relationships/hyperlink" Target="https://ppim-intra.pea.co.th:4434/request/PPIM185026E9" TargetMode="External"/><Relationship Id="rId67" Type="http://schemas.openxmlformats.org/officeDocument/2006/relationships/hyperlink" Target="https://ppim-intra.pea.co.th:4434/request/PPIM185029E5" TargetMode="External"/><Relationship Id="rId116" Type="http://schemas.openxmlformats.org/officeDocument/2006/relationships/hyperlink" Target="https://ppim-intra.pea.co.th:4434/request/PPIM19500A1E" TargetMode="External"/><Relationship Id="rId137" Type="http://schemas.openxmlformats.org/officeDocument/2006/relationships/hyperlink" Target="https://ppim-intra.pea.co.th:4434/request/PPIM19501A6C" TargetMode="External"/><Relationship Id="rId158" Type="http://schemas.openxmlformats.org/officeDocument/2006/relationships/hyperlink" Target="https://ppim-intra.pea.co.th:4434/request/PPIM1950318A" TargetMode="External"/><Relationship Id="rId20" Type="http://schemas.openxmlformats.org/officeDocument/2006/relationships/hyperlink" Target="https://ppim-intra.pea.co.th:4434/request/PPIM18501949" TargetMode="External"/><Relationship Id="rId41" Type="http://schemas.openxmlformats.org/officeDocument/2006/relationships/hyperlink" Target="https://ppim-intra.pea.co.th:4434/request/PPIM185022AC" TargetMode="External"/><Relationship Id="rId62" Type="http://schemas.openxmlformats.org/officeDocument/2006/relationships/hyperlink" Target="https://ppim-intra.pea.co.th:4434/request/PPIM18501028" TargetMode="External"/><Relationship Id="rId83" Type="http://schemas.openxmlformats.org/officeDocument/2006/relationships/hyperlink" Target="https://ppim-intra.pea.co.th:4434/request/PPIM18502D75" TargetMode="External"/><Relationship Id="rId88" Type="http://schemas.openxmlformats.org/officeDocument/2006/relationships/hyperlink" Target="https://ppim-intra.pea.co.th:4434/request/PPIM18503DF7" TargetMode="External"/><Relationship Id="rId111" Type="http://schemas.openxmlformats.org/officeDocument/2006/relationships/hyperlink" Target="https://ppim-intra.pea.co.th:4434/request/PPIM19500631" TargetMode="External"/><Relationship Id="rId132" Type="http://schemas.openxmlformats.org/officeDocument/2006/relationships/hyperlink" Target="https://ppim-intra.pea.co.th:4434/request/PPIM19501387" TargetMode="External"/><Relationship Id="rId153" Type="http://schemas.openxmlformats.org/officeDocument/2006/relationships/hyperlink" Target="https://ppim-intra.pea.co.th:4434/request/PPIM19502F5D" TargetMode="External"/><Relationship Id="rId174" Type="http://schemas.openxmlformats.org/officeDocument/2006/relationships/hyperlink" Target="https://ppim-intra.pea.co.th:4434/request/PPIM19503BD1" TargetMode="External"/><Relationship Id="rId179" Type="http://schemas.openxmlformats.org/officeDocument/2006/relationships/hyperlink" Target="https://ppim-intra.pea.co.th:4434/request/PPIM19504052" TargetMode="External"/><Relationship Id="rId195" Type="http://schemas.openxmlformats.org/officeDocument/2006/relationships/hyperlink" Target="https://ppim-intra.pea.co.th:4434/request/PPIM19505004" TargetMode="External"/><Relationship Id="rId209" Type="http://schemas.openxmlformats.org/officeDocument/2006/relationships/hyperlink" Target="https://ppim-intra.pea.co.th:4434/request/PPIM19505935" TargetMode="External"/><Relationship Id="rId190" Type="http://schemas.openxmlformats.org/officeDocument/2006/relationships/hyperlink" Target="https://ppim-intra.pea.co.th:4434/request/PPIM19504CCC" TargetMode="External"/><Relationship Id="rId204" Type="http://schemas.openxmlformats.org/officeDocument/2006/relationships/hyperlink" Target="https://ppim-intra.pea.co.th:4434/request/PPIM195057F5" TargetMode="External"/><Relationship Id="rId15" Type="http://schemas.openxmlformats.org/officeDocument/2006/relationships/hyperlink" Target="https://ppim-intra.pea.co.th:4434/request/PPIM18501769" TargetMode="External"/><Relationship Id="rId36" Type="http://schemas.openxmlformats.org/officeDocument/2006/relationships/hyperlink" Target="https://ppim-intra.pea.co.th:4434/request/PPIM18501019" TargetMode="External"/><Relationship Id="rId57" Type="http://schemas.openxmlformats.org/officeDocument/2006/relationships/hyperlink" Target="https://ppim-intra.pea.co.th:4434/request/PPIM18502614" TargetMode="External"/><Relationship Id="rId106" Type="http://schemas.openxmlformats.org/officeDocument/2006/relationships/hyperlink" Target="https://ppim-intra.pea.co.th:4434/request/PPIM19500190" TargetMode="External"/><Relationship Id="rId127" Type="http://schemas.openxmlformats.org/officeDocument/2006/relationships/hyperlink" Target="https://ppim-intra.pea.co.th:4434/request/PPIM19501641" TargetMode="External"/><Relationship Id="rId10" Type="http://schemas.openxmlformats.org/officeDocument/2006/relationships/hyperlink" Target="https://ppim-intra.pea.co.th:4434/request/PPIM18500E39" TargetMode="External"/><Relationship Id="rId31" Type="http://schemas.openxmlformats.org/officeDocument/2006/relationships/hyperlink" Target="https://ppim-intra.pea.co.th:4434/request/PPIM18501BCD" TargetMode="External"/><Relationship Id="rId52" Type="http://schemas.openxmlformats.org/officeDocument/2006/relationships/hyperlink" Target="https://ppim-intra.pea.co.th:4434/request/PPIM18502E75" TargetMode="External"/><Relationship Id="rId73" Type="http://schemas.openxmlformats.org/officeDocument/2006/relationships/hyperlink" Target="https://ppim-intra.pea.co.th:4434/request/PPIM185024C6" TargetMode="External"/><Relationship Id="rId78" Type="http://schemas.openxmlformats.org/officeDocument/2006/relationships/hyperlink" Target="https://ppim-intra.pea.co.th:4434/request/PPIM18503BED" TargetMode="External"/><Relationship Id="rId94" Type="http://schemas.openxmlformats.org/officeDocument/2006/relationships/hyperlink" Target="https://ppim-intra.pea.co.th:4434/request/PPIM185041FE" TargetMode="External"/><Relationship Id="rId99" Type="http://schemas.openxmlformats.org/officeDocument/2006/relationships/hyperlink" Target="https://ppim-intra.pea.co.th:4434/request/PPIM18504460" TargetMode="External"/><Relationship Id="rId101" Type="http://schemas.openxmlformats.org/officeDocument/2006/relationships/hyperlink" Target="https://ppim-intra.pea.co.th:4434/request/PPIM1850459F" TargetMode="External"/><Relationship Id="rId122" Type="http://schemas.openxmlformats.org/officeDocument/2006/relationships/hyperlink" Target="https://ppim-intra.pea.co.th:4434/request/PPIM195012B7" TargetMode="External"/><Relationship Id="rId143" Type="http://schemas.openxmlformats.org/officeDocument/2006/relationships/hyperlink" Target="https://ppim-intra.pea.co.th:4434/request/PPIM19502082" TargetMode="External"/><Relationship Id="rId148" Type="http://schemas.openxmlformats.org/officeDocument/2006/relationships/hyperlink" Target="https://ppim-intra.pea.co.th:4434/request/PPIM19502950" TargetMode="External"/><Relationship Id="rId164" Type="http://schemas.openxmlformats.org/officeDocument/2006/relationships/hyperlink" Target="https://ppim-intra.pea.co.th:4434/request/PPIM19503857" TargetMode="External"/><Relationship Id="rId169" Type="http://schemas.openxmlformats.org/officeDocument/2006/relationships/hyperlink" Target="https://ppim-intra.pea.co.th:4434/request/PPIM19503AD6" TargetMode="External"/><Relationship Id="rId185" Type="http://schemas.openxmlformats.org/officeDocument/2006/relationships/hyperlink" Target="https://ppim-intra.pea.co.th:4434/request/PPIM195048DE" TargetMode="External"/><Relationship Id="rId4" Type="http://schemas.openxmlformats.org/officeDocument/2006/relationships/hyperlink" Target="https://ppim-intra.pea.co.th:4434/request/PPIM185004E3" TargetMode="External"/><Relationship Id="rId9" Type="http://schemas.openxmlformats.org/officeDocument/2006/relationships/hyperlink" Target="https://ppim-intra.pea.co.th:4434/request/PPIM18500D10" TargetMode="External"/><Relationship Id="rId180" Type="http://schemas.openxmlformats.org/officeDocument/2006/relationships/hyperlink" Target="https://ppim-intra.pea.co.th:4434/request/PPIM1950450E" TargetMode="External"/><Relationship Id="rId210" Type="http://schemas.openxmlformats.org/officeDocument/2006/relationships/hyperlink" Target="https://ppim-intra.pea.co.th:4434/request/PPIM19505940" TargetMode="External"/><Relationship Id="rId215" Type="http://schemas.openxmlformats.org/officeDocument/2006/relationships/printerSettings" Target="../printerSettings/printerSettings5.bin"/><Relationship Id="rId26" Type="http://schemas.openxmlformats.org/officeDocument/2006/relationships/hyperlink" Target="https://ppim-intra.pea.co.th:4434/request/PPIM185015F7" TargetMode="External"/><Relationship Id="rId47" Type="http://schemas.openxmlformats.org/officeDocument/2006/relationships/hyperlink" Target="https://ppim-intra.pea.co.th:4434/request/PPIM185026EB" TargetMode="External"/><Relationship Id="rId68" Type="http://schemas.openxmlformats.org/officeDocument/2006/relationships/hyperlink" Target="https://ppim-intra.pea.co.th:4434/request/PPIM18503937" TargetMode="External"/><Relationship Id="rId89" Type="http://schemas.openxmlformats.org/officeDocument/2006/relationships/hyperlink" Target="https://ppim-intra.pea.co.th:4434/request/PPIM18503E13" TargetMode="External"/><Relationship Id="rId112" Type="http://schemas.openxmlformats.org/officeDocument/2006/relationships/hyperlink" Target="https://ppim-intra.pea.co.th:4434/request/PPIM19500700" TargetMode="External"/><Relationship Id="rId133" Type="http://schemas.openxmlformats.org/officeDocument/2006/relationships/hyperlink" Target="https://ppim-intra.pea.co.th:4434/request/PPIM195014E4" TargetMode="External"/><Relationship Id="rId154" Type="http://schemas.openxmlformats.org/officeDocument/2006/relationships/hyperlink" Target="https://ppim-intra.pea.co.th:4434/request/PPIM19502F6C" TargetMode="External"/><Relationship Id="rId175" Type="http://schemas.openxmlformats.org/officeDocument/2006/relationships/hyperlink" Target="https://ppim-intra.pea.co.th:4434/request/PPIM19503FD1" TargetMode="External"/><Relationship Id="rId196" Type="http://schemas.openxmlformats.org/officeDocument/2006/relationships/hyperlink" Target="https://ppim-intra.pea.co.th:4434/request/PPIM195050B6" TargetMode="External"/><Relationship Id="rId200" Type="http://schemas.openxmlformats.org/officeDocument/2006/relationships/hyperlink" Target="https://ppim-intra.pea.co.th:4434/request/PPIM1950552A" TargetMode="External"/><Relationship Id="rId16" Type="http://schemas.openxmlformats.org/officeDocument/2006/relationships/hyperlink" Target="https://ppim-intra.pea.co.th:4434/request/PPIM185017BD" TargetMode="External"/><Relationship Id="rId37" Type="http://schemas.openxmlformats.org/officeDocument/2006/relationships/hyperlink" Target="https://ppim-intra.pea.co.th:4434/request/PPIM185020D7" TargetMode="External"/><Relationship Id="rId58" Type="http://schemas.openxmlformats.org/officeDocument/2006/relationships/hyperlink" Target="https://ppim-intra.pea.co.th:4434/request/PPIM1850322E" TargetMode="External"/><Relationship Id="rId79" Type="http://schemas.openxmlformats.org/officeDocument/2006/relationships/hyperlink" Target="https://ppim-intra.pea.co.th:4434/request/PPIM18502E37" TargetMode="External"/><Relationship Id="rId102" Type="http://schemas.openxmlformats.org/officeDocument/2006/relationships/hyperlink" Target="https://ppim-intra.pea.co.th:4434/request/PPIM185046E9" TargetMode="External"/><Relationship Id="rId123" Type="http://schemas.openxmlformats.org/officeDocument/2006/relationships/hyperlink" Target="https://ppim-intra.pea.co.th:4434/request/PPIM195013B0" TargetMode="External"/><Relationship Id="rId144" Type="http://schemas.openxmlformats.org/officeDocument/2006/relationships/hyperlink" Target="https://ppim-intra.pea.co.th:4434/request/PPIM1950225E" TargetMode="External"/><Relationship Id="rId90" Type="http://schemas.openxmlformats.org/officeDocument/2006/relationships/hyperlink" Target="https://ppim-intra.pea.co.th:4434/request/PPIM18503F88" TargetMode="External"/><Relationship Id="rId165" Type="http://schemas.openxmlformats.org/officeDocument/2006/relationships/hyperlink" Target="https://ppim-intra.pea.co.th:4434/request/PPIM195037BE" TargetMode="External"/><Relationship Id="rId186" Type="http://schemas.openxmlformats.org/officeDocument/2006/relationships/hyperlink" Target="https://ppim-intra.pea.co.th:4434/request/PPIM19504982" TargetMode="External"/><Relationship Id="rId211" Type="http://schemas.openxmlformats.org/officeDocument/2006/relationships/hyperlink" Target="https://ppim-intra.pea.co.th:4434/request/PPIM19505ACD" TargetMode="External"/><Relationship Id="rId27" Type="http://schemas.openxmlformats.org/officeDocument/2006/relationships/hyperlink" Target="https://ppim-intra.pea.co.th:4434/request/PPIM18501620" TargetMode="External"/><Relationship Id="rId48" Type="http://schemas.openxmlformats.org/officeDocument/2006/relationships/hyperlink" Target="https://ppim-intra.pea.co.th:4434/request/PPIM1850288A" TargetMode="External"/><Relationship Id="rId69" Type="http://schemas.openxmlformats.org/officeDocument/2006/relationships/hyperlink" Target="https://ppim-intra.pea.co.th:4434/request/PPIM185026F0" TargetMode="External"/><Relationship Id="rId113" Type="http://schemas.openxmlformats.org/officeDocument/2006/relationships/hyperlink" Target="https://ppim-intra.pea.co.th:4434/request/PPIM19500746" TargetMode="External"/><Relationship Id="rId134" Type="http://schemas.openxmlformats.org/officeDocument/2006/relationships/hyperlink" Target="https://ppim-intra.pea.co.th:4434/request/PPIM1950114D" TargetMode="External"/><Relationship Id="rId80" Type="http://schemas.openxmlformats.org/officeDocument/2006/relationships/hyperlink" Target="https://ppim-intra.pea.co.th:4434/request/PPIM18503C47" TargetMode="External"/><Relationship Id="rId155" Type="http://schemas.openxmlformats.org/officeDocument/2006/relationships/hyperlink" Target="https://ppim-intra.pea.co.th:4434/request/PPIM19503034" TargetMode="External"/><Relationship Id="rId176" Type="http://schemas.openxmlformats.org/officeDocument/2006/relationships/hyperlink" Target="https://ppim-intra.pea.co.th:4434/request/PPIM19504026" TargetMode="External"/><Relationship Id="rId197" Type="http://schemas.openxmlformats.org/officeDocument/2006/relationships/hyperlink" Target="https://ppim-intra.pea.co.th:4434/request/PPIM19505421" TargetMode="External"/><Relationship Id="rId201" Type="http://schemas.openxmlformats.org/officeDocument/2006/relationships/hyperlink" Target="https://ppim-intra.pea.co.th:4434/request/PPIM19505547" TargetMode="External"/><Relationship Id="rId17" Type="http://schemas.openxmlformats.org/officeDocument/2006/relationships/hyperlink" Target="https://ppim-intra.pea.co.th:4434/request/PPIM18501859" TargetMode="External"/><Relationship Id="rId38" Type="http://schemas.openxmlformats.org/officeDocument/2006/relationships/hyperlink" Target="https://ppim-intra.pea.co.th:4434/request/PPIM185012C1" TargetMode="External"/><Relationship Id="rId59" Type="http://schemas.openxmlformats.org/officeDocument/2006/relationships/hyperlink" Target="https://ppim-intra.pea.co.th:4434/request/PPIM18503240" TargetMode="External"/><Relationship Id="rId103" Type="http://schemas.openxmlformats.org/officeDocument/2006/relationships/hyperlink" Target="https://ppim-intra.pea.co.th:4434/request/PPIM185045F9" TargetMode="External"/><Relationship Id="rId124" Type="http://schemas.openxmlformats.org/officeDocument/2006/relationships/hyperlink" Target="https://ppim-intra.pea.co.th:4434/request/PPIM19501406" TargetMode="External"/><Relationship Id="rId70" Type="http://schemas.openxmlformats.org/officeDocument/2006/relationships/hyperlink" Target="https://ppim-intra.pea.co.th:4434/request/PPIM185026ED" TargetMode="External"/><Relationship Id="rId91" Type="http://schemas.openxmlformats.org/officeDocument/2006/relationships/hyperlink" Target="https://ppim-intra.pea.co.th:4434/request/PPIM18503F99" TargetMode="External"/><Relationship Id="rId145" Type="http://schemas.openxmlformats.org/officeDocument/2006/relationships/hyperlink" Target="https://ppim-intra.pea.co.th:4434/request/PPIM19502523" TargetMode="External"/><Relationship Id="rId166" Type="http://schemas.openxmlformats.org/officeDocument/2006/relationships/hyperlink" Target="https://ppim-intra.pea.co.th:4434/request/PPIM195038C2" TargetMode="External"/><Relationship Id="rId187" Type="http://schemas.openxmlformats.org/officeDocument/2006/relationships/hyperlink" Target="https://ppim-intra.pea.co.th:4434/request/PPIM195046F5" TargetMode="External"/><Relationship Id="rId1" Type="http://schemas.openxmlformats.org/officeDocument/2006/relationships/hyperlink" Target="https://ppim-intra.pea.co.th:4434/request/PPIM18500004" TargetMode="External"/><Relationship Id="rId212" Type="http://schemas.openxmlformats.org/officeDocument/2006/relationships/hyperlink" Target="https://ppim-intra.pea.co.th:4434/request/PPIM19505B0F" TargetMode="External"/><Relationship Id="rId28" Type="http://schemas.openxmlformats.org/officeDocument/2006/relationships/hyperlink" Target="https://ppim-intra.pea.co.th:4434/request/PPIM18501A20" TargetMode="External"/><Relationship Id="rId49" Type="http://schemas.openxmlformats.org/officeDocument/2006/relationships/hyperlink" Target="https://ppim-intra.pea.co.th:4434/request/PPIM18502B49" TargetMode="External"/><Relationship Id="rId114" Type="http://schemas.openxmlformats.org/officeDocument/2006/relationships/hyperlink" Target="https://ppim-intra.pea.co.th:4434/request/PPIM19500898" TargetMode="External"/><Relationship Id="rId60" Type="http://schemas.openxmlformats.org/officeDocument/2006/relationships/hyperlink" Target="https://ppim-intra.pea.co.th:4434/request/PPIM1850293E" TargetMode="External"/><Relationship Id="rId81" Type="http://schemas.openxmlformats.org/officeDocument/2006/relationships/hyperlink" Target="https://ppim-intra.pea.co.th:4434/request/PPIM18503C7F" TargetMode="External"/><Relationship Id="rId135" Type="http://schemas.openxmlformats.org/officeDocument/2006/relationships/hyperlink" Target="https://ppim-intra.pea.co.th:4434/request/PPIM1950066B" TargetMode="External"/><Relationship Id="rId156" Type="http://schemas.openxmlformats.org/officeDocument/2006/relationships/hyperlink" Target="https://ppim-intra.pea.co.th:4434/request/PPIM19503088" TargetMode="External"/><Relationship Id="rId177" Type="http://schemas.openxmlformats.org/officeDocument/2006/relationships/hyperlink" Target="https://ppim-intra.pea.co.th:4434/request/PPIM1950404D" TargetMode="External"/><Relationship Id="rId198" Type="http://schemas.openxmlformats.org/officeDocument/2006/relationships/hyperlink" Target="https://ppim-intra.pea.co.th:4434/request/PPIM19505423" TargetMode="External"/><Relationship Id="rId202" Type="http://schemas.openxmlformats.org/officeDocument/2006/relationships/hyperlink" Target="https://ppim-intra.pea.co.th:4434/request/PPIM195056C0" TargetMode="External"/><Relationship Id="rId18" Type="http://schemas.openxmlformats.org/officeDocument/2006/relationships/hyperlink" Target="https://ppim-intra.pea.co.th:4434/request/PPIM185018E3" TargetMode="External"/><Relationship Id="rId39" Type="http://schemas.openxmlformats.org/officeDocument/2006/relationships/hyperlink" Target="https://ppim-intra.pea.co.th:4434/request/PPIM18500EA4" TargetMode="External"/><Relationship Id="rId50" Type="http://schemas.openxmlformats.org/officeDocument/2006/relationships/hyperlink" Target="https://ppim-intra.pea.co.th:4434/request/PPIM18502BDB" TargetMode="External"/><Relationship Id="rId104" Type="http://schemas.openxmlformats.org/officeDocument/2006/relationships/hyperlink" Target="https://ppim-intra.pea.co.th:4434/request/PPIM185047A1" TargetMode="External"/><Relationship Id="rId125" Type="http://schemas.openxmlformats.org/officeDocument/2006/relationships/hyperlink" Target="https://ppim-intra.pea.co.th:4434/request/PPIM19501524" TargetMode="External"/><Relationship Id="rId146" Type="http://schemas.openxmlformats.org/officeDocument/2006/relationships/hyperlink" Target="https://ppim-intra.pea.co.th:4434/request/PPIM195025DA" TargetMode="External"/><Relationship Id="rId167" Type="http://schemas.openxmlformats.org/officeDocument/2006/relationships/hyperlink" Target="https://ppim-intra.pea.co.th:4434/request/PPIM19503A28" TargetMode="External"/><Relationship Id="rId188" Type="http://schemas.openxmlformats.org/officeDocument/2006/relationships/hyperlink" Target="https://ppim-intra.pea.co.th:4434/request/PPIM19504A2D" TargetMode="External"/><Relationship Id="rId71" Type="http://schemas.openxmlformats.org/officeDocument/2006/relationships/hyperlink" Target="https://ppim-intra.pea.co.th:4434/request/PPIM185024C0" TargetMode="External"/><Relationship Id="rId92" Type="http://schemas.openxmlformats.org/officeDocument/2006/relationships/hyperlink" Target="https://ppim-intra.pea.co.th:4434/request/PPIM18503FE9" TargetMode="External"/><Relationship Id="rId213" Type="http://schemas.openxmlformats.org/officeDocument/2006/relationships/hyperlink" Target="https://ppim-intra.pea.co.th:4434/request/PPIM19505B84" TargetMode="External"/><Relationship Id="rId2" Type="http://schemas.openxmlformats.org/officeDocument/2006/relationships/hyperlink" Target="https://ppim-intra.pea.co.th:4434/request/PPIM18500038" TargetMode="External"/><Relationship Id="rId29" Type="http://schemas.openxmlformats.org/officeDocument/2006/relationships/hyperlink" Target="https://ppim-intra.pea.co.th:4434/request/PPIM18501AB3" TargetMode="External"/><Relationship Id="rId40" Type="http://schemas.openxmlformats.org/officeDocument/2006/relationships/hyperlink" Target="https://ppim-intra.pea.co.th:4434/request/PPIM185011CC" TargetMode="External"/><Relationship Id="rId115" Type="http://schemas.openxmlformats.org/officeDocument/2006/relationships/hyperlink" Target="https://ppim-intra.pea.co.th:4434/request/PPIM19500A19" TargetMode="External"/><Relationship Id="rId136" Type="http://schemas.openxmlformats.org/officeDocument/2006/relationships/hyperlink" Target="https://ppim-intra.pea.co.th:4434/request/PPIM195010F7" TargetMode="External"/><Relationship Id="rId157" Type="http://schemas.openxmlformats.org/officeDocument/2006/relationships/hyperlink" Target="https://ppim-intra.pea.co.th:4434/request/PPIM1950317A" TargetMode="External"/><Relationship Id="rId178" Type="http://schemas.openxmlformats.org/officeDocument/2006/relationships/hyperlink" Target="https://ppim-intra.pea.co.th:4434/request/PPIM195043A6" TargetMode="External"/><Relationship Id="rId61" Type="http://schemas.openxmlformats.org/officeDocument/2006/relationships/hyperlink" Target="https://ppim-intra.pea.co.th:4434/request/PPIM18501ED6" TargetMode="External"/><Relationship Id="rId82" Type="http://schemas.openxmlformats.org/officeDocument/2006/relationships/hyperlink" Target="https://ppim-intra.pea.co.th:4434/request/PPIM18503C83" TargetMode="External"/><Relationship Id="rId199" Type="http://schemas.openxmlformats.org/officeDocument/2006/relationships/hyperlink" Target="https://ppim-intra.pea.co.th:4434/request/PPIM195054F4" TargetMode="External"/><Relationship Id="rId203" Type="http://schemas.openxmlformats.org/officeDocument/2006/relationships/hyperlink" Target="https://ppim-intra.pea.co.th:4434/request/PPIM195056C1" TargetMode="External"/><Relationship Id="rId19" Type="http://schemas.openxmlformats.org/officeDocument/2006/relationships/hyperlink" Target="https://ppim-intra.pea.co.th:4434/request/PPIM18501901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C7A" TargetMode="External"/><Relationship Id="rId21" Type="http://schemas.openxmlformats.org/officeDocument/2006/relationships/hyperlink" Target="https://ppim-intra.pea.co.th:4434/request/PPIM185028BC" TargetMode="External"/><Relationship Id="rId42" Type="http://schemas.openxmlformats.org/officeDocument/2006/relationships/hyperlink" Target="https://ppim-intra.pea.co.th:4434/request/PPIM185040F0" TargetMode="External"/><Relationship Id="rId47" Type="http://schemas.openxmlformats.org/officeDocument/2006/relationships/hyperlink" Target="https://ppim-intra.pea.co.th:4434/request/PPIM18504517" TargetMode="External"/><Relationship Id="rId63" Type="http://schemas.openxmlformats.org/officeDocument/2006/relationships/hyperlink" Target="https://ppim-intra.pea.co.th:4434/request/PPIM19500BC1" TargetMode="External"/><Relationship Id="rId68" Type="http://schemas.openxmlformats.org/officeDocument/2006/relationships/hyperlink" Target="https://ppim-intra.pea.co.th:4434/request/PPIM19500BA2" TargetMode="External"/><Relationship Id="rId84" Type="http://schemas.openxmlformats.org/officeDocument/2006/relationships/hyperlink" Target="https://ppim-intra.pea.co.th:4434/request/PPIM1950344A" TargetMode="External"/><Relationship Id="rId89" Type="http://schemas.openxmlformats.org/officeDocument/2006/relationships/hyperlink" Target="https://ppim-intra.pea.co.th:4434/request/PPIM19503F57" TargetMode="External"/><Relationship Id="rId112" Type="http://schemas.openxmlformats.org/officeDocument/2006/relationships/drawing" Target="../drawings/drawing16.xml"/><Relationship Id="rId16" Type="http://schemas.openxmlformats.org/officeDocument/2006/relationships/hyperlink" Target="https://ppim-intra.pea.co.th:4434/request/PPIM18502421" TargetMode="External"/><Relationship Id="rId107" Type="http://schemas.openxmlformats.org/officeDocument/2006/relationships/hyperlink" Target="https://ppim-intra.pea.co.th:4434/request/PPIM19505B85" TargetMode="External"/><Relationship Id="rId11" Type="http://schemas.openxmlformats.org/officeDocument/2006/relationships/hyperlink" Target="https://ppim-intra.pea.co.th:4434/request/PPIM18501E2B" TargetMode="External"/><Relationship Id="rId32" Type="http://schemas.openxmlformats.org/officeDocument/2006/relationships/hyperlink" Target="https://ppim-intra.pea.co.th:4434/request/PPIM185032F0" TargetMode="External"/><Relationship Id="rId37" Type="http://schemas.openxmlformats.org/officeDocument/2006/relationships/hyperlink" Target="https://ppim-intra.pea.co.th:4434/request/PPIM18503D17" TargetMode="External"/><Relationship Id="rId53" Type="http://schemas.openxmlformats.org/officeDocument/2006/relationships/hyperlink" Target="https://ppim-intra.pea.co.th:4434/request/PPIM195004D6" TargetMode="External"/><Relationship Id="rId58" Type="http://schemas.openxmlformats.org/officeDocument/2006/relationships/hyperlink" Target="https://ppim-intra.pea.co.th:4434/request/PPIM19500724" TargetMode="External"/><Relationship Id="rId74" Type="http://schemas.openxmlformats.org/officeDocument/2006/relationships/hyperlink" Target="https://ppim-intra.pea.co.th:4434/request/PPIM195018ED" TargetMode="External"/><Relationship Id="rId79" Type="http://schemas.openxmlformats.org/officeDocument/2006/relationships/hyperlink" Target="https://ppim-intra.pea.co.th:4434/request/PPIM195024B7" TargetMode="External"/><Relationship Id="rId102" Type="http://schemas.openxmlformats.org/officeDocument/2006/relationships/hyperlink" Target="https://ppim-intra.pea.co.th:4434/request/PPIM1950580D" TargetMode="External"/><Relationship Id="rId5" Type="http://schemas.openxmlformats.org/officeDocument/2006/relationships/hyperlink" Target="https://ppim-intra.pea.co.th:4434/request/PPIM185019B4" TargetMode="External"/><Relationship Id="rId90" Type="http://schemas.openxmlformats.org/officeDocument/2006/relationships/hyperlink" Target="https://ppim-intra.pea.co.th:4434/request/PPIM1950451B" TargetMode="External"/><Relationship Id="rId95" Type="http://schemas.openxmlformats.org/officeDocument/2006/relationships/hyperlink" Target="https://ppim-intra.pea.co.th:4434/request/PPIM1950490F" TargetMode="External"/><Relationship Id="rId22" Type="http://schemas.openxmlformats.org/officeDocument/2006/relationships/hyperlink" Target="https://ppim-intra.pea.co.th:4434/request/PPIM18502947" TargetMode="External"/><Relationship Id="rId27" Type="http://schemas.openxmlformats.org/officeDocument/2006/relationships/hyperlink" Target="https://ppim-intra.pea.co.th:4434/request/PPIM18502C9A" TargetMode="External"/><Relationship Id="rId43" Type="http://schemas.openxmlformats.org/officeDocument/2006/relationships/hyperlink" Target="https://ppim-intra.pea.co.th:4434/request/PPIM18504141" TargetMode="External"/><Relationship Id="rId48" Type="http://schemas.openxmlformats.org/officeDocument/2006/relationships/hyperlink" Target="https://ppim-intra.pea.co.th:4434/request/PPIM185046F3" TargetMode="External"/><Relationship Id="rId64" Type="http://schemas.openxmlformats.org/officeDocument/2006/relationships/hyperlink" Target="https://ppim-intra.pea.co.th:4434/request/PPIM19500C94" TargetMode="External"/><Relationship Id="rId69" Type="http://schemas.openxmlformats.org/officeDocument/2006/relationships/hyperlink" Target="https://ppim-intra.pea.co.th:4434/request/PPIM1950123F" TargetMode="External"/><Relationship Id="rId113" Type="http://schemas.openxmlformats.org/officeDocument/2006/relationships/vmlDrawing" Target="../drawings/vmlDrawing15.vml"/><Relationship Id="rId80" Type="http://schemas.openxmlformats.org/officeDocument/2006/relationships/hyperlink" Target="https://ppim-intra.pea.co.th:4434/request/PPIM195024D7" TargetMode="External"/><Relationship Id="rId85" Type="http://schemas.openxmlformats.org/officeDocument/2006/relationships/hyperlink" Target="https://ppim-intra.pea.co.th:4434/request/PPIM195035B4" TargetMode="External"/><Relationship Id="rId12" Type="http://schemas.openxmlformats.org/officeDocument/2006/relationships/hyperlink" Target="https://ppim-intra.pea.co.th:4434/request/PPIM18502372" TargetMode="External"/><Relationship Id="rId17" Type="http://schemas.openxmlformats.org/officeDocument/2006/relationships/hyperlink" Target="https://ppim-intra.pea.co.th:4434/request/PPIM18500A08" TargetMode="External"/><Relationship Id="rId33" Type="http://schemas.openxmlformats.org/officeDocument/2006/relationships/hyperlink" Target="https://ppim-intra.pea.co.th:4434/request/PPIM18503422" TargetMode="External"/><Relationship Id="rId38" Type="http://schemas.openxmlformats.org/officeDocument/2006/relationships/hyperlink" Target="https://ppim-intra.pea.co.th:4434/request/PPIM18503E14" TargetMode="External"/><Relationship Id="rId59" Type="http://schemas.openxmlformats.org/officeDocument/2006/relationships/hyperlink" Target="https://ppim-intra.pea.co.th:4434/request/PPIM19500764" TargetMode="External"/><Relationship Id="rId103" Type="http://schemas.openxmlformats.org/officeDocument/2006/relationships/hyperlink" Target="https://ppim-intra.pea.co.th:4434/request/PPIM19505A5E" TargetMode="External"/><Relationship Id="rId108" Type="http://schemas.openxmlformats.org/officeDocument/2006/relationships/hyperlink" Target="https://ppim-intra.pea.co.th:4434/request/PPIM19505BB9" TargetMode="External"/><Relationship Id="rId54" Type="http://schemas.openxmlformats.org/officeDocument/2006/relationships/hyperlink" Target="https://ppim-intra.pea.co.th:4434/request/PPIM19500502" TargetMode="External"/><Relationship Id="rId70" Type="http://schemas.openxmlformats.org/officeDocument/2006/relationships/hyperlink" Target="https://ppim-intra.pea.co.th:4434/request/PPIM19501301" TargetMode="External"/><Relationship Id="rId75" Type="http://schemas.openxmlformats.org/officeDocument/2006/relationships/hyperlink" Target="https://ppim-intra.pea.co.th:4434/request/PPIM1950136D" TargetMode="External"/><Relationship Id="rId91" Type="http://schemas.openxmlformats.org/officeDocument/2006/relationships/hyperlink" Target="https://ppim-intra.pea.co.th:4434/request/PPIM195030AB" TargetMode="External"/><Relationship Id="rId96" Type="http://schemas.openxmlformats.org/officeDocument/2006/relationships/hyperlink" Target="https://ppim-intra.pea.co.th:4434/request/PPIM19504B40" TargetMode="External"/><Relationship Id="rId1" Type="http://schemas.openxmlformats.org/officeDocument/2006/relationships/hyperlink" Target="https://ppim-intra.pea.co.th:4434/request/PPIM18500A17" TargetMode="External"/><Relationship Id="rId6" Type="http://schemas.openxmlformats.org/officeDocument/2006/relationships/hyperlink" Target="https://ppim-intra.pea.co.th:4434/request/PPIM18501B48" TargetMode="External"/><Relationship Id="rId15" Type="http://schemas.openxmlformats.org/officeDocument/2006/relationships/hyperlink" Target="https://ppim-intra.pea.co.th:4434/request/PPIM185023DC" TargetMode="External"/><Relationship Id="rId23" Type="http://schemas.openxmlformats.org/officeDocument/2006/relationships/hyperlink" Target="https://ppim-intra.pea.co.th:4434/request/PPIM185029CD" TargetMode="External"/><Relationship Id="rId28" Type="http://schemas.openxmlformats.org/officeDocument/2006/relationships/hyperlink" Target="https://ppim-intra.pea.co.th:4434/request/PPIM18502D29" TargetMode="External"/><Relationship Id="rId36" Type="http://schemas.openxmlformats.org/officeDocument/2006/relationships/hyperlink" Target="https://ppim-intra.pea.co.th:4434/request/PPIM18503C60" TargetMode="External"/><Relationship Id="rId49" Type="http://schemas.openxmlformats.org/officeDocument/2006/relationships/hyperlink" Target="https://ppim-intra.pea.co.th:4434/request/PPIM1850496E" TargetMode="External"/><Relationship Id="rId57" Type="http://schemas.openxmlformats.org/officeDocument/2006/relationships/hyperlink" Target="https://ppim-intra.pea.co.th:4434/request/PPIM19500722" TargetMode="External"/><Relationship Id="rId106" Type="http://schemas.openxmlformats.org/officeDocument/2006/relationships/hyperlink" Target="https://ppim-intra.pea.co.th:4434/request/PPIM19505B37" TargetMode="External"/><Relationship Id="rId114" Type="http://schemas.openxmlformats.org/officeDocument/2006/relationships/control" Target="../activeX/activeX15.xml"/><Relationship Id="rId10" Type="http://schemas.openxmlformats.org/officeDocument/2006/relationships/hyperlink" Target="https://ppim-intra.pea.co.th:4434/request/PPIM18502018" TargetMode="External"/><Relationship Id="rId31" Type="http://schemas.openxmlformats.org/officeDocument/2006/relationships/hyperlink" Target="https://ppim-intra.pea.co.th:4434/request/PPIM18502D91" TargetMode="External"/><Relationship Id="rId44" Type="http://schemas.openxmlformats.org/officeDocument/2006/relationships/hyperlink" Target="https://ppim-intra.pea.co.th:4434/request/PPIM1850446D" TargetMode="External"/><Relationship Id="rId52" Type="http://schemas.openxmlformats.org/officeDocument/2006/relationships/hyperlink" Target="https://ppim-intra.pea.co.th:4434/request/PPIM19500398" TargetMode="External"/><Relationship Id="rId60" Type="http://schemas.openxmlformats.org/officeDocument/2006/relationships/hyperlink" Target="https://ppim-intra.pea.co.th:4434/request/PPIM195005C5" TargetMode="External"/><Relationship Id="rId65" Type="http://schemas.openxmlformats.org/officeDocument/2006/relationships/hyperlink" Target="https://ppim-intra.pea.co.th:4434/request/PPIM19500CCF" TargetMode="External"/><Relationship Id="rId73" Type="http://schemas.openxmlformats.org/officeDocument/2006/relationships/hyperlink" Target="https://ppim-intra.pea.co.th:4434/request/PPIM1950189E" TargetMode="External"/><Relationship Id="rId78" Type="http://schemas.openxmlformats.org/officeDocument/2006/relationships/hyperlink" Target="https://ppim-intra.pea.co.th:4434/request/PPIM195022E6" TargetMode="External"/><Relationship Id="rId81" Type="http://schemas.openxmlformats.org/officeDocument/2006/relationships/hyperlink" Target="https://ppim-intra.pea.co.th:4434/request/PPIM19502988" TargetMode="External"/><Relationship Id="rId86" Type="http://schemas.openxmlformats.org/officeDocument/2006/relationships/hyperlink" Target="https://ppim-intra.pea.co.th:4434/request/PPIM1950363C" TargetMode="External"/><Relationship Id="rId94" Type="http://schemas.openxmlformats.org/officeDocument/2006/relationships/hyperlink" Target="https://ppim-intra.pea.co.th:4434/request/PPIM19502C5B" TargetMode="External"/><Relationship Id="rId99" Type="http://schemas.openxmlformats.org/officeDocument/2006/relationships/hyperlink" Target="https://ppim-intra.pea.co.th:4434/request/PPIM19504FE8" TargetMode="External"/><Relationship Id="rId101" Type="http://schemas.openxmlformats.org/officeDocument/2006/relationships/hyperlink" Target="https://ppim-intra.pea.co.th:4434/request/PPIM19505614" TargetMode="External"/><Relationship Id="rId4" Type="http://schemas.openxmlformats.org/officeDocument/2006/relationships/hyperlink" Target="https://ppim-intra.pea.co.th:4434/request/PPIM18501886" TargetMode="External"/><Relationship Id="rId9" Type="http://schemas.openxmlformats.org/officeDocument/2006/relationships/hyperlink" Target="https://ppim-intra.pea.co.th:4434/request/PPIM18502293" TargetMode="External"/><Relationship Id="rId13" Type="http://schemas.openxmlformats.org/officeDocument/2006/relationships/hyperlink" Target="https://ppim-intra.pea.co.th:4434/request/PPIM18502374" TargetMode="External"/><Relationship Id="rId18" Type="http://schemas.openxmlformats.org/officeDocument/2006/relationships/hyperlink" Target="https://ppim-intra.pea.co.th:4434/request/PPIM18500A51" TargetMode="External"/><Relationship Id="rId39" Type="http://schemas.openxmlformats.org/officeDocument/2006/relationships/hyperlink" Target="https://ppim-intra.pea.co.th:4434/request/PPIM18503E79" TargetMode="External"/><Relationship Id="rId109" Type="http://schemas.openxmlformats.org/officeDocument/2006/relationships/hyperlink" Target="https://ppim-intra.pea.co.th:4434/request/PPIM19505BE1" TargetMode="External"/><Relationship Id="rId34" Type="http://schemas.openxmlformats.org/officeDocument/2006/relationships/hyperlink" Target="https://ppim-intra.pea.co.th:4434/request/PPIM185035AC" TargetMode="External"/><Relationship Id="rId50" Type="http://schemas.openxmlformats.org/officeDocument/2006/relationships/hyperlink" Target="https://ppim-intra.pea.co.th:4434/request/PPIM19500314" TargetMode="External"/><Relationship Id="rId55" Type="http://schemas.openxmlformats.org/officeDocument/2006/relationships/hyperlink" Target="https://ppim-intra.pea.co.th:4434/request/PPIM19500585" TargetMode="External"/><Relationship Id="rId76" Type="http://schemas.openxmlformats.org/officeDocument/2006/relationships/hyperlink" Target="https://ppim-intra.pea.co.th:4434/request/PPIM1950196E" TargetMode="External"/><Relationship Id="rId97" Type="http://schemas.openxmlformats.org/officeDocument/2006/relationships/hyperlink" Target="https://ppim-intra.pea.co.th:4434/request/PPIM19504C8E" TargetMode="External"/><Relationship Id="rId104" Type="http://schemas.openxmlformats.org/officeDocument/2006/relationships/hyperlink" Target="https://ppim-intra.pea.co.th:4434/request/PPIM19505A71" TargetMode="External"/><Relationship Id="rId7" Type="http://schemas.openxmlformats.org/officeDocument/2006/relationships/hyperlink" Target="https://ppim-intra.pea.co.th:4434/request/PPIM18501D54" TargetMode="External"/><Relationship Id="rId71" Type="http://schemas.openxmlformats.org/officeDocument/2006/relationships/hyperlink" Target="https://ppim-intra.pea.co.th:4434/request/PPIM195016FC" TargetMode="External"/><Relationship Id="rId92" Type="http://schemas.openxmlformats.org/officeDocument/2006/relationships/hyperlink" Target="https://ppim-intra.pea.co.th:4434/request/PPIM1950460F" TargetMode="External"/><Relationship Id="rId2" Type="http://schemas.openxmlformats.org/officeDocument/2006/relationships/hyperlink" Target="https://ppim-intra.pea.co.th:4434/request/PPIM18500B7A" TargetMode="External"/><Relationship Id="rId29" Type="http://schemas.openxmlformats.org/officeDocument/2006/relationships/hyperlink" Target="https://ppim-intra.pea.co.th:4434/request/PPIM18502D63" TargetMode="External"/><Relationship Id="rId24" Type="http://schemas.openxmlformats.org/officeDocument/2006/relationships/hyperlink" Target="https://ppim-intra.pea.co.th:4434/request/PPIM185029CE" TargetMode="External"/><Relationship Id="rId40" Type="http://schemas.openxmlformats.org/officeDocument/2006/relationships/hyperlink" Target="https://ppim-intra.pea.co.th:4434/request/PPIM1850403A" TargetMode="External"/><Relationship Id="rId45" Type="http://schemas.openxmlformats.org/officeDocument/2006/relationships/hyperlink" Target="https://ppim-intra.pea.co.th:4434/request/PPIM185044BC" TargetMode="External"/><Relationship Id="rId66" Type="http://schemas.openxmlformats.org/officeDocument/2006/relationships/hyperlink" Target="https://ppim-intra.pea.co.th:4434/request/PPIM19500D29" TargetMode="External"/><Relationship Id="rId87" Type="http://schemas.openxmlformats.org/officeDocument/2006/relationships/hyperlink" Target="https://ppim-intra.pea.co.th:4434/request/PPIM19503814" TargetMode="External"/><Relationship Id="rId110" Type="http://schemas.openxmlformats.org/officeDocument/2006/relationships/hyperlink" Target="https://ppim-intra.pea.co.th:4434/request/PPIM19505BF5" TargetMode="External"/><Relationship Id="rId115" Type="http://schemas.openxmlformats.org/officeDocument/2006/relationships/image" Target="../media/image4.emf"/><Relationship Id="rId61" Type="http://schemas.openxmlformats.org/officeDocument/2006/relationships/hyperlink" Target="https://ppim-intra.pea.co.th:4434/request/PPIM195007C7" TargetMode="External"/><Relationship Id="rId82" Type="http://schemas.openxmlformats.org/officeDocument/2006/relationships/hyperlink" Target="https://ppim-intra.pea.co.th:4434/request/PPIM19502A6F" TargetMode="External"/><Relationship Id="rId19" Type="http://schemas.openxmlformats.org/officeDocument/2006/relationships/hyperlink" Target="https://ppim-intra.pea.co.th:4434/request/PPIM18500A6C" TargetMode="External"/><Relationship Id="rId14" Type="http://schemas.openxmlformats.org/officeDocument/2006/relationships/hyperlink" Target="https://ppim-intra.pea.co.th:4434/request/PPIM18502377" TargetMode="External"/><Relationship Id="rId30" Type="http://schemas.openxmlformats.org/officeDocument/2006/relationships/hyperlink" Target="https://ppim-intra.pea.co.th:4434/request/PPIM18502C6F" TargetMode="External"/><Relationship Id="rId35" Type="http://schemas.openxmlformats.org/officeDocument/2006/relationships/hyperlink" Target="https://ppim-intra.pea.co.th:4434/request/PPIM18503A8D" TargetMode="External"/><Relationship Id="rId56" Type="http://schemas.openxmlformats.org/officeDocument/2006/relationships/hyperlink" Target="https://ppim-intra.pea.co.th:4434/request/PPIM195005EB" TargetMode="External"/><Relationship Id="rId77" Type="http://schemas.openxmlformats.org/officeDocument/2006/relationships/hyperlink" Target="https://ppim-intra.pea.co.th:4434/request/PPIM19501A24" TargetMode="External"/><Relationship Id="rId100" Type="http://schemas.openxmlformats.org/officeDocument/2006/relationships/hyperlink" Target="https://ppim-intra.pea.co.th:4434/request/PPIM195052E8" TargetMode="External"/><Relationship Id="rId105" Type="http://schemas.openxmlformats.org/officeDocument/2006/relationships/hyperlink" Target="https://ppim-intra.pea.co.th:4434/request/PPIM195042A0" TargetMode="External"/><Relationship Id="rId8" Type="http://schemas.openxmlformats.org/officeDocument/2006/relationships/hyperlink" Target="https://ppim-intra.pea.co.th:4434/request/PPIM18501619" TargetMode="External"/><Relationship Id="rId51" Type="http://schemas.openxmlformats.org/officeDocument/2006/relationships/hyperlink" Target="https://ppim-intra.pea.co.th:4434/request/PPIM19500352" TargetMode="External"/><Relationship Id="rId72" Type="http://schemas.openxmlformats.org/officeDocument/2006/relationships/hyperlink" Target="https://ppim-intra.pea.co.th:4434/request/PPIM195014CB" TargetMode="External"/><Relationship Id="rId93" Type="http://schemas.openxmlformats.org/officeDocument/2006/relationships/hyperlink" Target="https://ppim-intra.pea.co.th:4434/request/PPIM19502091" TargetMode="External"/><Relationship Id="rId98" Type="http://schemas.openxmlformats.org/officeDocument/2006/relationships/hyperlink" Target="https://ppim-intra.pea.co.th:4434/request/PPIM19504E34" TargetMode="External"/><Relationship Id="rId3" Type="http://schemas.openxmlformats.org/officeDocument/2006/relationships/hyperlink" Target="https://ppim-intra.pea.co.th:4434/request/PPIM18500BCC" TargetMode="External"/><Relationship Id="rId25" Type="http://schemas.openxmlformats.org/officeDocument/2006/relationships/hyperlink" Target="https://ppim-intra.pea.co.th:4434/request/PPIM18502BC9" TargetMode="External"/><Relationship Id="rId46" Type="http://schemas.openxmlformats.org/officeDocument/2006/relationships/hyperlink" Target="https://ppim-intra.pea.co.th:4434/request/PPIM18503FE2" TargetMode="External"/><Relationship Id="rId67" Type="http://schemas.openxmlformats.org/officeDocument/2006/relationships/hyperlink" Target="https://ppim-intra.pea.co.th:4434/request/PPIM19500A29" TargetMode="External"/><Relationship Id="rId116" Type="http://schemas.openxmlformats.org/officeDocument/2006/relationships/control" Target="../activeX/activeX16.xml"/><Relationship Id="rId20" Type="http://schemas.openxmlformats.org/officeDocument/2006/relationships/hyperlink" Target="https://ppim-intra.pea.co.th:4434/request/PPIM18500556" TargetMode="External"/><Relationship Id="rId41" Type="http://schemas.openxmlformats.org/officeDocument/2006/relationships/hyperlink" Target="https://ppim-intra.pea.co.th:4434/request/PPIM1850403E" TargetMode="External"/><Relationship Id="rId62" Type="http://schemas.openxmlformats.org/officeDocument/2006/relationships/hyperlink" Target="https://ppim-intra.pea.co.th:4434/request/PPIM195007F8" TargetMode="External"/><Relationship Id="rId83" Type="http://schemas.openxmlformats.org/officeDocument/2006/relationships/hyperlink" Target="https://ppim-intra.pea.co.th:4434/request/PPIM1950254E" TargetMode="External"/><Relationship Id="rId88" Type="http://schemas.openxmlformats.org/officeDocument/2006/relationships/hyperlink" Target="https://ppim-intra.pea.co.th:4434/request/PPIM19503E50" TargetMode="External"/><Relationship Id="rId111" Type="http://schemas.openxmlformats.org/officeDocument/2006/relationships/hyperlink" Target="https://ppim-intra.pea.co.th:4434/request/PPIM19505C4C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ppim-intra.pea.co.th:4434/request/PPIM18502D59" TargetMode="External"/><Relationship Id="rId21" Type="http://schemas.openxmlformats.org/officeDocument/2006/relationships/hyperlink" Target="https://ppim-intra.pea.co.th:4434/request/PPIM1850261F" TargetMode="External"/><Relationship Id="rId42" Type="http://schemas.openxmlformats.org/officeDocument/2006/relationships/hyperlink" Target="https://ppim-intra.pea.co.th:4434/request/PPIM18503CAA" TargetMode="External"/><Relationship Id="rId47" Type="http://schemas.openxmlformats.org/officeDocument/2006/relationships/hyperlink" Target="https://ppim-intra.pea.co.th:4434/request/PPIM1950017F" TargetMode="External"/><Relationship Id="rId63" Type="http://schemas.openxmlformats.org/officeDocument/2006/relationships/hyperlink" Target="https://ppim-intra.pea.co.th:4434/request/PPIM19503E61" TargetMode="External"/><Relationship Id="rId68" Type="http://schemas.openxmlformats.org/officeDocument/2006/relationships/hyperlink" Target="https://ppim-intra.pea.co.th:4434/request/PPIM19504755" TargetMode="External"/><Relationship Id="rId16" Type="http://schemas.openxmlformats.org/officeDocument/2006/relationships/hyperlink" Target="https://ppim-intra.pea.co.th:4434/request/PPIM185029AB" TargetMode="External"/><Relationship Id="rId11" Type="http://schemas.openxmlformats.org/officeDocument/2006/relationships/hyperlink" Target="https://ppim-intra.pea.co.th:4434/request/PPIM18501F65" TargetMode="External"/><Relationship Id="rId32" Type="http://schemas.openxmlformats.org/officeDocument/2006/relationships/hyperlink" Target="https://ppim-intra.pea.co.th:4434/request/PPIM185037CA" TargetMode="External"/><Relationship Id="rId37" Type="http://schemas.openxmlformats.org/officeDocument/2006/relationships/hyperlink" Target="https://ppim-intra.pea.co.th:4434/request/PPIM18503B3C" TargetMode="External"/><Relationship Id="rId53" Type="http://schemas.openxmlformats.org/officeDocument/2006/relationships/hyperlink" Target="https://ppim-intra.pea.co.th:4434/request/PPIM19501FAF" TargetMode="External"/><Relationship Id="rId58" Type="http://schemas.openxmlformats.org/officeDocument/2006/relationships/hyperlink" Target="https://ppim-intra.pea.co.th:4434/request/PPIM19502EE8" TargetMode="External"/><Relationship Id="rId74" Type="http://schemas.openxmlformats.org/officeDocument/2006/relationships/hyperlink" Target="https://ppim-intra.pea.co.th:4434/request/PPIM195056FE" TargetMode="External"/><Relationship Id="rId79" Type="http://schemas.openxmlformats.org/officeDocument/2006/relationships/hyperlink" Target="https://ppim-intra.pea.co.th:4434/request/PPIM195059BB" TargetMode="External"/><Relationship Id="rId5" Type="http://schemas.openxmlformats.org/officeDocument/2006/relationships/hyperlink" Target="https://ppim-intra.pea.co.th:4434/request/PPIM18501165" TargetMode="External"/><Relationship Id="rId61" Type="http://schemas.openxmlformats.org/officeDocument/2006/relationships/hyperlink" Target="https://ppim-intra.pea.co.th:4434/request/PPIM19503CF2" TargetMode="External"/><Relationship Id="rId82" Type="http://schemas.openxmlformats.org/officeDocument/2006/relationships/control" Target="../activeX/activeX17.xml"/><Relationship Id="rId19" Type="http://schemas.openxmlformats.org/officeDocument/2006/relationships/hyperlink" Target="https://ppim-intra.pea.co.th:4434/request/PPIM18502C81" TargetMode="External"/><Relationship Id="rId14" Type="http://schemas.openxmlformats.org/officeDocument/2006/relationships/hyperlink" Target="https://ppim-intra.pea.co.th:4434/request/PPIM18502577" TargetMode="External"/><Relationship Id="rId22" Type="http://schemas.openxmlformats.org/officeDocument/2006/relationships/hyperlink" Target="https://ppim-intra.pea.co.th:4434/request/PPIM18502D8C" TargetMode="External"/><Relationship Id="rId27" Type="http://schemas.openxmlformats.org/officeDocument/2006/relationships/hyperlink" Target="https://ppim-intra.pea.co.th:4434/request/PPIM18502D3A" TargetMode="External"/><Relationship Id="rId30" Type="http://schemas.openxmlformats.org/officeDocument/2006/relationships/hyperlink" Target="https://ppim-intra.pea.co.th:4434/request/PPIM18503525" TargetMode="External"/><Relationship Id="rId35" Type="http://schemas.openxmlformats.org/officeDocument/2006/relationships/hyperlink" Target="https://ppim-intra.pea.co.th:4434/request/PPIM18503A25" TargetMode="External"/><Relationship Id="rId43" Type="http://schemas.openxmlformats.org/officeDocument/2006/relationships/hyperlink" Target="https://ppim-intra.pea.co.th:4434/request/PPIM18503CAE" TargetMode="External"/><Relationship Id="rId48" Type="http://schemas.openxmlformats.org/officeDocument/2006/relationships/hyperlink" Target="https://ppim-intra.pea.co.th:4434/request/PPIM195002A4" TargetMode="External"/><Relationship Id="rId56" Type="http://schemas.openxmlformats.org/officeDocument/2006/relationships/hyperlink" Target="https://ppim-intra.pea.co.th:4434/request/PPIM195026C8" TargetMode="External"/><Relationship Id="rId64" Type="http://schemas.openxmlformats.org/officeDocument/2006/relationships/hyperlink" Target="https://ppim-intra.pea.co.th:4434/request/PPIM195041E3" TargetMode="External"/><Relationship Id="rId69" Type="http://schemas.openxmlformats.org/officeDocument/2006/relationships/hyperlink" Target="https://ppim-intra.pea.co.th:4434/request/PPIM19504E52" TargetMode="External"/><Relationship Id="rId77" Type="http://schemas.openxmlformats.org/officeDocument/2006/relationships/hyperlink" Target="https://ppim-intra.pea.co.th:4434/request/PPIM1950590E" TargetMode="External"/><Relationship Id="rId8" Type="http://schemas.openxmlformats.org/officeDocument/2006/relationships/hyperlink" Target="https://ppim-intra.pea.co.th:4434/request/PPIM18501A99" TargetMode="External"/><Relationship Id="rId51" Type="http://schemas.openxmlformats.org/officeDocument/2006/relationships/hyperlink" Target="https://ppim-intra.pea.co.th:4434/request/PPIM19501E69" TargetMode="External"/><Relationship Id="rId72" Type="http://schemas.openxmlformats.org/officeDocument/2006/relationships/hyperlink" Target="https://ppim-intra.pea.co.th:4434/request/PPIM195050EB" TargetMode="External"/><Relationship Id="rId80" Type="http://schemas.openxmlformats.org/officeDocument/2006/relationships/drawing" Target="../drawings/drawing17.xml"/><Relationship Id="rId3" Type="http://schemas.openxmlformats.org/officeDocument/2006/relationships/hyperlink" Target="https://ppim-intra.pea.co.th:4434/request/PPIM18500D0E" TargetMode="External"/><Relationship Id="rId12" Type="http://schemas.openxmlformats.org/officeDocument/2006/relationships/hyperlink" Target="https://ppim-intra.pea.co.th:4434/request/PPIM18501F66" TargetMode="External"/><Relationship Id="rId17" Type="http://schemas.openxmlformats.org/officeDocument/2006/relationships/hyperlink" Target="https://ppim-intra.pea.co.th:4434/request/PPIM18502BC7" TargetMode="External"/><Relationship Id="rId25" Type="http://schemas.openxmlformats.org/officeDocument/2006/relationships/hyperlink" Target="https://ppim-intra.pea.co.th:4434/request/PPIM18502EEE" TargetMode="External"/><Relationship Id="rId33" Type="http://schemas.openxmlformats.org/officeDocument/2006/relationships/hyperlink" Target="https://ppim-intra.pea.co.th:4434/request/PPIM18503842" TargetMode="External"/><Relationship Id="rId38" Type="http://schemas.openxmlformats.org/officeDocument/2006/relationships/hyperlink" Target="https://ppim-intra.pea.co.th:4434/request/PPIM18503CEE" TargetMode="External"/><Relationship Id="rId46" Type="http://schemas.openxmlformats.org/officeDocument/2006/relationships/hyperlink" Target="https://ppim-intra.pea.co.th:4434/request/PPIM185048CA" TargetMode="External"/><Relationship Id="rId59" Type="http://schemas.openxmlformats.org/officeDocument/2006/relationships/hyperlink" Target="https://ppim-intra.pea.co.th:4434/request/PPIM19503576" TargetMode="External"/><Relationship Id="rId67" Type="http://schemas.openxmlformats.org/officeDocument/2006/relationships/hyperlink" Target="https://ppim-intra.pea.co.th:4434/request/PPIM195046C2" TargetMode="External"/><Relationship Id="rId20" Type="http://schemas.openxmlformats.org/officeDocument/2006/relationships/hyperlink" Target="https://ppim-intra.pea.co.th:4434/request/PPIM18502C85" TargetMode="External"/><Relationship Id="rId41" Type="http://schemas.openxmlformats.org/officeDocument/2006/relationships/hyperlink" Target="https://ppim-intra.pea.co.th:4434/request/PPIM18503C62" TargetMode="External"/><Relationship Id="rId54" Type="http://schemas.openxmlformats.org/officeDocument/2006/relationships/hyperlink" Target="https://ppim-intra.pea.co.th:4434/request/PPIM19501FEA" TargetMode="External"/><Relationship Id="rId62" Type="http://schemas.openxmlformats.org/officeDocument/2006/relationships/hyperlink" Target="https://ppim-intra.pea.co.th:4434/request/PPIM19503D14" TargetMode="External"/><Relationship Id="rId70" Type="http://schemas.openxmlformats.org/officeDocument/2006/relationships/hyperlink" Target="https://ppim-intra.pea.co.th:4434/request/PPIM19504E48" TargetMode="External"/><Relationship Id="rId75" Type="http://schemas.openxmlformats.org/officeDocument/2006/relationships/hyperlink" Target="https://ppim-intra.pea.co.th:4434/request/PPIM19505806" TargetMode="External"/><Relationship Id="rId83" Type="http://schemas.openxmlformats.org/officeDocument/2006/relationships/image" Target="../media/image1.emf"/><Relationship Id="rId1" Type="http://schemas.openxmlformats.org/officeDocument/2006/relationships/hyperlink" Target="https://ppim-intra.pea.co.th:4434/request/PPIM185008FD" TargetMode="External"/><Relationship Id="rId6" Type="http://schemas.openxmlformats.org/officeDocument/2006/relationships/hyperlink" Target="https://ppim-intra.pea.co.th:4434/request/PPIM18501750" TargetMode="External"/><Relationship Id="rId15" Type="http://schemas.openxmlformats.org/officeDocument/2006/relationships/hyperlink" Target="https://ppim-intra.pea.co.th:4434/request/PPIM1850298B" TargetMode="External"/><Relationship Id="rId23" Type="http://schemas.openxmlformats.org/officeDocument/2006/relationships/hyperlink" Target="https://ppim-intra.pea.co.th:4434/request/PPIM18502DBC" TargetMode="External"/><Relationship Id="rId28" Type="http://schemas.openxmlformats.org/officeDocument/2006/relationships/hyperlink" Target="https://ppim-intra.pea.co.th:4434/request/PPIM18503388" TargetMode="External"/><Relationship Id="rId36" Type="http://schemas.openxmlformats.org/officeDocument/2006/relationships/hyperlink" Target="https://ppim-intra.pea.co.th:4434/request/PPIM18503ADF" TargetMode="External"/><Relationship Id="rId49" Type="http://schemas.openxmlformats.org/officeDocument/2006/relationships/hyperlink" Target="https://ppim-intra.pea.co.th:4434/request/PPIM1950035B" TargetMode="External"/><Relationship Id="rId57" Type="http://schemas.openxmlformats.org/officeDocument/2006/relationships/hyperlink" Target="https://ppim-intra.pea.co.th:4434/request/PPIM19502D24" TargetMode="External"/><Relationship Id="rId10" Type="http://schemas.openxmlformats.org/officeDocument/2006/relationships/hyperlink" Target="https://ppim-intra.pea.co.th:4434/request/PPIM185018C1" TargetMode="External"/><Relationship Id="rId31" Type="http://schemas.openxmlformats.org/officeDocument/2006/relationships/hyperlink" Target="https://ppim-intra.pea.co.th:4434/request/PPIM18503526" TargetMode="External"/><Relationship Id="rId44" Type="http://schemas.openxmlformats.org/officeDocument/2006/relationships/hyperlink" Target="https://ppim-intra.pea.co.th:4434/request/PPIM185046D5" TargetMode="External"/><Relationship Id="rId52" Type="http://schemas.openxmlformats.org/officeDocument/2006/relationships/hyperlink" Target="https://ppim-intra.pea.co.th:4434/request/PPIM19501FA2" TargetMode="External"/><Relationship Id="rId60" Type="http://schemas.openxmlformats.org/officeDocument/2006/relationships/hyperlink" Target="https://ppim-intra.pea.co.th:4434/request/PPIM1950362F" TargetMode="External"/><Relationship Id="rId65" Type="http://schemas.openxmlformats.org/officeDocument/2006/relationships/hyperlink" Target="https://ppim-intra.pea.co.th:4434/request/PPIM1950434B" TargetMode="External"/><Relationship Id="rId73" Type="http://schemas.openxmlformats.org/officeDocument/2006/relationships/hyperlink" Target="https://ppim-intra.pea.co.th:4434/request/PPIM195052FE" TargetMode="External"/><Relationship Id="rId78" Type="http://schemas.openxmlformats.org/officeDocument/2006/relationships/hyperlink" Target="https://ppim-intra.pea.co.th:4434/request/PPIM1950599D" TargetMode="External"/><Relationship Id="rId81" Type="http://schemas.openxmlformats.org/officeDocument/2006/relationships/vmlDrawing" Target="../drawings/vmlDrawing16.vml"/><Relationship Id="rId4" Type="http://schemas.openxmlformats.org/officeDocument/2006/relationships/hyperlink" Target="https://ppim-intra.pea.co.th:4434/request/PPIM18501143" TargetMode="External"/><Relationship Id="rId9" Type="http://schemas.openxmlformats.org/officeDocument/2006/relationships/hyperlink" Target="https://ppim-intra.pea.co.th:4434/request/PPIM18501B81" TargetMode="External"/><Relationship Id="rId13" Type="http://schemas.openxmlformats.org/officeDocument/2006/relationships/hyperlink" Target="https://ppim-intra.pea.co.th:4434/request/PPIM185024AB" TargetMode="External"/><Relationship Id="rId18" Type="http://schemas.openxmlformats.org/officeDocument/2006/relationships/hyperlink" Target="https://ppim-intra.pea.co.th:4434/request/PPIM18502AD3" TargetMode="External"/><Relationship Id="rId39" Type="http://schemas.openxmlformats.org/officeDocument/2006/relationships/hyperlink" Target="https://ppim-intra.pea.co.th:4434/request/PPIM18503E05" TargetMode="External"/><Relationship Id="rId34" Type="http://schemas.openxmlformats.org/officeDocument/2006/relationships/hyperlink" Target="https://ppim-intra.pea.co.th:4434/request/PPIM185038FD" TargetMode="External"/><Relationship Id="rId50" Type="http://schemas.openxmlformats.org/officeDocument/2006/relationships/hyperlink" Target="https://ppim-intra.pea.co.th:4434/request/PPIM19501385" TargetMode="External"/><Relationship Id="rId55" Type="http://schemas.openxmlformats.org/officeDocument/2006/relationships/hyperlink" Target="https://ppim-intra.pea.co.th:4434/request/PPIM1950263A" TargetMode="External"/><Relationship Id="rId76" Type="http://schemas.openxmlformats.org/officeDocument/2006/relationships/hyperlink" Target="https://ppim-intra.pea.co.th:4434/request/PPIM19505809" TargetMode="External"/><Relationship Id="rId7" Type="http://schemas.openxmlformats.org/officeDocument/2006/relationships/hyperlink" Target="https://ppim-intra.pea.co.th:4434/request/PPIM18501754" TargetMode="External"/><Relationship Id="rId71" Type="http://schemas.openxmlformats.org/officeDocument/2006/relationships/hyperlink" Target="https://ppim-intra.pea.co.th:4434/request/PPIM19504F76" TargetMode="External"/><Relationship Id="rId2" Type="http://schemas.openxmlformats.org/officeDocument/2006/relationships/hyperlink" Target="https://ppim-intra.pea.co.th:4434/request/PPIM18500A6B" TargetMode="External"/><Relationship Id="rId29" Type="http://schemas.openxmlformats.org/officeDocument/2006/relationships/hyperlink" Target="https://ppim-intra.pea.co.th:4434/request/PPIM185033B8" TargetMode="External"/><Relationship Id="rId24" Type="http://schemas.openxmlformats.org/officeDocument/2006/relationships/hyperlink" Target="https://ppim-intra.pea.co.th:4434/request/PPIM18502D73" TargetMode="External"/><Relationship Id="rId40" Type="http://schemas.openxmlformats.org/officeDocument/2006/relationships/hyperlink" Target="https://ppim-intra.pea.co.th:4434/request/PPIM18503E48" TargetMode="External"/><Relationship Id="rId45" Type="http://schemas.openxmlformats.org/officeDocument/2006/relationships/hyperlink" Target="https://ppim-intra.pea.co.th:4434/request/PPIM18504736" TargetMode="External"/><Relationship Id="rId66" Type="http://schemas.openxmlformats.org/officeDocument/2006/relationships/hyperlink" Target="https://ppim-intra.pea.co.th:4434/request/PPIM19504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E481-A151-474F-A1CE-09454CC2D21D}">
  <dimension ref="A1:AB34"/>
  <sheetViews>
    <sheetView view="pageBreakPreview" zoomScale="70" zoomScaleNormal="100" zoomScaleSheetLayoutView="70" zoomScalePageLayoutView="70" workbookViewId="0">
      <pane xSplit="1" ySplit="2" topLeftCell="B18" activePane="bottomRight" state="frozen"/>
      <selection activeCell="A203" sqref="A203:K252"/>
      <selection pane="topRight" activeCell="A203" sqref="A203:K252"/>
      <selection pane="bottomLeft" activeCell="A203" sqref="A203:K252"/>
      <selection pane="bottomRight" activeCell="A203" sqref="A203:K252"/>
    </sheetView>
  </sheetViews>
  <sheetFormatPr defaultColWidth="9" defaultRowHeight="24"/>
  <cols>
    <col min="1" max="1" width="28.140625" style="28" customWidth="1"/>
    <col min="2" max="2" width="13" style="26" customWidth="1"/>
    <col min="3" max="3" width="7.42578125" style="26" customWidth="1"/>
    <col min="4" max="4" width="15.42578125" style="106" customWidth="1"/>
    <col min="5" max="5" width="10.85546875" style="106" bestFit="1" customWidth="1"/>
    <col min="6" max="6" width="17" style="26" customWidth="1"/>
    <col min="7" max="7" width="20.85546875" style="26" customWidth="1"/>
    <col min="8" max="8" width="22.85546875" style="26" customWidth="1"/>
    <col min="9" max="9" width="12.42578125" style="26" customWidth="1"/>
    <col min="10" max="10" width="10.42578125" style="26" customWidth="1"/>
    <col min="11" max="11" width="13.7109375" style="26" customWidth="1"/>
    <col min="12" max="12" width="12.28515625" style="26" customWidth="1"/>
    <col min="13" max="13" width="8.28515625" style="26" customWidth="1"/>
    <col min="14" max="14" width="9.7109375" style="26" customWidth="1"/>
    <col min="15" max="15" width="11.5703125" style="26" customWidth="1"/>
    <col min="16" max="16" width="14.28515625" style="26" customWidth="1"/>
    <col min="17" max="17" width="22.28515625" style="26" customWidth="1"/>
    <col min="18" max="18" width="10.140625" style="34" bestFit="1" customWidth="1"/>
    <col min="19" max="19" width="9" style="34"/>
    <col min="20" max="20" width="18.140625" style="34" bestFit="1" customWidth="1"/>
    <col min="21" max="21" width="15.42578125" style="26" customWidth="1"/>
    <col min="22" max="22" width="14" style="26" customWidth="1"/>
    <col min="23" max="25" width="21" style="26" customWidth="1"/>
    <col min="26" max="26" width="25.42578125" style="26" customWidth="1"/>
    <col min="27" max="27" width="22.85546875" style="26" bestFit="1" customWidth="1"/>
    <col min="28" max="16384" width="9" style="34"/>
  </cols>
  <sheetData>
    <row r="1" spans="1:27" ht="33">
      <c r="A1" s="122" t="s">
        <v>361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 spans="1:27" s="51" customFormat="1" ht="50.25" customHeight="1">
      <c r="A2" s="52"/>
      <c r="B2" s="53" t="s">
        <v>11</v>
      </c>
      <c r="C2" s="54" t="s">
        <v>178</v>
      </c>
      <c r="D2" s="97" t="s">
        <v>235</v>
      </c>
      <c r="E2" s="98" t="s">
        <v>189</v>
      </c>
      <c r="F2" s="55" t="s">
        <v>2652</v>
      </c>
      <c r="G2" s="56" t="s">
        <v>2653</v>
      </c>
      <c r="H2" s="57" t="s">
        <v>2688</v>
      </c>
      <c r="I2" s="58" t="s">
        <v>2654</v>
      </c>
      <c r="J2" s="59" t="s">
        <v>2651</v>
      </c>
      <c r="K2" s="60" t="s">
        <v>2655</v>
      </c>
      <c r="L2" s="61" t="s">
        <v>236</v>
      </c>
      <c r="M2" s="62" t="s">
        <v>213</v>
      </c>
      <c r="N2" s="108"/>
      <c r="O2" s="63" t="s">
        <v>258</v>
      </c>
      <c r="P2" s="63" t="s">
        <v>259</v>
      </c>
      <c r="Q2" s="64" t="s">
        <v>262</v>
      </c>
      <c r="R2" s="65" t="s">
        <v>267</v>
      </c>
      <c r="S2" s="65"/>
      <c r="T2" s="66" t="s">
        <v>263</v>
      </c>
      <c r="U2" s="63" t="s">
        <v>260</v>
      </c>
      <c r="V2" s="64" t="s">
        <v>261</v>
      </c>
      <c r="W2" s="67" t="s">
        <v>265</v>
      </c>
      <c r="X2" s="67" t="s">
        <v>268</v>
      </c>
      <c r="Y2" s="64" t="s">
        <v>269</v>
      </c>
      <c r="Z2" s="63" t="s">
        <v>266</v>
      </c>
      <c r="AA2" s="64" t="s">
        <v>264</v>
      </c>
    </row>
    <row r="3" spans="1:27">
      <c r="A3" s="29" t="s">
        <v>1997</v>
      </c>
      <c r="B3" s="77">
        <f>'กฟจ นฐ'!M3</f>
        <v>0</v>
      </c>
      <c r="C3" s="78">
        <f>'กฟจ นฐ'!M4</f>
        <v>50</v>
      </c>
      <c r="D3" s="99">
        <f>'กฟจ นฐ'!M5</f>
        <v>2</v>
      </c>
      <c r="E3" s="79">
        <f>'กฟจ นฐ'!M6</f>
        <v>44</v>
      </c>
      <c r="F3" s="93">
        <f>'กฟจ นฐ'!M7</f>
        <v>2</v>
      </c>
      <c r="G3" s="81">
        <f>'กฟจ นฐ'!M8</f>
        <v>17</v>
      </c>
      <c r="H3" s="95">
        <f>'กฟจ นฐ'!M9</f>
        <v>1</v>
      </c>
      <c r="I3" s="82">
        <f>'กฟจ นฐ'!M11</f>
        <v>2</v>
      </c>
      <c r="J3" s="83">
        <f>'กฟจ นฐ'!M12</f>
        <v>0</v>
      </c>
      <c r="K3" s="84">
        <f>'กฟจ นฐ'!M13</f>
        <v>0</v>
      </c>
      <c r="L3" s="85">
        <f>'กฟจ นฐ'!M14</f>
        <v>132</v>
      </c>
      <c r="M3" s="91">
        <f>SUM(B3:L3)</f>
        <v>250</v>
      </c>
    </row>
    <row r="4" spans="1:27">
      <c r="A4" s="29" t="s">
        <v>223</v>
      </c>
      <c r="B4" s="77">
        <f>'กฟส นครชัยศรี'!M3</f>
        <v>10</v>
      </c>
      <c r="C4" s="78">
        <f>'กฟส นครชัยศรี'!M4</f>
        <v>58</v>
      </c>
      <c r="D4" s="99">
        <f>'กฟส นครชัยศรี'!M5</f>
        <v>0</v>
      </c>
      <c r="E4" s="79">
        <f>'กฟส นครชัยศรี'!M6</f>
        <v>2</v>
      </c>
      <c r="F4" s="80">
        <f>'กฟส นครชัยศรี'!M7</f>
        <v>4</v>
      </c>
      <c r="G4" s="81">
        <f>'กฟส นครชัยศรี'!M8</f>
        <v>2</v>
      </c>
      <c r="H4" s="86">
        <f>'กฟส นครชัยศรี'!M9</f>
        <v>0</v>
      </c>
      <c r="I4" s="82">
        <f>'กฟส นครชัยศรี'!M11</f>
        <v>1</v>
      </c>
      <c r="J4" s="83">
        <f>'กฟส นครชัยศรี'!M12</f>
        <v>0</v>
      </c>
      <c r="K4" s="84">
        <f>'กฟส นครชัยศรี'!M13</f>
        <v>0</v>
      </c>
      <c r="L4" s="85">
        <f>'กฟส นครชัยศรี'!M14</f>
        <v>25</v>
      </c>
      <c r="M4" s="91">
        <f t="shared" ref="M4:M8" si="0">SUM(B4:L4)</f>
        <v>102</v>
      </c>
    </row>
    <row r="5" spans="1:27">
      <c r="A5" s="29" t="s">
        <v>224</v>
      </c>
      <c r="B5" s="77">
        <f>'กฟส กำแพงแสน'!M3</f>
        <v>2</v>
      </c>
      <c r="C5" s="78">
        <f>'กฟส กำแพงแสน'!M4</f>
        <v>44</v>
      </c>
      <c r="D5" s="99">
        <f>'กฟส กำแพงแสน'!M5</f>
        <v>1</v>
      </c>
      <c r="E5" s="79">
        <f>'กฟส กำแพงแสน'!M6</f>
        <v>3</v>
      </c>
      <c r="F5" s="80">
        <f>'กฟส กำแพงแสน'!M7</f>
        <v>1</v>
      </c>
      <c r="G5" s="81">
        <f>'กฟส กำแพงแสน'!M8</f>
        <v>7</v>
      </c>
      <c r="H5" s="86">
        <f>'กฟส กำแพงแสน'!M9</f>
        <v>1</v>
      </c>
      <c r="I5" s="82">
        <f>'กฟส กำแพงแสน'!M11</f>
        <v>1</v>
      </c>
      <c r="J5" s="83">
        <f>'กฟส กำแพงแสน'!M12</f>
        <v>0</v>
      </c>
      <c r="K5" s="84">
        <f>'กฟส กำแพงแสน'!M13</f>
        <v>0</v>
      </c>
      <c r="L5" s="85">
        <f>'กฟส กำแพงแสน'!M14</f>
        <v>26</v>
      </c>
      <c r="M5" s="91">
        <f t="shared" si="0"/>
        <v>86</v>
      </c>
    </row>
    <row r="6" spans="1:27">
      <c r="A6" s="29" t="s">
        <v>225</v>
      </c>
      <c r="B6" s="77">
        <f>'กฟส สามพราน'!M3</f>
        <v>24</v>
      </c>
      <c r="C6" s="78">
        <f>'กฟส สามพราน'!M4</f>
        <v>214</v>
      </c>
      <c r="D6" s="99">
        <f>'กฟส สามพราน'!M5</f>
        <v>0</v>
      </c>
      <c r="E6" s="79">
        <f>'กฟส สามพราน'!M6</f>
        <v>2</v>
      </c>
      <c r="F6" s="80">
        <f>'กฟส สามพราน'!M7</f>
        <v>0</v>
      </c>
      <c r="G6" s="81">
        <f>'กฟส สามพราน'!M8</f>
        <v>4</v>
      </c>
      <c r="H6" s="88">
        <f>'กฟส สามพราน'!M9</f>
        <v>3</v>
      </c>
      <c r="I6" s="82">
        <f>'กฟส สามพราน'!M11</f>
        <v>2</v>
      </c>
      <c r="J6" s="83">
        <f>'กฟส สามพราน'!M12</f>
        <v>0</v>
      </c>
      <c r="K6" s="84">
        <f>'กฟส สามพราน'!M13</f>
        <v>0</v>
      </c>
      <c r="L6" s="85">
        <f>'กฟส สามพราน'!M14</f>
        <v>44</v>
      </c>
      <c r="M6" s="91">
        <f t="shared" si="0"/>
        <v>293</v>
      </c>
    </row>
    <row r="7" spans="1:27">
      <c r="A7" s="29" t="s">
        <v>226</v>
      </c>
      <c r="B7" s="77">
        <f>'กฟส บางเลน'!M3</f>
        <v>14</v>
      </c>
      <c r="C7" s="78">
        <f>'กฟส บางเลน'!M4</f>
        <v>8</v>
      </c>
      <c r="D7" s="99">
        <f>'กฟส บางเลน'!M5</f>
        <v>0</v>
      </c>
      <c r="E7" s="87">
        <f>'กฟส บางเลน'!M6</f>
        <v>1</v>
      </c>
      <c r="F7" s="80">
        <f>'กฟส บางเลน'!M7</f>
        <v>13</v>
      </c>
      <c r="G7" s="81">
        <f>'กฟส บางเลน'!M8</f>
        <v>3</v>
      </c>
      <c r="H7" s="88">
        <f>'กฟส บางเลน'!M9</f>
        <v>0</v>
      </c>
      <c r="I7" s="82">
        <f>'กฟส บางเลน'!M11</f>
        <v>8</v>
      </c>
      <c r="J7" s="83">
        <f>'กฟส บางเลน'!M12</f>
        <v>0</v>
      </c>
      <c r="K7" s="84">
        <f>'กฟส บางเลน'!M13</f>
        <v>0</v>
      </c>
      <c r="L7" s="85">
        <f>'กฟส บางเลน'!M14</f>
        <v>5</v>
      </c>
      <c r="M7" s="91">
        <f t="shared" si="0"/>
        <v>52</v>
      </c>
    </row>
    <row r="8" spans="1:27">
      <c r="A8" s="29" t="s">
        <v>227</v>
      </c>
      <c r="B8" s="77">
        <f>'กฟส พุทธมณฑล'!M3</f>
        <v>20</v>
      </c>
      <c r="C8" s="78">
        <f>'กฟส พุทธมณฑล'!M4</f>
        <v>35</v>
      </c>
      <c r="D8" s="99">
        <f>'กฟส พุทธมณฑล'!M5</f>
        <v>0</v>
      </c>
      <c r="E8" s="87">
        <f>'กฟส พุทธมณฑล'!M6</f>
        <v>0</v>
      </c>
      <c r="F8" s="107">
        <f>'กฟส พุทธมณฑล'!M7</f>
        <v>3</v>
      </c>
      <c r="G8" s="81">
        <f>'กฟส พุทธมณฑล'!M8</f>
        <v>9</v>
      </c>
      <c r="H8" s="88">
        <f>'กฟส พุทธมณฑล'!M9</f>
        <v>0</v>
      </c>
      <c r="I8" s="82">
        <f>'กฟส พุทธมณฑล'!M11</f>
        <v>0</v>
      </c>
      <c r="J8" s="83">
        <f>'กฟส พุทธมณฑล'!M12</f>
        <v>0</v>
      </c>
      <c r="K8" s="84">
        <f>'กฟส พุทธมณฑล'!M13</f>
        <v>0</v>
      </c>
      <c r="L8" s="85">
        <f>'กฟส พุทธมณฑล'!M14</f>
        <v>34</v>
      </c>
      <c r="M8" s="91">
        <f t="shared" si="0"/>
        <v>101</v>
      </c>
    </row>
    <row r="9" spans="1:27">
      <c r="A9" s="30" t="s">
        <v>4011</v>
      </c>
      <c r="B9" s="89">
        <f>SUM(B3:B8)</f>
        <v>70</v>
      </c>
      <c r="C9" s="90">
        <f t="shared" ref="C9:L9" si="1">SUM(C3:C8)</f>
        <v>409</v>
      </c>
      <c r="D9" s="100">
        <f t="shared" si="1"/>
        <v>3</v>
      </c>
      <c r="E9" s="100">
        <f t="shared" si="1"/>
        <v>52</v>
      </c>
      <c r="F9" s="90">
        <f t="shared" si="1"/>
        <v>23</v>
      </c>
      <c r="G9" s="90">
        <f t="shared" si="1"/>
        <v>42</v>
      </c>
      <c r="H9" s="90">
        <f t="shared" si="1"/>
        <v>5</v>
      </c>
      <c r="I9" s="90">
        <f t="shared" si="1"/>
        <v>14</v>
      </c>
      <c r="J9" s="90">
        <f t="shared" si="1"/>
        <v>0</v>
      </c>
      <c r="K9" s="89">
        <f t="shared" si="1"/>
        <v>0</v>
      </c>
      <c r="L9" s="89">
        <f t="shared" si="1"/>
        <v>266</v>
      </c>
      <c r="M9" s="91">
        <f>SUM(B9:L9)</f>
        <v>884</v>
      </c>
      <c r="N9" s="26">
        <f>SUM(M3:M8)</f>
        <v>884</v>
      </c>
    </row>
    <row r="10" spans="1:27" ht="65.25">
      <c r="A10" s="31"/>
      <c r="B10" s="53" t="s">
        <v>11</v>
      </c>
      <c r="C10" s="54" t="s">
        <v>178</v>
      </c>
      <c r="D10" s="97" t="s">
        <v>235</v>
      </c>
      <c r="E10" s="98" t="s">
        <v>189</v>
      </c>
      <c r="F10" s="55" t="s">
        <v>2652</v>
      </c>
      <c r="G10" s="56" t="s">
        <v>2653</v>
      </c>
      <c r="H10" s="57" t="s">
        <v>2688</v>
      </c>
      <c r="I10" s="58" t="s">
        <v>2654</v>
      </c>
      <c r="J10" s="59" t="s">
        <v>2651</v>
      </c>
      <c r="K10" s="60" t="s">
        <v>2655</v>
      </c>
      <c r="L10" s="61" t="s">
        <v>236</v>
      </c>
      <c r="M10" s="62" t="s">
        <v>213</v>
      </c>
    </row>
    <row r="11" spans="1:27">
      <c r="A11" s="29" t="s">
        <v>1996</v>
      </c>
      <c r="B11" s="37">
        <f>'กฟจ สค'!M3</f>
        <v>4</v>
      </c>
      <c r="C11" s="36">
        <f>'กฟจ สค'!M4</f>
        <v>50</v>
      </c>
      <c r="D11" s="109">
        <f>'กฟจ สค'!M5</f>
        <v>1</v>
      </c>
      <c r="E11" s="45">
        <f>'กฟจ สค'!M6</f>
        <v>12</v>
      </c>
      <c r="F11" s="38">
        <f>'กฟจ สค'!M7</f>
        <v>3</v>
      </c>
      <c r="G11" s="39">
        <f>'กฟจ สค'!M8</f>
        <v>6</v>
      </c>
      <c r="H11" s="44">
        <f>'กฟจ สค'!M9</f>
        <v>4</v>
      </c>
      <c r="I11" s="40">
        <f>'กฟจ สค'!M11</f>
        <v>17</v>
      </c>
      <c r="J11" s="41">
        <f>'กฟจ สค'!M12</f>
        <v>0</v>
      </c>
      <c r="K11" s="42">
        <f>'กฟจ สค'!M13</f>
        <v>6</v>
      </c>
      <c r="L11" s="43">
        <f>'กฟจ สค'!M14</f>
        <v>103</v>
      </c>
      <c r="M11" s="27">
        <f t="shared" ref="M11:M26" si="2">SUM(B11:L11)</f>
        <v>206</v>
      </c>
    </row>
    <row r="12" spans="1:27">
      <c r="A12" s="29" t="s">
        <v>228</v>
      </c>
      <c r="B12" s="37">
        <f>'กฟส อ้อมน้อย'!M3</f>
        <v>8</v>
      </c>
      <c r="C12" s="36">
        <f>'กฟส อ้อมน้อย'!M4</f>
        <v>284</v>
      </c>
      <c r="D12" s="101">
        <f>'กฟส อ้อมน้อย'!M5</f>
        <v>0</v>
      </c>
      <c r="E12" s="45">
        <f>'กฟส อ้อมน้อย'!M6</f>
        <v>3</v>
      </c>
      <c r="F12" s="38">
        <f>'กฟส อ้อมน้อย'!M7</f>
        <v>0</v>
      </c>
      <c r="G12" s="39">
        <f>'กฟส อ้อมน้อย'!M8</f>
        <v>5</v>
      </c>
      <c r="H12" s="44">
        <f>'กฟส อ้อมน้อย'!M9</f>
        <v>3</v>
      </c>
      <c r="I12" s="40">
        <f>'กฟส อ้อมน้อย'!M11</f>
        <v>1</v>
      </c>
      <c r="J12" s="41">
        <f>'กฟส อ้อมน้อย'!M12</f>
        <v>0</v>
      </c>
      <c r="K12" s="42">
        <f>'กฟส อ้อมน้อย'!M13</f>
        <v>0</v>
      </c>
      <c r="L12" s="43">
        <f>'กฟส อ้อมน้อย'!M14</f>
        <v>24</v>
      </c>
      <c r="M12" s="27">
        <f t="shared" si="2"/>
        <v>328</v>
      </c>
    </row>
    <row r="13" spans="1:27">
      <c r="A13" s="29" t="s">
        <v>229</v>
      </c>
      <c r="B13" s="37">
        <f>'กฟส กระทุ่มแบน'!M3</f>
        <v>7</v>
      </c>
      <c r="C13" s="36">
        <f>'กฟส กระทุ่มแบน'!M4</f>
        <v>11</v>
      </c>
      <c r="D13" s="101">
        <f>'กฟส กระทุ่มแบน'!M5</f>
        <v>0</v>
      </c>
      <c r="E13" s="45">
        <f>'กฟส กระทุ่มแบน'!M6</f>
        <v>10</v>
      </c>
      <c r="F13" s="38">
        <f>'กฟส กระทุ่มแบน'!M7</f>
        <v>1</v>
      </c>
      <c r="G13" s="39">
        <f>'กฟส กระทุ่มแบน'!M8</f>
        <v>9</v>
      </c>
      <c r="H13" s="44">
        <f>'กฟส กระทุ่มแบน'!M9</f>
        <v>0</v>
      </c>
      <c r="I13" s="40">
        <f>'กฟส กระทุ่มแบน'!M11</f>
        <v>6</v>
      </c>
      <c r="J13" s="41">
        <f>'กฟส กระทุ่มแบน'!M12</f>
        <v>0</v>
      </c>
      <c r="K13" s="42">
        <f>'กฟส กระทุ่มแบน'!M13</f>
        <v>0</v>
      </c>
      <c r="L13" s="43">
        <f>'กฟส กระทุ่มแบน'!M14</f>
        <v>23</v>
      </c>
      <c r="M13" s="27">
        <f t="shared" si="2"/>
        <v>67</v>
      </c>
    </row>
    <row r="14" spans="1:27">
      <c r="A14" s="29" t="s">
        <v>230</v>
      </c>
      <c r="B14" s="37">
        <f>'กฟส สมุทรสาคร 2'!M3</f>
        <v>0</v>
      </c>
      <c r="C14" s="36">
        <f>'กฟส สมุทรสาคร 2'!M4</f>
        <v>19</v>
      </c>
      <c r="D14" s="101">
        <f>'กฟส สมุทรสาคร 2'!M5</f>
        <v>0</v>
      </c>
      <c r="E14" s="45">
        <f>'กฟส สมุทรสาคร 2'!M6</f>
        <v>6</v>
      </c>
      <c r="F14" s="38">
        <f>'กฟส สมุทรสาคร 2'!M7</f>
        <v>0</v>
      </c>
      <c r="G14" s="46">
        <f>'กฟส สมุทรสาคร 2'!M8</f>
        <v>4</v>
      </c>
      <c r="H14" s="44">
        <f>'กฟส สมุทรสาคร 2'!M9</f>
        <v>0</v>
      </c>
      <c r="I14" s="40">
        <f>'กฟส สมุทรสาคร 2'!M11</f>
        <v>0</v>
      </c>
      <c r="J14" s="41">
        <f>'กฟส สมุทรสาคร 2'!M12</f>
        <v>0</v>
      </c>
      <c r="K14" s="42">
        <f>'กฟส สมุทรสาคร 2'!M13</f>
        <v>0</v>
      </c>
      <c r="L14" s="43">
        <f>'กฟส สมุทรสาคร 2'!M14</f>
        <v>24</v>
      </c>
      <c r="M14" s="27">
        <f t="shared" si="2"/>
        <v>53</v>
      </c>
    </row>
    <row r="15" spans="1:27">
      <c r="A15" s="29" t="s">
        <v>231</v>
      </c>
      <c r="B15" s="37">
        <f>'กฟส โคกขาม'!M3</f>
        <v>2</v>
      </c>
      <c r="C15" s="36">
        <f>'กฟส โคกขาม'!M4</f>
        <v>21</v>
      </c>
      <c r="D15" s="101">
        <f>'กฟส โคกขาม'!M5</f>
        <v>0</v>
      </c>
      <c r="E15" s="45">
        <f>'กฟส โคกขาม'!M6</f>
        <v>5</v>
      </c>
      <c r="F15" s="38">
        <f>'กฟส โคกขาม'!M7</f>
        <v>0</v>
      </c>
      <c r="G15" s="39">
        <f>'กฟส โคกขาม'!M8</f>
        <v>7</v>
      </c>
      <c r="H15" s="44">
        <f>'กฟส โคกขาม'!M9</f>
        <v>0</v>
      </c>
      <c r="I15" s="40">
        <f>'กฟส โคกขาม'!M11</f>
        <v>3</v>
      </c>
      <c r="J15" s="41">
        <f>'กฟส โคกขาม'!M12</f>
        <v>0</v>
      </c>
      <c r="K15" s="42">
        <f>'กฟส โคกขาม'!M13</f>
        <v>0</v>
      </c>
      <c r="L15" s="43">
        <f>'กฟส โคกขาม'!M14</f>
        <v>72</v>
      </c>
      <c r="M15" s="27">
        <f t="shared" si="2"/>
        <v>110</v>
      </c>
    </row>
    <row r="16" spans="1:27">
      <c r="A16" s="32" t="s">
        <v>4012</v>
      </c>
      <c r="B16" s="47">
        <f>SUM(B11:B15)</f>
        <v>21</v>
      </c>
      <c r="C16" s="47">
        <f t="shared" ref="C16:L16" si="3">SUM(C11:C15)</f>
        <v>385</v>
      </c>
      <c r="D16" s="102">
        <f t="shared" si="3"/>
        <v>1</v>
      </c>
      <c r="E16" s="102">
        <f t="shared" si="3"/>
        <v>36</v>
      </c>
      <c r="F16" s="47">
        <f t="shared" si="3"/>
        <v>4</v>
      </c>
      <c r="G16" s="47">
        <f t="shared" si="3"/>
        <v>31</v>
      </c>
      <c r="H16" s="47">
        <f t="shared" si="3"/>
        <v>7</v>
      </c>
      <c r="I16" s="47">
        <f t="shared" si="3"/>
        <v>27</v>
      </c>
      <c r="J16" s="47">
        <f t="shared" si="3"/>
        <v>0</v>
      </c>
      <c r="K16" s="47">
        <f t="shared" si="3"/>
        <v>6</v>
      </c>
      <c r="L16" s="47">
        <f t="shared" si="3"/>
        <v>246</v>
      </c>
      <c r="M16" s="47">
        <f t="shared" si="2"/>
        <v>764</v>
      </c>
      <c r="N16" s="26">
        <f>SUM(M11:M15)</f>
        <v>764</v>
      </c>
    </row>
    <row r="17" spans="1:28" ht="65.25">
      <c r="B17" s="53" t="s">
        <v>11</v>
      </c>
      <c r="C17" s="54" t="s">
        <v>178</v>
      </c>
      <c r="D17" s="97" t="s">
        <v>235</v>
      </c>
      <c r="E17" s="98" t="s">
        <v>189</v>
      </c>
      <c r="F17" s="55" t="s">
        <v>2652</v>
      </c>
      <c r="G17" s="56" t="s">
        <v>2653</v>
      </c>
      <c r="H17" s="57" t="s">
        <v>2688</v>
      </c>
      <c r="I17" s="58" t="s">
        <v>2654</v>
      </c>
      <c r="J17" s="59" t="s">
        <v>2651</v>
      </c>
      <c r="K17" s="60" t="s">
        <v>2655</v>
      </c>
      <c r="L17" s="61" t="s">
        <v>236</v>
      </c>
      <c r="M17" s="62" t="s">
        <v>213</v>
      </c>
    </row>
    <row r="18" spans="1:28">
      <c r="A18" s="29" t="s">
        <v>1995</v>
      </c>
      <c r="B18" s="37">
        <f>'กฟจ กจ'!M3</f>
        <v>0</v>
      </c>
      <c r="C18" s="36">
        <f>'กฟจ กจ'!M4</f>
        <v>146</v>
      </c>
      <c r="D18" s="101">
        <f>'กฟจ กจ'!M5</f>
        <v>0</v>
      </c>
      <c r="E18" s="45">
        <f>'กฟจ กจ'!M6</f>
        <v>16</v>
      </c>
      <c r="F18" s="38">
        <f>'กฟจ กจ'!M7</f>
        <v>2</v>
      </c>
      <c r="G18" s="39">
        <f>'กฟจ กจ'!M8</f>
        <v>14</v>
      </c>
      <c r="H18" s="44">
        <f>'กฟจ กจ'!M9</f>
        <v>2</v>
      </c>
      <c r="I18" s="40">
        <f>'กฟจ กจ'!M11</f>
        <v>0</v>
      </c>
      <c r="J18" s="41">
        <f>'กฟจ กจ'!M12</f>
        <v>0</v>
      </c>
      <c r="K18" s="42">
        <f>'กฟจ กจ'!M13</f>
        <v>0</v>
      </c>
      <c r="L18" s="43">
        <f>'กฟจ กจ'!M14</f>
        <v>114</v>
      </c>
      <c r="M18" s="27">
        <f t="shared" si="2"/>
        <v>294</v>
      </c>
    </row>
    <row r="19" spans="1:28">
      <c r="A19" s="29" t="s">
        <v>232</v>
      </c>
      <c r="B19" s="37">
        <f>'กฟส บ่อพลอย'!M3</f>
        <v>1</v>
      </c>
      <c r="C19" s="36">
        <f>'กฟส บ่อพลอย'!M4</f>
        <v>25</v>
      </c>
      <c r="D19" s="101">
        <f>'กฟส บ่อพลอย'!M5</f>
        <v>0</v>
      </c>
      <c r="E19" s="45">
        <f>'กฟส บ่อพลอย'!M6</f>
        <v>0</v>
      </c>
      <c r="F19" s="38">
        <f>'กฟส บ่อพลอย'!M7</f>
        <v>0</v>
      </c>
      <c r="G19" s="39">
        <f>'กฟส บ่อพลอย'!M8</f>
        <v>3</v>
      </c>
      <c r="H19" s="44">
        <f>'กฟส บ่อพลอย'!M9</f>
        <v>1</v>
      </c>
      <c r="I19" s="40">
        <f>'กฟส บ่อพลอย'!M11</f>
        <v>1</v>
      </c>
      <c r="J19" s="41">
        <f>'กฟส บ่อพลอย'!M12</f>
        <v>0</v>
      </c>
      <c r="K19" s="42">
        <f>'กฟส บ่อพลอย'!M13</f>
        <v>0</v>
      </c>
      <c r="L19" s="43">
        <f>'กฟส บ่อพลอย'!M14</f>
        <v>23</v>
      </c>
      <c r="M19" s="27">
        <f t="shared" si="2"/>
        <v>54</v>
      </c>
    </row>
    <row r="20" spans="1:28" ht="36">
      <c r="A20" s="29" t="s">
        <v>233</v>
      </c>
      <c r="B20" s="37">
        <f>'กฟส ท่ามะกา'!M3</f>
        <v>4</v>
      </c>
      <c r="C20" s="36">
        <f>'กฟส ท่ามะกา'!M4</f>
        <v>39</v>
      </c>
      <c r="D20" s="101">
        <f>'กฟส ท่ามะกา'!M5</f>
        <v>2</v>
      </c>
      <c r="E20" s="45">
        <f>'กฟส ท่ามะกา'!M6</f>
        <v>1</v>
      </c>
      <c r="F20" s="38">
        <f>'กฟส ท่ามะกา'!M7</f>
        <v>2</v>
      </c>
      <c r="G20" s="39">
        <f>'กฟส ท่ามะกา'!M8</f>
        <v>2</v>
      </c>
      <c r="H20" s="44">
        <f>'กฟส ท่ามะกา'!M9</f>
        <v>0</v>
      </c>
      <c r="I20" s="40">
        <f>'กฟส ท่ามะกา'!M11</f>
        <v>7</v>
      </c>
      <c r="J20" s="41">
        <f>'กฟส ท่ามะกา'!M12</f>
        <v>0</v>
      </c>
      <c r="K20" s="42">
        <f>'กฟส ท่ามะกา'!M13</f>
        <v>0</v>
      </c>
      <c r="L20" s="43">
        <f>'กฟส ท่ามะกา'!M14</f>
        <v>18</v>
      </c>
      <c r="M20" s="27">
        <f t="shared" si="2"/>
        <v>75</v>
      </c>
      <c r="T20" s="118" t="s">
        <v>8030</v>
      </c>
      <c r="U20" s="118" t="s">
        <v>8027</v>
      </c>
      <c r="V20" s="118" t="s">
        <v>8028</v>
      </c>
      <c r="W20" s="118" t="s">
        <v>8031</v>
      </c>
      <c r="X20" s="118" t="s">
        <v>8029</v>
      </c>
    </row>
    <row r="21" spans="1:28" ht="24.75" thickBot="1">
      <c r="A21" s="33" t="s">
        <v>4013</v>
      </c>
      <c r="B21" s="47">
        <f>SUM(B18:B20)</f>
        <v>5</v>
      </c>
      <c r="C21" s="47">
        <f t="shared" ref="C21:L21" si="4">SUM(C18:C20)</f>
        <v>210</v>
      </c>
      <c r="D21" s="102">
        <f t="shared" si="4"/>
        <v>2</v>
      </c>
      <c r="E21" s="102">
        <f t="shared" si="4"/>
        <v>17</v>
      </c>
      <c r="F21" s="47">
        <f t="shared" si="4"/>
        <v>4</v>
      </c>
      <c r="G21" s="47">
        <f t="shared" si="4"/>
        <v>19</v>
      </c>
      <c r="H21" s="47">
        <f t="shared" si="4"/>
        <v>3</v>
      </c>
      <c r="I21" s="47">
        <f t="shared" si="4"/>
        <v>8</v>
      </c>
      <c r="J21" s="47">
        <f t="shared" si="4"/>
        <v>0</v>
      </c>
      <c r="K21" s="47">
        <f t="shared" si="4"/>
        <v>0</v>
      </c>
      <c r="L21" s="47">
        <f t="shared" si="4"/>
        <v>155</v>
      </c>
      <c r="M21" s="47">
        <f t="shared" si="2"/>
        <v>423</v>
      </c>
      <c r="T21" s="119" t="s">
        <v>8032</v>
      </c>
      <c r="U21" s="119">
        <v>3</v>
      </c>
      <c r="V21" s="119">
        <v>389</v>
      </c>
      <c r="W21" s="119">
        <v>392</v>
      </c>
      <c r="X21" s="121">
        <f>U21/W21*100</f>
        <v>0.76530612244897955</v>
      </c>
      <c r="Y21" s="26">
        <f>_xlfn.RANK.AVG(X21,X$21:X$34)</f>
        <v>13</v>
      </c>
    </row>
    <row r="22" spans="1:28" ht="66" thickBot="1">
      <c r="B22" s="53" t="s">
        <v>11</v>
      </c>
      <c r="C22" s="54" t="s">
        <v>178</v>
      </c>
      <c r="D22" s="97" t="s">
        <v>235</v>
      </c>
      <c r="E22" s="98" t="s">
        <v>189</v>
      </c>
      <c r="F22" s="55" t="s">
        <v>2652</v>
      </c>
      <c r="G22" s="56" t="s">
        <v>2653</v>
      </c>
      <c r="H22" s="57" t="s">
        <v>2688</v>
      </c>
      <c r="I22" s="58" t="s">
        <v>2654</v>
      </c>
      <c r="J22" s="59" t="s">
        <v>2651</v>
      </c>
      <c r="K22" s="60" t="s">
        <v>2655</v>
      </c>
      <c r="L22" s="61" t="s">
        <v>236</v>
      </c>
      <c r="M22" s="62" t="s">
        <v>213</v>
      </c>
      <c r="T22" s="119" t="s">
        <v>8033</v>
      </c>
      <c r="U22" s="119">
        <v>710</v>
      </c>
      <c r="V22" s="119">
        <v>695</v>
      </c>
      <c r="W22" s="120">
        <v>1405</v>
      </c>
      <c r="X22" s="121">
        <f t="shared" ref="X22:X34" si="5">U22/W22*100</f>
        <v>50.533807829181498</v>
      </c>
      <c r="Y22" s="26">
        <f t="shared" ref="Y22:Y34" si="6">_xlfn.RANK.AVG(X22,X$21:X$34)</f>
        <v>2</v>
      </c>
    </row>
    <row r="23" spans="1:28" ht="24.75" thickBot="1">
      <c r="A23" s="29" t="s">
        <v>1994</v>
      </c>
      <c r="B23" s="37">
        <f>'กฟจ สพ'!M3</f>
        <v>9</v>
      </c>
      <c r="C23" s="36">
        <f>'กฟจ สพ'!M4</f>
        <v>57</v>
      </c>
      <c r="D23" s="101">
        <f>'กฟจ สพ'!M5</f>
        <v>0</v>
      </c>
      <c r="E23" s="45">
        <f>'กฟจ สพ'!M6</f>
        <v>31</v>
      </c>
      <c r="F23" s="38">
        <f>'กฟจ สพ'!M7</f>
        <v>1</v>
      </c>
      <c r="G23" s="39">
        <f>'กฟจ สพ'!M8</f>
        <v>29</v>
      </c>
      <c r="H23" s="44">
        <f>'กฟจ สพ'!M9</f>
        <v>0</v>
      </c>
      <c r="I23" s="40">
        <f>'กฟจ สพ'!M11</f>
        <v>3</v>
      </c>
      <c r="J23" s="41">
        <f>'กฟจ สพ'!M12</f>
        <v>0</v>
      </c>
      <c r="K23" s="42">
        <f>'กฟจ สพ'!M13</f>
        <v>0</v>
      </c>
      <c r="L23" s="43">
        <f>'กฟจ สพ'!M14</f>
        <v>87</v>
      </c>
      <c r="M23" s="27">
        <f t="shared" si="2"/>
        <v>217</v>
      </c>
      <c r="T23" s="119" t="s">
        <v>8034</v>
      </c>
      <c r="U23" s="119">
        <v>196</v>
      </c>
      <c r="V23" s="119">
        <v>836</v>
      </c>
      <c r="W23" s="120">
        <v>1032</v>
      </c>
      <c r="X23" s="121">
        <f t="shared" si="5"/>
        <v>18.992248062015506</v>
      </c>
      <c r="Y23" s="26">
        <f t="shared" si="6"/>
        <v>12</v>
      </c>
    </row>
    <row r="24" spans="1:28" ht="24.75" thickBot="1">
      <c r="A24" s="29" t="s">
        <v>122</v>
      </c>
      <c r="B24" s="37">
        <f>'กฟอ อู่ทอง'!M3</f>
        <v>6</v>
      </c>
      <c r="C24" s="36">
        <f>'กฟอ อู่ทอง'!M4</f>
        <v>43</v>
      </c>
      <c r="D24" s="101">
        <f>'กฟอ อู่ทอง'!M5</f>
        <v>0</v>
      </c>
      <c r="E24" s="45">
        <f>'กฟอ อู่ทอง'!M6</f>
        <v>4</v>
      </c>
      <c r="F24" s="38">
        <f>'กฟอ อู่ทอง'!M7</f>
        <v>13</v>
      </c>
      <c r="G24" s="39">
        <f>'กฟอ อู่ทอง'!M8</f>
        <v>14</v>
      </c>
      <c r="H24" s="44">
        <f>'กฟอ อู่ทอง'!M9</f>
        <v>0</v>
      </c>
      <c r="I24" s="40">
        <f>'กฟอ อู่ทอง'!M11</f>
        <v>7</v>
      </c>
      <c r="J24" s="41">
        <f>'กฟอ อู่ทอง'!M12</f>
        <v>0</v>
      </c>
      <c r="K24" s="42">
        <f>'กฟอ อู่ทอง'!M13</f>
        <v>0</v>
      </c>
      <c r="L24" s="48">
        <f>'กฟอ อู่ทอง'!M14</f>
        <v>25</v>
      </c>
      <c r="M24" s="27">
        <f t="shared" si="2"/>
        <v>112</v>
      </c>
      <c r="T24" s="119" t="s">
        <v>8035</v>
      </c>
      <c r="U24" s="119">
        <v>219</v>
      </c>
      <c r="V24" s="119">
        <v>432</v>
      </c>
      <c r="W24" s="119">
        <v>651</v>
      </c>
      <c r="X24" s="121">
        <f t="shared" si="5"/>
        <v>33.640552995391701</v>
      </c>
      <c r="Y24" s="26">
        <f t="shared" si="6"/>
        <v>7</v>
      </c>
    </row>
    <row r="25" spans="1:28" ht="24.75" thickBot="1">
      <c r="A25" s="29" t="s">
        <v>234</v>
      </c>
      <c r="B25" s="37">
        <f>'กฟส เดิมบาง'!M3</f>
        <v>0</v>
      </c>
      <c r="C25" s="36">
        <f>'กฟส เดิมบาง'!M4</f>
        <v>38</v>
      </c>
      <c r="D25" s="101">
        <f>'กฟส เดิมบาง'!M5</f>
        <v>1</v>
      </c>
      <c r="E25" s="45">
        <f>'กฟส เดิมบาง'!M6</f>
        <v>3</v>
      </c>
      <c r="F25" s="38">
        <f>'กฟส เดิมบาง'!M7</f>
        <v>1</v>
      </c>
      <c r="G25" s="39">
        <f>'กฟส เดิมบาง'!M8</f>
        <v>8</v>
      </c>
      <c r="H25" s="44">
        <f>'กฟส เดิมบาง'!M9</f>
        <v>0</v>
      </c>
      <c r="I25" s="40">
        <f>'กฟส เดิมบาง'!M11</f>
        <v>0</v>
      </c>
      <c r="J25" s="41">
        <f>'กฟส เดิมบาง'!M12</f>
        <v>0</v>
      </c>
      <c r="K25" s="42">
        <f>'กฟส เดิมบาง'!M13</f>
        <v>1</v>
      </c>
      <c r="L25" s="43">
        <f>'กฟส เดิมบาง'!M14</f>
        <v>28</v>
      </c>
      <c r="M25" s="27">
        <f t="shared" si="2"/>
        <v>80</v>
      </c>
      <c r="T25" s="119" t="s">
        <v>8036</v>
      </c>
      <c r="U25" s="119">
        <v>277</v>
      </c>
      <c r="V25" s="119">
        <v>671</v>
      </c>
      <c r="W25" s="119">
        <v>948</v>
      </c>
      <c r="X25" s="121">
        <f t="shared" si="5"/>
        <v>29.219409282700422</v>
      </c>
      <c r="Y25" s="26">
        <f t="shared" si="6"/>
        <v>8</v>
      </c>
    </row>
    <row r="26" spans="1:28" ht="24.75" thickBot="1">
      <c r="A26" s="33" t="s">
        <v>4014</v>
      </c>
      <c r="B26" s="49">
        <f>SUM(B23:B25)</f>
        <v>15</v>
      </c>
      <c r="C26" s="49">
        <f t="shared" ref="C26:L26" si="7">SUM(C23:C25)</f>
        <v>138</v>
      </c>
      <c r="D26" s="103">
        <f t="shared" si="7"/>
        <v>1</v>
      </c>
      <c r="E26" s="103">
        <f t="shared" si="7"/>
        <v>38</v>
      </c>
      <c r="F26" s="49">
        <f t="shared" si="7"/>
        <v>15</v>
      </c>
      <c r="G26" s="49">
        <f t="shared" si="7"/>
        <v>51</v>
      </c>
      <c r="H26" s="49">
        <f t="shared" si="7"/>
        <v>0</v>
      </c>
      <c r="I26" s="68">
        <f t="shared" si="7"/>
        <v>10</v>
      </c>
      <c r="J26" s="35">
        <f t="shared" si="7"/>
        <v>0</v>
      </c>
      <c r="K26" s="50">
        <f t="shared" si="7"/>
        <v>1</v>
      </c>
      <c r="L26" s="69">
        <f t="shared" si="7"/>
        <v>140</v>
      </c>
      <c r="M26" s="49">
        <f t="shared" si="2"/>
        <v>409</v>
      </c>
      <c r="T26" s="119" t="s">
        <v>8037</v>
      </c>
      <c r="U26" s="119">
        <v>233</v>
      </c>
      <c r="V26" s="119">
        <v>691</v>
      </c>
      <c r="W26" s="119">
        <v>924</v>
      </c>
      <c r="X26" s="121">
        <f t="shared" si="5"/>
        <v>25.216450216450216</v>
      </c>
      <c r="Y26" s="26">
        <f t="shared" si="6"/>
        <v>11</v>
      </c>
    </row>
    <row r="27" spans="1:28" ht="66" thickBot="1">
      <c r="A27" s="33"/>
      <c r="B27" s="53" t="s">
        <v>11</v>
      </c>
      <c r="C27" s="54" t="s">
        <v>178</v>
      </c>
      <c r="D27" s="97" t="s">
        <v>235</v>
      </c>
      <c r="E27" s="98" t="s">
        <v>189</v>
      </c>
      <c r="F27" s="55" t="s">
        <v>2652</v>
      </c>
      <c r="G27" s="56" t="s">
        <v>2653</v>
      </c>
      <c r="H27" s="57" t="s">
        <v>2688</v>
      </c>
      <c r="I27" s="58" t="s">
        <v>2654</v>
      </c>
      <c r="J27" s="59" t="s">
        <v>2651</v>
      </c>
      <c r="K27" s="60" t="s">
        <v>2655</v>
      </c>
      <c r="L27" s="61" t="s">
        <v>236</v>
      </c>
      <c r="M27" s="62" t="s">
        <v>213</v>
      </c>
      <c r="T27" s="119" t="s">
        <v>8038</v>
      </c>
      <c r="U27" s="119">
        <v>613</v>
      </c>
      <c r="V27" s="119">
        <v>410</v>
      </c>
      <c r="W27" s="120">
        <v>1023</v>
      </c>
      <c r="X27" s="121">
        <f t="shared" si="5"/>
        <v>59.921798631476051</v>
      </c>
      <c r="Y27" s="26">
        <f t="shared" si="6"/>
        <v>1</v>
      </c>
    </row>
    <row r="28" spans="1:28" ht="31.5" thickBot="1">
      <c r="A28" s="71" t="s">
        <v>360</v>
      </c>
      <c r="B28" s="69">
        <f>B9+B16+B21+B26</f>
        <v>111</v>
      </c>
      <c r="C28" s="69">
        <f t="shared" ref="C28:M28" si="8">C9+C16+C21+C26</f>
        <v>1142</v>
      </c>
      <c r="D28" s="104">
        <f t="shared" si="8"/>
        <v>7</v>
      </c>
      <c r="E28" s="104">
        <f t="shared" si="8"/>
        <v>143</v>
      </c>
      <c r="F28" s="69">
        <f t="shared" si="8"/>
        <v>46</v>
      </c>
      <c r="G28" s="69">
        <f t="shared" si="8"/>
        <v>143</v>
      </c>
      <c r="H28" s="69">
        <f t="shared" si="8"/>
        <v>15</v>
      </c>
      <c r="I28" s="69">
        <f t="shared" si="8"/>
        <v>59</v>
      </c>
      <c r="J28" s="69">
        <f t="shared" si="8"/>
        <v>0</v>
      </c>
      <c r="K28" s="69">
        <f t="shared" si="8"/>
        <v>7</v>
      </c>
      <c r="L28" s="69">
        <f t="shared" si="8"/>
        <v>807</v>
      </c>
      <c r="M28" s="70">
        <f t="shared" si="8"/>
        <v>2480</v>
      </c>
      <c r="T28" s="119" t="s">
        <v>8039</v>
      </c>
      <c r="U28" s="119">
        <v>593</v>
      </c>
      <c r="V28" s="120">
        <v>1652</v>
      </c>
      <c r="W28" s="120">
        <v>2245</v>
      </c>
      <c r="X28" s="121">
        <f t="shared" si="5"/>
        <v>26.414253897550111</v>
      </c>
      <c r="Y28" s="26">
        <f t="shared" si="6"/>
        <v>10</v>
      </c>
    </row>
    <row r="29" spans="1:28" ht="42.75" customHeight="1" thickBot="1">
      <c r="B29" s="53" t="s">
        <v>11</v>
      </c>
      <c r="C29" s="54" t="s">
        <v>178</v>
      </c>
      <c r="D29" s="97" t="s">
        <v>235</v>
      </c>
      <c r="E29" s="98" t="s">
        <v>189</v>
      </c>
      <c r="F29" s="55" t="s">
        <v>2652</v>
      </c>
      <c r="G29" s="56" t="s">
        <v>2653</v>
      </c>
      <c r="H29" s="57" t="s">
        <v>2688</v>
      </c>
      <c r="I29" s="57" t="s">
        <v>2687</v>
      </c>
      <c r="J29" s="58" t="s">
        <v>2654</v>
      </c>
      <c r="K29" s="59" t="s">
        <v>2651</v>
      </c>
      <c r="L29" s="60" t="s">
        <v>2655</v>
      </c>
      <c r="M29" s="61" t="s">
        <v>236</v>
      </c>
      <c r="N29" s="75" t="s">
        <v>213</v>
      </c>
      <c r="O29" s="76" t="s">
        <v>2944</v>
      </c>
      <c r="P29" s="116" t="s">
        <v>2945</v>
      </c>
      <c r="R29" s="26"/>
      <c r="T29" s="119" t="s">
        <v>8040</v>
      </c>
      <c r="U29" s="119">
        <v>814</v>
      </c>
      <c r="V29" s="120">
        <v>1404</v>
      </c>
      <c r="W29" s="120">
        <v>2218</v>
      </c>
      <c r="X29" s="121">
        <f t="shared" si="5"/>
        <v>36.699729486023443</v>
      </c>
      <c r="Y29" s="26">
        <f t="shared" si="6"/>
        <v>5</v>
      </c>
      <c r="AB29" s="26"/>
    </row>
    <row r="30" spans="1:28" ht="31.5" thickBot="1">
      <c r="A30" s="72" t="s">
        <v>222</v>
      </c>
      <c r="B30" s="73">
        <f>กวว.!M3</f>
        <v>71</v>
      </c>
      <c r="C30" s="72">
        <f>กวว.!M4</f>
        <v>1778</v>
      </c>
      <c r="D30" s="105">
        <f>กวว.!M5</f>
        <v>18</v>
      </c>
      <c r="E30" s="114">
        <f>กวว.!M6</f>
        <v>96</v>
      </c>
      <c r="F30" s="115">
        <f>กวว.!M7</f>
        <v>0</v>
      </c>
      <c r="G30" s="115">
        <f>กวว.!M8</f>
        <v>73</v>
      </c>
      <c r="H30" s="115">
        <f>กวว.!M9</f>
        <v>79</v>
      </c>
      <c r="I30" s="115">
        <f>กวว.!M10</f>
        <v>0</v>
      </c>
      <c r="J30" s="74">
        <f>กวว.!M11</f>
        <v>259</v>
      </c>
      <c r="K30" s="73">
        <f>กวว.!M12</f>
        <v>7</v>
      </c>
      <c r="L30" s="73">
        <f>กวว.!M13</f>
        <v>0</v>
      </c>
      <c r="M30" s="72">
        <f>กวว.!M14</f>
        <v>301</v>
      </c>
      <c r="N30" s="72">
        <f>SUM(B30:M30)</f>
        <v>2682</v>
      </c>
      <c r="O30" s="72">
        <f>N30-C30</f>
        <v>904</v>
      </c>
      <c r="P30" s="92">
        <f>M30/O30*100</f>
        <v>33.296460176991147</v>
      </c>
      <c r="R30" s="26"/>
      <c r="T30" s="119" t="s">
        <v>8041</v>
      </c>
      <c r="U30" s="119">
        <v>537</v>
      </c>
      <c r="V30" s="119">
        <v>948</v>
      </c>
      <c r="W30" s="120">
        <v>1485</v>
      </c>
      <c r="X30" s="121">
        <f t="shared" si="5"/>
        <v>36.161616161616159</v>
      </c>
      <c r="Y30" s="26">
        <f t="shared" si="6"/>
        <v>6</v>
      </c>
      <c r="AB30" s="26"/>
    </row>
    <row r="31" spans="1:28" ht="24.75" thickBot="1">
      <c r="T31" s="119" t="s">
        <v>8042</v>
      </c>
      <c r="U31" s="119">
        <v>338</v>
      </c>
      <c r="V31" s="119">
        <v>363</v>
      </c>
      <c r="W31" s="119">
        <v>701</v>
      </c>
      <c r="X31" s="121">
        <f t="shared" si="5"/>
        <v>48.216833095577741</v>
      </c>
      <c r="Y31" s="26">
        <f t="shared" si="6"/>
        <v>3</v>
      </c>
    </row>
    <row r="32" spans="1:28" ht="24.75" thickBot="1">
      <c r="T32" s="119" t="s">
        <v>8043</v>
      </c>
      <c r="U32" s="119">
        <v>184</v>
      </c>
      <c r="V32" s="119">
        <v>453</v>
      </c>
      <c r="W32" s="119">
        <v>637</v>
      </c>
      <c r="X32" s="121">
        <f t="shared" si="5"/>
        <v>28.885400313971743</v>
      </c>
      <c r="Y32" s="26">
        <f t="shared" si="6"/>
        <v>9</v>
      </c>
    </row>
    <row r="33" spans="20:25" ht="24.75" thickBot="1">
      <c r="T33" s="119" t="s">
        <v>8044</v>
      </c>
      <c r="U33" s="119">
        <v>154</v>
      </c>
      <c r="V33" s="119">
        <v>252</v>
      </c>
      <c r="W33" s="119">
        <v>406</v>
      </c>
      <c r="X33" s="121">
        <f t="shared" si="5"/>
        <v>37.931034482758619</v>
      </c>
      <c r="Y33" s="26">
        <f t="shared" si="6"/>
        <v>4</v>
      </c>
    </row>
    <row r="34" spans="20:25" ht="24.75" thickBot="1">
      <c r="T34" s="119" t="s">
        <v>8045</v>
      </c>
      <c r="U34" s="119">
        <v>0</v>
      </c>
      <c r="V34" s="119">
        <v>11</v>
      </c>
      <c r="W34" s="119">
        <v>11</v>
      </c>
      <c r="X34" s="121">
        <f t="shared" si="5"/>
        <v>0</v>
      </c>
      <c r="Y34" s="26">
        <f t="shared" si="6"/>
        <v>14</v>
      </c>
    </row>
  </sheetData>
  <mergeCells count="1">
    <mergeCell ref="A1:M1"/>
  </mergeCells>
  <pageMargins left="0.28999999999999998" right="0.17" top="0.83" bottom="0.75" header="0.3" footer="0.3"/>
  <pageSetup paperSize="9" scale="5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5AD3-AC92-4AAB-93DC-9564A3CB4684}">
  <dimension ref="A1:O2683"/>
  <sheetViews>
    <sheetView zoomScale="70" zoomScaleNormal="70" workbookViewId="0">
      <selection sqref="A1:J1"/>
    </sheetView>
  </sheetViews>
  <sheetFormatPr defaultColWidth="30.7109375" defaultRowHeight="17.25"/>
  <cols>
    <col min="1" max="1" width="17.28515625" style="112" bestFit="1" customWidth="1"/>
    <col min="2" max="2" width="13.42578125" style="112" bestFit="1" customWidth="1"/>
    <col min="3" max="3" width="31.140625" style="112" bestFit="1" customWidth="1"/>
    <col min="4" max="5" width="16.85546875" style="112" bestFit="1" customWidth="1"/>
    <col min="6" max="6" width="11.7109375" style="112" bestFit="1" customWidth="1"/>
    <col min="7" max="7" width="16.85546875" style="112" bestFit="1" customWidth="1"/>
    <col min="8" max="8" width="21" style="112" customWidth="1"/>
    <col min="9" max="9" width="6.42578125" style="112" bestFit="1" customWidth="1"/>
    <col min="10" max="10" width="10.5703125" style="112" bestFit="1" customWidth="1"/>
    <col min="11" max="11" width="30.7109375" style="112"/>
    <col min="12" max="12" width="27.85546875" style="112" bestFit="1" customWidth="1"/>
    <col min="13" max="13" width="6.42578125" style="112" customWidth="1"/>
    <col min="14" max="14" width="4.85546875" style="112" bestFit="1" customWidth="1"/>
    <col min="15" max="15" width="31.7109375" style="112" bestFit="1" customWidth="1"/>
    <col min="16" max="16384" width="30.7109375" style="112"/>
  </cols>
  <sheetData>
    <row r="1" spans="1:15" ht="44.25" thickBot="1">
      <c r="A1" s="110" t="s">
        <v>0</v>
      </c>
      <c r="B1" s="110" t="s">
        <v>1</v>
      </c>
      <c r="C1" s="111" t="s">
        <v>2</v>
      </c>
      <c r="D1" s="110" t="s">
        <v>3</v>
      </c>
      <c r="E1" s="110" t="s">
        <v>270</v>
      </c>
      <c r="F1" s="110" t="s">
        <v>4</v>
      </c>
      <c r="G1" s="110" t="s">
        <v>5</v>
      </c>
      <c r="H1" s="110" t="s">
        <v>6</v>
      </c>
      <c r="J1" s="110" t="s">
        <v>7</v>
      </c>
    </row>
    <row r="2" spans="1:15" ht="37.5" thickTop="1" thickBot="1">
      <c r="A2" s="18" t="s">
        <v>4015</v>
      </c>
      <c r="B2" s="18">
        <v>20025324026</v>
      </c>
      <c r="C2" s="18" t="s">
        <v>4016</v>
      </c>
      <c r="D2" s="19">
        <v>45306.672222222223</v>
      </c>
      <c r="E2" s="18" t="s">
        <v>10</v>
      </c>
      <c r="F2" s="18">
        <v>40</v>
      </c>
      <c r="G2" s="18" t="s">
        <v>10</v>
      </c>
      <c r="H2" s="18" t="s">
        <v>178</v>
      </c>
      <c r="I2" s="18" t="s">
        <v>10</v>
      </c>
      <c r="J2" s="18" t="s">
        <v>4017</v>
      </c>
      <c r="K2" s="20"/>
      <c r="L2" s="12" t="s">
        <v>213</v>
      </c>
      <c r="M2" s="12">
        <f>COUNT(B:B)</f>
        <v>2682</v>
      </c>
      <c r="N2" s="13" t="s">
        <v>214</v>
      </c>
    </row>
    <row r="3" spans="1:15" ht="36.75" thickBot="1">
      <c r="A3" s="18" t="s">
        <v>4018</v>
      </c>
      <c r="B3" s="18">
        <v>20022269044</v>
      </c>
      <c r="C3" s="18" t="s">
        <v>4019</v>
      </c>
      <c r="D3" s="19">
        <v>45308.427083333336</v>
      </c>
      <c r="E3" s="18" t="s">
        <v>10</v>
      </c>
      <c r="F3" s="18">
        <v>30</v>
      </c>
      <c r="G3" s="18" t="s">
        <v>10</v>
      </c>
      <c r="H3" s="18" t="s">
        <v>178</v>
      </c>
      <c r="I3" s="18" t="s">
        <v>10</v>
      </c>
      <c r="J3" s="18" t="s">
        <v>4017</v>
      </c>
      <c r="K3" s="20"/>
      <c r="L3" s="7" t="s">
        <v>2656</v>
      </c>
      <c r="M3" s="7">
        <f>COUNTIF(H:H,"รอตรวจสอบคำขอ")</f>
        <v>71</v>
      </c>
      <c r="N3" s="11" t="s">
        <v>214</v>
      </c>
    </row>
    <row r="4" spans="1:15" ht="36.75" thickBot="1">
      <c r="A4" s="18" t="s">
        <v>4020</v>
      </c>
      <c r="B4" s="18">
        <v>20018950093</v>
      </c>
      <c r="C4" s="18" t="s">
        <v>4021</v>
      </c>
      <c r="D4" s="19">
        <v>45308.673611111109</v>
      </c>
      <c r="E4" s="18" t="s">
        <v>10</v>
      </c>
      <c r="F4" s="18">
        <v>180</v>
      </c>
      <c r="G4" s="18" t="s">
        <v>10</v>
      </c>
      <c r="H4" s="18" t="s">
        <v>178</v>
      </c>
      <c r="I4" s="18" t="s">
        <v>10</v>
      </c>
      <c r="J4" s="18" t="s">
        <v>4017</v>
      </c>
      <c r="K4" s="20"/>
      <c r="L4" s="7" t="s">
        <v>178</v>
      </c>
      <c r="M4" s="7">
        <f>COUNTIF(H:H,"ยกเลิก")</f>
        <v>1778</v>
      </c>
      <c r="N4" s="11" t="s">
        <v>214</v>
      </c>
    </row>
    <row r="5" spans="1:15" ht="54.75" thickBot="1">
      <c r="A5" s="18" t="s">
        <v>4022</v>
      </c>
      <c r="B5" s="18">
        <v>20022056496</v>
      </c>
      <c r="C5" s="18" t="s">
        <v>257</v>
      </c>
      <c r="D5" s="19">
        <v>45309.579861111109</v>
      </c>
      <c r="E5" s="18" t="s">
        <v>10</v>
      </c>
      <c r="F5" s="18">
        <v>20</v>
      </c>
      <c r="G5" s="18" t="s">
        <v>10</v>
      </c>
      <c r="H5" s="18" t="s">
        <v>178</v>
      </c>
      <c r="I5" s="18" t="s">
        <v>10</v>
      </c>
      <c r="J5" s="18" t="s">
        <v>4017</v>
      </c>
      <c r="K5" s="20"/>
      <c r="L5" s="7" t="s">
        <v>235</v>
      </c>
      <c r="M5" s="7">
        <f>COUNTIF(H:H,"รอผู้ยื่นคำขอส่งเอกสารแก้ไข")</f>
        <v>18</v>
      </c>
      <c r="N5" s="11" t="s">
        <v>214</v>
      </c>
    </row>
    <row r="6" spans="1:15" ht="36.75" thickBot="1">
      <c r="A6" s="18" t="s">
        <v>4023</v>
      </c>
      <c r="B6" s="18">
        <v>20021080228</v>
      </c>
      <c r="C6" s="18" t="s">
        <v>4024</v>
      </c>
      <c r="D6" s="19">
        <v>45313.461805555555</v>
      </c>
      <c r="E6" s="18" t="s">
        <v>10</v>
      </c>
      <c r="F6" s="18">
        <v>30</v>
      </c>
      <c r="G6" s="18" t="s">
        <v>10</v>
      </c>
      <c r="H6" s="18" t="s">
        <v>178</v>
      </c>
      <c r="I6" s="18" t="s">
        <v>10</v>
      </c>
      <c r="J6" s="18" t="s">
        <v>4017</v>
      </c>
      <c r="K6" s="20"/>
      <c r="L6" s="7" t="s">
        <v>189</v>
      </c>
      <c r="M6" s="24">
        <f>COUNTIF(H:H,"รอชำระเงิน")</f>
        <v>96</v>
      </c>
      <c r="N6" s="11" t="s">
        <v>214</v>
      </c>
      <c r="O6" s="113" t="s">
        <v>359</v>
      </c>
    </row>
    <row r="7" spans="1:15" ht="36.75" thickBot="1">
      <c r="A7" s="18" t="s">
        <v>4025</v>
      </c>
      <c r="B7" s="18">
        <v>20017188779</v>
      </c>
      <c r="C7" s="18" t="s">
        <v>4026</v>
      </c>
      <c r="D7" s="19">
        <v>45313.824305555558</v>
      </c>
      <c r="E7" s="18" t="s">
        <v>10</v>
      </c>
      <c r="F7" s="18">
        <v>100</v>
      </c>
      <c r="G7" s="18" t="s">
        <v>10</v>
      </c>
      <c r="H7" s="18" t="s">
        <v>178</v>
      </c>
      <c r="I7" s="18" t="s">
        <v>10</v>
      </c>
      <c r="J7" s="18" t="s">
        <v>4017</v>
      </c>
      <c r="K7" s="20"/>
      <c r="L7" s="7" t="s">
        <v>2652</v>
      </c>
      <c r="M7" s="94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5" ht="36.75" thickBot="1">
      <c r="A8" s="18" t="s">
        <v>4027</v>
      </c>
      <c r="B8" s="18">
        <v>20003142103</v>
      </c>
      <c r="C8" s="18" t="s">
        <v>4028</v>
      </c>
      <c r="D8" s="19">
        <v>45314.624305555553</v>
      </c>
      <c r="E8" s="18" t="s">
        <v>10</v>
      </c>
      <c r="F8" s="18">
        <v>175</v>
      </c>
      <c r="G8" s="18" t="s">
        <v>10</v>
      </c>
      <c r="H8" s="18" t="s">
        <v>178</v>
      </c>
      <c r="I8" s="18" t="s">
        <v>10</v>
      </c>
      <c r="J8" s="18" t="s">
        <v>4017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73</v>
      </c>
      <c r="N8" s="11" t="s">
        <v>214</v>
      </c>
    </row>
    <row r="9" spans="1:15" ht="47.25" thickBot="1">
      <c r="A9" s="18" t="s">
        <v>4029</v>
      </c>
      <c r="B9" s="18">
        <v>20003126379</v>
      </c>
      <c r="C9" s="18" t="s">
        <v>4030</v>
      </c>
      <c r="D9" s="19">
        <v>45315.49722222222</v>
      </c>
      <c r="E9" s="18" t="s">
        <v>10</v>
      </c>
      <c r="F9" s="18">
        <v>625</v>
      </c>
      <c r="G9" s="18" t="s">
        <v>10</v>
      </c>
      <c r="H9" s="18" t="s">
        <v>178</v>
      </c>
      <c r="I9" s="18" t="s">
        <v>10</v>
      </c>
      <c r="J9" s="18" t="s">
        <v>4017</v>
      </c>
      <c r="K9" s="20"/>
      <c r="L9" s="96" t="s">
        <v>2688</v>
      </c>
      <c r="M9" s="94">
        <f>COUNTIF(H:H,"รอแก้ไขเอกสารหลังอนุมัติเชื่อมต่อ / รับพิจารณา")</f>
        <v>79</v>
      </c>
      <c r="N9" s="11" t="s">
        <v>214</v>
      </c>
    </row>
    <row r="10" spans="1:15" ht="36.75" thickBot="1">
      <c r="A10" s="18" t="s">
        <v>4031</v>
      </c>
      <c r="B10" s="18">
        <v>89302002346</v>
      </c>
      <c r="C10" s="18" t="s">
        <v>4032</v>
      </c>
      <c r="D10" s="19">
        <v>45315.588888888888</v>
      </c>
      <c r="E10" s="18" t="s">
        <v>10</v>
      </c>
      <c r="F10" s="18">
        <v>300</v>
      </c>
      <c r="G10" s="18" t="s">
        <v>10</v>
      </c>
      <c r="H10" s="18" t="s">
        <v>178</v>
      </c>
      <c r="I10" s="18" t="s">
        <v>10</v>
      </c>
      <c r="J10" s="18" t="s">
        <v>4017</v>
      </c>
      <c r="K10" s="20"/>
      <c r="L10" s="7" t="s">
        <v>2687</v>
      </c>
      <c r="M10" s="7">
        <f>COUNTIF(H:H,"รออนุมัติเชื่อมต่อ (200 kW ขึ้นไป)")</f>
        <v>0</v>
      </c>
      <c r="N10" s="11" t="s">
        <v>214</v>
      </c>
    </row>
    <row r="11" spans="1:15" ht="36.75" thickBot="1">
      <c r="A11" s="18" t="s">
        <v>4033</v>
      </c>
      <c r="B11" s="18">
        <v>20025562782</v>
      </c>
      <c r="C11" s="18" t="s">
        <v>136</v>
      </c>
      <c r="D11" s="19">
        <v>45315.636111111111</v>
      </c>
      <c r="E11" s="18" t="s">
        <v>10</v>
      </c>
      <c r="F11" s="18">
        <v>25</v>
      </c>
      <c r="G11" s="18" t="s">
        <v>10</v>
      </c>
      <c r="H11" s="18" t="s">
        <v>178</v>
      </c>
      <c r="I11" s="18" t="s">
        <v>10</v>
      </c>
      <c r="J11" s="18" t="s">
        <v>4017</v>
      </c>
      <c r="K11" s="20"/>
      <c r="L11" s="7" t="s">
        <v>2654</v>
      </c>
      <c r="M11" s="7">
        <f>COUNTIF(H:H,"รอตรวจสอบระบบผลิต")</f>
        <v>259</v>
      </c>
      <c r="N11" s="11" t="s">
        <v>214</v>
      </c>
    </row>
    <row r="12" spans="1:15" ht="36.75" thickBot="1">
      <c r="A12" s="18" t="s">
        <v>4034</v>
      </c>
      <c r="B12" s="18">
        <v>20003286438</v>
      </c>
      <c r="C12" s="18" t="s">
        <v>4035</v>
      </c>
      <c r="D12" s="19">
        <v>45315.652777777781</v>
      </c>
      <c r="E12" s="18" t="s">
        <v>10</v>
      </c>
      <c r="F12" s="18">
        <v>320</v>
      </c>
      <c r="G12" s="18" t="s">
        <v>10</v>
      </c>
      <c r="H12" s="18" t="s">
        <v>178</v>
      </c>
      <c r="I12" s="18" t="s">
        <v>10</v>
      </c>
      <c r="J12" s="18" t="s">
        <v>4017</v>
      </c>
      <c r="K12" s="20"/>
      <c r="L12" s="7" t="s">
        <v>2651</v>
      </c>
      <c r="M12" s="7">
        <f>COUNTIF(H:H,"รอทดสอบเชื่อมต่อ")</f>
        <v>7</v>
      </c>
      <c r="N12" s="11" t="s">
        <v>214</v>
      </c>
    </row>
    <row r="13" spans="1:15" ht="36.75" thickBot="1">
      <c r="A13" s="18" t="s">
        <v>4036</v>
      </c>
      <c r="B13" s="18">
        <v>9626478</v>
      </c>
      <c r="C13" s="18" t="s">
        <v>4037</v>
      </c>
      <c r="D13" s="19">
        <v>45316.468055555553</v>
      </c>
      <c r="E13" s="18" t="s">
        <v>10</v>
      </c>
      <c r="F13" s="18">
        <v>200</v>
      </c>
      <c r="G13" s="18" t="s">
        <v>10</v>
      </c>
      <c r="H13" s="18" t="s">
        <v>178</v>
      </c>
      <c r="I13" s="18" t="s">
        <v>10</v>
      </c>
      <c r="J13" s="18" t="s">
        <v>4017</v>
      </c>
      <c r="K13" s="20"/>
      <c r="L13" s="7" t="s">
        <v>2655</v>
      </c>
      <c r="M13" s="7">
        <f>COUNTIF(H:H,"รออนุมัติแจ้งวันเริ่มเชื่อมต่อ")</f>
        <v>0</v>
      </c>
      <c r="N13" s="11" t="s">
        <v>214</v>
      </c>
    </row>
    <row r="14" spans="1:15" ht="36.75" thickBot="1">
      <c r="A14" s="18" t="s">
        <v>4038</v>
      </c>
      <c r="B14" s="18">
        <v>20003553708</v>
      </c>
      <c r="C14" s="18" t="s">
        <v>4039</v>
      </c>
      <c r="D14" s="19">
        <v>45316.685416666667</v>
      </c>
      <c r="E14" s="18" t="s">
        <v>10</v>
      </c>
      <c r="F14" s="18">
        <v>20</v>
      </c>
      <c r="G14" s="18" t="s">
        <v>10</v>
      </c>
      <c r="H14" s="18" t="s">
        <v>178</v>
      </c>
      <c r="I14" s="18" t="s">
        <v>10</v>
      </c>
      <c r="J14" s="18" t="s">
        <v>4017</v>
      </c>
      <c r="K14" s="20"/>
      <c r="L14" s="7" t="s">
        <v>236</v>
      </c>
      <c r="M14" s="7">
        <f>COUNTIF(H:H,"เชื่อมต่อเรียบร้อยแล้ว")</f>
        <v>301</v>
      </c>
      <c r="N14" s="11" t="s">
        <v>214</v>
      </c>
    </row>
    <row r="15" spans="1:15" ht="36.75" thickBot="1">
      <c r="A15" s="18" t="s">
        <v>4040</v>
      </c>
      <c r="B15" s="18">
        <v>20019789166</v>
      </c>
      <c r="C15" s="18" t="s">
        <v>4041</v>
      </c>
      <c r="D15" s="19">
        <v>45317.615277777775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4017</v>
      </c>
      <c r="K15" s="20"/>
    </row>
    <row r="16" spans="1:15" ht="36.75" thickBot="1">
      <c r="A16" s="18" t="s">
        <v>4042</v>
      </c>
      <c r="B16" s="18">
        <v>20024804571</v>
      </c>
      <c r="C16" s="18" t="s">
        <v>4043</v>
      </c>
      <c r="D16" s="19">
        <v>45317.7</v>
      </c>
      <c r="E16" s="18" t="s">
        <v>10</v>
      </c>
      <c r="F16" s="18">
        <v>20</v>
      </c>
      <c r="G16" s="18" t="s">
        <v>10</v>
      </c>
      <c r="H16" s="18" t="s">
        <v>178</v>
      </c>
      <c r="I16" s="18" t="s">
        <v>10</v>
      </c>
      <c r="J16" s="18" t="s">
        <v>4017</v>
      </c>
      <c r="K16" s="20"/>
    </row>
    <row r="17" spans="1:11" ht="36.75" thickBot="1">
      <c r="A17" s="18" t="s">
        <v>4044</v>
      </c>
      <c r="B17" s="18">
        <v>20003489829</v>
      </c>
      <c r="C17" s="18" t="s">
        <v>4045</v>
      </c>
      <c r="D17" s="19">
        <v>45317.820138888892</v>
      </c>
      <c r="E17" s="18" t="s">
        <v>10</v>
      </c>
      <c r="F17" s="18">
        <v>900</v>
      </c>
      <c r="G17" s="18" t="s">
        <v>10</v>
      </c>
      <c r="H17" s="18" t="s">
        <v>178</v>
      </c>
      <c r="I17" s="18" t="s">
        <v>10</v>
      </c>
      <c r="J17" s="18" t="s">
        <v>4017</v>
      </c>
      <c r="K17" s="20"/>
    </row>
    <row r="18" spans="1:11" ht="36.75" thickBot="1">
      <c r="A18" s="18" t="s">
        <v>4046</v>
      </c>
      <c r="B18" s="18">
        <v>20027112512</v>
      </c>
      <c r="C18" s="18" t="s">
        <v>78</v>
      </c>
      <c r="D18" s="19">
        <v>45318.63958333333</v>
      </c>
      <c r="E18" s="18" t="s">
        <v>10</v>
      </c>
      <c r="F18" s="18">
        <v>10</v>
      </c>
      <c r="G18" s="18" t="s">
        <v>10</v>
      </c>
      <c r="H18" s="18" t="s">
        <v>178</v>
      </c>
      <c r="I18" s="18" t="s">
        <v>10</v>
      </c>
      <c r="J18" s="18" t="s">
        <v>4017</v>
      </c>
      <c r="K18" s="20"/>
    </row>
    <row r="19" spans="1:11" ht="36.75" thickBot="1">
      <c r="A19" s="18" t="s">
        <v>4047</v>
      </c>
      <c r="B19" s="18">
        <v>20003376856</v>
      </c>
      <c r="C19" s="18" t="s">
        <v>73</v>
      </c>
      <c r="D19" s="19">
        <v>45318.65625</v>
      </c>
      <c r="E19" s="18" t="s">
        <v>10</v>
      </c>
      <c r="F19" s="18">
        <v>10</v>
      </c>
      <c r="G19" s="18" t="s">
        <v>10</v>
      </c>
      <c r="H19" s="18" t="s">
        <v>178</v>
      </c>
      <c r="I19" s="18" t="s">
        <v>10</v>
      </c>
      <c r="J19" s="18" t="s">
        <v>4017</v>
      </c>
      <c r="K19" s="20"/>
    </row>
    <row r="20" spans="1:11" ht="36.75" thickBot="1">
      <c r="A20" s="18" t="s">
        <v>4048</v>
      </c>
      <c r="B20" s="18">
        <v>20023705237</v>
      </c>
      <c r="C20" s="18" t="s">
        <v>4049</v>
      </c>
      <c r="D20" s="19">
        <v>45319.566666666666</v>
      </c>
      <c r="E20" s="18" t="s">
        <v>10</v>
      </c>
      <c r="F20" s="18">
        <v>90</v>
      </c>
      <c r="G20" s="18" t="s">
        <v>10</v>
      </c>
      <c r="H20" s="18" t="s">
        <v>178</v>
      </c>
      <c r="I20" s="18" t="s">
        <v>10</v>
      </c>
      <c r="J20" s="18" t="s">
        <v>4017</v>
      </c>
      <c r="K20" s="20"/>
    </row>
    <row r="21" spans="1:11" ht="36.75" thickBot="1">
      <c r="A21" s="18" t="s">
        <v>4050</v>
      </c>
      <c r="B21" s="18">
        <v>20003338223</v>
      </c>
      <c r="C21" s="18" t="s">
        <v>4051</v>
      </c>
      <c r="D21" s="19">
        <v>45319.807638888888</v>
      </c>
      <c r="E21" s="18" t="s">
        <v>10</v>
      </c>
      <c r="F21" s="18">
        <v>800</v>
      </c>
      <c r="G21" s="18" t="s">
        <v>10</v>
      </c>
      <c r="H21" s="18" t="s">
        <v>178</v>
      </c>
      <c r="I21" s="18" t="s">
        <v>10</v>
      </c>
      <c r="J21" s="18" t="s">
        <v>4017</v>
      </c>
      <c r="K21" s="20"/>
    </row>
    <row r="22" spans="1:11" ht="36.75" thickBot="1">
      <c r="A22" s="18" t="s">
        <v>4052</v>
      </c>
      <c r="B22" s="18">
        <v>20020899563</v>
      </c>
      <c r="C22" s="18" t="s">
        <v>4053</v>
      </c>
      <c r="D22" s="19">
        <v>45320.615972222222</v>
      </c>
      <c r="E22" s="18" t="s">
        <v>10</v>
      </c>
      <c r="F22" s="18">
        <v>150</v>
      </c>
      <c r="G22" s="18" t="s">
        <v>10</v>
      </c>
      <c r="H22" s="18" t="s">
        <v>178</v>
      </c>
      <c r="I22" s="18" t="s">
        <v>10</v>
      </c>
      <c r="J22" s="18" t="s">
        <v>4017</v>
      </c>
      <c r="K22" s="20"/>
    </row>
    <row r="23" spans="1:11" ht="36.75" thickBot="1">
      <c r="A23" s="18" t="s">
        <v>4054</v>
      </c>
      <c r="B23" s="18">
        <v>20021417694</v>
      </c>
      <c r="C23" s="18" t="s">
        <v>4055</v>
      </c>
      <c r="D23" s="19">
        <v>45320.63958333333</v>
      </c>
      <c r="E23" s="18" t="s">
        <v>10</v>
      </c>
      <c r="F23" s="18">
        <v>20</v>
      </c>
      <c r="G23" s="18" t="s">
        <v>10</v>
      </c>
      <c r="H23" s="18" t="s">
        <v>178</v>
      </c>
      <c r="I23" s="18" t="s">
        <v>10</v>
      </c>
      <c r="J23" s="18" t="s">
        <v>4017</v>
      </c>
      <c r="K23" s="20"/>
    </row>
    <row r="24" spans="1:11" ht="36.75" thickBot="1">
      <c r="A24" s="18" t="s">
        <v>4056</v>
      </c>
      <c r="B24" s="18">
        <v>20017422499</v>
      </c>
      <c r="C24" s="18" t="s">
        <v>4057</v>
      </c>
      <c r="D24" s="19">
        <v>45321.505555555559</v>
      </c>
      <c r="E24" s="18" t="s">
        <v>10</v>
      </c>
      <c r="F24" s="18">
        <v>15</v>
      </c>
      <c r="G24" s="18" t="s">
        <v>10</v>
      </c>
      <c r="H24" s="18" t="s">
        <v>178</v>
      </c>
      <c r="I24" s="18" t="s">
        <v>10</v>
      </c>
      <c r="J24" s="18" t="s">
        <v>4017</v>
      </c>
      <c r="K24" s="20"/>
    </row>
    <row r="25" spans="1:11" ht="36.75" thickBot="1">
      <c r="A25" s="18" t="s">
        <v>4058</v>
      </c>
      <c r="B25" s="18">
        <v>20026569497</v>
      </c>
      <c r="C25" s="18" t="s">
        <v>4059</v>
      </c>
      <c r="D25" s="19">
        <v>45321.736805555556</v>
      </c>
      <c r="E25" s="18" t="s">
        <v>10</v>
      </c>
      <c r="F25" s="18">
        <v>5</v>
      </c>
      <c r="G25" s="18" t="s">
        <v>10</v>
      </c>
      <c r="H25" s="18" t="s">
        <v>178</v>
      </c>
      <c r="I25" s="18" t="s">
        <v>10</v>
      </c>
      <c r="J25" s="18" t="s">
        <v>4017</v>
      </c>
      <c r="K25" s="20"/>
    </row>
    <row r="26" spans="1:11" ht="36.75" thickBot="1">
      <c r="A26" s="18" t="s">
        <v>4060</v>
      </c>
      <c r="B26" s="18">
        <v>20026848221</v>
      </c>
      <c r="C26" s="18" t="s">
        <v>4059</v>
      </c>
      <c r="D26" s="19">
        <v>45321.75277777778</v>
      </c>
      <c r="E26" s="18" t="s">
        <v>10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4017</v>
      </c>
      <c r="K26" s="20"/>
    </row>
    <row r="27" spans="1:11" ht="36.75" thickBot="1">
      <c r="A27" s="18" t="s">
        <v>4061</v>
      </c>
      <c r="B27" s="18">
        <v>20017845460</v>
      </c>
      <c r="C27" s="18" t="s">
        <v>4062</v>
      </c>
      <c r="D27" s="19">
        <v>45322.652777777781</v>
      </c>
      <c r="E27" s="18" t="s">
        <v>10</v>
      </c>
      <c r="F27" s="18">
        <v>10</v>
      </c>
      <c r="G27" s="18" t="s">
        <v>10</v>
      </c>
      <c r="H27" s="18" t="s">
        <v>178</v>
      </c>
      <c r="I27" s="18" t="s">
        <v>10</v>
      </c>
      <c r="J27" s="18" t="s">
        <v>4017</v>
      </c>
      <c r="K27" s="20"/>
    </row>
    <row r="28" spans="1:11" ht="36.75" thickBot="1">
      <c r="A28" s="18" t="s">
        <v>4063</v>
      </c>
      <c r="B28" s="18">
        <v>20018924208</v>
      </c>
      <c r="C28" s="18" t="s">
        <v>4064</v>
      </c>
      <c r="D28" s="19">
        <v>45322.686111111114</v>
      </c>
      <c r="E28" s="18" t="s">
        <v>10</v>
      </c>
      <c r="F28" s="18">
        <v>15</v>
      </c>
      <c r="G28" s="18" t="s">
        <v>10</v>
      </c>
      <c r="H28" s="18" t="s">
        <v>178</v>
      </c>
      <c r="I28" s="18" t="s">
        <v>10</v>
      </c>
      <c r="J28" s="18" t="s">
        <v>4017</v>
      </c>
      <c r="K28" s="20"/>
    </row>
    <row r="29" spans="1:11" ht="36.75" thickBot="1">
      <c r="A29" s="18" t="s">
        <v>4065</v>
      </c>
      <c r="B29" s="18">
        <v>20016667395</v>
      </c>
      <c r="C29" s="18" t="s">
        <v>4066</v>
      </c>
      <c r="D29" s="19">
        <v>45323.413888888892</v>
      </c>
      <c r="E29" s="18" t="s">
        <v>10</v>
      </c>
      <c r="F29" s="18">
        <v>500</v>
      </c>
      <c r="G29" s="18" t="s">
        <v>10</v>
      </c>
      <c r="H29" s="18" t="s">
        <v>178</v>
      </c>
      <c r="I29" s="18" t="s">
        <v>10</v>
      </c>
      <c r="J29" s="18" t="s">
        <v>4017</v>
      </c>
      <c r="K29" s="20"/>
    </row>
    <row r="30" spans="1:11" ht="36.75" thickBot="1">
      <c r="A30" s="18" t="s">
        <v>4067</v>
      </c>
      <c r="B30" s="18">
        <v>20003313274</v>
      </c>
      <c r="C30" s="18" t="s">
        <v>4068</v>
      </c>
      <c r="D30" s="19">
        <v>45323.751388888886</v>
      </c>
      <c r="E30" s="18" t="s">
        <v>10</v>
      </c>
      <c r="F30" s="18">
        <v>180</v>
      </c>
      <c r="G30" s="18" t="s">
        <v>10</v>
      </c>
      <c r="H30" s="18" t="s">
        <v>178</v>
      </c>
      <c r="I30" s="18" t="s">
        <v>10</v>
      </c>
      <c r="J30" s="18" t="s">
        <v>4017</v>
      </c>
      <c r="K30" s="20"/>
    </row>
    <row r="31" spans="1:11" ht="36.75" thickBot="1">
      <c r="A31" s="18" t="s">
        <v>4069</v>
      </c>
      <c r="B31" s="18">
        <v>20003116758</v>
      </c>
      <c r="C31" s="18" t="s">
        <v>4070</v>
      </c>
      <c r="D31" s="19">
        <v>45325.969444444447</v>
      </c>
      <c r="E31" s="18" t="s">
        <v>10</v>
      </c>
      <c r="F31" s="18">
        <v>150</v>
      </c>
      <c r="G31" s="18" t="s">
        <v>10</v>
      </c>
      <c r="H31" s="18" t="s">
        <v>178</v>
      </c>
      <c r="I31" s="18" t="s">
        <v>10</v>
      </c>
      <c r="J31" s="18" t="s">
        <v>4017</v>
      </c>
      <c r="K31" s="20"/>
    </row>
    <row r="32" spans="1:11" ht="36.75" thickBot="1">
      <c r="A32" s="18" t="s">
        <v>4071</v>
      </c>
      <c r="B32" s="18">
        <v>20022511316</v>
      </c>
      <c r="C32" s="18" t="s">
        <v>4072</v>
      </c>
      <c r="D32" s="19">
        <v>45327.022222222222</v>
      </c>
      <c r="E32" s="18" t="s">
        <v>10</v>
      </c>
      <c r="F32" s="18">
        <v>100</v>
      </c>
      <c r="G32" s="18" t="s">
        <v>10</v>
      </c>
      <c r="H32" s="18" t="s">
        <v>178</v>
      </c>
      <c r="I32" s="18" t="s">
        <v>10</v>
      </c>
      <c r="J32" s="18" t="s">
        <v>4017</v>
      </c>
      <c r="K32" s="20"/>
    </row>
    <row r="33" spans="1:11" ht="36.75" thickBot="1">
      <c r="A33" s="18" t="s">
        <v>4073</v>
      </c>
      <c r="B33" s="18">
        <v>20023728032</v>
      </c>
      <c r="C33" s="18" t="s">
        <v>4074</v>
      </c>
      <c r="D33" s="19">
        <v>45327.411111111112</v>
      </c>
      <c r="E33" s="18" t="s">
        <v>10</v>
      </c>
      <c r="F33" s="18">
        <v>30</v>
      </c>
      <c r="G33" s="18" t="s">
        <v>10</v>
      </c>
      <c r="H33" s="18" t="s">
        <v>178</v>
      </c>
      <c r="I33" s="18" t="s">
        <v>10</v>
      </c>
      <c r="J33" s="18" t="s">
        <v>4017</v>
      </c>
      <c r="K33" s="20"/>
    </row>
    <row r="34" spans="1:11" ht="36.75" thickBot="1">
      <c r="A34" s="18" t="s">
        <v>4075</v>
      </c>
      <c r="B34" s="18">
        <v>20024279845</v>
      </c>
      <c r="C34" s="18" t="s">
        <v>4076</v>
      </c>
      <c r="D34" s="19">
        <v>45327.571527777778</v>
      </c>
      <c r="E34" s="18" t="s">
        <v>10</v>
      </c>
      <c r="F34" s="18">
        <v>90</v>
      </c>
      <c r="G34" s="18" t="s">
        <v>10</v>
      </c>
      <c r="H34" s="18" t="s">
        <v>178</v>
      </c>
      <c r="I34" s="18" t="s">
        <v>10</v>
      </c>
      <c r="J34" s="18" t="s">
        <v>4017</v>
      </c>
      <c r="K34" s="20"/>
    </row>
    <row r="35" spans="1:11" ht="36.75" thickBot="1">
      <c r="A35" s="18" t="s">
        <v>4077</v>
      </c>
      <c r="B35" s="18">
        <v>20002722015</v>
      </c>
      <c r="C35" s="18" t="s">
        <v>4078</v>
      </c>
      <c r="D35" s="19">
        <v>45327.680555555555</v>
      </c>
      <c r="E35" s="18" t="s">
        <v>10</v>
      </c>
      <c r="F35" s="18">
        <v>120</v>
      </c>
      <c r="G35" s="18" t="s">
        <v>10</v>
      </c>
      <c r="H35" s="18" t="s">
        <v>178</v>
      </c>
      <c r="I35" s="18" t="s">
        <v>10</v>
      </c>
      <c r="J35" s="18" t="s">
        <v>4017</v>
      </c>
      <c r="K35" s="20"/>
    </row>
    <row r="36" spans="1:11" ht="36.75" thickBot="1">
      <c r="A36" s="18" t="s">
        <v>4079</v>
      </c>
      <c r="B36" s="18">
        <v>20022576210</v>
      </c>
      <c r="C36" s="18" t="s">
        <v>4080</v>
      </c>
      <c r="D36" s="19">
        <v>45327.782638888886</v>
      </c>
      <c r="E36" s="18" t="s">
        <v>10</v>
      </c>
      <c r="F36" s="18">
        <v>800</v>
      </c>
      <c r="G36" s="18" t="s">
        <v>10</v>
      </c>
      <c r="H36" s="18" t="s">
        <v>178</v>
      </c>
      <c r="I36" s="18" t="s">
        <v>10</v>
      </c>
      <c r="J36" s="18" t="s">
        <v>4017</v>
      </c>
      <c r="K36" s="20"/>
    </row>
    <row r="37" spans="1:11" ht="36.75" thickBot="1">
      <c r="A37" s="18" t="s">
        <v>4081</v>
      </c>
      <c r="B37" s="18">
        <v>20003403529</v>
      </c>
      <c r="C37" s="18" t="s">
        <v>4082</v>
      </c>
      <c r="D37" s="19">
        <v>45328.4375</v>
      </c>
      <c r="E37" s="18" t="s">
        <v>10</v>
      </c>
      <c r="F37" s="18">
        <v>800</v>
      </c>
      <c r="G37" s="18" t="s">
        <v>10</v>
      </c>
      <c r="H37" s="18" t="s">
        <v>178</v>
      </c>
      <c r="I37" s="18" t="s">
        <v>10</v>
      </c>
      <c r="J37" s="18" t="s">
        <v>4017</v>
      </c>
      <c r="K37" s="20"/>
    </row>
    <row r="38" spans="1:11" ht="36.75" thickBot="1">
      <c r="A38" s="18" t="s">
        <v>4083</v>
      </c>
      <c r="B38" s="18">
        <v>20021468978</v>
      </c>
      <c r="C38" s="18" t="s">
        <v>4084</v>
      </c>
      <c r="D38" s="19">
        <v>45329.311111111114</v>
      </c>
      <c r="E38" s="18" t="s">
        <v>10</v>
      </c>
      <c r="F38" s="18">
        <v>100</v>
      </c>
      <c r="G38" s="18" t="s">
        <v>10</v>
      </c>
      <c r="H38" s="18" t="s">
        <v>178</v>
      </c>
      <c r="I38" s="18" t="s">
        <v>10</v>
      </c>
      <c r="J38" s="18" t="s">
        <v>4017</v>
      </c>
      <c r="K38" s="20"/>
    </row>
    <row r="39" spans="1:11" ht="36.75" thickBot="1">
      <c r="A39" s="18" t="s">
        <v>4085</v>
      </c>
      <c r="B39" s="18">
        <v>20021229444</v>
      </c>
      <c r="C39" s="18" t="s">
        <v>4086</v>
      </c>
      <c r="D39" s="19">
        <v>45329.447222222225</v>
      </c>
      <c r="E39" s="18" t="s">
        <v>10</v>
      </c>
      <c r="F39" s="18">
        <v>15</v>
      </c>
      <c r="G39" s="18" t="s">
        <v>10</v>
      </c>
      <c r="H39" s="18" t="s">
        <v>178</v>
      </c>
      <c r="I39" s="18" t="s">
        <v>10</v>
      </c>
      <c r="J39" s="18" t="s">
        <v>4017</v>
      </c>
      <c r="K39" s="20"/>
    </row>
    <row r="40" spans="1:11" ht="36.75" thickBot="1">
      <c r="A40" s="18" t="s">
        <v>4087</v>
      </c>
      <c r="B40" s="18">
        <v>20003201843</v>
      </c>
      <c r="C40" s="18" t="s">
        <v>4088</v>
      </c>
      <c r="D40" s="19">
        <v>45329.479166666664</v>
      </c>
      <c r="E40" s="18" t="s">
        <v>10</v>
      </c>
      <c r="F40" s="18">
        <v>15</v>
      </c>
      <c r="G40" s="18" t="s">
        <v>10</v>
      </c>
      <c r="H40" s="18" t="s">
        <v>178</v>
      </c>
      <c r="I40" s="18" t="s">
        <v>10</v>
      </c>
      <c r="J40" s="18" t="s">
        <v>4017</v>
      </c>
      <c r="K40" s="20"/>
    </row>
    <row r="41" spans="1:11" ht="36.75" thickBot="1">
      <c r="A41" s="18" t="s">
        <v>4089</v>
      </c>
      <c r="B41" s="18">
        <v>20020942102</v>
      </c>
      <c r="C41" s="18" t="s">
        <v>4090</v>
      </c>
      <c r="D41" s="19">
        <v>45329.661111111112</v>
      </c>
      <c r="E41" s="18" t="s">
        <v>10</v>
      </c>
      <c r="F41" s="18">
        <v>60</v>
      </c>
      <c r="G41" s="18" t="s">
        <v>10</v>
      </c>
      <c r="H41" s="18" t="s">
        <v>178</v>
      </c>
      <c r="I41" s="18" t="s">
        <v>10</v>
      </c>
      <c r="J41" s="18" t="s">
        <v>4017</v>
      </c>
      <c r="K41" s="20"/>
    </row>
    <row r="42" spans="1:11" ht="36.75" thickBot="1">
      <c r="A42" s="18" t="s">
        <v>4091</v>
      </c>
      <c r="B42" s="18">
        <v>20022767715</v>
      </c>
      <c r="C42" s="18" t="s">
        <v>1836</v>
      </c>
      <c r="D42" s="19">
        <v>45330.575694444444</v>
      </c>
      <c r="E42" s="18" t="s">
        <v>10</v>
      </c>
      <c r="F42" s="18">
        <v>30</v>
      </c>
      <c r="G42" s="18" t="s">
        <v>10</v>
      </c>
      <c r="H42" s="18" t="s">
        <v>178</v>
      </c>
      <c r="I42" s="18" t="s">
        <v>10</v>
      </c>
      <c r="J42" s="18" t="s">
        <v>4017</v>
      </c>
      <c r="K42" s="20"/>
    </row>
    <row r="43" spans="1:11" ht="36.75" thickBot="1">
      <c r="A43" s="18" t="s">
        <v>4092</v>
      </c>
      <c r="B43" s="18">
        <v>20021133884</v>
      </c>
      <c r="C43" s="18" t="s">
        <v>1836</v>
      </c>
      <c r="D43" s="19">
        <v>45330.584027777775</v>
      </c>
      <c r="E43" s="18" t="s">
        <v>10</v>
      </c>
      <c r="F43" s="18">
        <v>30</v>
      </c>
      <c r="G43" s="18" t="s">
        <v>10</v>
      </c>
      <c r="H43" s="18" t="s">
        <v>178</v>
      </c>
      <c r="I43" s="18" t="s">
        <v>10</v>
      </c>
      <c r="J43" s="18" t="s">
        <v>4017</v>
      </c>
      <c r="K43" s="20"/>
    </row>
    <row r="44" spans="1:11" ht="36.75" thickBot="1">
      <c r="A44" s="18" t="s">
        <v>4093</v>
      </c>
      <c r="B44" s="18">
        <v>20017807637</v>
      </c>
      <c r="C44" s="18" t="s">
        <v>1836</v>
      </c>
      <c r="D44" s="19">
        <v>45330.600694444445</v>
      </c>
      <c r="E44" s="18" t="s">
        <v>10</v>
      </c>
      <c r="F44" s="18">
        <v>30</v>
      </c>
      <c r="G44" s="18" t="s">
        <v>10</v>
      </c>
      <c r="H44" s="18" t="s">
        <v>178</v>
      </c>
      <c r="I44" s="18" t="s">
        <v>10</v>
      </c>
      <c r="J44" s="18" t="s">
        <v>4017</v>
      </c>
      <c r="K44" s="20"/>
    </row>
    <row r="45" spans="1:11" ht="36.75" thickBot="1">
      <c r="A45" s="18" t="s">
        <v>4094</v>
      </c>
      <c r="B45" s="18">
        <v>20003299137</v>
      </c>
      <c r="C45" s="18" t="s">
        <v>4095</v>
      </c>
      <c r="D45" s="19">
        <v>45330.656944444447</v>
      </c>
      <c r="E45" s="18" t="s">
        <v>10</v>
      </c>
      <c r="F45" s="18">
        <v>20</v>
      </c>
      <c r="G45" s="18" t="s">
        <v>10</v>
      </c>
      <c r="H45" s="18" t="s">
        <v>178</v>
      </c>
      <c r="I45" s="18" t="s">
        <v>10</v>
      </c>
      <c r="J45" s="18" t="s">
        <v>4017</v>
      </c>
      <c r="K45" s="20"/>
    </row>
    <row r="46" spans="1:11" ht="36.75" thickBot="1">
      <c r="A46" s="18" t="s">
        <v>4096</v>
      </c>
      <c r="B46" s="18">
        <v>20018425967</v>
      </c>
      <c r="C46" s="18" t="s">
        <v>1836</v>
      </c>
      <c r="D46" s="19">
        <v>45330.661805555559</v>
      </c>
      <c r="E46" s="18" t="s">
        <v>10</v>
      </c>
      <c r="F46" s="18">
        <v>20</v>
      </c>
      <c r="G46" s="18" t="s">
        <v>10</v>
      </c>
      <c r="H46" s="18" t="s">
        <v>178</v>
      </c>
      <c r="I46" s="18" t="s">
        <v>10</v>
      </c>
      <c r="J46" s="18" t="s">
        <v>4017</v>
      </c>
      <c r="K46" s="20"/>
    </row>
    <row r="47" spans="1:11" ht="36.75" thickBot="1">
      <c r="A47" s="18" t="s">
        <v>4097</v>
      </c>
      <c r="B47" s="18">
        <v>20018447541</v>
      </c>
      <c r="C47" s="18" t="s">
        <v>1836</v>
      </c>
      <c r="D47" s="19">
        <v>45330.711111111108</v>
      </c>
      <c r="E47" s="18" t="s">
        <v>10</v>
      </c>
      <c r="F47" s="18">
        <v>20</v>
      </c>
      <c r="G47" s="18" t="s">
        <v>10</v>
      </c>
      <c r="H47" s="18" t="s">
        <v>178</v>
      </c>
      <c r="I47" s="18" t="s">
        <v>10</v>
      </c>
      <c r="J47" s="18" t="s">
        <v>4017</v>
      </c>
      <c r="K47" s="20"/>
    </row>
    <row r="48" spans="1:11" ht="36.75" thickBot="1">
      <c r="A48" s="18" t="s">
        <v>4098</v>
      </c>
      <c r="B48" s="18">
        <v>20017077174</v>
      </c>
      <c r="C48" s="18" t="s">
        <v>4099</v>
      </c>
      <c r="D48" s="19">
        <v>45330.720833333333</v>
      </c>
      <c r="E48" s="18" t="s">
        <v>10</v>
      </c>
      <c r="F48" s="18">
        <v>30</v>
      </c>
      <c r="G48" s="18" t="s">
        <v>10</v>
      </c>
      <c r="H48" s="18" t="s">
        <v>178</v>
      </c>
      <c r="I48" s="18" t="s">
        <v>10</v>
      </c>
      <c r="J48" s="18" t="s">
        <v>4017</v>
      </c>
      <c r="K48" s="20"/>
    </row>
    <row r="49" spans="1:11" ht="36.75" thickBot="1">
      <c r="A49" s="18" t="s">
        <v>4100</v>
      </c>
      <c r="B49" s="18">
        <v>20017892796</v>
      </c>
      <c r="C49" s="18" t="s">
        <v>1836</v>
      </c>
      <c r="D49" s="19">
        <v>45330.730555555558</v>
      </c>
      <c r="E49" s="18" t="s">
        <v>10</v>
      </c>
      <c r="F49" s="18">
        <v>20</v>
      </c>
      <c r="G49" s="18" t="s">
        <v>10</v>
      </c>
      <c r="H49" s="18" t="s">
        <v>178</v>
      </c>
      <c r="I49" s="18" t="s">
        <v>10</v>
      </c>
      <c r="J49" s="18" t="s">
        <v>4017</v>
      </c>
      <c r="K49" s="20"/>
    </row>
    <row r="50" spans="1:11" ht="36.75" thickBot="1">
      <c r="A50" s="18" t="s">
        <v>4101</v>
      </c>
      <c r="B50" s="18">
        <v>20002784110</v>
      </c>
      <c r="C50" s="18" t="s">
        <v>220</v>
      </c>
      <c r="D50" s="19">
        <v>45331.716666666667</v>
      </c>
      <c r="E50" s="18" t="s">
        <v>10</v>
      </c>
      <c r="F50" s="18">
        <v>15</v>
      </c>
      <c r="G50" s="18" t="s">
        <v>10</v>
      </c>
      <c r="H50" s="18" t="s">
        <v>178</v>
      </c>
      <c r="I50" s="18" t="s">
        <v>10</v>
      </c>
      <c r="J50" s="18" t="s">
        <v>4017</v>
      </c>
      <c r="K50" s="20"/>
    </row>
    <row r="51" spans="1:11" ht="36.75" thickBot="1">
      <c r="A51" s="18" t="s">
        <v>4102</v>
      </c>
      <c r="B51" s="18">
        <v>20002777265</v>
      </c>
      <c r="C51" s="18" t="s">
        <v>4103</v>
      </c>
      <c r="D51" s="19">
        <v>45331.727777777778</v>
      </c>
      <c r="E51" s="18" t="s">
        <v>10</v>
      </c>
      <c r="F51" s="18">
        <v>250</v>
      </c>
      <c r="G51" s="18" t="s">
        <v>10</v>
      </c>
      <c r="H51" s="18" t="s">
        <v>178</v>
      </c>
      <c r="I51" s="18" t="s">
        <v>10</v>
      </c>
      <c r="J51" s="18" t="s">
        <v>4017</v>
      </c>
      <c r="K51" s="20"/>
    </row>
    <row r="52" spans="1:11" ht="54.75" thickBot="1">
      <c r="A52" s="18" t="s">
        <v>4104</v>
      </c>
      <c r="B52" s="18">
        <v>20020376398</v>
      </c>
      <c r="C52" s="18" t="s">
        <v>4105</v>
      </c>
      <c r="D52" s="19">
        <v>45333.552083333336</v>
      </c>
      <c r="E52" s="18" t="s">
        <v>10</v>
      </c>
      <c r="F52" s="18">
        <v>90</v>
      </c>
      <c r="G52" s="18" t="s">
        <v>10</v>
      </c>
      <c r="H52" s="18" t="s">
        <v>178</v>
      </c>
      <c r="I52" s="18" t="s">
        <v>10</v>
      </c>
      <c r="J52" s="18" t="s">
        <v>4017</v>
      </c>
      <c r="K52" s="20"/>
    </row>
    <row r="53" spans="1:11" ht="36.75" thickBot="1">
      <c r="A53" s="18" t="s">
        <v>4106</v>
      </c>
      <c r="B53" s="18">
        <v>20003162600</v>
      </c>
      <c r="C53" s="18" t="s">
        <v>4107</v>
      </c>
      <c r="D53" s="19">
        <v>45334.556250000001</v>
      </c>
      <c r="E53" s="18" t="s">
        <v>10</v>
      </c>
      <c r="F53" s="18">
        <v>900</v>
      </c>
      <c r="G53" s="18" t="s">
        <v>10</v>
      </c>
      <c r="H53" s="18" t="s">
        <v>178</v>
      </c>
      <c r="I53" s="18" t="s">
        <v>10</v>
      </c>
      <c r="J53" s="18" t="s">
        <v>4017</v>
      </c>
      <c r="K53" s="20"/>
    </row>
    <row r="54" spans="1:11" ht="36.75" thickBot="1">
      <c r="A54" s="18" t="s">
        <v>4108</v>
      </c>
      <c r="B54" s="18">
        <v>20017899766</v>
      </c>
      <c r="C54" s="18" t="s">
        <v>1836</v>
      </c>
      <c r="D54" s="19">
        <v>45334.67291666667</v>
      </c>
      <c r="E54" s="18" t="s">
        <v>10</v>
      </c>
      <c r="F54" s="18">
        <v>15</v>
      </c>
      <c r="G54" s="18" t="s">
        <v>10</v>
      </c>
      <c r="H54" s="18" t="s">
        <v>178</v>
      </c>
      <c r="I54" s="18" t="s">
        <v>10</v>
      </c>
      <c r="J54" s="18" t="s">
        <v>4017</v>
      </c>
      <c r="K54" s="20"/>
    </row>
    <row r="55" spans="1:11" ht="36.75" thickBot="1">
      <c r="A55" s="18" t="s">
        <v>4109</v>
      </c>
      <c r="B55" s="18">
        <v>20016619991</v>
      </c>
      <c r="C55" s="18" t="s">
        <v>4110</v>
      </c>
      <c r="D55" s="19">
        <v>45335.359722222223</v>
      </c>
      <c r="E55" s="18" t="s">
        <v>10</v>
      </c>
      <c r="F55" s="18">
        <v>100</v>
      </c>
      <c r="G55" s="18" t="s">
        <v>10</v>
      </c>
      <c r="H55" s="18" t="s">
        <v>178</v>
      </c>
      <c r="I55" s="18" t="s">
        <v>10</v>
      </c>
      <c r="J55" s="18" t="s">
        <v>4017</v>
      </c>
      <c r="K55" s="20"/>
    </row>
    <row r="56" spans="1:11" ht="36.75" thickBot="1">
      <c r="A56" s="18" t="s">
        <v>4111</v>
      </c>
      <c r="B56" s="18">
        <v>20026907378</v>
      </c>
      <c r="C56" s="18" t="s">
        <v>1836</v>
      </c>
      <c r="D56" s="19">
        <v>45335.724305555559</v>
      </c>
      <c r="E56" s="18" t="s">
        <v>10</v>
      </c>
      <c r="F56" s="18">
        <v>30</v>
      </c>
      <c r="G56" s="18" t="s">
        <v>10</v>
      </c>
      <c r="H56" s="18" t="s">
        <v>178</v>
      </c>
      <c r="I56" s="18" t="s">
        <v>10</v>
      </c>
      <c r="J56" s="18" t="s">
        <v>4017</v>
      </c>
      <c r="K56" s="20"/>
    </row>
    <row r="57" spans="1:11" ht="36.75" thickBot="1">
      <c r="A57" s="18" t="s">
        <v>4112</v>
      </c>
      <c r="B57" s="18">
        <v>20019569859</v>
      </c>
      <c r="C57" s="18" t="s">
        <v>4113</v>
      </c>
      <c r="D57" s="19">
        <v>45336.669444444444</v>
      </c>
      <c r="E57" s="18" t="s">
        <v>10</v>
      </c>
      <c r="F57" s="18">
        <v>70</v>
      </c>
      <c r="G57" s="18" t="s">
        <v>10</v>
      </c>
      <c r="H57" s="18" t="s">
        <v>178</v>
      </c>
      <c r="I57" s="18" t="s">
        <v>10</v>
      </c>
      <c r="J57" s="18" t="s">
        <v>4017</v>
      </c>
      <c r="K57" s="20"/>
    </row>
    <row r="58" spans="1:11" ht="36.75" thickBot="1">
      <c r="A58" s="18" t="s">
        <v>4114</v>
      </c>
      <c r="B58" s="18">
        <v>20021680385</v>
      </c>
      <c r="C58" s="18" t="s">
        <v>4115</v>
      </c>
      <c r="D58" s="19">
        <v>45337.587500000001</v>
      </c>
      <c r="E58" s="18" t="s">
        <v>10</v>
      </c>
      <c r="F58" s="18">
        <v>20</v>
      </c>
      <c r="G58" s="18" t="s">
        <v>10</v>
      </c>
      <c r="H58" s="18" t="s">
        <v>178</v>
      </c>
      <c r="I58" s="18" t="s">
        <v>10</v>
      </c>
      <c r="J58" s="18" t="s">
        <v>4017</v>
      </c>
      <c r="K58" s="20"/>
    </row>
    <row r="59" spans="1:11" ht="36.75" thickBot="1">
      <c r="A59" s="18" t="s">
        <v>4116</v>
      </c>
      <c r="B59" s="18">
        <v>20018591856</v>
      </c>
      <c r="C59" s="18" t="s">
        <v>4117</v>
      </c>
      <c r="D59" s="19">
        <v>45337.643750000003</v>
      </c>
      <c r="E59" s="18" t="s">
        <v>10</v>
      </c>
      <c r="F59" s="18">
        <v>50</v>
      </c>
      <c r="G59" s="18" t="s">
        <v>10</v>
      </c>
      <c r="H59" s="18" t="s">
        <v>178</v>
      </c>
      <c r="I59" s="18" t="s">
        <v>10</v>
      </c>
      <c r="J59" s="18" t="s">
        <v>4017</v>
      </c>
      <c r="K59" s="20"/>
    </row>
    <row r="60" spans="1:11" ht="36.75" thickBot="1">
      <c r="A60" s="18" t="s">
        <v>4118</v>
      </c>
      <c r="B60" s="18">
        <v>20018721031</v>
      </c>
      <c r="C60" s="18" t="s">
        <v>4119</v>
      </c>
      <c r="D60" s="19">
        <v>45337.726388888892</v>
      </c>
      <c r="E60" s="18" t="s">
        <v>10</v>
      </c>
      <c r="F60" s="18">
        <v>250</v>
      </c>
      <c r="G60" s="18" t="s">
        <v>10</v>
      </c>
      <c r="H60" s="18" t="s">
        <v>178</v>
      </c>
      <c r="I60" s="18" t="s">
        <v>10</v>
      </c>
      <c r="J60" s="18" t="s">
        <v>4017</v>
      </c>
      <c r="K60" s="20"/>
    </row>
    <row r="61" spans="1:11" ht="36.75" thickBot="1">
      <c r="A61" s="18" t="s">
        <v>4120</v>
      </c>
      <c r="B61" s="18">
        <v>20003400850</v>
      </c>
      <c r="C61" s="18" t="s">
        <v>4121</v>
      </c>
      <c r="D61" s="19">
        <v>45340.02847222222</v>
      </c>
      <c r="E61" s="18" t="s">
        <v>10</v>
      </c>
      <c r="F61" s="18">
        <v>5</v>
      </c>
      <c r="G61" s="18" t="s">
        <v>10</v>
      </c>
      <c r="H61" s="18" t="s">
        <v>178</v>
      </c>
      <c r="I61" s="18" t="s">
        <v>10</v>
      </c>
      <c r="J61" s="18" t="s">
        <v>4017</v>
      </c>
      <c r="K61" s="20"/>
    </row>
    <row r="62" spans="1:11" ht="36.75" thickBot="1">
      <c r="A62" s="18" t="s">
        <v>4122</v>
      </c>
      <c r="B62" s="18">
        <v>20018591856</v>
      </c>
      <c r="C62" s="18" t="s">
        <v>4123</v>
      </c>
      <c r="D62" s="19">
        <v>45342.590277777781</v>
      </c>
      <c r="E62" s="18" t="s">
        <v>10</v>
      </c>
      <c r="F62" s="18">
        <v>50</v>
      </c>
      <c r="G62" s="18" t="s">
        <v>10</v>
      </c>
      <c r="H62" s="18" t="s">
        <v>178</v>
      </c>
      <c r="I62" s="18" t="s">
        <v>10</v>
      </c>
      <c r="J62" s="18" t="s">
        <v>4017</v>
      </c>
      <c r="K62" s="20"/>
    </row>
    <row r="63" spans="1:11" ht="36.75" thickBot="1">
      <c r="A63" s="18" t="s">
        <v>4124</v>
      </c>
      <c r="B63" s="18">
        <v>20003033848</v>
      </c>
      <c r="C63" s="18" t="s">
        <v>4125</v>
      </c>
      <c r="D63" s="19">
        <v>45342.71875</v>
      </c>
      <c r="E63" s="18" t="s">
        <v>10</v>
      </c>
      <c r="F63" s="18">
        <v>200</v>
      </c>
      <c r="G63" s="18" t="s">
        <v>10</v>
      </c>
      <c r="H63" s="18" t="s">
        <v>178</v>
      </c>
      <c r="I63" s="18" t="s">
        <v>10</v>
      </c>
      <c r="J63" s="18" t="s">
        <v>4017</v>
      </c>
      <c r="K63" s="20"/>
    </row>
    <row r="64" spans="1:11" ht="36.75" thickBot="1">
      <c r="A64" s="18" t="s">
        <v>4126</v>
      </c>
      <c r="B64" s="18">
        <v>20026716166</v>
      </c>
      <c r="C64" s="18" t="s">
        <v>4127</v>
      </c>
      <c r="D64" s="19">
        <v>45343.772222222222</v>
      </c>
      <c r="E64" s="18" t="s">
        <v>10</v>
      </c>
      <c r="F64" s="18">
        <v>20</v>
      </c>
      <c r="G64" s="18" t="s">
        <v>10</v>
      </c>
      <c r="H64" s="18" t="s">
        <v>178</v>
      </c>
      <c r="I64" s="18" t="s">
        <v>10</v>
      </c>
      <c r="J64" s="18" t="s">
        <v>4017</v>
      </c>
      <c r="K64" s="20"/>
    </row>
    <row r="65" spans="1:11" ht="36.75" thickBot="1">
      <c r="A65" s="18" t="s">
        <v>4128</v>
      </c>
      <c r="B65" s="18">
        <v>20003486608</v>
      </c>
      <c r="C65" s="18" t="s">
        <v>4129</v>
      </c>
      <c r="D65" s="19">
        <v>45344.542361111111</v>
      </c>
      <c r="E65" s="18" t="s">
        <v>10</v>
      </c>
      <c r="F65" s="18">
        <v>150</v>
      </c>
      <c r="G65" s="18" t="s">
        <v>10</v>
      </c>
      <c r="H65" s="18" t="s">
        <v>178</v>
      </c>
      <c r="I65" s="18" t="s">
        <v>10</v>
      </c>
      <c r="J65" s="18" t="s">
        <v>4017</v>
      </c>
      <c r="K65" s="20"/>
    </row>
    <row r="66" spans="1:11" ht="36.75" thickBot="1">
      <c r="A66" s="18" t="s">
        <v>4130</v>
      </c>
      <c r="B66" s="18">
        <v>20003486689</v>
      </c>
      <c r="C66" s="18" t="s">
        <v>4131</v>
      </c>
      <c r="D66" s="19">
        <v>45344.747916666667</v>
      </c>
      <c r="E66" s="18" t="s">
        <v>10</v>
      </c>
      <c r="F66" s="18">
        <v>250</v>
      </c>
      <c r="G66" s="18" t="s">
        <v>10</v>
      </c>
      <c r="H66" s="18" t="s">
        <v>178</v>
      </c>
      <c r="I66" s="18" t="s">
        <v>10</v>
      </c>
      <c r="J66" s="18" t="s">
        <v>4017</v>
      </c>
      <c r="K66" s="20"/>
    </row>
    <row r="67" spans="1:11" ht="36.75" thickBot="1">
      <c r="A67" s="18" t="s">
        <v>4132</v>
      </c>
      <c r="B67" s="18">
        <v>20017949380</v>
      </c>
      <c r="C67" s="18" t="s">
        <v>4133</v>
      </c>
      <c r="D67" s="19">
        <v>45344.862500000003</v>
      </c>
      <c r="E67" s="18" t="s">
        <v>10</v>
      </c>
      <c r="F67" s="18">
        <v>200</v>
      </c>
      <c r="G67" s="18" t="s">
        <v>10</v>
      </c>
      <c r="H67" s="18" t="s">
        <v>178</v>
      </c>
      <c r="I67" s="18" t="s">
        <v>10</v>
      </c>
      <c r="J67" s="18" t="s">
        <v>4017</v>
      </c>
      <c r="K67" s="20"/>
    </row>
    <row r="68" spans="1:11" ht="36.75" thickBot="1">
      <c r="A68" s="18" t="s">
        <v>4134</v>
      </c>
      <c r="B68" s="18">
        <v>20021072884</v>
      </c>
      <c r="C68" s="18" t="s">
        <v>4135</v>
      </c>
      <c r="D68" s="19">
        <v>45344.95</v>
      </c>
      <c r="E68" s="18" t="s">
        <v>10</v>
      </c>
      <c r="F68" s="18">
        <v>100</v>
      </c>
      <c r="G68" s="18" t="s">
        <v>10</v>
      </c>
      <c r="H68" s="18" t="s">
        <v>178</v>
      </c>
      <c r="I68" s="18" t="s">
        <v>10</v>
      </c>
      <c r="J68" s="18" t="s">
        <v>4017</v>
      </c>
      <c r="K68" s="20"/>
    </row>
    <row r="69" spans="1:11" ht="36.75" thickBot="1">
      <c r="A69" s="18" t="s">
        <v>4136</v>
      </c>
      <c r="B69" s="18">
        <v>20023600574</v>
      </c>
      <c r="C69" s="18" t="s">
        <v>4135</v>
      </c>
      <c r="D69" s="19">
        <v>45344.987500000003</v>
      </c>
      <c r="E69" s="18" t="s">
        <v>10</v>
      </c>
      <c r="F69" s="18">
        <v>250</v>
      </c>
      <c r="G69" s="18" t="s">
        <v>10</v>
      </c>
      <c r="H69" s="18" t="s">
        <v>178</v>
      </c>
      <c r="I69" s="18" t="s">
        <v>10</v>
      </c>
      <c r="J69" s="18" t="s">
        <v>4017</v>
      </c>
      <c r="K69" s="20"/>
    </row>
    <row r="70" spans="1:11" ht="36.75" thickBot="1">
      <c r="A70" s="18" t="s">
        <v>4137</v>
      </c>
      <c r="B70" s="18">
        <v>20020801070</v>
      </c>
      <c r="C70" s="18" t="s">
        <v>4138</v>
      </c>
      <c r="D70" s="19">
        <v>45345.484027777777</v>
      </c>
      <c r="E70" s="18" t="s">
        <v>10</v>
      </c>
      <c r="F70" s="18">
        <v>150</v>
      </c>
      <c r="G70" s="18" t="s">
        <v>10</v>
      </c>
      <c r="H70" s="18" t="s">
        <v>178</v>
      </c>
      <c r="I70" s="18" t="s">
        <v>10</v>
      </c>
      <c r="J70" s="18" t="s">
        <v>4017</v>
      </c>
      <c r="K70" s="20"/>
    </row>
    <row r="71" spans="1:11" ht="36.75" thickBot="1">
      <c r="A71" s="18" t="s">
        <v>4139</v>
      </c>
      <c r="B71" s="18">
        <v>20026311602</v>
      </c>
      <c r="C71" s="18" t="s">
        <v>2472</v>
      </c>
      <c r="D71" s="19">
        <v>45349.69027777778</v>
      </c>
      <c r="E71" s="18" t="s">
        <v>10</v>
      </c>
      <c r="F71" s="18">
        <v>15</v>
      </c>
      <c r="G71" s="18" t="s">
        <v>10</v>
      </c>
      <c r="H71" s="18" t="s">
        <v>178</v>
      </c>
      <c r="I71" s="18" t="s">
        <v>10</v>
      </c>
      <c r="J71" s="18" t="s">
        <v>4017</v>
      </c>
      <c r="K71" s="20"/>
    </row>
    <row r="72" spans="1:11" ht="36.75" thickBot="1">
      <c r="A72" s="18" t="s">
        <v>4140</v>
      </c>
      <c r="B72" s="18">
        <v>20003481144</v>
      </c>
      <c r="C72" s="18" t="s">
        <v>4141</v>
      </c>
      <c r="D72" s="19">
        <v>45350.876388888886</v>
      </c>
      <c r="E72" s="18" t="s">
        <v>10</v>
      </c>
      <c r="F72" s="18">
        <v>180</v>
      </c>
      <c r="G72" s="18" t="s">
        <v>10</v>
      </c>
      <c r="H72" s="18" t="s">
        <v>178</v>
      </c>
      <c r="I72" s="18" t="s">
        <v>10</v>
      </c>
      <c r="J72" s="18" t="s">
        <v>4017</v>
      </c>
      <c r="K72" s="20"/>
    </row>
    <row r="73" spans="1:11" ht="36.75" thickBot="1">
      <c r="A73" s="18" t="s">
        <v>4142</v>
      </c>
      <c r="B73" s="18">
        <v>20002916375</v>
      </c>
      <c r="C73" s="18" t="s">
        <v>4143</v>
      </c>
      <c r="D73" s="19">
        <v>45351.418749999997</v>
      </c>
      <c r="E73" s="18" t="s">
        <v>10</v>
      </c>
      <c r="F73" s="18">
        <v>175</v>
      </c>
      <c r="G73" s="18" t="s">
        <v>10</v>
      </c>
      <c r="H73" s="18" t="s">
        <v>178</v>
      </c>
      <c r="I73" s="18" t="s">
        <v>10</v>
      </c>
      <c r="J73" s="18" t="s">
        <v>4017</v>
      </c>
      <c r="K73" s="20"/>
    </row>
    <row r="74" spans="1:11" ht="36.75" thickBot="1">
      <c r="A74" s="18" t="s">
        <v>4144</v>
      </c>
      <c r="B74" s="18">
        <v>20003431905</v>
      </c>
      <c r="C74" s="18" t="s">
        <v>4145</v>
      </c>
      <c r="D74" s="19">
        <v>45351.496527777781</v>
      </c>
      <c r="E74" s="18" t="s">
        <v>10</v>
      </c>
      <c r="F74" s="18">
        <v>330</v>
      </c>
      <c r="G74" s="18" t="s">
        <v>10</v>
      </c>
      <c r="H74" s="18" t="s">
        <v>178</v>
      </c>
      <c r="I74" s="18" t="s">
        <v>10</v>
      </c>
      <c r="J74" s="18" t="s">
        <v>4017</v>
      </c>
      <c r="K74" s="20"/>
    </row>
    <row r="75" spans="1:11" ht="36.75" thickBot="1">
      <c r="A75" s="18" t="s">
        <v>4146</v>
      </c>
      <c r="B75" s="18">
        <v>20018483288</v>
      </c>
      <c r="C75" s="18" t="s">
        <v>4147</v>
      </c>
      <c r="D75" s="19">
        <v>45351.652777777781</v>
      </c>
      <c r="E75" s="18" t="s">
        <v>10</v>
      </c>
      <c r="F75" s="18">
        <v>100</v>
      </c>
      <c r="G75" s="18" t="s">
        <v>10</v>
      </c>
      <c r="H75" s="18" t="s">
        <v>178</v>
      </c>
      <c r="I75" s="18" t="s">
        <v>10</v>
      </c>
      <c r="J75" s="18" t="s">
        <v>4017</v>
      </c>
      <c r="K75" s="20"/>
    </row>
    <row r="76" spans="1:11" ht="36.75" thickBot="1">
      <c r="A76" s="18" t="s">
        <v>4148</v>
      </c>
      <c r="B76" s="18">
        <v>20003505833</v>
      </c>
      <c r="C76" s="18" t="s">
        <v>4149</v>
      </c>
      <c r="D76" s="19">
        <v>45352.474305555559</v>
      </c>
      <c r="E76" s="18" t="s">
        <v>10</v>
      </c>
      <c r="F76" s="18">
        <v>375</v>
      </c>
      <c r="G76" s="18" t="s">
        <v>10</v>
      </c>
      <c r="H76" s="18" t="s">
        <v>178</v>
      </c>
      <c r="I76" s="18" t="s">
        <v>10</v>
      </c>
      <c r="J76" s="18" t="s">
        <v>4017</v>
      </c>
      <c r="K76" s="20"/>
    </row>
    <row r="77" spans="1:11" ht="36.75" thickBot="1">
      <c r="A77" s="18" t="s">
        <v>4150</v>
      </c>
      <c r="B77" s="18">
        <v>20020022312</v>
      </c>
      <c r="C77" s="18" t="s">
        <v>4149</v>
      </c>
      <c r="D77" s="19">
        <v>45352.517361111109</v>
      </c>
      <c r="E77" s="18" t="s">
        <v>10</v>
      </c>
      <c r="F77" s="18">
        <v>150</v>
      </c>
      <c r="G77" s="18" t="s">
        <v>10</v>
      </c>
      <c r="H77" s="18" t="s">
        <v>178</v>
      </c>
      <c r="I77" s="18" t="s">
        <v>10</v>
      </c>
      <c r="J77" s="18" t="s">
        <v>4017</v>
      </c>
      <c r="K77" s="20"/>
    </row>
    <row r="78" spans="1:11" ht="36.75" thickBot="1">
      <c r="A78" s="18" t="s">
        <v>4151</v>
      </c>
      <c r="B78" s="18">
        <v>20025407679</v>
      </c>
      <c r="C78" s="18" t="s">
        <v>4152</v>
      </c>
      <c r="D78" s="19">
        <v>45352.650694444441</v>
      </c>
      <c r="E78" s="18" t="s">
        <v>10</v>
      </c>
      <c r="F78" s="18">
        <v>5</v>
      </c>
      <c r="G78" s="18" t="s">
        <v>10</v>
      </c>
      <c r="H78" s="18" t="s">
        <v>178</v>
      </c>
      <c r="I78" s="18" t="s">
        <v>10</v>
      </c>
      <c r="J78" s="18" t="s">
        <v>4017</v>
      </c>
      <c r="K78" s="20"/>
    </row>
    <row r="79" spans="1:11" ht="36.75" thickBot="1">
      <c r="A79" s="18" t="s">
        <v>4153</v>
      </c>
      <c r="B79" s="18">
        <v>20003409011</v>
      </c>
      <c r="C79" s="18" t="s">
        <v>4154</v>
      </c>
      <c r="D79" s="19">
        <v>45352.660416666666</v>
      </c>
      <c r="E79" s="18" t="s">
        <v>10</v>
      </c>
      <c r="F79" s="18">
        <v>225</v>
      </c>
      <c r="G79" s="18" t="s">
        <v>10</v>
      </c>
      <c r="H79" s="18" t="s">
        <v>178</v>
      </c>
      <c r="I79" s="18" t="s">
        <v>10</v>
      </c>
      <c r="J79" s="18" t="s">
        <v>4017</v>
      </c>
      <c r="K79" s="20"/>
    </row>
    <row r="80" spans="1:11" ht="72.75" thickBot="1">
      <c r="A80" s="18" t="s">
        <v>4155</v>
      </c>
      <c r="B80" s="18">
        <v>20027016386</v>
      </c>
      <c r="C80" s="18" t="s">
        <v>1836</v>
      </c>
      <c r="D80" s="19">
        <v>45352.681944444441</v>
      </c>
      <c r="E80" s="18" t="s">
        <v>10</v>
      </c>
      <c r="F80" s="18">
        <v>30</v>
      </c>
      <c r="G80" s="19">
        <v>45533.470833333333</v>
      </c>
      <c r="H80" s="18" t="s">
        <v>2657</v>
      </c>
      <c r="I80" s="18" t="s">
        <v>10</v>
      </c>
      <c r="J80" s="18" t="s">
        <v>4017</v>
      </c>
      <c r="K80" s="20"/>
    </row>
    <row r="81" spans="1:11" ht="36.75" thickBot="1">
      <c r="A81" s="18" t="s">
        <v>4156</v>
      </c>
      <c r="B81" s="18">
        <v>20003408982</v>
      </c>
      <c r="C81" s="18" t="s">
        <v>4154</v>
      </c>
      <c r="D81" s="19">
        <v>45352.681944444441</v>
      </c>
      <c r="E81" s="18" t="s">
        <v>10</v>
      </c>
      <c r="F81" s="18">
        <v>125</v>
      </c>
      <c r="G81" s="18" t="s">
        <v>10</v>
      </c>
      <c r="H81" s="18" t="s">
        <v>178</v>
      </c>
      <c r="I81" s="18" t="s">
        <v>10</v>
      </c>
      <c r="J81" s="18" t="s">
        <v>4017</v>
      </c>
      <c r="K81" s="20"/>
    </row>
    <row r="82" spans="1:11" ht="36.75" thickBot="1">
      <c r="A82" s="18" t="s">
        <v>4157</v>
      </c>
      <c r="B82" s="18">
        <v>20018128165</v>
      </c>
      <c r="C82" s="18" t="s">
        <v>4158</v>
      </c>
      <c r="D82" s="19">
        <v>45353.404166666667</v>
      </c>
      <c r="E82" s="18" t="s">
        <v>10</v>
      </c>
      <c r="F82" s="18">
        <v>810</v>
      </c>
      <c r="G82" s="18" t="s">
        <v>10</v>
      </c>
      <c r="H82" s="18" t="s">
        <v>178</v>
      </c>
      <c r="I82" s="18" t="s">
        <v>10</v>
      </c>
      <c r="J82" s="18" t="s">
        <v>4017</v>
      </c>
      <c r="K82" s="20"/>
    </row>
    <row r="83" spans="1:11" ht="36.75" thickBot="1">
      <c r="A83" s="18" t="s">
        <v>4159</v>
      </c>
      <c r="B83" s="18">
        <v>20021686238</v>
      </c>
      <c r="C83" s="18" t="s">
        <v>4160</v>
      </c>
      <c r="D83" s="19">
        <v>45353.71597222222</v>
      </c>
      <c r="E83" s="18" t="s">
        <v>10</v>
      </c>
      <c r="F83" s="18">
        <v>40</v>
      </c>
      <c r="G83" s="18" t="s">
        <v>10</v>
      </c>
      <c r="H83" s="18" t="s">
        <v>178</v>
      </c>
      <c r="I83" s="18" t="s">
        <v>10</v>
      </c>
      <c r="J83" s="18" t="s">
        <v>4017</v>
      </c>
      <c r="K83" s="20"/>
    </row>
    <row r="84" spans="1:11" ht="36.75" thickBot="1">
      <c r="A84" s="18" t="s">
        <v>4161</v>
      </c>
      <c r="B84" s="18">
        <v>20026091278</v>
      </c>
      <c r="C84" s="18" t="s">
        <v>4162</v>
      </c>
      <c r="D84" s="19">
        <v>45354.620833333334</v>
      </c>
      <c r="E84" s="18" t="s">
        <v>10</v>
      </c>
      <c r="F84" s="18">
        <v>60</v>
      </c>
      <c r="G84" s="18" t="s">
        <v>10</v>
      </c>
      <c r="H84" s="18" t="s">
        <v>178</v>
      </c>
      <c r="I84" s="18" t="s">
        <v>10</v>
      </c>
      <c r="J84" s="18" t="s">
        <v>4017</v>
      </c>
      <c r="K84" s="20"/>
    </row>
    <row r="85" spans="1:11" ht="36.75" thickBot="1">
      <c r="A85" s="18" t="s">
        <v>4163</v>
      </c>
      <c r="B85" s="18">
        <v>20026091278</v>
      </c>
      <c r="C85" s="18" t="s">
        <v>4162</v>
      </c>
      <c r="D85" s="19">
        <v>45354.652083333334</v>
      </c>
      <c r="E85" s="18" t="s">
        <v>10</v>
      </c>
      <c r="F85" s="18">
        <v>60</v>
      </c>
      <c r="G85" s="18" t="s">
        <v>10</v>
      </c>
      <c r="H85" s="18" t="s">
        <v>178</v>
      </c>
      <c r="I85" s="18" t="s">
        <v>10</v>
      </c>
      <c r="J85" s="18" t="s">
        <v>4017</v>
      </c>
      <c r="K85" s="20"/>
    </row>
    <row r="86" spans="1:11" ht="54.75" thickBot="1">
      <c r="A86" s="18" t="s">
        <v>4164</v>
      </c>
      <c r="B86" s="18">
        <v>20026091278</v>
      </c>
      <c r="C86" s="18" t="s">
        <v>4165</v>
      </c>
      <c r="D86" s="19">
        <v>45354.661805555559</v>
      </c>
      <c r="E86" s="18" t="s">
        <v>10</v>
      </c>
      <c r="F86" s="18">
        <v>60</v>
      </c>
      <c r="G86" s="18" t="s">
        <v>10</v>
      </c>
      <c r="H86" s="18" t="s">
        <v>178</v>
      </c>
      <c r="I86" s="18" t="s">
        <v>10</v>
      </c>
      <c r="J86" s="18" t="s">
        <v>4017</v>
      </c>
      <c r="K86" s="20"/>
    </row>
    <row r="87" spans="1:11" ht="36.75" thickBot="1">
      <c r="A87" s="18" t="s">
        <v>4166</v>
      </c>
      <c r="B87" s="18">
        <v>20020345333</v>
      </c>
      <c r="C87" s="18" t="s">
        <v>4167</v>
      </c>
      <c r="D87" s="19">
        <v>45354.95</v>
      </c>
      <c r="E87" s="18" t="s">
        <v>10</v>
      </c>
      <c r="F87" s="18">
        <v>96</v>
      </c>
      <c r="G87" s="18" t="s">
        <v>10</v>
      </c>
      <c r="H87" s="18" t="s">
        <v>178</v>
      </c>
      <c r="I87" s="18" t="s">
        <v>10</v>
      </c>
      <c r="J87" s="18" t="s">
        <v>4017</v>
      </c>
      <c r="K87" s="20"/>
    </row>
    <row r="88" spans="1:11" ht="36.75" thickBot="1">
      <c r="A88" s="18" t="s">
        <v>4168</v>
      </c>
      <c r="B88" s="18">
        <v>20026299076</v>
      </c>
      <c r="C88" s="18" t="s">
        <v>4169</v>
      </c>
      <c r="D88" s="19">
        <v>45355.511805555558</v>
      </c>
      <c r="E88" s="18" t="s">
        <v>10</v>
      </c>
      <c r="F88" s="18">
        <v>300</v>
      </c>
      <c r="G88" s="18" t="s">
        <v>10</v>
      </c>
      <c r="H88" s="18" t="s">
        <v>178</v>
      </c>
      <c r="I88" s="18" t="s">
        <v>10</v>
      </c>
      <c r="J88" s="18" t="s">
        <v>4017</v>
      </c>
      <c r="K88" s="20"/>
    </row>
    <row r="89" spans="1:11" ht="36.75" thickBot="1">
      <c r="A89" s="18" t="s">
        <v>4170</v>
      </c>
      <c r="B89" s="18">
        <v>20026891697</v>
      </c>
      <c r="C89" s="18" t="s">
        <v>4171</v>
      </c>
      <c r="D89" s="19">
        <v>45356.399305555555</v>
      </c>
      <c r="E89" s="18" t="s">
        <v>10</v>
      </c>
      <c r="F89" s="18">
        <v>20</v>
      </c>
      <c r="G89" s="18" t="s">
        <v>10</v>
      </c>
      <c r="H89" s="18" t="s">
        <v>178</v>
      </c>
      <c r="I89" s="18" t="s">
        <v>10</v>
      </c>
      <c r="J89" s="18" t="s">
        <v>4017</v>
      </c>
      <c r="K89" s="20"/>
    </row>
    <row r="90" spans="1:11" ht="36.75" thickBot="1">
      <c r="A90" s="18" t="s">
        <v>4172</v>
      </c>
      <c r="B90" s="18">
        <v>200025025237</v>
      </c>
      <c r="C90" s="18" t="s">
        <v>4173</v>
      </c>
      <c r="D90" s="19">
        <v>45357.473611111112</v>
      </c>
      <c r="E90" s="18" t="s">
        <v>10</v>
      </c>
      <c r="F90" s="18">
        <v>20</v>
      </c>
      <c r="G90" s="18" t="s">
        <v>10</v>
      </c>
      <c r="H90" s="18" t="s">
        <v>178</v>
      </c>
      <c r="I90" s="18" t="s">
        <v>10</v>
      </c>
      <c r="J90" s="18" t="s">
        <v>4017</v>
      </c>
      <c r="K90" s="20"/>
    </row>
    <row r="91" spans="1:11" ht="36.75" thickBot="1">
      <c r="A91" s="18" t="s">
        <v>4174</v>
      </c>
      <c r="B91" s="18">
        <v>20003480861</v>
      </c>
      <c r="C91" s="18" t="s">
        <v>4175</v>
      </c>
      <c r="D91" s="19">
        <v>45357.932638888888</v>
      </c>
      <c r="E91" s="18" t="s">
        <v>10</v>
      </c>
      <c r="F91" s="18">
        <v>500</v>
      </c>
      <c r="G91" s="18" t="s">
        <v>10</v>
      </c>
      <c r="H91" s="18" t="s">
        <v>178</v>
      </c>
      <c r="I91" s="18" t="s">
        <v>10</v>
      </c>
      <c r="J91" s="18" t="s">
        <v>4017</v>
      </c>
      <c r="K91" s="20"/>
    </row>
    <row r="92" spans="1:11" ht="36.75" thickBot="1">
      <c r="A92" s="18" t="s">
        <v>4176</v>
      </c>
      <c r="B92" s="18">
        <v>20019001115</v>
      </c>
      <c r="C92" s="18" t="s">
        <v>4177</v>
      </c>
      <c r="D92" s="19">
        <v>45358.465277777781</v>
      </c>
      <c r="E92" s="18" t="s">
        <v>10</v>
      </c>
      <c r="F92" s="18">
        <v>331.2</v>
      </c>
      <c r="G92" s="18" t="s">
        <v>10</v>
      </c>
      <c r="H92" s="18" t="s">
        <v>178</v>
      </c>
      <c r="I92" s="18" t="s">
        <v>10</v>
      </c>
      <c r="J92" s="18" t="s">
        <v>4017</v>
      </c>
      <c r="K92" s="20"/>
    </row>
    <row r="93" spans="1:11" ht="36.75" thickBot="1">
      <c r="A93" s="18" t="s">
        <v>4178</v>
      </c>
      <c r="B93" s="18">
        <v>20003181836</v>
      </c>
      <c r="C93" s="18" t="s">
        <v>4179</v>
      </c>
      <c r="D93" s="19">
        <v>45359.450694444444</v>
      </c>
      <c r="E93" s="18" t="s">
        <v>10</v>
      </c>
      <c r="F93" s="18">
        <v>450</v>
      </c>
      <c r="G93" s="18" t="s">
        <v>10</v>
      </c>
      <c r="H93" s="18" t="s">
        <v>178</v>
      </c>
      <c r="I93" s="18" t="s">
        <v>10</v>
      </c>
      <c r="J93" s="18" t="s">
        <v>4017</v>
      </c>
      <c r="K93" s="20"/>
    </row>
    <row r="94" spans="1:11" ht="36.75" thickBot="1">
      <c r="A94" s="18" t="s">
        <v>4180</v>
      </c>
      <c r="B94" s="18">
        <v>20003181954</v>
      </c>
      <c r="C94" s="18" t="s">
        <v>4181</v>
      </c>
      <c r="D94" s="19">
        <v>45359.463194444441</v>
      </c>
      <c r="E94" s="18" t="s">
        <v>10</v>
      </c>
      <c r="F94" s="18">
        <v>100</v>
      </c>
      <c r="G94" s="18" t="s">
        <v>10</v>
      </c>
      <c r="H94" s="18" t="s">
        <v>178</v>
      </c>
      <c r="I94" s="18" t="s">
        <v>10</v>
      </c>
      <c r="J94" s="18" t="s">
        <v>4017</v>
      </c>
      <c r="K94" s="20"/>
    </row>
    <row r="95" spans="1:11" ht="36.75" thickBot="1">
      <c r="A95" s="18" t="s">
        <v>4182</v>
      </c>
      <c r="B95" s="18">
        <v>20003181836</v>
      </c>
      <c r="C95" s="18" t="s">
        <v>4181</v>
      </c>
      <c r="D95" s="19">
        <v>45359.478472222225</v>
      </c>
      <c r="E95" s="18" t="s">
        <v>10</v>
      </c>
      <c r="F95" s="18">
        <v>450</v>
      </c>
      <c r="G95" s="18" t="s">
        <v>10</v>
      </c>
      <c r="H95" s="18" t="s">
        <v>178</v>
      </c>
      <c r="I95" s="18" t="s">
        <v>10</v>
      </c>
      <c r="J95" s="18" t="s">
        <v>4017</v>
      </c>
      <c r="K95" s="20"/>
    </row>
    <row r="96" spans="1:11" ht="36.75" thickBot="1">
      <c r="A96" s="18" t="s">
        <v>4183</v>
      </c>
      <c r="B96" s="18">
        <v>20025114765</v>
      </c>
      <c r="C96" s="18" t="s">
        <v>4184</v>
      </c>
      <c r="D96" s="19">
        <v>45360.395833333336</v>
      </c>
      <c r="E96" s="18" t="s">
        <v>10</v>
      </c>
      <c r="F96" s="18">
        <v>175</v>
      </c>
      <c r="G96" s="18" t="s">
        <v>10</v>
      </c>
      <c r="H96" s="18" t="s">
        <v>178</v>
      </c>
      <c r="I96" s="18" t="s">
        <v>10</v>
      </c>
      <c r="J96" s="18" t="s">
        <v>4017</v>
      </c>
      <c r="K96" s="20"/>
    </row>
    <row r="97" spans="1:11" ht="54.75" thickBot="1">
      <c r="A97" s="18" t="s">
        <v>4185</v>
      </c>
      <c r="B97" s="18">
        <v>20026091278</v>
      </c>
      <c r="C97" s="18" t="s">
        <v>4186</v>
      </c>
      <c r="D97" s="19">
        <v>45360.604861111111</v>
      </c>
      <c r="E97" s="18" t="s">
        <v>10</v>
      </c>
      <c r="F97" s="18">
        <v>60</v>
      </c>
      <c r="G97" s="18" t="s">
        <v>10</v>
      </c>
      <c r="H97" s="18" t="s">
        <v>178</v>
      </c>
      <c r="I97" s="18" t="s">
        <v>10</v>
      </c>
      <c r="J97" s="18" t="s">
        <v>4017</v>
      </c>
      <c r="K97" s="20"/>
    </row>
    <row r="98" spans="1:11" ht="36.75" thickBot="1">
      <c r="A98" s="18" t="s">
        <v>4187</v>
      </c>
      <c r="B98" s="18">
        <v>20017515702</v>
      </c>
      <c r="C98" s="18" t="s">
        <v>4188</v>
      </c>
      <c r="D98" s="19">
        <v>45361.544444444444</v>
      </c>
      <c r="E98" s="18" t="s">
        <v>10</v>
      </c>
      <c r="F98" s="18">
        <v>110</v>
      </c>
      <c r="G98" s="18" t="s">
        <v>10</v>
      </c>
      <c r="H98" s="18" t="s">
        <v>178</v>
      </c>
      <c r="I98" s="18" t="s">
        <v>10</v>
      </c>
      <c r="J98" s="18" t="s">
        <v>4017</v>
      </c>
      <c r="K98" s="20"/>
    </row>
    <row r="99" spans="1:11" ht="36.75" thickBot="1">
      <c r="A99" s="18" t="s">
        <v>4189</v>
      </c>
      <c r="B99" s="18">
        <v>20003408343</v>
      </c>
      <c r="C99" s="18" t="s">
        <v>4190</v>
      </c>
      <c r="D99" s="19">
        <v>45362.499305555553</v>
      </c>
      <c r="E99" s="18" t="s">
        <v>10</v>
      </c>
      <c r="F99" s="18">
        <v>3</v>
      </c>
      <c r="G99" s="18" t="s">
        <v>10</v>
      </c>
      <c r="H99" s="18" t="s">
        <v>178</v>
      </c>
      <c r="I99" s="18" t="s">
        <v>10</v>
      </c>
      <c r="J99" s="18" t="s">
        <v>4017</v>
      </c>
      <c r="K99" s="20"/>
    </row>
    <row r="100" spans="1:11" ht="36.75" thickBot="1">
      <c r="A100" s="18" t="s">
        <v>4191</v>
      </c>
      <c r="B100" s="18">
        <v>30200028207</v>
      </c>
      <c r="C100" s="18" t="s">
        <v>4192</v>
      </c>
      <c r="D100" s="19">
        <v>45362.934027777781</v>
      </c>
      <c r="E100" s="18" t="s">
        <v>10</v>
      </c>
      <c r="F100" s="18">
        <v>10</v>
      </c>
      <c r="G100" s="18" t="s">
        <v>10</v>
      </c>
      <c r="H100" s="18" t="s">
        <v>178</v>
      </c>
      <c r="I100" s="18" t="s">
        <v>10</v>
      </c>
      <c r="J100" s="18" t="s">
        <v>4017</v>
      </c>
      <c r="K100" s="20"/>
    </row>
    <row r="101" spans="1:11" ht="36.75" thickBot="1">
      <c r="A101" s="18" t="s">
        <v>4193</v>
      </c>
      <c r="B101" s="18">
        <v>20017841552</v>
      </c>
      <c r="C101" s="18" t="s">
        <v>4194</v>
      </c>
      <c r="D101" s="19">
        <v>45363.487500000003</v>
      </c>
      <c r="E101" s="18" t="s">
        <v>10</v>
      </c>
      <c r="F101" s="18">
        <v>15</v>
      </c>
      <c r="G101" s="18" t="s">
        <v>10</v>
      </c>
      <c r="H101" s="18" t="s">
        <v>178</v>
      </c>
      <c r="I101" s="18" t="s">
        <v>10</v>
      </c>
      <c r="J101" s="18" t="s">
        <v>4017</v>
      </c>
      <c r="K101" s="1"/>
    </row>
    <row r="102" spans="1:11" ht="36.75" thickBot="1">
      <c r="A102" s="18" t="s">
        <v>4195</v>
      </c>
      <c r="B102" s="18">
        <v>20003632458</v>
      </c>
      <c r="C102" s="18" t="s">
        <v>4196</v>
      </c>
      <c r="D102" s="19">
        <v>45363.759027777778</v>
      </c>
      <c r="E102" s="18" t="s">
        <v>10</v>
      </c>
      <c r="F102" s="18">
        <v>30</v>
      </c>
      <c r="G102" s="18" t="s">
        <v>10</v>
      </c>
      <c r="H102" s="18" t="s">
        <v>178</v>
      </c>
      <c r="I102" s="18" t="s">
        <v>10</v>
      </c>
      <c r="J102" s="18" t="s">
        <v>4017</v>
      </c>
      <c r="K102" s="20"/>
    </row>
    <row r="103" spans="1:11" ht="36.75" thickBot="1">
      <c r="A103" s="18" t="s">
        <v>4197</v>
      </c>
      <c r="B103" s="18">
        <v>20003284170</v>
      </c>
      <c r="C103" s="18" t="s">
        <v>218</v>
      </c>
      <c r="D103" s="19">
        <v>45364.518750000003</v>
      </c>
      <c r="E103" s="18" t="s">
        <v>10</v>
      </c>
      <c r="F103" s="18">
        <v>500</v>
      </c>
      <c r="G103" s="18" t="s">
        <v>10</v>
      </c>
      <c r="H103" s="18" t="s">
        <v>178</v>
      </c>
      <c r="I103" s="18" t="s">
        <v>10</v>
      </c>
      <c r="J103" s="18" t="s">
        <v>4017</v>
      </c>
      <c r="K103" s="20"/>
    </row>
    <row r="104" spans="1:11" ht="36.75" thickBot="1">
      <c r="A104" s="18" t="s">
        <v>4198</v>
      </c>
      <c r="B104" s="18">
        <v>20003284170</v>
      </c>
      <c r="C104" s="18" t="s">
        <v>218</v>
      </c>
      <c r="D104" s="19">
        <v>45364.53125</v>
      </c>
      <c r="E104" s="18" t="s">
        <v>10</v>
      </c>
      <c r="F104" s="18">
        <v>20</v>
      </c>
      <c r="G104" s="18" t="s">
        <v>10</v>
      </c>
      <c r="H104" s="18" t="s">
        <v>178</v>
      </c>
      <c r="I104" s="18" t="s">
        <v>10</v>
      </c>
      <c r="J104" s="18" t="s">
        <v>4017</v>
      </c>
      <c r="K104" s="20"/>
    </row>
    <row r="105" spans="1:11" ht="36.75" thickBot="1">
      <c r="A105" s="18" t="s">
        <v>4199</v>
      </c>
      <c r="B105" s="18">
        <v>20016806790</v>
      </c>
      <c r="C105" s="18" t="s">
        <v>4200</v>
      </c>
      <c r="D105" s="19">
        <v>45364.590277777781</v>
      </c>
      <c r="E105" s="18" t="s">
        <v>10</v>
      </c>
      <c r="F105" s="18">
        <v>375</v>
      </c>
      <c r="G105" s="18" t="s">
        <v>10</v>
      </c>
      <c r="H105" s="18" t="s">
        <v>178</v>
      </c>
      <c r="I105" s="18" t="s">
        <v>10</v>
      </c>
      <c r="J105" s="18" t="s">
        <v>4017</v>
      </c>
      <c r="K105" s="20"/>
    </row>
    <row r="106" spans="1:11" ht="72.75" thickBot="1">
      <c r="A106" s="18" t="s">
        <v>4201</v>
      </c>
      <c r="B106" s="18">
        <v>20025497992</v>
      </c>
      <c r="C106" s="18" t="s">
        <v>4202</v>
      </c>
      <c r="D106" s="19">
        <v>45364.789583333331</v>
      </c>
      <c r="E106" s="18" t="s">
        <v>10</v>
      </c>
      <c r="F106" s="18">
        <v>30</v>
      </c>
      <c r="G106" s="18" t="s">
        <v>10</v>
      </c>
      <c r="H106" s="18" t="s">
        <v>178</v>
      </c>
      <c r="I106" s="18" t="s">
        <v>10</v>
      </c>
      <c r="J106" s="18" t="s">
        <v>4017</v>
      </c>
      <c r="K106" s="20"/>
    </row>
    <row r="107" spans="1:11" ht="36.75" thickBot="1">
      <c r="A107" s="18" t="s">
        <v>4203</v>
      </c>
      <c r="B107" s="18">
        <v>20003221459</v>
      </c>
      <c r="C107" s="18" t="s">
        <v>4204</v>
      </c>
      <c r="D107" s="19">
        <v>45364.958333333336</v>
      </c>
      <c r="E107" s="18" t="s">
        <v>10</v>
      </c>
      <c r="F107" s="18">
        <v>250</v>
      </c>
      <c r="G107" s="18" t="s">
        <v>10</v>
      </c>
      <c r="H107" s="18" t="s">
        <v>178</v>
      </c>
      <c r="I107" s="18" t="s">
        <v>10</v>
      </c>
      <c r="J107" s="18" t="s">
        <v>4017</v>
      </c>
      <c r="K107" s="20"/>
    </row>
    <row r="108" spans="1:11" ht="36.75" thickBot="1">
      <c r="A108" s="18" t="s">
        <v>4205</v>
      </c>
      <c r="B108" s="18">
        <v>20026032349</v>
      </c>
      <c r="C108" s="18" t="s">
        <v>216</v>
      </c>
      <c r="D108" s="19">
        <v>45365.465277777781</v>
      </c>
      <c r="E108" s="18" t="s">
        <v>10</v>
      </c>
      <c r="F108" s="18">
        <v>27</v>
      </c>
      <c r="G108" s="18" t="s">
        <v>10</v>
      </c>
      <c r="H108" s="18" t="s">
        <v>178</v>
      </c>
      <c r="I108" s="18" t="s">
        <v>10</v>
      </c>
      <c r="J108" s="18" t="s">
        <v>4017</v>
      </c>
      <c r="K108" s="20"/>
    </row>
    <row r="109" spans="1:11" ht="36.75" thickBot="1">
      <c r="A109" s="18" t="s">
        <v>4206</v>
      </c>
      <c r="B109" s="18">
        <v>20026938785</v>
      </c>
      <c r="C109" s="18" t="s">
        <v>4207</v>
      </c>
      <c r="D109" s="19">
        <v>45366.432638888888</v>
      </c>
      <c r="E109" s="18" t="s">
        <v>10</v>
      </c>
      <c r="F109" s="18">
        <v>20</v>
      </c>
      <c r="G109" s="18" t="s">
        <v>10</v>
      </c>
      <c r="H109" s="18" t="s">
        <v>178</v>
      </c>
      <c r="I109" s="18" t="s">
        <v>10</v>
      </c>
      <c r="J109" s="18" t="s">
        <v>4017</v>
      </c>
      <c r="K109" s="20"/>
    </row>
    <row r="110" spans="1:11" ht="36.75" thickBot="1">
      <c r="A110" s="18" t="s">
        <v>4208</v>
      </c>
      <c r="B110" s="18">
        <v>20003497621</v>
      </c>
      <c r="C110" s="18" t="s">
        <v>4209</v>
      </c>
      <c r="D110" s="19">
        <v>45366.627083333333</v>
      </c>
      <c r="E110" s="18" t="s">
        <v>10</v>
      </c>
      <c r="F110" s="18">
        <v>600</v>
      </c>
      <c r="G110" s="18" t="s">
        <v>10</v>
      </c>
      <c r="H110" s="18" t="s">
        <v>178</v>
      </c>
      <c r="I110" s="18" t="s">
        <v>10</v>
      </c>
      <c r="J110" s="18" t="s">
        <v>4017</v>
      </c>
      <c r="K110" s="20"/>
    </row>
    <row r="111" spans="1:11" ht="54.75" thickBot="1">
      <c r="A111" s="18" t="s">
        <v>4210</v>
      </c>
      <c r="B111" s="18">
        <v>20026425916</v>
      </c>
      <c r="C111" s="18" t="s">
        <v>4211</v>
      </c>
      <c r="D111" s="19">
        <v>45366.682638888888</v>
      </c>
      <c r="E111" s="18" t="s">
        <v>10</v>
      </c>
      <c r="F111" s="18">
        <v>150</v>
      </c>
      <c r="G111" s="18" t="s">
        <v>10</v>
      </c>
      <c r="H111" s="18" t="s">
        <v>178</v>
      </c>
      <c r="I111" s="18" t="s">
        <v>10</v>
      </c>
      <c r="J111" s="18" t="s">
        <v>4017</v>
      </c>
      <c r="K111" s="20"/>
    </row>
    <row r="112" spans="1:11" ht="36.75" thickBot="1">
      <c r="A112" s="18" t="s">
        <v>4212</v>
      </c>
      <c r="B112" s="18">
        <v>20003117264</v>
      </c>
      <c r="C112" s="18" t="s">
        <v>4213</v>
      </c>
      <c r="D112" s="19">
        <v>45367.692361111112</v>
      </c>
      <c r="E112" s="18" t="s">
        <v>10</v>
      </c>
      <c r="F112" s="18">
        <v>450</v>
      </c>
      <c r="G112" s="18" t="s">
        <v>10</v>
      </c>
      <c r="H112" s="18" t="s">
        <v>178</v>
      </c>
      <c r="I112" s="18" t="s">
        <v>10</v>
      </c>
      <c r="J112" s="18" t="s">
        <v>4017</v>
      </c>
      <c r="K112" s="20"/>
    </row>
    <row r="113" spans="1:11" ht="36.75" thickBot="1">
      <c r="A113" s="18" t="s">
        <v>4214</v>
      </c>
      <c r="B113" s="18">
        <v>20023859100</v>
      </c>
      <c r="C113" s="18" t="s">
        <v>4215</v>
      </c>
      <c r="D113" s="19">
        <v>45367.822222222225</v>
      </c>
      <c r="E113" s="18" t="s">
        <v>10</v>
      </c>
      <c r="F113" s="18">
        <v>120</v>
      </c>
      <c r="G113" s="18" t="s">
        <v>10</v>
      </c>
      <c r="H113" s="18" t="s">
        <v>178</v>
      </c>
      <c r="I113" s="18" t="s">
        <v>10</v>
      </c>
      <c r="J113" s="18" t="s">
        <v>4017</v>
      </c>
      <c r="K113" s="20"/>
    </row>
    <row r="114" spans="1:11" ht="36.75" thickBot="1">
      <c r="A114" s="18" t="s">
        <v>4216</v>
      </c>
      <c r="B114" s="18">
        <v>20003243467</v>
      </c>
      <c r="C114" s="18" t="s">
        <v>4217</v>
      </c>
      <c r="D114" s="19">
        <v>45370.481249999997</v>
      </c>
      <c r="E114" s="18" t="s">
        <v>10</v>
      </c>
      <c r="F114" s="18">
        <v>800</v>
      </c>
      <c r="G114" s="18" t="s">
        <v>10</v>
      </c>
      <c r="H114" s="18" t="s">
        <v>178</v>
      </c>
      <c r="I114" s="18" t="s">
        <v>10</v>
      </c>
      <c r="J114" s="18" t="s">
        <v>4017</v>
      </c>
      <c r="K114" s="20"/>
    </row>
    <row r="115" spans="1:11" ht="36.75" thickBot="1">
      <c r="A115" s="18" t="s">
        <v>4218</v>
      </c>
      <c r="B115" s="18">
        <v>20027310216</v>
      </c>
      <c r="C115" s="18" t="s">
        <v>4219</v>
      </c>
      <c r="D115" s="19">
        <v>45371.918749999997</v>
      </c>
      <c r="E115" s="18" t="s">
        <v>10</v>
      </c>
      <c r="F115" s="18">
        <v>20</v>
      </c>
      <c r="G115" s="18" t="s">
        <v>10</v>
      </c>
      <c r="H115" s="18" t="s">
        <v>178</v>
      </c>
      <c r="I115" s="18" t="s">
        <v>10</v>
      </c>
      <c r="J115" s="18" t="s">
        <v>4017</v>
      </c>
      <c r="K115" s="20"/>
    </row>
    <row r="116" spans="1:11" ht="36.75" thickBot="1">
      <c r="A116" s="18" t="s">
        <v>4220</v>
      </c>
      <c r="B116" s="18">
        <v>20019967609</v>
      </c>
      <c r="C116" s="18" t="s">
        <v>216</v>
      </c>
      <c r="D116" s="19">
        <v>45372.025000000001</v>
      </c>
      <c r="E116" s="18" t="s">
        <v>10</v>
      </c>
      <c r="F116" s="18">
        <v>27</v>
      </c>
      <c r="G116" s="18" t="s">
        <v>10</v>
      </c>
      <c r="H116" s="18" t="s">
        <v>178</v>
      </c>
      <c r="I116" s="18" t="s">
        <v>10</v>
      </c>
      <c r="J116" s="18" t="s">
        <v>4017</v>
      </c>
      <c r="K116" s="20"/>
    </row>
    <row r="117" spans="1:11" ht="36.75" thickBot="1">
      <c r="A117" s="18" t="s">
        <v>4221</v>
      </c>
      <c r="B117" s="18">
        <v>20020934644</v>
      </c>
      <c r="C117" s="18" t="s">
        <v>216</v>
      </c>
      <c r="D117" s="19">
        <v>45372.0625</v>
      </c>
      <c r="E117" s="18" t="s">
        <v>10</v>
      </c>
      <c r="F117" s="18">
        <v>27</v>
      </c>
      <c r="G117" s="18" t="s">
        <v>10</v>
      </c>
      <c r="H117" s="18" t="s">
        <v>178</v>
      </c>
      <c r="I117" s="18" t="s">
        <v>10</v>
      </c>
      <c r="J117" s="18" t="s">
        <v>4017</v>
      </c>
      <c r="K117" s="20"/>
    </row>
    <row r="118" spans="1:11" ht="36.75" thickBot="1">
      <c r="A118" s="18" t="s">
        <v>4222</v>
      </c>
      <c r="B118" s="18">
        <v>20026955839</v>
      </c>
      <c r="C118" s="18" t="s">
        <v>4223</v>
      </c>
      <c r="D118" s="19">
        <v>45372.680555555555</v>
      </c>
      <c r="E118" s="18" t="s">
        <v>10</v>
      </c>
      <c r="F118" s="18">
        <v>100</v>
      </c>
      <c r="G118" s="18" t="s">
        <v>10</v>
      </c>
      <c r="H118" s="18" t="s">
        <v>178</v>
      </c>
      <c r="I118" s="18" t="s">
        <v>10</v>
      </c>
      <c r="J118" s="18" t="s">
        <v>4017</v>
      </c>
      <c r="K118" s="20"/>
    </row>
    <row r="119" spans="1:11" ht="36.75" thickBot="1">
      <c r="A119" s="18" t="s">
        <v>4224</v>
      </c>
      <c r="B119" s="18">
        <v>20003555856</v>
      </c>
      <c r="C119" s="18" t="s">
        <v>4225</v>
      </c>
      <c r="D119" s="19">
        <v>45372.704861111109</v>
      </c>
      <c r="E119" s="18" t="s">
        <v>10</v>
      </c>
      <c r="F119" s="18">
        <v>50</v>
      </c>
      <c r="G119" s="18" t="s">
        <v>10</v>
      </c>
      <c r="H119" s="18" t="s">
        <v>178</v>
      </c>
      <c r="I119" s="18" t="s">
        <v>10</v>
      </c>
      <c r="J119" s="18" t="s">
        <v>4017</v>
      </c>
      <c r="K119" s="20"/>
    </row>
    <row r="120" spans="1:11" ht="36.75" thickBot="1">
      <c r="A120" s="18" t="s">
        <v>4226</v>
      </c>
      <c r="B120" s="18">
        <v>20020970104</v>
      </c>
      <c r="C120" s="18" t="s">
        <v>217</v>
      </c>
      <c r="D120" s="19">
        <v>45372.877083333333</v>
      </c>
      <c r="E120" s="18" t="s">
        <v>10</v>
      </c>
      <c r="F120" s="18">
        <v>12</v>
      </c>
      <c r="G120" s="18" t="s">
        <v>10</v>
      </c>
      <c r="H120" s="18" t="s">
        <v>178</v>
      </c>
      <c r="I120" s="18" t="s">
        <v>10</v>
      </c>
      <c r="J120" s="18" t="s">
        <v>4017</v>
      </c>
      <c r="K120" s="20"/>
    </row>
    <row r="121" spans="1:11" ht="36.75" thickBot="1">
      <c r="A121" s="18" t="s">
        <v>4227</v>
      </c>
      <c r="B121" s="18">
        <v>20017914408</v>
      </c>
      <c r="C121" s="18" t="s">
        <v>4228</v>
      </c>
      <c r="D121" s="19">
        <v>45373.365972222222</v>
      </c>
      <c r="E121" s="18" t="s">
        <v>10</v>
      </c>
      <c r="F121" s="18">
        <v>50</v>
      </c>
      <c r="G121" s="18" t="s">
        <v>10</v>
      </c>
      <c r="H121" s="18" t="s">
        <v>178</v>
      </c>
      <c r="I121" s="18" t="s">
        <v>10</v>
      </c>
      <c r="J121" s="18" t="s">
        <v>4017</v>
      </c>
      <c r="K121" s="20"/>
    </row>
    <row r="122" spans="1:11" ht="36.75" thickBot="1">
      <c r="A122" s="18" t="s">
        <v>4229</v>
      </c>
      <c r="B122" s="18">
        <v>20023782118</v>
      </c>
      <c r="C122" s="18" t="s">
        <v>256</v>
      </c>
      <c r="D122" s="19">
        <v>45373.418055555558</v>
      </c>
      <c r="E122" s="18" t="s">
        <v>10</v>
      </c>
      <c r="F122" s="18">
        <v>4.5999999999999996</v>
      </c>
      <c r="G122" s="18" t="s">
        <v>10</v>
      </c>
      <c r="H122" s="18" t="s">
        <v>178</v>
      </c>
      <c r="I122" s="18" t="s">
        <v>10</v>
      </c>
      <c r="J122" s="18" t="s">
        <v>4017</v>
      </c>
      <c r="K122" s="20"/>
    </row>
    <row r="123" spans="1:11" ht="36.75" thickBot="1">
      <c r="A123" s="18" t="s">
        <v>4230</v>
      </c>
      <c r="B123" s="18">
        <v>20026819749</v>
      </c>
      <c r="C123" s="18" t="s">
        <v>221</v>
      </c>
      <c r="D123" s="19">
        <v>45317.634027777778</v>
      </c>
      <c r="E123" s="19">
        <v>45373.658333333333</v>
      </c>
      <c r="F123" s="18">
        <v>15</v>
      </c>
      <c r="G123" s="18" t="s">
        <v>10</v>
      </c>
      <c r="H123" s="18" t="s">
        <v>178</v>
      </c>
      <c r="I123" s="18" t="s">
        <v>10</v>
      </c>
      <c r="J123" s="18" t="s">
        <v>4017</v>
      </c>
      <c r="K123" s="20"/>
    </row>
    <row r="124" spans="1:11" ht="36.75" thickBot="1">
      <c r="A124" s="18" t="s">
        <v>4231</v>
      </c>
      <c r="B124" s="18">
        <v>20025749189</v>
      </c>
      <c r="C124" s="18" t="s">
        <v>4232</v>
      </c>
      <c r="D124" s="19">
        <v>45308.552083333336</v>
      </c>
      <c r="E124" s="19">
        <v>45374.425000000003</v>
      </c>
      <c r="F124" s="18">
        <v>15</v>
      </c>
      <c r="G124" s="18" t="s">
        <v>10</v>
      </c>
      <c r="H124" s="18" t="s">
        <v>178</v>
      </c>
      <c r="I124" s="18" t="s">
        <v>10</v>
      </c>
      <c r="J124" s="18" t="s">
        <v>4017</v>
      </c>
      <c r="K124" s="20"/>
    </row>
    <row r="125" spans="1:11" ht="36.75" thickBot="1">
      <c r="A125" s="18" t="s">
        <v>4233</v>
      </c>
      <c r="B125" s="18">
        <v>980202000347</v>
      </c>
      <c r="C125" s="18" t="s">
        <v>4234</v>
      </c>
      <c r="D125" s="19">
        <v>45374.558333333334</v>
      </c>
      <c r="E125" s="18" t="s">
        <v>10</v>
      </c>
      <c r="F125" s="18">
        <v>567</v>
      </c>
      <c r="G125" s="18" t="s">
        <v>10</v>
      </c>
      <c r="H125" s="18" t="s">
        <v>178</v>
      </c>
      <c r="I125" s="18" t="s">
        <v>10</v>
      </c>
      <c r="J125" s="18" t="s">
        <v>4017</v>
      </c>
      <c r="K125" s="20"/>
    </row>
    <row r="126" spans="1:11" ht="36.75" thickBot="1">
      <c r="A126" s="18" t="s">
        <v>4235</v>
      </c>
      <c r="B126" s="18">
        <v>20025452895</v>
      </c>
      <c r="C126" s="18" t="s">
        <v>4236</v>
      </c>
      <c r="D126" s="19">
        <v>45376.602083333331</v>
      </c>
      <c r="E126" s="18" t="s">
        <v>10</v>
      </c>
      <c r="F126" s="18">
        <v>250</v>
      </c>
      <c r="G126" s="18" t="s">
        <v>10</v>
      </c>
      <c r="H126" s="18" t="s">
        <v>178</v>
      </c>
      <c r="I126" s="18" t="s">
        <v>10</v>
      </c>
      <c r="J126" s="18" t="s">
        <v>4017</v>
      </c>
      <c r="K126" s="20"/>
    </row>
    <row r="127" spans="1:11" ht="36.75" thickBot="1">
      <c r="A127" s="18" t="s">
        <v>4237</v>
      </c>
      <c r="B127" s="18">
        <v>20020924519</v>
      </c>
      <c r="C127" s="18" t="s">
        <v>216</v>
      </c>
      <c r="D127" s="19">
        <v>45376.731944444444</v>
      </c>
      <c r="E127" s="18" t="s">
        <v>10</v>
      </c>
      <c r="F127" s="18">
        <v>27</v>
      </c>
      <c r="G127" s="18" t="s">
        <v>10</v>
      </c>
      <c r="H127" s="18" t="s">
        <v>178</v>
      </c>
      <c r="I127" s="18" t="s">
        <v>10</v>
      </c>
      <c r="J127" s="18" t="s">
        <v>4017</v>
      </c>
      <c r="K127" s="20"/>
    </row>
    <row r="128" spans="1:11" ht="36.75" thickBot="1">
      <c r="A128" s="18" t="s">
        <v>4238</v>
      </c>
      <c r="B128" s="18">
        <v>20025912302</v>
      </c>
      <c r="C128" s="18" t="s">
        <v>4239</v>
      </c>
      <c r="D128" s="19">
        <v>45376.879861111112</v>
      </c>
      <c r="E128" s="18" t="s">
        <v>10</v>
      </c>
      <c r="F128" s="18">
        <v>30</v>
      </c>
      <c r="G128" s="18" t="s">
        <v>10</v>
      </c>
      <c r="H128" s="18" t="s">
        <v>178</v>
      </c>
      <c r="I128" s="18" t="s">
        <v>10</v>
      </c>
      <c r="J128" s="18" t="s">
        <v>4017</v>
      </c>
      <c r="K128" s="20"/>
    </row>
    <row r="129" spans="1:11" ht="36.75" thickBot="1">
      <c r="A129" s="18" t="s">
        <v>4240</v>
      </c>
      <c r="B129" s="18">
        <v>20003006868</v>
      </c>
      <c r="C129" s="18" t="s">
        <v>4241</v>
      </c>
      <c r="D129" s="19">
        <v>45378.603472222225</v>
      </c>
      <c r="E129" s="18" t="s">
        <v>10</v>
      </c>
      <c r="F129" s="18">
        <v>30</v>
      </c>
      <c r="G129" s="18" t="s">
        <v>10</v>
      </c>
      <c r="H129" s="18" t="s">
        <v>178</v>
      </c>
      <c r="I129" s="18" t="s">
        <v>10</v>
      </c>
      <c r="J129" s="18" t="s">
        <v>4017</v>
      </c>
      <c r="K129" s="20"/>
    </row>
    <row r="130" spans="1:11" ht="36.75" thickBot="1">
      <c r="A130" s="18" t="s">
        <v>4242</v>
      </c>
      <c r="B130" s="18">
        <v>20019647602</v>
      </c>
      <c r="C130" s="18" t="s">
        <v>4243</v>
      </c>
      <c r="D130" s="19">
        <v>45378.603472222225</v>
      </c>
      <c r="E130" s="18" t="s">
        <v>10</v>
      </c>
      <c r="F130" s="18">
        <v>190</v>
      </c>
      <c r="G130" s="18" t="s">
        <v>10</v>
      </c>
      <c r="H130" s="18" t="s">
        <v>178</v>
      </c>
      <c r="I130" s="18" t="s">
        <v>10</v>
      </c>
      <c r="J130" s="18" t="s">
        <v>4017</v>
      </c>
      <c r="K130" s="20"/>
    </row>
    <row r="131" spans="1:11" ht="36.75" thickBot="1">
      <c r="A131" s="18" t="s">
        <v>4244</v>
      </c>
      <c r="B131" s="18">
        <v>20025105256</v>
      </c>
      <c r="C131" s="18" t="s">
        <v>4245</v>
      </c>
      <c r="D131" s="19">
        <v>45379.490972222222</v>
      </c>
      <c r="E131" s="18" t="s">
        <v>10</v>
      </c>
      <c r="F131" s="18">
        <v>50</v>
      </c>
      <c r="G131" s="18" t="s">
        <v>10</v>
      </c>
      <c r="H131" s="18" t="s">
        <v>178</v>
      </c>
      <c r="I131" s="18" t="s">
        <v>10</v>
      </c>
      <c r="J131" s="18" t="s">
        <v>4017</v>
      </c>
      <c r="K131" s="20"/>
    </row>
    <row r="132" spans="1:11" ht="36.75" thickBot="1">
      <c r="A132" s="18" t="s">
        <v>4246</v>
      </c>
      <c r="B132" s="18">
        <v>20018122147</v>
      </c>
      <c r="C132" s="18" t="s">
        <v>4247</v>
      </c>
      <c r="D132" s="19">
        <v>45384.737500000003</v>
      </c>
      <c r="E132" s="18" t="s">
        <v>10</v>
      </c>
      <c r="F132" s="18">
        <v>400</v>
      </c>
      <c r="G132" s="18" t="s">
        <v>10</v>
      </c>
      <c r="H132" s="18" t="s">
        <v>178</v>
      </c>
      <c r="I132" s="18" t="s">
        <v>10</v>
      </c>
      <c r="J132" s="18" t="s">
        <v>4017</v>
      </c>
      <c r="K132" s="20"/>
    </row>
    <row r="133" spans="1:11" ht="72.75" thickBot="1">
      <c r="A133" s="18" t="s">
        <v>4248</v>
      </c>
      <c r="B133" s="18">
        <v>20027127200</v>
      </c>
      <c r="C133" s="18" t="s">
        <v>4249</v>
      </c>
      <c r="D133" s="19">
        <v>45384.746527777781</v>
      </c>
      <c r="E133" s="18" t="s">
        <v>10</v>
      </c>
      <c r="F133" s="18">
        <v>50</v>
      </c>
      <c r="G133" s="18" t="s">
        <v>10</v>
      </c>
      <c r="H133" s="18" t="s">
        <v>178</v>
      </c>
      <c r="I133" s="18" t="s">
        <v>10</v>
      </c>
      <c r="J133" s="18" t="s">
        <v>4017</v>
      </c>
      <c r="K133" s="20"/>
    </row>
    <row r="134" spans="1:11" ht="36.75" thickBot="1">
      <c r="A134" s="18" t="s">
        <v>4250</v>
      </c>
      <c r="B134" s="18">
        <v>200022459079</v>
      </c>
      <c r="C134" s="18" t="s">
        <v>4251</v>
      </c>
      <c r="D134" s="19">
        <v>45385.676388888889</v>
      </c>
      <c r="E134" s="18" t="s">
        <v>10</v>
      </c>
      <c r="F134" s="18">
        <v>110</v>
      </c>
      <c r="G134" s="18" t="s">
        <v>10</v>
      </c>
      <c r="H134" s="18" t="s">
        <v>178</v>
      </c>
      <c r="I134" s="18" t="s">
        <v>10</v>
      </c>
      <c r="J134" s="18" t="s">
        <v>4017</v>
      </c>
      <c r="K134" s="20"/>
    </row>
    <row r="135" spans="1:11" ht="36.75" thickBot="1">
      <c r="A135" s="18" t="s">
        <v>4252</v>
      </c>
      <c r="B135" s="18">
        <v>20003203963</v>
      </c>
      <c r="C135" s="18" t="s">
        <v>4021</v>
      </c>
      <c r="D135" s="19">
        <v>45386.427777777775</v>
      </c>
      <c r="E135" s="18" t="s">
        <v>10</v>
      </c>
      <c r="F135" s="18">
        <v>390</v>
      </c>
      <c r="G135" s="18" t="s">
        <v>10</v>
      </c>
      <c r="H135" s="18" t="s">
        <v>178</v>
      </c>
      <c r="I135" s="18" t="s">
        <v>10</v>
      </c>
      <c r="J135" s="18" t="s">
        <v>4017</v>
      </c>
      <c r="K135" s="20"/>
    </row>
    <row r="136" spans="1:11" ht="36.75" thickBot="1">
      <c r="A136" s="18" t="s">
        <v>4253</v>
      </c>
      <c r="B136" s="18">
        <v>20003000058</v>
      </c>
      <c r="C136" s="18" t="s">
        <v>4254</v>
      </c>
      <c r="D136" s="19">
        <v>45386.651388888888</v>
      </c>
      <c r="E136" s="18" t="s">
        <v>10</v>
      </c>
      <c r="F136" s="18">
        <v>800</v>
      </c>
      <c r="G136" s="18" t="s">
        <v>10</v>
      </c>
      <c r="H136" s="18" t="s">
        <v>178</v>
      </c>
      <c r="I136" s="18" t="s">
        <v>10</v>
      </c>
      <c r="J136" s="18" t="s">
        <v>4017</v>
      </c>
      <c r="K136" s="20"/>
    </row>
    <row r="137" spans="1:11" ht="36.75" thickBot="1">
      <c r="A137" s="18" t="s">
        <v>4255</v>
      </c>
      <c r="B137" s="18">
        <v>20003108483</v>
      </c>
      <c r="C137" s="18" t="s">
        <v>4256</v>
      </c>
      <c r="D137" s="19">
        <v>45391.468055555553</v>
      </c>
      <c r="E137" s="18" t="s">
        <v>10</v>
      </c>
      <c r="F137" s="18">
        <v>100</v>
      </c>
      <c r="G137" s="18" t="s">
        <v>10</v>
      </c>
      <c r="H137" s="18" t="s">
        <v>178</v>
      </c>
      <c r="I137" s="18" t="s">
        <v>10</v>
      </c>
      <c r="J137" s="18" t="s">
        <v>4017</v>
      </c>
      <c r="K137" s="20"/>
    </row>
    <row r="138" spans="1:11" ht="36.75" thickBot="1">
      <c r="A138" s="18" t="s">
        <v>4257</v>
      </c>
      <c r="B138" s="18">
        <v>20019554269</v>
      </c>
      <c r="C138" s="18" t="s">
        <v>4258</v>
      </c>
      <c r="D138" s="19">
        <v>45391.480555555558</v>
      </c>
      <c r="E138" s="18" t="s">
        <v>10</v>
      </c>
      <c r="F138" s="18">
        <v>150</v>
      </c>
      <c r="G138" s="18" t="s">
        <v>10</v>
      </c>
      <c r="H138" s="18" t="s">
        <v>178</v>
      </c>
      <c r="I138" s="18" t="s">
        <v>10</v>
      </c>
      <c r="J138" s="18" t="s">
        <v>4017</v>
      </c>
      <c r="K138" s="20"/>
    </row>
    <row r="139" spans="1:11" ht="36.75" thickBot="1">
      <c r="A139" s="18" t="s">
        <v>4259</v>
      </c>
      <c r="B139" s="18">
        <v>20003357862</v>
      </c>
      <c r="C139" s="18" t="s">
        <v>4260</v>
      </c>
      <c r="D139" s="19">
        <v>45391.495833333334</v>
      </c>
      <c r="E139" s="18" t="s">
        <v>10</v>
      </c>
      <c r="F139" s="18">
        <v>50</v>
      </c>
      <c r="G139" s="18" t="s">
        <v>10</v>
      </c>
      <c r="H139" s="18" t="s">
        <v>178</v>
      </c>
      <c r="I139" s="18" t="s">
        <v>10</v>
      </c>
      <c r="J139" s="18" t="s">
        <v>4017</v>
      </c>
      <c r="K139" s="20"/>
    </row>
    <row r="140" spans="1:11" ht="36.75" thickBot="1">
      <c r="A140" s="18" t="s">
        <v>4261</v>
      </c>
      <c r="B140" s="18">
        <v>20026739668</v>
      </c>
      <c r="C140" s="18" t="s">
        <v>4260</v>
      </c>
      <c r="D140" s="19">
        <v>45391.501388888886</v>
      </c>
      <c r="E140" s="18" t="s">
        <v>10</v>
      </c>
      <c r="F140" s="18">
        <v>200</v>
      </c>
      <c r="G140" s="18" t="s">
        <v>10</v>
      </c>
      <c r="H140" s="18" t="s">
        <v>178</v>
      </c>
      <c r="I140" s="18" t="s">
        <v>10</v>
      </c>
      <c r="J140" s="18" t="s">
        <v>4017</v>
      </c>
      <c r="K140" s="20"/>
    </row>
    <row r="141" spans="1:11" ht="36.75" thickBot="1">
      <c r="A141" s="18" t="s">
        <v>4262</v>
      </c>
      <c r="B141" s="18">
        <v>20003337969</v>
      </c>
      <c r="C141" s="18" t="s">
        <v>4051</v>
      </c>
      <c r="D141" s="19">
        <v>45391.581250000003</v>
      </c>
      <c r="E141" s="18" t="s">
        <v>10</v>
      </c>
      <c r="F141" s="18">
        <v>300</v>
      </c>
      <c r="G141" s="18" t="s">
        <v>10</v>
      </c>
      <c r="H141" s="18" t="s">
        <v>178</v>
      </c>
      <c r="I141" s="18" t="s">
        <v>10</v>
      </c>
      <c r="J141" s="18" t="s">
        <v>4017</v>
      </c>
      <c r="K141" s="20"/>
    </row>
    <row r="142" spans="1:11" ht="36.75" thickBot="1">
      <c r="A142" s="18" t="s">
        <v>4263</v>
      </c>
      <c r="B142" s="18">
        <v>20023869937</v>
      </c>
      <c r="C142" s="18" t="s">
        <v>4264</v>
      </c>
      <c r="D142" s="19">
        <v>45391.902083333334</v>
      </c>
      <c r="E142" s="18" t="s">
        <v>10</v>
      </c>
      <c r="F142" s="18">
        <v>50</v>
      </c>
      <c r="G142" s="18" t="s">
        <v>10</v>
      </c>
      <c r="H142" s="18" t="s">
        <v>178</v>
      </c>
      <c r="I142" s="18" t="s">
        <v>10</v>
      </c>
      <c r="J142" s="18" t="s">
        <v>4017</v>
      </c>
      <c r="K142" s="20"/>
    </row>
    <row r="143" spans="1:11" ht="36.75" thickBot="1">
      <c r="A143" s="18" t="s">
        <v>4265</v>
      </c>
      <c r="B143" s="18">
        <v>20026934040</v>
      </c>
      <c r="C143" s="18" t="s">
        <v>4266</v>
      </c>
      <c r="D143" s="19">
        <v>45392.460416666669</v>
      </c>
      <c r="E143" s="18" t="s">
        <v>10</v>
      </c>
      <c r="F143" s="18">
        <v>50</v>
      </c>
      <c r="G143" s="18" t="s">
        <v>10</v>
      </c>
      <c r="H143" s="18" t="s">
        <v>178</v>
      </c>
      <c r="I143" s="18" t="s">
        <v>10</v>
      </c>
      <c r="J143" s="18" t="s">
        <v>4017</v>
      </c>
      <c r="K143" s="20"/>
    </row>
    <row r="144" spans="1:11" ht="54.75" thickBot="1">
      <c r="A144" s="18" t="s">
        <v>4267</v>
      </c>
      <c r="B144" s="18">
        <v>20019670572</v>
      </c>
      <c r="C144" s="18" t="s">
        <v>4268</v>
      </c>
      <c r="D144" s="19">
        <v>45393.568749999999</v>
      </c>
      <c r="E144" s="18" t="s">
        <v>10</v>
      </c>
      <c r="F144" s="18">
        <v>400</v>
      </c>
      <c r="G144" s="18" t="s">
        <v>10</v>
      </c>
      <c r="H144" s="18" t="s">
        <v>178</v>
      </c>
      <c r="I144" s="18" t="s">
        <v>10</v>
      </c>
      <c r="J144" s="18" t="s">
        <v>4017</v>
      </c>
      <c r="K144" s="20"/>
    </row>
    <row r="145" spans="1:11" ht="36.75" thickBot="1">
      <c r="A145" s="18" t="s">
        <v>4269</v>
      </c>
      <c r="B145" s="18">
        <v>20027008793</v>
      </c>
      <c r="C145" s="18" t="s">
        <v>4270</v>
      </c>
      <c r="D145" s="19">
        <v>45401.10833333333</v>
      </c>
      <c r="E145" s="18" t="s">
        <v>10</v>
      </c>
      <c r="F145" s="18">
        <v>60</v>
      </c>
      <c r="G145" s="18" t="s">
        <v>10</v>
      </c>
      <c r="H145" s="18" t="s">
        <v>178</v>
      </c>
      <c r="I145" s="18" t="s">
        <v>10</v>
      </c>
      <c r="J145" s="18" t="s">
        <v>4017</v>
      </c>
      <c r="K145" s="20"/>
    </row>
    <row r="146" spans="1:11" ht="36.75" thickBot="1">
      <c r="A146" s="18" t="s">
        <v>4271</v>
      </c>
      <c r="B146" s="18">
        <v>20002869877</v>
      </c>
      <c r="C146" s="18" t="s">
        <v>4272</v>
      </c>
      <c r="D146" s="19">
        <v>45405.459027777775</v>
      </c>
      <c r="E146" s="18" t="s">
        <v>10</v>
      </c>
      <c r="F146" s="18">
        <v>150</v>
      </c>
      <c r="G146" s="18" t="s">
        <v>10</v>
      </c>
      <c r="H146" s="18" t="s">
        <v>178</v>
      </c>
      <c r="I146" s="18" t="s">
        <v>10</v>
      </c>
      <c r="J146" s="18" t="s">
        <v>4017</v>
      </c>
      <c r="K146" s="20"/>
    </row>
    <row r="147" spans="1:11" ht="36.75" thickBot="1">
      <c r="A147" s="18" t="s">
        <v>4273</v>
      </c>
      <c r="B147" s="18">
        <v>20003109025</v>
      </c>
      <c r="C147" s="18" t="s">
        <v>4274</v>
      </c>
      <c r="D147" s="19">
        <v>45405.727083333331</v>
      </c>
      <c r="E147" s="18" t="s">
        <v>10</v>
      </c>
      <c r="F147" s="18">
        <v>125</v>
      </c>
      <c r="G147" s="18" t="s">
        <v>10</v>
      </c>
      <c r="H147" s="18" t="s">
        <v>178</v>
      </c>
      <c r="I147" s="18" t="s">
        <v>10</v>
      </c>
      <c r="J147" s="18" t="s">
        <v>4017</v>
      </c>
      <c r="K147" s="20"/>
    </row>
    <row r="148" spans="1:11" ht="36.75" thickBot="1">
      <c r="A148" s="18" t="s">
        <v>4275</v>
      </c>
      <c r="B148" s="18">
        <v>20022269044</v>
      </c>
      <c r="C148" s="18" t="s">
        <v>4276</v>
      </c>
      <c r="D148" s="19">
        <v>45406.645138888889</v>
      </c>
      <c r="E148" s="18" t="s">
        <v>10</v>
      </c>
      <c r="F148" s="18">
        <v>30</v>
      </c>
      <c r="G148" s="18" t="s">
        <v>10</v>
      </c>
      <c r="H148" s="18" t="s">
        <v>178</v>
      </c>
      <c r="I148" s="18" t="s">
        <v>10</v>
      </c>
      <c r="J148" s="18" t="s">
        <v>4017</v>
      </c>
      <c r="K148" s="20"/>
    </row>
    <row r="149" spans="1:11" ht="36.75" thickBot="1">
      <c r="A149" s="18" t="s">
        <v>4277</v>
      </c>
      <c r="B149" s="18">
        <v>20002918553</v>
      </c>
      <c r="C149" s="18" t="s">
        <v>4278</v>
      </c>
      <c r="D149" s="19">
        <v>45407.493055555555</v>
      </c>
      <c r="E149" s="18" t="s">
        <v>10</v>
      </c>
      <c r="F149" s="18">
        <v>800</v>
      </c>
      <c r="G149" s="18" t="s">
        <v>10</v>
      </c>
      <c r="H149" s="18" t="s">
        <v>178</v>
      </c>
      <c r="I149" s="18" t="s">
        <v>10</v>
      </c>
      <c r="J149" s="18" t="s">
        <v>4017</v>
      </c>
      <c r="K149" s="20"/>
    </row>
    <row r="150" spans="1:11" ht="36.75" thickBot="1">
      <c r="A150" s="18" t="s">
        <v>4279</v>
      </c>
      <c r="B150" s="18">
        <v>20019268710</v>
      </c>
      <c r="C150" s="18" t="s">
        <v>4280</v>
      </c>
      <c r="D150" s="19">
        <v>45407.667361111111</v>
      </c>
      <c r="E150" s="18" t="s">
        <v>10</v>
      </c>
      <c r="F150" s="18">
        <v>600</v>
      </c>
      <c r="G150" s="18" t="s">
        <v>10</v>
      </c>
      <c r="H150" s="18" t="s">
        <v>178</v>
      </c>
      <c r="I150" s="18" t="s">
        <v>10</v>
      </c>
      <c r="J150" s="18" t="s">
        <v>4017</v>
      </c>
      <c r="K150" s="20"/>
    </row>
    <row r="151" spans="1:11" ht="36.75" thickBot="1">
      <c r="A151" s="18" t="s">
        <v>4281</v>
      </c>
      <c r="B151" s="18">
        <v>20003009403</v>
      </c>
      <c r="C151" s="18" t="s">
        <v>4282</v>
      </c>
      <c r="D151" s="19">
        <v>45407.729166666664</v>
      </c>
      <c r="E151" s="18" t="s">
        <v>10</v>
      </c>
      <c r="F151" s="18">
        <v>30</v>
      </c>
      <c r="G151" s="18" t="s">
        <v>10</v>
      </c>
      <c r="H151" s="18" t="s">
        <v>178</v>
      </c>
      <c r="I151" s="18" t="s">
        <v>10</v>
      </c>
      <c r="J151" s="18" t="s">
        <v>4017</v>
      </c>
      <c r="K151" s="20"/>
    </row>
    <row r="152" spans="1:11" ht="36.75" thickBot="1">
      <c r="A152" s="18" t="s">
        <v>4283</v>
      </c>
      <c r="B152" s="18">
        <v>20003085850</v>
      </c>
      <c r="C152" s="18" t="s">
        <v>4284</v>
      </c>
      <c r="D152" s="19">
        <v>45408.699305555558</v>
      </c>
      <c r="E152" s="18" t="s">
        <v>10</v>
      </c>
      <c r="F152" s="18">
        <v>100</v>
      </c>
      <c r="G152" s="18" t="s">
        <v>10</v>
      </c>
      <c r="H152" s="18" t="s">
        <v>178</v>
      </c>
      <c r="I152" s="18" t="s">
        <v>10</v>
      </c>
      <c r="J152" s="18" t="s">
        <v>4017</v>
      </c>
      <c r="K152" s="20"/>
    </row>
    <row r="153" spans="1:11" ht="36.75" thickBot="1">
      <c r="A153" s="18" t="s">
        <v>4285</v>
      </c>
      <c r="B153" s="18">
        <v>20024292067</v>
      </c>
      <c r="C153" s="18" t="s">
        <v>4286</v>
      </c>
      <c r="D153" s="19">
        <v>45409.679166666669</v>
      </c>
      <c r="E153" s="18" t="s">
        <v>10</v>
      </c>
      <c r="F153" s="18">
        <v>36</v>
      </c>
      <c r="G153" s="18" t="s">
        <v>10</v>
      </c>
      <c r="H153" s="18" t="s">
        <v>178</v>
      </c>
      <c r="I153" s="18" t="s">
        <v>10</v>
      </c>
      <c r="J153" s="18" t="s">
        <v>4017</v>
      </c>
      <c r="K153" s="20"/>
    </row>
    <row r="154" spans="1:11" ht="36.75" thickBot="1">
      <c r="A154" s="18" t="s">
        <v>4287</v>
      </c>
      <c r="B154" s="18">
        <v>20003477751</v>
      </c>
      <c r="C154" s="18" t="s">
        <v>4288</v>
      </c>
      <c r="D154" s="19">
        <v>45411.553472222222</v>
      </c>
      <c r="E154" s="18" t="s">
        <v>10</v>
      </c>
      <c r="F154" s="18">
        <v>300</v>
      </c>
      <c r="G154" s="18" t="s">
        <v>10</v>
      </c>
      <c r="H154" s="18" t="s">
        <v>178</v>
      </c>
      <c r="I154" s="18" t="s">
        <v>10</v>
      </c>
      <c r="J154" s="18" t="s">
        <v>4017</v>
      </c>
      <c r="K154" s="20"/>
    </row>
    <row r="155" spans="1:11" ht="36.75" thickBot="1">
      <c r="A155" s="18" t="s">
        <v>4289</v>
      </c>
      <c r="B155" s="18">
        <v>20003477724</v>
      </c>
      <c r="C155" s="18" t="s">
        <v>4288</v>
      </c>
      <c r="D155" s="19">
        <v>45411.584027777775</v>
      </c>
      <c r="E155" s="18" t="s">
        <v>10</v>
      </c>
      <c r="F155" s="18">
        <v>175</v>
      </c>
      <c r="G155" s="18" t="s">
        <v>10</v>
      </c>
      <c r="H155" s="18" t="s">
        <v>178</v>
      </c>
      <c r="I155" s="18" t="s">
        <v>10</v>
      </c>
      <c r="J155" s="18" t="s">
        <v>4017</v>
      </c>
      <c r="K155" s="20"/>
    </row>
    <row r="156" spans="1:11" ht="36.75" thickBot="1">
      <c r="A156" s="18" t="s">
        <v>4290</v>
      </c>
      <c r="B156" s="18">
        <v>20025617599</v>
      </c>
      <c r="C156" s="18" t="s">
        <v>4291</v>
      </c>
      <c r="D156" s="19">
        <v>45338.504166666666</v>
      </c>
      <c r="E156" s="19">
        <v>45412.459722222222</v>
      </c>
      <c r="F156" s="18">
        <v>100</v>
      </c>
      <c r="G156" s="18" t="s">
        <v>10</v>
      </c>
      <c r="H156" s="18" t="s">
        <v>178</v>
      </c>
      <c r="I156" s="18" t="s">
        <v>10</v>
      </c>
      <c r="J156" s="18" t="s">
        <v>4017</v>
      </c>
      <c r="K156" s="20"/>
    </row>
    <row r="157" spans="1:11" ht="36.75" thickBot="1">
      <c r="A157" s="18" t="s">
        <v>4292</v>
      </c>
      <c r="B157" s="18">
        <v>20003338223</v>
      </c>
      <c r="C157" s="18" t="s">
        <v>4051</v>
      </c>
      <c r="D157" s="19">
        <v>45414.540972222225</v>
      </c>
      <c r="E157" s="18" t="s">
        <v>10</v>
      </c>
      <c r="F157" s="117">
        <v>1000</v>
      </c>
      <c r="G157" s="18" t="s">
        <v>10</v>
      </c>
      <c r="H157" s="18" t="s">
        <v>178</v>
      </c>
      <c r="I157" s="18" t="s">
        <v>10</v>
      </c>
      <c r="J157" s="18" t="s">
        <v>4017</v>
      </c>
      <c r="K157" s="20"/>
    </row>
    <row r="158" spans="1:11" ht="36.75" thickBot="1">
      <c r="A158" s="18" t="s">
        <v>4293</v>
      </c>
      <c r="B158" s="18">
        <v>20003477698</v>
      </c>
      <c r="C158" s="18" t="s">
        <v>4288</v>
      </c>
      <c r="D158" s="19">
        <v>45415.429166666669</v>
      </c>
      <c r="E158" s="18" t="s">
        <v>10</v>
      </c>
      <c r="F158" s="18">
        <v>375</v>
      </c>
      <c r="G158" s="18" t="s">
        <v>10</v>
      </c>
      <c r="H158" s="18" t="s">
        <v>178</v>
      </c>
      <c r="I158" s="18" t="s">
        <v>10</v>
      </c>
      <c r="J158" s="18" t="s">
        <v>4017</v>
      </c>
      <c r="K158" s="20"/>
    </row>
    <row r="159" spans="1:11" ht="36.75" thickBot="1">
      <c r="A159" s="18" t="s">
        <v>4294</v>
      </c>
      <c r="B159" s="18">
        <v>20003477634</v>
      </c>
      <c r="C159" s="18" t="s">
        <v>4288</v>
      </c>
      <c r="D159" s="19">
        <v>45415.495833333334</v>
      </c>
      <c r="E159" s="18" t="s">
        <v>10</v>
      </c>
      <c r="F159" s="18">
        <v>800</v>
      </c>
      <c r="G159" s="18" t="s">
        <v>10</v>
      </c>
      <c r="H159" s="18" t="s">
        <v>178</v>
      </c>
      <c r="I159" s="18" t="s">
        <v>10</v>
      </c>
      <c r="J159" s="18" t="s">
        <v>4017</v>
      </c>
      <c r="K159" s="20"/>
    </row>
    <row r="160" spans="1:11" ht="36.75" thickBot="1">
      <c r="A160" s="18" t="s">
        <v>4295</v>
      </c>
      <c r="B160" s="18">
        <v>20017813525</v>
      </c>
      <c r="C160" s="18" t="s">
        <v>4296</v>
      </c>
      <c r="D160" s="19">
        <v>45419.399305555555</v>
      </c>
      <c r="E160" s="18" t="s">
        <v>10</v>
      </c>
      <c r="F160" s="18">
        <v>30</v>
      </c>
      <c r="G160" s="18" t="s">
        <v>10</v>
      </c>
      <c r="H160" s="18" t="s">
        <v>178</v>
      </c>
      <c r="I160" s="18" t="s">
        <v>10</v>
      </c>
      <c r="J160" s="18" t="s">
        <v>4017</v>
      </c>
      <c r="K160" s="20"/>
    </row>
    <row r="161" spans="1:11" ht="36.75" thickBot="1">
      <c r="A161" s="18" t="s">
        <v>4297</v>
      </c>
      <c r="B161" s="18">
        <v>20018036065</v>
      </c>
      <c r="C161" s="18" t="s">
        <v>4296</v>
      </c>
      <c r="D161" s="19">
        <v>45419.427777777775</v>
      </c>
      <c r="E161" s="18" t="s">
        <v>10</v>
      </c>
      <c r="F161" s="18">
        <v>30</v>
      </c>
      <c r="G161" s="18" t="s">
        <v>10</v>
      </c>
      <c r="H161" s="18" t="s">
        <v>178</v>
      </c>
      <c r="I161" s="18" t="s">
        <v>10</v>
      </c>
      <c r="J161" s="18" t="s">
        <v>4017</v>
      </c>
      <c r="K161" s="20"/>
    </row>
    <row r="162" spans="1:11" ht="36.75" thickBot="1">
      <c r="A162" s="18" t="s">
        <v>4298</v>
      </c>
      <c r="B162" s="18">
        <v>20016786738</v>
      </c>
      <c r="C162" s="18" t="s">
        <v>1836</v>
      </c>
      <c r="D162" s="19">
        <v>45419.46597222222</v>
      </c>
      <c r="E162" s="18" t="s">
        <v>10</v>
      </c>
      <c r="F162" s="18">
        <v>30</v>
      </c>
      <c r="G162" s="18" t="s">
        <v>10</v>
      </c>
      <c r="H162" s="18" t="s">
        <v>178</v>
      </c>
      <c r="I162" s="18" t="s">
        <v>10</v>
      </c>
      <c r="J162" s="18" t="s">
        <v>4017</v>
      </c>
      <c r="K162" s="20"/>
    </row>
    <row r="163" spans="1:11" ht="36.75" thickBot="1">
      <c r="A163" s="18" t="s">
        <v>4299</v>
      </c>
      <c r="B163" s="18">
        <v>20017791581</v>
      </c>
      <c r="C163" s="18" t="s">
        <v>1836</v>
      </c>
      <c r="D163" s="19">
        <v>45419.490972222222</v>
      </c>
      <c r="E163" s="18" t="s">
        <v>10</v>
      </c>
      <c r="F163" s="18">
        <v>30</v>
      </c>
      <c r="G163" s="18" t="s">
        <v>10</v>
      </c>
      <c r="H163" s="18" t="s">
        <v>178</v>
      </c>
      <c r="I163" s="18" t="s">
        <v>10</v>
      </c>
      <c r="J163" s="18" t="s">
        <v>4017</v>
      </c>
      <c r="K163" s="20"/>
    </row>
    <row r="164" spans="1:11" ht="36.75" thickBot="1">
      <c r="A164" s="18" t="s">
        <v>4300</v>
      </c>
      <c r="B164" s="18">
        <v>20023552880</v>
      </c>
      <c r="C164" s="18" t="s">
        <v>1836</v>
      </c>
      <c r="D164" s="19">
        <v>45419.531944444447</v>
      </c>
      <c r="E164" s="18" t="s">
        <v>10</v>
      </c>
      <c r="F164" s="18">
        <v>30</v>
      </c>
      <c r="G164" s="18" t="s">
        <v>10</v>
      </c>
      <c r="H164" s="18" t="s">
        <v>178</v>
      </c>
      <c r="I164" s="18" t="s">
        <v>10</v>
      </c>
      <c r="J164" s="18" t="s">
        <v>4017</v>
      </c>
      <c r="K164" s="20"/>
    </row>
    <row r="165" spans="1:11" ht="36.75" thickBot="1">
      <c r="A165" s="18" t="s">
        <v>4301</v>
      </c>
      <c r="B165" s="18">
        <v>20003181954</v>
      </c>
      <c r="C165" s="18" t="s">
        <v>4302</v>
      </c>
      <c r="D165" s="19">
        <v>45419.645833333336</v>
      </c>
      <c r="E165" s="18" t="s">
        <v>10</v>
      </c>
      <c r="F165" s="18">
        <v>100</v>
      </c>
      <c r="G165" s="18" t="s">
        <v>10</v>
      </c>
      <c r="H165" s="18" t="s">
        <v>178</v>
      </c>
      <c r="I165" s="18" t="s">
        <v>10</v>
      </c>
      <c r="J165" s="18" t="s">
        <v>4017</v>
      </c>
      <c r="K165" s="20"/>
    </row>
    <row r="166" spans="1:11" ht="36.75" thickBot="1">
      <c r="A166" s="18" t="s">
        <v>4303</v>
      </c>
      <c r="B166" s="18">
        <v>20017211154</v>
      </c>
      <c r="C166" s="18" t="s">
        <v>1836</v>
      </c>
      <c r="D166" s="19">
        <v>45420.447916666664</v>
      </c>
      <c r="E166" s="18" t="s">
        <v>10</v>
      </c>
      <c r="F166" s="18">
        <v>30</v>
      </c>
      <c r="G166" s="18" t="s">
        <v>10</v>
      </c>
      <c r="H166" s="18" t="s">
        <v>178</v>
      </c>
      <c r="I166" s="18" t="s">
        <v>10</v>
      </c>
      <c r="J166" s="18" t="s">
        <v>4017</v>
      </c>
      <c r="K166" s="20"/>
    </row>
    <row r="167" spans="1:11" ht="36.75" thickBot="1">
      <c r="A167" s="18" t="s">
        <v>4304</v>
      </c>
      <c r="B167" s="18">
        <v>20010793516</v>
      </c>
      <c r="C167" s="18" t="s">
        <v>4296</v>
      </c>
      <c r="D167" s="19">
        <v>45420.511111111111</v>
      </c>
      <c r="E167" s="18" t="s">
        <v>10</v>
      </c>
      <c r="F167" s="18">
        <v>30</v>
      </c>
      <c r="G167" s="18" t="s">
        <v>10</v>
      </c>
      <c r="H167" s="18" t="s">
        <v>178</v>
      </c>
      <c r="I167" s="18" t="s">
        <v>10</v>
      </c>
      <c r="J167" s="18" t="s">
        <v>4017</v>
      </c>
      <c r="K167" s="20"/>
    </row>
    <row r="168" spans="1:11" ht="36.75" thickBot="1">
      <c r="A168" s="18" t="s">
        <v>4305</v>
      </c>
      <c r="B168" s="18">
        <v>20017968105</v>
      </c>
      <c r="C168" s="18" t="s">
        <v>1836</v>
      </c>
      <c r="D168" s="19">
        <v>45420.540972222225</v>
      </c>
      <c r="E168" s="18" t="s">
        <v>10</v>
      </c>
      <c r="F168" s="18">
        <v>30</v>
      </c>
      <c r="G168" s="18" t="s">
        <v>10</v>
      </c>
      <c r="H168" s="18" t="s">
        <v>178</v>
      </c>
      <c r="I168" s="18" t="s">
        <v>10</v>
      </c>
      <c r="J168" s="18" t="s">
        <v>4017</v>
      </c>
      <c r="K168" s="20"/>
    </row>
    <row r="169" spans="1:11" ht="36.75" thickBot="1">
      <c r="A169" s="18" t="s">
        <v>4306</v>
      </c>
      <c r="B169" s="18">
        <v>20018036212</v>
      </c>
      <c r="C169" s="18" t="s">
        <v>1836</v>
      </c>
      <c r="D169" s="19">
        <v>45420.619444444441</v>
      </c>
      <c r="E169" s="18" t="s">
        <v>10</v>
      </c>
      <c r="F169" s="18">
        <v>30</v>
      </c>
      <c r="G169" s="18" t="s">
        <v>10</v>
      </c>
      <c r="H169" s="18" t="s">
        <v>178</v>
      </c>
      <c r="I169" s="18" t="s">
        <v>10</v>
      </c>
      <c r="J169" s="18" t="s">
        <v>4017</v>
      </c>
      <c r="K169" s="20"/>
    </row>
    <row r="170" spans="1:11" ht="36.75" thickBot="1">
      <c r="A170" s="18" t="s">
        <v>4307</v>
      </c>
      <c r="B170" s="18">
        <v>20023548484</v>
      </c>
      <c r="C170" s="18" t="s">
        <v>1836</v>
      </c>
      <c r="D170" s="19">
        <v>45420.634722222225</v>
      </c>
      <c r="E170" s="18" t="s">
        <v>10</v>
      </c>
      <c r="F170" s="18">
        <v>30</v>
      </c>
      <c r="G170" s="18" t="s">
        <v>10</v>
      </c>
      <c r="H170" s="18" t="s">
        <v>178</v>
      </c>
      <c r="I170" s="18" t="s">
        <v>10</v>
      </c>
      <c r="J170" s="18" t="s">
        <v>4017</v>
      </c>
      <c r="K170" s="20"/>
    </row>
    <row r="171" spans="1:11" ht="36.75" thickBot="1">
      <c r="A171" s="18" t="s">
        <v>4308</v>
      </c>
      <c r="B171" s="18">
        <v>20017813530</v>
      </c>
      <c r="C171" s="18" t="s">
        <v>1836</v>
      </c>
      <c r="D171" s="19">
        <v>45420.650694444441</v>
      </c>
      <c r="E171" s="18" t="s">
        <v>10</v>
      </c>
      <c r="F171" s="18">
        <v>30</v>
      </c>
      <c r="G171" s="18" t="s">
        <v>10</v>
      </c>
      <c r="H171" s="18" t="s">
        <v>178</v>
      </c>
      <c r="I171" s="18" t="s">
        <v>10</v>
      </c>
      <c r="J171" s="18" t="s">
        <v>4017</v>
      </c>
      <c r="K171" s="20"/>
    </row>
    <row r="172" spans="1:11" ht="36.75" thickBot="1">
      <c r="A172" s="18" t="s">
        <v>4309</v>
      </c>
      <c r="B172" s="18">
        <v>20018793815</v>
      </c>
      <c r="C172" s="18" t="s">
        <v>4310</v>
      </c>
      <c r="D172" s="19">
        <v>45421.734027777777</v>
      </c>
      <c r="E172" s="18" t="s">
        <v>10</v>
      </c>
      <c r="F172" s="18">
        <v>625</v>
      </c>
      <c r="G172" s="18" t="s">
        <v>10</v>
      </c>
      <c r="H172" s="18" t="s">
        <v>178</v>
      </c>
      <c r="I172" s="18" t="s">
        <v>10</v>
      </c>
      <c r="J172" s="18" t="s">
        <v>4017</v>
      </c>
      <c r="K172" s="20"/>
    </row>
    <row r="173" spans="1:11" ht="36.75" thickBot="1">
      <c r="A173" s="18" t="s">
        <v>4311</v>
      </c>
      <c r="B173" s="18">
        <v>20023390359</v>
      </c>
      <c r="C173" s="18" t="s">
        <v>1836</v>
      </c>
      <c r="D173" s="19">
        <v>45422.633333333331</v>
      </c>
      <c r="E173" s="18" t="s">
        <v>10</v>
      </c>
      <c r="F173" s="18">
        <v>30</v>
      </c>
      <c r="G173" s="18" t="s">
        <v>10</v>
      </c>
      <c r="H173" s="18" t="s">
        <v>178</v>
      </c>
      <c r="I173" s="18" t="s">
        <v>10</v>
      </c>
      <c r="J173" s="18" t="s">
        <v>4017</v>
      </c>
      <c r="K173" s="20"/>
    </row>
    <row r="174" spans="1:11" ht="54.75" thickBot="1">
      <c r="A174" s="18" t="s">
        <v>4312</v>
      </c>
      <c r="B174" s="18">
        <v>20003212991</v>
      </c>
      <c r="C174" s="18" t="s">
        <v>4313</v>
      </c>
      <c r="D174" s="19">
        <v>45424.635416666664</v>
      </c>
      <c r="E174" s="18" t="s">
        <v>10</v>
      </c>
      <c r="F174" s="18">
        <v>190</v>
      </c>
      <c r="G174" s="18" t="s">
        <v>10</v>
      </c>
      <c r="H174" s="18" t="s">
        <v>178</v>
      </c>
      <c r="I174" s="18" t="s">
        <v>10</v>
      </c>
      <c r="J174" s="18" t="s">
        <v>4017</v>
      </c>
      <c r="K174" s="20"/>
    </row>
    <row r="175" spans="1:11" ht="36.75" thickBot="1">
      <c r="A175" s="18" t="s">
        <v>4314</v>
      </c>
      <c r="B175" s="18">
        <v>20003515498</v>
      </c>
      <c r="C175" s="18" t="s">
        <v>4315</v>
      </c>
      <c r="D175" s="19">
        <v>45424.970138888886</v>
      </c>
      <c r="E175" s="18" t="s">
        <v>10</v>
      </c>
      <c r="F175" s="18">
        <v>125</v>
      </c>
      <c r="G175" s="18" t="s">
        <v>10</v>
      </c>
      <c r="H175" s="18" t="s">
        <v>178</v>
      </c>
      <c r="I175" s="18" t="s">
        <v>10</v>
      </c>
      <c r="J175" s="18" t="s">
        <v>4017</v>
      </c>
      <c r="K175" s="20"/>
    </row>
    <row r="176" spans="1:11" ht="36.75" thickBot="1">
      <c r="A176" s="18" t="s">
        <v>4316</v>
      </c>
      <c r="B176" s="18">
        <v>20003483128</v>
      </c>
      <c r="C176" s="18" t="s">
        <v>4317</v>
      </c>
      <c r="D176" s="19">
        <v>45425.479166666664</v>
      </c>
      <c r="E176" s="18" t="s">
        <v>10</v>
      </c>
      <c r="F176" s="18">
        <v>200</v>
      </c>
      <c r="G176" s="18" t="s">
        <v>10</v>
      </c>
      <c r="H176" s="18" t="s">
        <v>178</v>
      </c>
      <c r="I176" s="18" t="s">
        <v>10</v>
      </c>
      <c r="J176" s="18" t="s">
        <v>4017</v>
      </c>
      <c r="K176" s="20"/>
    </row>
    <row r="177" spans="1:11" ht="36.75" thickBot="1">
      <c r="A177" s="18" t="s">
        <v>4318</v>
      </c>
      <c r="B177" s="18">
        <v>20002880104</v>
      </c>
      <c r="C177" s="18" t="s">
        <v>4319</v>
      </c>
      <c r="D177" s="19">
        <v>45425.595833333333</v>
      </c>
      <c r="E177" s="18" t="s">
        <v>10</v>
      </c>
      <c r="F177" s="18">
        <v>425</v>
      </c>
      <c r="G177" s="18" t="s">
        <v>10</v>
      </c>
      <c r="H177" s="18" t="s">
        <v>178</v>
      </c>
      <c r="I177" s="18" t="s">
        <v>10</v>
      </c>
      <c r="J177" s="18" t="s">
        <v>4017</v>
      </c>
      <c r="K177" s="20"/>
    </row>
    <row r="178" spans="1:11" ht="36.75" thickBot="1">
      <c r="A178" s="18" t="s">
        <v>4320</v>
      </c>
      <c r="B178" s="18">
        <v>20023944010</v>
      </c>
      <c r="C178" s="18" t="s">
        <v>1334</v>
      </c>
      <c r="D178" s="19">
        <v>45425.62777777778</v>
      </c>
      <c r="E178" s="18" t="s">
        <v>10</v>
      </c>
      <c r="F178" s="18">
        <v>40</v>
      </c>
      <c r="G178" s="18" t="s">
        <v>10</v>
      </c>
      <c r="H178" s="18" t="s">
        <v>178</v>
      </c>
      <c r="I178" s="18" t="s">
        <v>10</v>
      </c>
      <c r="J178" s="18" t="s">
        <v>4017</v>
      </c>
      <c r="K178" s="20"/>
    </row>
    <row r="179" spans="1:11" ht="36.75" thickBot="1">
      <c r="A179" s="18" t="s">
        <v>4321</v>
      </c>
      <c r="B179" s="18">
        <v>9626478</v>
      </c>
      <c r="C179" s="18" t="s">
        <v>4322</v>
      </c>
      <c r="D179" s="19">
        <v>45425.677777777775</v>
      </c>
      <c r="E179" s="18" t="s">
        <v>10</v>
      </c>
      <c r="F179" s="18">
        <v>200</v>
      </c>
      <c r="G179" s="18" t="s">
        <v>10</v>
      </c>
      <c r="H179" s="18" t="s">
        <v>178</v>
      </c>
      <c r="I179" s="18" t="s">
        <v>10</v>
      </c>
      <c r="J179" s="18" t="s">
        <v>4017</v>
      </c>
      <c r="K179" s="20"/>
    </row>
    <row r="180" spans="1:11" ht="36.75" thickBot="1">
      <c r="A180" s="18" t="s">
        <v>4323</v>
      </c>
      <c r="B180" s="18">
        <v>20003388100</v>
      </c>
      <c r="C180" s="18" t="s">
        <v>4324</v>
      </c>
      <c r="D180" s="19">
        <v>45321.655555555553</v>
      </c>
      <c r="E180" s="19">
        <v>45426.404861111114</v>
      </c>
      <c r="F180" s="18">
        <v>50</v>
      </c>
      <c r="G180" s="18" t="s">
        <v>10</v>
      </c>
      <c r="H180" s="18" t="s">
        <v>178</v>
      </c>
      <c r="I180" s="18" t="s">
        <v>10</v>
      </c>
      <c r="J180" s="18" t="s">
        <v>4017</v>
      </c>
      <c r="K180" s="20"/>
    </row>
    <row r="181" spans="1:11" ht="36.75" thickBot="1">
      <c r="A181" s="18" t="s">
        <v>4325</v>
      </c>
      <c r="B181" s="18">
        <v>20002916375</v>
      </c>
      <c r="C181" s="18" t="s">
        <v>4326</v>
      </c>
      <c r="D181" s="19">
        <v>45426.45416666667</v>
      </c>
      <c r="E181" s="18" t="s">
        <v>10</v>
      </c>
      <c r="F181" s="18">
        <v>175</v>
      </c>
      <c r="G181" s="18" t="s">
        <v>10</v>
      </c>
      <c r="H181" s="18" t="s">
        <v>178</v>
      </c>
      <c r="I181" s="18" t="s">
        <v>10</v>
      </c>
      <c r="J181" s="18" t="s">
        <v>4017</v>
      </c>
      <c r="K181" s="20"/>
    </row>
    <row r="182" spans="1:11" ht="36.75" thickBot="1">
      <c r="A182" s="18" t="s">
        <v>4327</v>
      </c>
      <c r="B182" s="18">
        <v>20018008612</v>
      </c>
      <c r="C182" s="18" t="s">
        <v>1836</v>
      </c>
      <c r="D182" s="19">
        <v>45426.484722222223</v>
      </c>
      <c r="E182" s="18" t="s">
        <v>10</v>
      </c>
      <c r="F182" s="18">
        <v>30</v>
      </c>
      <c r="G182" s="18" t="s">
        <v>10</v>
      </c>
      <c r="H182" s="18" t="s">
        <v>178</v>
      </c>
      <c r="I182" s="18" t="s">
        <v>10</v>
      </c>
      <c r="J182" s="18" t="s">
        <v>4017</v>
      </c>
      <c r="K182" s="20"/>
    </row>
    <row r="183" spans="1:11" ht="36.75" thickBot="1">
      <c r="A183" s="18" t="s">
        <v>4328</v>
      </c>
      <c r="B183" s="18">
        <v>20017839731</v>
      </c>
      <c r="C183" s="18" t="s">
        <v>4296</v>
      </c>
      <c r="D183" s="19">
        <v>45426.5</v>
      </c>
      <c r="E183" s="18" t="s">
        <v>10</v>
      </c>
      <c r="F183" s="18">
        <v>30</v>
      </c>
      <c r="G183" s="18" t="s">
        <v>10</v>
      </c>
      <c r="H183" s="18" t="s">
        <v>178</v>
      </c>
      <c r="I183" s="18" t="s">
        <v>10</v>
      </c>
      <c r="J183" s="18" t="s">
        <v>4017</v>
      </c>
      <c r="K183" s="20"/>
    </row>
    <row r="184" spans="1:11" ht="36.75" thickBot="1">
      <c r="A184" s="18" t="s">
        <v>4329</v>
      </c>
      <c r="B184" s="18">
        <v>20021566359</v>
      </c>
      <c r="C184" s="18" t="s">
        <v>1836</v>
      </c>
      <c r="D184" s="19">
        <v>45426.53125</v>
      </c>
      <c r="E184" s="18" t="s">
        <v>10</v>
      </c>
      <c r="F184" s="18">
        <v>30</v>
      </c>
      <c r="G184" s="18" t="s">
        <v>10</v>
      </c>
      <c r="H184" s="18" t="s">
        <v>178</v>
      </c>
      <c r="I184" s="18" t="s">
        <v>10</v>
      </c>
      <c r="J184" s="18" t="s">
        <v>4017</v>
      </c>
      <c r="K184" s="20"/>
    </row>
    <row r="185" spans="1:11" ht="36.75" thickBot="1">
      <c r="A185" s="18" t="s">
        <v>4330</v>
      </c>
      <c r="B185" s="18">
        <v>20017816913</v>
      </c>
      <c r="C185" s="18" t="s">
        <v>4296</v>
      </c>
      <c r="D185" s="19">
        <v>45426.561111111114</v>
      </c>
      <c r="E185" s="18" t="s">
        <v>10</v>
      </c>
      <c r="F185" s="18">
        <v>30</v>
      </c>
      <c r="G185" s="18" t="s">
        <v>10</v>
      </c>
      <c r="H185" s="18" t="s">
        <v>178</v>
      </c>
      <c r="I185" s="18" t="s">
        <v>10</v>
      </c>
      <c r="J185" s="18" t="s">
        <v>4017</v>
      </c>
      <c r="K185" s="20"/>
    </row>
    <row r="186" spans="1:11" ht="36.75" thickBot="1">
      <c r="A186" s="18" t="s">
        <v>4331</v>
      </c>
      <c r="B186" s="18">
        <v>20017935226</v>
      </c>
      <c r="C186" s="18" t="s">
        <v>1836</v>
      </c>
      <c r="D186" s="19">
        <v>45426.581250000003</v>
      </c>
      <c r="E186" s="18" t="s">
        <v>10</v>
      </c>
      <c r="F186" s="18">
        <v>30</v>
      </c>
      <c r="G186" s="18" t="s">
        <v>10</v>
      </c>
      <c r="H186" s="18" t="s">
        <v>178</v>
      </c>
      <c r="I186" s="18" t="s">
        <v>10</v>
      </c>
      <c r="J186" s="18" t="s">
        <v>4017</v>
      </c>
      <c r="K186" s="20"/>
    </row>
    <row r="187" spans="1:11" ht="36.75" thickBot="1">
      <c r="A187" s="18" t="s">
        <v>4332</v>
      </c>
      <c r="B187" s="18">
        <v>20017734385</v>
      </c>
      <c r="C187" s="18" t="s">
        <v>1836</v>
      </c>
      <c r="D187" s="19">
        <v>45426.645833333336</v>
      </c>
      <c r="E187" s="18" t="s">
        <v>10</v>
      </c>
      <c r="F187" s="18">
        <v>30</v>
      </c>
      <c r="G187" s="18" t="s">
        <v>10</v>
      </c>
      <c r="H187" s="18" t="s">
        <v>178</v>
      </c>
      <c r="I187" s="18" t="s">
        <v>10</v>
      </c>
      <c r="J187" s="18" t="s">
        <v>4017</v>
      </c>
      <c r="K187" s="20"/>
    </row>
    <row r="188" spans="1:11" ht="36.75" thickBot="1">
      <c r="A188" s="18" t="s">
        <v>4333</v>
      </c>
      <c r="B188" s="18">
        <v>20018079322</v>
      </c>
      <c r="C188" s="18" t="s">
        <v>1836</v>
      </c>
      <c r="D188" s="19">
        <v>45426.6875</v>
      </c>
      <c r="E188" s="18" t="s">
        <v>10</v>
      </c>
      <c r="F188" s="18">
        <v>30</v>
      </c>
      <c r="G188" s="18" t="s">
        <v>10</v>
      </c>
      <c r="H188" s="18" t="s">
        <v>178</v>
      </c>
      <c r="I188" s="18" t="s">
        <v>10</v>
      </c>
      <c r="J188" s="18" t="s">
        <v>4017</v>
      </c>
      <c r="K188" s="20"/>
    </row>
    <row r="189" spans="1:11" ht="36.75" thickBot="1">
      <c r="A189" s="18" t="s">
        <v>4334</v>
      </c>
      <c r="B189" s="18">
        <v>20016659768</v>
      </c>
      <c r="C189" s="18" t="s">
        <v>1836</v>
      </c>
      <c r="D189" s="19">
        <v>45426.707638888889</v>
      </c>
      <c r="E189" s="18" t="s">
        <v>10</v>
      </c>
      <c r="F189" s="18">
        <v>30</v>
      </c>
      <c r="G189" s="18" t="s">
        <v>10</v>
      </c>
      <c r="H189" s="18" t="s">
        <v>178</v>
      </c>
      <c r="I189" s="18" t="s">
        <v>10</v>
      </c>
      <c r="J189" s="18" t="s">
        <v>4017</v>
      </c>
      <c r="K189" s="20"/>
    </row>
    <row r="190" spans="1:11" ht="36.75" thickBot="1">
      <c r="A190" s="18" t="s">
        <v>4335</v>
      </c>
      <c r="B190" s="18">
        <v>20002904209</v>
      </c>
      <c r="C190" s="18" t="s">
        <v>4336</v>
      </c>
      <c r="D190" s="19">
        <v>45314.621527777781</v>
      </c>
      <c r="E190" s="19">
        <v>45427.37777777778</v>
      </c>
      <c r="F190" s="18">
        <v>875</v>
      </c>
      <c r="G190" s="18" t="s">
        <v>10</v>
      </c>
      <c r="H190" s="18" t="s">
        <v>178</v>
      </c>
      <c r="I190" s="18" t="s">
        <v>10</v>
      </c>
      <c r="J190" s="18" t="s">
        <v>4017</v>
      </c>
      <c r="K190" s="20"/>
    </row>
    <row r="191" spans="1:11" ht="36.75" thickBot="1">
      <c r="A191" s="18" t="s">
        <v>4337</v>
      </c>
      <c r="B191" s="18">
        <v>20003635511</v>
      </c>
      <c r="C191" s="18" t="s">
        <v>2008</v>
      </c>
      <c r="D191" s="19">
        <v>45354.497916666667</v>
      </c>
      <c r="E191" s="19">
        <v>45427.615972222222</v>
      </c>
      <c r="F191" s="18">
        <v>30</v>
      </c>
      <c r="G191" s="18" t="s">
        <v>10</v>
      </c>
      <c r="H191" s="18" t="s">
        <v>178</v>
      </c>
      <c r="I191" s="18" t="s">
        <v>10</v>
      </c>
      <c r="J191" s="18" t="s">
        <v>4017</v>
      </c>
      <c r="K191" s="20"/>
    </row>
    <row r="192" spans="1:11" ht="36.75" thickBot="1">
      <c r="A192" s="18" t="s">
        <v>4338</v>
      </c>
      <c r="B192" s="18">
        <v>20003126926</v>
      </c>
      <c r="C192" s="18" t="s">
        <v>4339</v>
      </c>
      <c r="D192" s="19">
        <v>45427.669444444444</v>
      </c>
      <c r="E192" s="18" t="s">
        <v>10</v>
      </c>
      <c r="F192" s="18">
        <v>950</v>
      </c>
      <c r="G192" s="18" t="s">
        <v>10</v>
      </c>
      <c r="H192" s="18" t="s">
        <v>178</v>
      </c>
      <c r="I192" s="18" t="s">
        <v>10</v>
      </c>
      <c r="J192" s="18" t="s">
        <v>4017</v>
      </c>
      <c r="K192" s="20"/>
    </row>
    <row r="193" spans="1:11" ht="36.75" thickBot="1">
      <c r="A193" s="18" t="s">
        <v>4340</v>
      </c>
      <c r="B193" s="18">
        <v>20018516912</v>
      </c>
      <c r="C193" s="18" t="s">
        <v>4341</v>
      </c>
      <c r="D193" s="19">
        <v>45336.040972222225</v>
      </c>
      <c r="E193" s="19">
        <v>45427.71597222222</v>
      </c>
      <c r="F193" s="18">
        <v>70</v>
      </c>
      <c r="G193" s="18" t="s">
        <v>10</v>
      </c>
      <c r="H193" s="18" t="s">
        <v>178</v>
      </c>
      <c r="I193" s="18" t="s">
        <v>10</v>
      </c>
      <c r="J193" s="18" t="s">
        <v>4017</v>
      </c>
      <c r="K193" s="20"/>
    </row>
    <row r="194" spans="1:11" ht="36.75" thickBot="1">
      <c r="A194" s="18" t="s">
        <v>4342</v>
      </c>
      <c r="B194" s="18">
        <v>20003273288</v>
      </c>
      <c r="C194" s="18" t="s">
        <v>4343</v>
      </c>
      <c r="D194" s="19">
        <v>45427.745138888888</v>
      </c>
      <c r="E194" s="18" t="s">
        <v>10</v>
      </c>
      <c r="F194" s="18">
        <v>375</v>
      </c>
      <c r="G194" s="18" t="s">
        <v>10</v>
      </c>
      <c r="H194" s="18" t="s">
        <v>178</v>
      </c>
      <c r="I194" s="18" t="s">
        <v>10</v>
      </c>
      <c r="J194" s="18" t="s">
        <v>4017</v>
      </c>
      <c r="K194" s="20"/>
    </row>
    <row r="195" spans="1:11" ht="36.75" thickBot="1">
      <c r="A195" s="18" t="s">
        <v>4344</v>
      </c>
      <c r="B195" s="18">
        <v>20003273288</v>
      </c>
      <c r="C195" s="18" t="s">
        <v>4343</v>
      </c>
      <c r="D195" s="19">
        <v>45427.754166666666</v>
      </c>
      <c r="E195" s="18" t="s">
        <v>10</v>
      </c>
      <c r="F195" s="18">
        <v>375</v>
      </c>
      <c r="G195" s="18" t="s">
        <v>10</v>
      </c>
      <c r="H195" s="18" t="s">
        <v>178</v>
      </c>
      <c r="I195" s="18" t="s">
        <v>10</v>
      </c>
      <c r="J195" s="18" t="s">
        <v>4017</v>
      </c>
      <c r="K195" s="20"/>
    </row>
    <row r="196" spans="1:11" ht="36.75" thickBot="1">
      <c r="A196" s="18" t="s">
        <v>4345</v>
      </c>
      <c r="B196" s="18">
        <v>20003126926</v>
      </c>
      <c r="C196" s="18" t="s">
        <v>4339</v>
      </c>
      <c r="D196" s="19">
        <v>45428.45</v>
      </c>
      <c r="E196" s="18" t="s">
        <v>10</v>
      </c>
      <c r="F196" s="18">
        <v>950</v>
      </c>
      <c r="G196" s="18" t="s">
        <v>10</v>
      </c>
      <c r="H196" s="18" t="s">
        <v>178</v>
      </c>
      <c r="I196" s="18" t="s">
        <v>10</v>
      </c>
      <c r="J196" s="18" t="s">
        <v>4017</v>
      </c>
      <c r="K196" s="20"/>
    </row>
    <row r="197" spans="1:11" ht="36.75" thickBot="1">
      <c r="A197" s="18" t="s">
        <v>4346</v>
      </c>
      <c r="B197" s="18">
        <v>20021933251</v>
      </c>
      <c r="C197" s="18" t="s">
        <v>4347</v>
      </c>
      <c r="D197" s="19">
        <v>45334.509027777778</v>
      </c>
      <c r="E197" s="19">
        <v>45428.665277777778</v>
      </c>
      <c r="F197" s="18">
        <v>20</v>
      </c>
      <c r="G197" s="18" t="s">
        <v>10</v>
      </c>
      <c r="H197" s="18" t="s">
        <v>178</v>
      </c>
      <c r="I197" s="18" t="s">
        <v>10</v>
      </c>
      <c r="J197" s="18" t="s">
        <v>4017</v>
      </c>
      <c r="K197" s="20"/>
    </row>
    <row r="198" spans="1:11" ht="36.75" thickBot="1">
      <c r="A198" s="18" t="s">
        <v>4348</v>
      </c>
      <c r="B198" s="18">
        <v>20003173288</v>
      </c>
      <c r="C198" s="18" t="s">
        <v>4343</v>
      </c>
      <c r="D198" s="19">
        <v>45429.60833333333</v>
      </c>
      <c r="E198" s="18" t="s">
        <v>10</v>
      </c>
      <c r="F198" s="18">
        <v>375</v>
      </c>
      <c r="G198" s="18" t="s">
        <v>10</v>
      </c>
      <c r="H198" s="18" t="s">
        <v>178</v>
      </c>
      <c r="I198" s="18" t="s">
        <v>10</v>
      </c>
      <c r="J198" s="18" t="s">
        <v>4017</v>
      </c>
      <c r="K198" s="20"/>
    </row>
    <row r="199" spans="1:11" ht="36.75" thickBot="1">
      <c r="A199" s="18" t="s">
        <v>4349</v>
      </c>
      <c r="B199" s="18">
        <v>20017734373</v>
      </c>
      <c r="C199" s="18" t="s">
        <v>4350</v>
      </c>
      <c r="D199" s="19">
        <v>45430.461111111108</v>
      </c>
      <c r="E199" s="18" t="s">
        <v>10</v>
      </c>
      <c r="F199" s="18">
        <v>108</v>
      </c>
      <c r="G199" s="18" t="s">
        <v>10</v>
      </c>
      <c r="H199" s="18" t="s">
        <v>178</v>
      </c>
      <c r="I199" s="18" t="s">
        <v>10</v>
      </c>
      <c r="J199" s="18" t="s">
        <v>4017</v>
      </c>
      <c r="K199" s="20"/>
    </row>
    <row r="200" spans="1:11" ht="36.75" thickBot="1">
      <c r="A200" s="18" t="s">
        <v>4351</v>
      </c>
      <c r="B200" s="18">
        <v>20018878255</v>
      </c>
      <c r="C200" s="18" t="s">
        <v>4352</v>
      </c>
      <c r="D200" s="19">
        <v>45430.932638888888</v>
      </c>
      <c r="E200" s="18" t="s">
        <v>10</v>
      </c>
      <c r="F200" s="18">
        <v>120</v>
      </c>
      <c r="G200" s="18" t="s">
        <v>10</v>
      </c>
      <c r="H200" s="18" t="s">
        <v>178</v>
      </c>
      <c r="I200" s="18" t="s">
        <v>10</v>
      </c>
      <c r="J200" s="18" t="s">
        <v>4017</v>
      </c>
      <c r="K200" s="20"/>
    </row>
    <row r="201" spans="1:11" ht="36.75" thickBot="1">
      <c r="A201" s="18" t="s">
        <v>4353</v>
      </c>
      <c r="B201" s="18">
        <v>20002776554</v>
      </c>
      <c r="C201" s="18" t="s">
        <v>4354</v>
      </c>
      <c r="D201" s="19">
        <v>45432.852083333331</v>
      </c>
      <c r="E201" s="18" t="s">
        <v>10</v>
      </c>
      <c r="F201" s="18">
        <v>700</v>
      </c>
      <c r="G201" s="18" t="s">
        <v>10</v>
      </c>
      <c r="H201" s="18" t="s">
        <v>178</v>
      </c>
      <c r="I201" s="18" t="s">
        <v>10</v>
      </c>
      <c r="J201" s="18" t="s">
        <v>4017</v>
      </c>
      <c r="K201" s="1"/>
    </row>
    <row r="202" spans="1:11" ht="36.75" thickBot="1">
      <c r="A202" s="21" t="s">
        <v>4355</v>
      </c>
      <c r="B202" s="21">
        <v>20020092367</v>
      </c>
      <c r="C202" s="21" t="s">
        <v>4356</v>
      </c>
      <c r="D202" s="22">
        <v>45433.455555555556</v>
      </c>
      <c r="E202" s="21" t="s">
        <v>10</v>
      </c>
      <c r="F202" s="21">
        <v>750</v>
      </c>
      <c r="G202" s="21" t="s">
        <v>10</v>
      </c>
      <c r="H202" s="21" t="s">
        <v>178</v>
      </c>
      <c r="I202" s="21" t="s">
        <v>10</v>
      </c>
      <c r="J202" s="21" t="s">
        <v>4017</v>
      </c>
      <c r="K202" s="20"/>
    </row>
    <row r="203" spans="1:11" ht="36.75" thickBot="1">
      <c r="A203" s="18" t="s">
        <v>4357</v>
      </c>
      <c r="B203" s="18">
        <v>20020682670</v>
      </c>
      <c r="C203" s="18" t="s">
        <v>4358</v>
      </c>
      <c r="D203" s="19">
        <v>45433.571527777778</v>
      </c>
      <c r="E203" s="18" t="s">
        <v>10</v>
      </c>
      <c r="F203" s="18">
        <v>180</v>
      </c>
      <c r="G203" s="18" t="s">
        <v>10</v>
      </c>
      <c r="H203" s="18" t="s">
        <v>178</v>
      </c>
      <c r="I203" s="18" t="s">
        <v>10</v>
      </c>
      <c r="J203" s="18" t="s">
        <v>4017</v>
      </c>
      <c r="K203" s="20"/>
    </row>
    <row r="204" spans="1:11" ht="36.75" thickBot="1">
      <c r="A204" s="18" t="s">
        <v>4359</v>
      </c>
      <c r="B204" s="18">
        <v>20003116041</v>
      </c>
      <c r="C204" s="18" t="s">
        <v>4360</v>
      </c>
      <c r="D204" s="19">
        <v>45433.637499999997</v>
      </c>
      <c r="E204" s="18" t="s">
        <v>10</v>
      </c>
      <c r="F204" s="18">
        <v>650</v>
      </c>
      <c r="G204" s="18" t="s">
        <v>10</v>
      </c>
      <c r="H204" s="18" t="s">
        <v>178</v>
      </c>
      <c r="I204" s="18" t="s">
        <v>10</v>
      </c>
      <c r="J204" s="18" t="s">
        <v>4017</v>
      </c>
      <c r="K204" s="20"/>
    </row>
    <row r="205" spans="1:11" ht="36.75" thickBot="1">
      <c r="A205" s="18" t="s">
        <v>4361</v>
      </c>
      <c r="B205" s="18">
        <v>20003478268</v>
      </c>
      <c r="C205" s="18" t="s">
        <v>4362</v>
      </c>
      <c r="D205" s="19">
        <v>45433.69027777778</v>
      </c>
      <c r="E205" s="18" t="s">
        <v>10</v>
      </c>
      <c r="F205" s="18">
        <v>378</v>
      </c>
      <c r="G205" s="18" t="s">
        <v>10</v>
      </c>
      <c r="H205" s="18" t="s">
        <v>178</v>
      </c>
      <c r="I205" s="18" t="s">
        <v>10</v>
      </c>
      <c r="J205" s="18" t="s">
        <v>4017</v>
      </c>
      <c r="K205" s="20"/>
    </row>
    <row r="206" spans="1:11" ht="36.75" thickBot="1">
      <c r="A206" s="18" t="s">
        <v>4363</v>
      </c>
      <c r="B206" s="18">
        <v>0</v>
      </c>
      <c r="C206" s="18" t="s">
        <v>4364</v>
      </c>
      <c r="D206" s="19">
        <v>45433.964583333334</v>
      </c>
      <c r="E206" s="18" t="s">
        <v>10</v>
      </c>
      <c r="F206" s="18">
        <v>50</v>
      </c>
      <c r="G206" s="18" t="s">
        <v>10</v>
      </c>
      <c r="H206" s="18" t="s">
        <v>178</v>
      </c>
      <c r="I206" s="18" t="s">
        <v>10</v>
      </c>
      <c r="J206" s="18" t="s">
        <v>4017</v>
      </c>
      <c r="K206" s="20"/>
    </row>
    <row r="207" spans="1:11" ht="36.75" thickBot="1">
      <c r="A207" s="18" t="s">
        <v>4365</v>
      </c>
      <c r="B207" s="18">
        <v>20021625809</v>
      </c>
      <c r="C207" s="18" t="s">
        <v>4364</v>
      </c>
      <c r="D207" s="19">
        <v>45434.381944444445</v>
      </c>
      <c r="E207" s="18" t="s">
        <v>10</v>
      </c>
      <c r="F207" s="18">
        <v>50</v>
      </c>
      <c r="G207" s="18" t="s">
        <v>10</v>
      </c>
      <c r="H207" s="18" t="s">
        <v>178</v>
      </c>
      <c r="I207" s="18" t="s">
        <v>10</v>
      </c>
      <c r="J207" s="18" t="s">
        <v>4017</v>
      </c>
      <c r="K207" s="20"/>
    </row>
    <row r="208" spans="1:11" ht="36.75" thickBot="1">
      <c r="A208" s="18" t="s">
        <v>4366</v>
      </c>
      <c r="B208" s="18">
        <v>20023114635</v>
      </c>
      <c r="C208" s="18" t="s">
        <v>4367</v>
      </c>
      <c r="D208" s="19">
        <v>45434.636111111111</v>
      </c>
      <c r="E208" s="18" t="s">
        <v>10</v>
      </c>
      <c r="F208" s="18">
        <v>40</v>
      </c>
      <c r="G208" s="18" t="s">
        <v>10</v>
      </c>
      <c r="H208" s="18" t="s">
        <v>178</v>
      </c>
      <c r="I208" s="18" t="s">
        <v>10</v>
      </c>
      <c r="J208" s="18" t="s">
        <v>4017</v>
      </c>
      <c r="K208" s="20"/>
    </row>
    <row r="209" spans="1:11" ht="36.75" thickBot="1">
      <c r="A209" s="18" t="s">
        <v>4368</v>
      </c>
      <c r="B209" s="18">
        <v>20024121521</v>
      </c>
      <c r="C209" s="18" t="s">
        <v>4369</v>
      </c>
      <c r="D209" s="19">
        <v>45316.712500000001</v>
      </c>
      <c r="E209" s="19">
        <v>45435.631249999999</v>
      </c>
      <c r="F209" s="18">
        <v>130</v>
      </c>
      <c r="G209" s="18" t="s">
        <v>10</v>
      </c>
      <c r="H209" s="18" t="s">
        <v>178</v>
      </c>
      <c r="I209" s="18" t="s">
        <v>10</v>
      </c>
      <c r="J209" s="18" t="s">
        <v>4017</v>
      </c>
      <c r="K209" s="20"/>
    </row>
    <row r="210" spans="1:11" ht="36.75" thickBot="1">
      <c r="A210" s="18" t="s">
        <v>4370</v>
      </c>
      <c r="B210" s="18">
        <v>20020602210</v>
      </c>
      <c r="C210" s="18" t="s">
        <v>4371</v>
      </c>
      <c r="D210" s="19">
        <v>45436.618750000001</v>
      </c>
      <c r="E210" s="18" t="s">
        <v>10</v>
      </c>
      <c r="F210" s="18">
        <v>750</v>
      </c>
      <c r="G210" s="18" t="s">
        <v>10</v>
      </c>
      <c r="H210" s="18" t="s">
        <v>178</v>
      </c>
      <c r="I210" s="18" t="s">
        <v>10</v>
      </c>
      <c r="J210" s="18" t="s">
        <v>4017</v>
      </c>
      <c r="K210" s="20"/>
    </row>
    <row r="211" spans="1:11" ht="36.75" thickBot="1">
      <c r="A211" s="18" t="s">
        <v>4372</v>
      </c>
      <c r="B211" s="18">
        <v>20023621762</v>
      </c>
      <c r="C211" s="18" t="s">
        <v>4373</v>
      </c>
      <c r="D211" s="19">
        <v>45436.688194444447</v>
      </c>
      <c r="E211" s="18" t="s">
        <v>10</v>
      </c>
      <c r="F211" s="18">
        <v>30</v>
      </c>
      <c r="G211" s="18" t="s">
        <v>10</v>
      </c>
      <c r="H211" s="18" t="s">
        <v>178</v>
      </c>
      <c r="I211" s="18" t="s">
        <v>10</v>
      </c>
      <c r="J211" s="18" t="s">
        <v>4017</v>
      </c>
      <c r="K211" s="20"/>
    </row>
    <row r="212" spans="1:11" ht="36.75" thickBot="1">
      <c r="A212" s="18" t="s">
        <v>4374</v>
      </c>
      <c r="B212" s="18">
        <v>20002773466</v>
      </c>
      <c r="C212" s="18" t="s">
        <v>4375</v>
      </c>
      <c r="D212" s="19">
        <v>45436.745138888888</v>
      </c>
      <c r="E212" s="18" t="s">
        <v>10</v>
      </c>
      <c r="F212" s="18">
        <v>450</v>
      </c>
      <c r="G212" s="18" t="s">
        <v>10</v>
      </c>
      <c r="H212" s="18" t="s">
        <v>178</v>
      </c>
      <c r="I212" s="18" t="s">
        <v>10</v>
      </c>
      <c r="J212" s="18" t="s">
        <v>4017</v>
      </c>
      <c r="K212" s="20"/>
    </row>
    <row r="213" spans="1:11" ht="36.75" thickBot="1">
      <c r="A213" s="18" t="s">
        <v>4376</v>
      </c>
      <c r="B213" s="18">
        <v>919202001991</v>
      </c>
      <c r="C213" s="18" t="s">
        <v>543</v>
      </c>
      <c r="D213" s="19">
        <v>45437.652777777781</v>
      </c>
      <c r="E213" s="18" t="s">
        <v>10</v>
      </c>
      <c r="F213" s="18">
        <v>10</v>
      </c>
      <c r="G213" s="18" t="s">
        <v>10</v>
      </c>
      <c r="H213" s="18" t="s">
        <v>178</v>
      </c>
      <c r="I213" s="18" t="s">
        <v>10</v>
      </c>
      <c r="J213" s="18" t="s">
        <v>4017</v>
      </c>
      <c r="K213" s="20"/>
    </row>
    <row r="214" spans="1:11" ht="54.75" thickBot="1">
      <c r="A214" s="18" t="s">
        <v>4377</v>
      </c>
      <c r="B214" s="18">
        <v>20025037073</v>
      </c>
      <c r="C214" s="18" t="s">
        <v>4378</v>
      </c>
      <c r="D214" s="19">
        <v>45438.969444444447</v>
      </c>
      <c r="E214" s="18" t="s">
        <v>10</v>
      </c>
      <c r="F214" s="18">
        <v>270</v>
      </c>
      <c r="G214" s="18" t="s">
        <v>10</v>
      </c>
      <c r="H214" s="18" t="s">
        <v>178</v>
      </c>
      <c r="I214" s="18" t="s">
        <v>10</v>
      </c>
      <c r="J214" s="18" t="s">
        <v>4017</v>
      </c>
      <c r="K214" s="20"/>
    </row>
    <row r="215" spans="1:11" ht="36.75" thickBot="1">
      <c r="A215" s="18" t="s">
        <v>4379</v>
      </c>
      <c r="B215" s="18">
        <v>20021362294</v>
      </c>
      <c r="C215" s="18" t="s">
        <v>4380</v>
      </c>
      <c r="D215" s="19">
        <v>45439.450694444444</v>
      </c>
      <c r="E215" s="18" t="s">
        <v>10</v>
      </c>
      <c r="F215" s="18">
        <v>250</v>
      </c>
      <c r="G215" s="18" t="s">
        <v>10</v>
      </c>
      <c r="H215" s="18" t="s">
        <v>178</v>
      </c>
      <c r="I215" s="18" t="s">
        <v>10</v>
      </c>
      <c r="J215" s="18" t="s">
        <v>4017</v>
      </c>
      <c r="K215" s="20"/>
    </row>
    <row r="216" spans="1:11" ht="36.75" thickBot="1">
      <c r="A216" s="18" t="s">
        <v>4381</v>
      </c>
      <c r="B216" s="18">
        <v>20022717488</v>
      </c>
      <c r="C216" s="18" t="s">
        <v>4382</v>
      </c>
      <c r="D216" s="19">
        <v>45330.620833333334</v>
      </c>
      <c r="E216" s="19">
        <v>45439.616666666669</v>
      </c>
      <c r="F216" s="18">
        <v>200</v>
      </c>
      <c r="G216" s="18" t="s">
        <v>10</v>
      </c>
      <c r="H216" s="18" t="s">
        <v>178</v>
      </c>
      <c r="I216" s="18" t="s">
        <v>10</v>
      </c>
      <c r="J216" s="18" t="s">
        <v>4017</v>
      </c>
      <c r="K216" s="20"/>
    </row>
    <row r="217" spans="1:11" ht="36.75" thickBot="1">
      <c r="A217" s="18" t="s">
        <v>4383</v>
      </c>
      <c r="B217" s="18">
        <v>20002776982</v>
      </c>
      <c r="C217" s="18" t="s">
        <v>4384</v>
      </c>
      <c r="D217" s="19">
        <v>45439.695833333331</v>
      </c>
      <c r="E217" s="18" t="s">
        <v>10</v>
      </c>
      <c r="F217" s="18">
        <v>100</v>
      </c>
      <c r="G217" s="18" t="s">
        <v>10</v>
      </c>
      <c r="H217" s="18" t="s">
        <v>178</v>
      </c>
      <c r="I217" s="18" t="s">
        <v>10</v>
      </c>
      <c r="J217" s="18" t="s">
        <v>4017</v>
      </c>
      <c r="K217" s="20"/>
    </row>
    <row r="218" spans="1:11" ht="36.75" thickBot="1">
      <c r="A218" s="18" t="s">
        <v>4385</v>
      </c>
      <c r="B218" s="18">
        <v>20003289343</v>
      </c>
      <c r="C218" s="18" t="s">
        <v>4386</v>
      </c>
      <c r="D218" s="19">
        <v>45439.856944444444</v>
      </c>
      <c r="E218" s="18" t="s">
        <v>10</v>
      </c>
      <c r="F218" s="18">
        <v>200</v>
      </c>
      <c r="G218" s="18" t="s">
        <v>10</v>
      </c>
      <c r="H218" s="18" t="s">
        <v>178</v>
      </c>
      <c r="I218" s="18" t="s">
        <v>10</v>
      </c>
      <c r="J218" s="18" t="s">
        <v>4017</v>
      </c>
      <c r="K218" s="20"/>
    </row>
    <row r="219" spans="1:11" ht="54.75" thickBot="1">
      <c r="A219" s="18" t="s">
        <v>4387</v>
      </c>
      <c r="B219" s="18">
        <v>20003586404</v>
      </c>
      <c r="C219" s="18" t="s">
        <v>2316</v>
      </c>
      <c r="D219" s="19">
        <v>45439.931944444441</v>
      </c>
      <c r="E219" s="18" t="s">
        <v>10</v>
      </c>
      <c r="F219" s="18">
        <v>20</v>
      </c>
      <c r="G219" s="18" t="s">
        <v>10</v>
      </c>
      <c r="H219" s="18" t="s">
        <v>178</v>
      </c>
      <c r="I219" s="18" t="s">
        <v>10</v>
      </c>
      <c r="J219" s="18" t="s">
        <v>4017</v>
      </c>
      <c r="K219" s="20"/>
    </row>
    <row r="220" spans="1:11" ht="36.75" thickBot="1">
      <c r="A220" s="18" t="s">
        <v>4388</v>
      </c>
      <c r="B220" s="18">
        <v>20002893602</v>
      </c>
      <c r="C220" s="18" t="s">
        <v>4389</v>
      </c>
      <c r="D220" s="19">
        <v>45440.578472222223</v>
      </c>
      <c r="E220" s="18" t="s">
        <v>10</v>
      </c>
      <c r="F220" s="18">
        <v>60</v>
      </c>
      <c r="G220" s="18" t="s">
        <v>10</v>
      </c>
      <c r="H220" s="18" t="s">
        <v>178</v>
      </c>
      <c r="I220" s="18" t="s">
        <v>10</v>
      </c>
      <c r="J220" s="18" t="s">
        <v>4017</v>
      </c>
      <c r="K220" s="20"/>
    </row>
    <row r="221" spans="1:11" ht="36.75" thickBot="1">
      <c r="A221" s="18" t="s">
        <v>4390</v>
      </c>
      <c r="B221" s="18">
        <v>20020987730</v>
      </c>
      <c r="C221" s="18" t="s">
        <v>4391</v>
      </c>
      <c r="D221" s="19">
        <v>45440.675694444442</v>
      </c>
      <c r="E221" s="18" t="s">
        <v>10</v>
      </c>
      <c r="F221" s="18">
        <v>550</v>
      </c>
      <c r="G221" s="18" t="s">
        <v>10</v>
      </c>
      <c r="H221" s="18" t="s">
        <v>178</v>
      </c>
      <c r="I221" s="18" t="s">
        <v>10</v>
      </c>
      <c r="J221" s="18" t="s">
        <v>4017</v>
      </c>
      <c r="K221" s="20"/>
    </row>
    <row r="222" spans="1:11" ht="36.75" thickBot="1">
      <c r="A222" s="18" t="s">
        <v>4392</v>
      </c>
      <c r="B222" s="18">
        <v>20022576781</v>
      </c>
      <c r="C222" s="18" t="s">
        <v>4393</v>
      </c>
      <c r="D222" s="19">
        <v>45441.673611111109</v>
      </c>
      <c r="E222" s="18" t="s">
        <v>10</v>
      </c>
      <c r="F222" s="18">
        <v>300</v>
      </c>
      <c r="G222" s="18" t="s">
        <v>10</v>
      </c>
      <c r="H222" s="18" t="s">
        <v>178</v>
      </c>
      <c r="I222" s="18" t="s">
        <v>10</v>
      </c>
      <c r="J222" s="18" t="s">
        <v>4017</v>
      </c>
      <c r="K222" s="20"/>
    </row>
    <row r="223" spans="1:11" ht="36.75" thickBot="1">
      <c r="A223" s="18" t="s">
        <v>4394</v>
      </c>
      <c r="B223" s="18">
        <v>20017970140</v>
      </c>
      <c r="C223" s="18" t="s">
        <v>4322</v>
      </c>
      <c r="D223" s="19">
        <v>45441.81527777778</v>
      </c>
      <c r="E223" s="18" t="s">
        <v>10</v>
      </c>
      <c r="F223" s="18">
        <v>200</v>
      </c>
      <c r="G223" s="18" t="s">
        <v>10</v>
      </c>
      <c r="H223" s="18" t="s">
        <v>178</v>
      </c>
      <c r="I223" s="18" t="s">
        <v>10</v>
      </c>
      <c r="J223" s="18" t="s">
        <v>4017</v>
      </c>
      <c r="K223" s="20"/>
    </row>
    <row r="224" spans="1:11" ht="36.75" thickBot="1">
      <c r="A224" s="18" t="s">
        <v>4395</v>
      </c>
      <c r="B224" s="18">
        <v>20022637576</v>
      </c>
      <c r="C224" s="18" t="s">
        <v>4396</v>
      </c>
      <c r="D224" s="19">
        <v>45442.075694444444</v>
      </c>
      <c r="E224" s="18" t="s">
        <v>10</v>
      </c>
      <c r="F224" s="18">
        <v>40</v>
      </c>
      <c r="G224" s="18" t="s">
        <v>10</v>
      </c>
      <c r="H224" s="18" t="s">
        <v>178</v>
      </c>
      <c r="I224" s="18" t="s">
        <v>10</v>
      </c>
      <c r="J224" s="18" t="s">
        <v>4017</v>
      </c>
      <c r="K224" s="20"/>
    </row>
    <row r="225" spans="1:11" ht="36.75" thickBot="1">
      <c r="A225" s="18" t="s">
        <v>4397</v>
      </c>
      <c r="B225" s="18">
        <v>20002954023</v>
      </c>
      <c r="C225" s="18" t="s">
        <v>4396</v>
      </c>
      <c r="D225" s="19">
        <v>45442.088888888888</v>
      </c>
      <c r="E225" s="18" t="s">
        <v>10</v>
      </c>
      <c r="F225" s="18">
        <v>36</v>
      </c>
      <c r="G225" s="18" t="s">
        <v>10</v>
      </c>
      <c r="H225" s="18" t="s">
        <v>178</v>
      </c>
      <c r="I225" s="18" t="s">
        <v>10</v>
      </c>
      <c r="J225" s="18" t="s">
        <v>4017</v>
      </c>
      <c r="K225" s="20"/>
    </row>
    <row r="226" spans="1:11" ht="36.75" thickBot="1">
      <c r="A226" s="18" t="s">
        <v>4398</v>
      </c>
      <c r="B226" s="18">
        <v>20021583516</v>
      </c>
      <c r="C226" s="18" t="s">
        <v>4399</v>
      </c>
      <c r="D226" s="19">
        <v>45443.588194444441</v>
      </c>
      <c r="E226" s="18" t="s">
        <v>10</v>
      </c>
      <c r="F226" s="18">
        <v>350</v>
      </c>
      <c r="G226" s="18" t="s">
        <v>10</v>
      </c>
      <c r="H226" s="18" t="s">
        <v>178</v>
      </c>
      <c r="I226" s="18" t="s">
        <v>10</v>
      </c>
      <c r="J226" s="18" t="s">
        <v>4017</v>
      </c>
      <c r="K226" s="20"/>
    </row>
    <row r="227" spans="1:11" ht="36.75" thickBot="1">
      <c r="A227" s="18" t="s">
        <v>4400</v>
      </c>
      <c r="B227" s="18">
        <v>20025799649</v>
      </c>
      <c r="C227" s="18" t="s">
        <v>341</v>
      </c>
      <c r="D227" s="19">
        <v>45445.506944444445</v>
      </c>
      <c r="E227" s="18" t="s">
        <v>10</v>
      </c>
      <c r="F227" s="18">
        <v>50</v>
      </c>
      <c r="G227" s="18" t="s">
        <v>10</v>
      </c>
      <c r="H227" s="18" t="s">
        <v>178</v>
      </c>
      <c r="I227" s="18" t="s">
        <v>10</v>
      </c>
      <c r="J227" s="18" t="s">
        <v>4017</v>
      </c>
      <c r="K227" s="20"/>
    </row>
    <row r="228" spans="1:11" ht="36.75" thickBot="1">
      <c r="A228" s="18" t="s">
        <v>4401</v>
      </c>
      <c r="B228" s="18">
        <v>20023864367</v>
      </c>
      <c r="C228" s="18" t="s">
        <v>4402</v>
      </c>
      <c r="D228" s="19">
        <v>45446.520833333336</v>
      </c>
      <c r="E228" s="18" t="s">
        <v>10</v>
      </c>
      <c r="F228" s="18">
        <v>30</v>
      </c>
      <c r="G228" s="18" t="s">
        <v>10</v>
      </c>
      <c r="H228" s="18" t="s">
        <v>178</v>
      </c>
      <c r="I228" s="18" t="s">
        <v>10</v>
      </c>
      <c r="J228" s="18" t="s">
        <v>4017</v>
      </c>
      <c r="K228" s="20"/>
    </row>
    <row r="229" spans="1:11" ht="36.75" thickBot="1">
      <c r="A229" s="18" t="s">
        <v>4403</v>
      </c>
      <c r="B229" s="18">
        <v>20022907329</v>
      </c>
      <c r="C229" s="18" t="s">
        <v>4404</v>
      </c>
      <c r="D229" s="19">
        <v>45447.415972222225</v>
      </c>
      <c r="E229" s="18" t="s">
        <v>10</v>
      </c>
      <c r="F229" s="18">
        <v>50</v>
      </c>
      <c r="G229" s="18" t="s">
        <v>10</v>
      </c>
      <c r="H229" s="18" t="s">
        <v>178</v>
      </c>
      <c r="I229" s="18" t="s">
        <v>10</v>
      </c>
      <c r="J229" s="18" t="s">
        <v>4017</v>
      </c>
      <c r="K229" s="20"/>
    </row>
    <row r="230" spans="1:11" ht="36.75" thickBot="1">
      <c r="A230" s="18" t="s">
        <v>4405</v>
      </c>
      <c r="B230" s="18">
        <v>20017746322</v>
      </c>
      <c r="C230" s="18" t="s">
        <v>4406</v>
      </c>
      <c r="D230" s="19">
        <v>45447.620833333334</v>
      </c>
      <c r="E230" s="18" t="s">
        <v>10</v>
      </c>
      <c r="F230" s="18">
        <v>100</v>
      </c>
      <c r="G230" s="18" t="s">
        <v>10</v>
      </c>
      <c r="H230" s="18" t="s">
        <v>178</v>
      </c>
      <c r="I230" s="18" t="s">
        <v>10</v>
      </c>
      <c r="J230" s="18" t="s">
        <v>4017</v>
      </c>
      <c r="K230" s="20"/>
    </row>
    <row r="231" spans="1:11" ht="36.75" thickBot="1">
      <c r="A231" s="18" t="s">
        <v>4407</v>
      </c>
      <c r="B231" s="18">
        <v>20003483502</v>
      </c>
      <c r="C231" s="18" t="s">
        <v>4408</v>
      </c>
      <c r="D231" s="19">
        <v>45447.658333333333</v>
      </c>
      <c r="E231" s="18" t="s">
        <v>10</v>
      </c>
      <c r="F231" s="18">
        <v>220</v>
      </c>
      <c r="G231" s="18" t="s">
        <v>10</v>
      </c>
      <c r="H231" s="18" t="s">
        <v>178</v>
      </c>
      <c r="I231" s="18" t="s">
        <v>10</v>
      </c>
      <c r="J231" s="18" t="s">
        <v>4017</v>
      </c>
      <c r="K231" s="20"/>
    </row>
    <row r="232" spans="1:11" ht="36.75" thickBot="1">
      <c r="A232" s="18" t="s">
        <v>4409</v>
      </c>
      <c r="B232" s="18">
        <v>20002904209</v>
      </c>
      <c r="C232" s="18" t="s">
        <v>4336</v>
      </c>
      <c r="D232" s="19">
        <v>45447.684027777781</v>
      </c>
      <c r="E232" s="18" t="s">
        <v>10</v>
      </c>
      <c r="F232" s="18">
        <v>875</v>
      </c>
      <c r="G232" s="19">
        <v>45499.380555555559</v>
      </c>
      <c r="H232" s="18" t="s">
        <v>236</v>
      </c>
      <c r="I232" s="18" t="s">
        <v>10</v>
      </c>
      <c r="J232" s="18" t="s">
        <v>4017</v>
      </c>
      <c r="K232" s="20"/>
    </row>
    <row r="233" spans="1:11" ht="36.75" thickBot="1">
      <c r="A233" s="18" t="s">
        <v>4410</v>
      </c>
      <c r="B233" s="18">
        <v>20022421938</v>
      </c>
      <c r="C233" s="18" t="s">
        <v>4411</v>
      </c>
      <c r="D233" s="19">
        <v>45447.698611111111</v>
      </c>
      <c r="E233" s="18" t="s">
        <v>10</v>
      </c>
      <c r="F233" s="18">
        <v>800</v>
      </c>
      <c r="G233" s="18" t="s">
        <v>10</v>
      </c>
      <c r="H233" s="18" t="s">
        <v>178</v>
      </c>
      <c r="I233" s="18" t="s">
        <v>10</v>
      </c>
      <c r="J233" s="18" t="s">
        <v>4017</v>
      </c>
      <c r="K233" s="20"/>
    </row>
    <row r="234" spans="1:11" ht="36.75" thickBot="1">
      <c r="A234" s="18" t="s">
        <v>4412</v>
      </c>
      <c r="B234" s="18">
        <v>20003483911</v>
      </c>
      <c r="C234" s="18" t="s">
        <v>4413</v>
      </c>
      <c r="D234" s="19">
        <v>45448.45208333333</v>
      </c>
      <c r="E234" s="18" t="s">
        <v>10</v>
      </c>
      <c r="F234" s="18">
        <v>390</v>
      </c>
      <c r="G234" s="18" t="s">
        <v>10</v>
      </c>
      <c r="H234" s="18" t="s">
        <v>178</v>
      </c>
      <c r="I234" s="18" t="s">
        <v>10</v>
      </c>
      <c r="J234" s="18" t="s">
        <v>4017</v>
      </c>
      <c r="K234" s="20"/>
    </row>
    <row r="235" spans="1:11" ht="36.75" thickBot="1">
      <c r="A235" s="18" t="s">
        <v>4414</v>
      </c>
      <c r="B235" s="18">
        <v>20017786125</v>
      </c>
      <c r="C235" s="18" t="s">
        <v>4415</v>
      </c>
      <c r="D235" s="19">
        <v>45448.542361111111</v>
      </c>
      <c r="E235" s="18" t="s">
        <v>10</v>
      </c>
      <c r="F235" s="18">
        <v>480</v>
      </c>
      <c r="G235" s="18" t="s">
        <v>10</v>
      </c>
      <c r="H235" s="18" t="s">
        <v>178</v>
      </c>
      <c r="I235" s="18" t="s">
        <v>10</v>
      </c>
      <c r="J235" s="18" t="s">
        <v>4017</v>
      </c>
      <c r="K235" s="20"/>
    </row>
    <row r="236" spans="1:11" ht="36.75" thickBot="1">
      <c r="A236" s="18" t="s">
        <v>4416</v>
      </c>
      <c r="B236" s="18">
        <v>20003042988</v>
      </c>
      <c r="C236" s="18" t="s">
        <v>4415</v>
      </c>
      <c r="D236" s="19">
        <v>45448.557638888888</v>
      </c>
      <c r="E236" s="18" t="s">
        <v>10</v>
      </c>
      <c r="F236" s="18">
        <v>350</v>
      </c>
      <c r="G236" s="18" t="s">
        <v>10</v>
      </c>
      <c r="H236" s="18" t="s">
        <v>178</v>
      </c>
      <c r="I236" s="18" t="s">
        <v>10</v>
      </c>
      <c r="J236" s="18" t="s">
        <v>4017</v>
      </c>
      <c r="K236" s="20"/>
    </row>
    <row r="237" spans="1:11" ht="36.75" thickBot="1">
      <c r="A237" s="18" t="s">
        <v>4417</v>
      </c>
      <c r="B237" s="18">
        <v>20018162107</v>
      </c>
      <c r="C237" s="18" t="s">
        <v>4418</v>
      </c>
      <c r="D237" s="19">
        <v>45448.632638888892</v>
      </c>
      <c r="E237" s="18" t="s">
        <v>10</v>
      </c>
      <c r="F237" s="18">
        <v>60</v>
      </c>
      <c r="G237" s="18" t="s">
        <v>10</v>
      </c>
      <c r="H237" s="18" t="s">
        <v>178</v>
      </c>
      <c r="I237" s="18" t="s">
        <v>10</v>
      </c>
      <c r="J237" s="18" t="s">
        <v>4017</v>
      </c>
      <c r="K237" s="20"/>
    </row>
    <row r="238" spans="1:11" ht="36.75" thickBot="1">
      <c r="A238" s="18" t="s">
        <v>4419</v>
      </c>
      <c r="B238" s="18">
        <v>20022772478</v>
      </c>
      <c r="C238" s="18" t="s">
        <v>4420</v>
      </c>
      <c r="D238" s="19">
        <v>45448.760416666664</v>
      </c>
      <c r="E238" s="18" t="s">
        <v>10</v>
      </c>
      <c r="F238" s="18">
        <v>770</v>
      </c>
      <c r="G238" s="18" t="s">
        <v>10</v>
      </c>
      <c r="H238" s="18" t="s">
        <v>178</v>
      </c>
      <c r="I238" s="18" t="s">
        <v>10</v>
      </c>
      <c r="J238" s="18" t="s">
        <v>4017</v>
      </c>
      <c r="K238" s="20"/>
    </row>
    <row r="239" spans="1:11" ht="36.75" thickBot="1">
      <c r="A239" s="18" t="s">
        <v>4421</v>
      </c>
      <c r="B239" s="18">
        <v>20003497850</v>
      </c>
      <c r="C239" s="18" t="s">
        <v>4422</v>
      </c>
      <c r="D239" s="19">
        <v>45449.409722222219</v>
      </c>
      <c r="E239" s="18" t="s">
        <v>10</v>
      </c>
      <c r="F239" s="18">
        <v>36</v>
      </c>
      <c r="G239" s="18" t="s">
        <v>10</v>
      </c>
      <c r="H239" s="18" t="s">
        <v>178</v>
      </c>
      <c r="I239" s="18" t="s">
        <v>10</v>
      </c>
      <c r="J239" s="18" t="s">
        <v>4017</v>
      </c>
      <c r="K239" s="20"/>
    </row>
    <row r="240" spans="1:11" ht="36.75" thickBot="1">
      <c r="A240" s="18" t="s">
        <v>4423</v>
      </c>
      <c r="B240" s="18">
        <v>20019622628</v>
      </c>
      <c r="C240" s="18" t="s">
        <v>4424</v>
      </c>
      <c r="D240" s="19">
        <v>45327.690972222219</v>
      </c>
      <c r="E240" s="19">
        <v>45449.448611111111</v>
      </c>
      <c r="F240" s="18">
        <v>550</v>
      </c>
      <c r="G240" s="18" t="s">
        <v>10</v>
      </c>
      <c r="H240" s="18" t="s">
        <v>178</v>
      </c>
      <c r="I240" s="18" t="s">
        <v>10</v>
      </c>
      <c r="J240" s="18" t="s">
        <v>4017</v>
      </c>
      <c r="K240" s="20"/>
    </row>
    <row r="241" spans="1:11" ht="36.75" thickBot="1">
      <c r="A241" s="18" t="s">
        <v>4425</v>
      </c>
      <c r="B241" s="18">
        <v>20003289392</v>
      </c>
      <c r="C241" s="18" t="s">
        <v>4426</v>
      </c>
      <c r="D241" s="19">
        <v>45449.45208333333</v>
      </c>
      <c r="E241" s="18" t="s">
        <v>10</v>
      </c>
      <c r="F241" s="18">
        <v>30</v>
      </c>
      <c r="G241" s="18" t="s">
        <v>10</v>
      </c>
      <c r="H241" s="18" t="s">
        <v>178</v>
      </c>
      <c r="I241" s="18" t="s">
        <v>10</v>
      </c>
      <c r="J241" s="18" t="s">
        <v>4017</v>
      </c>
      <c r="K241" s="20"/>
    </row>
    <row r="242" spans="1:11" ht="36.75" thickBot="1">
      <c r="A242" s="18" t="s">
        <v>4427</v>
      </c>
      <c r="B242" s="18">
        <v>20020592540</v>
      </c>
      <c r="C242" s="18" t="s">
        <v>4428</v>
      </c>
      <c r="D242" s="19">
        <v>45449.711111111108</v>
      </c>
      <c r="E242" s="18" t="s">
        <v>10</v>
      </c>
      <c r="F242" s="18">
        <v>80</v>
      </c>
      <c r="G242" s="18" t="s">
        <v>10</v>
      </c>
      <c r="H242" s="18" t="s">
        <v>178</v>
      </c>
      <c r="I242" s="18" t="s">
        <v>10</v>
      </c>
      <c r="J242" s="18" t="s">
        <v>4017</v>
      </c>
      <c r="K242" s="20"/>
    </row>
    <row r="243" spans="1:11" ht="36.75" thickBot="1">
      <c r="A243" s="18" t="s">
        <v>4429</v>
      </c>
      <c r="B243" s="18">
        <v>20003243467</v>
      </c>
      <c r="C243" s="18" t="s">
        <v>4217</v>
      </c>
      <c r="D243" s="19">
        <v>45450.431250000001</v>
      </c>
      <c r="E243" s="18" t="s">
        <v>10</v>
      </c>
      <c r="F243" s="18">
        <v>800</v>
      </c>
      <c r="G243" s="18" t="s">
        <v>10</v>
      </c>
      <c r="H243" s="18" t="s">
        <v>178</v>
      </c>
      <c r="I243" s="18" t="s">
        <v>10</v>
      </c>
      <c r="J243" s="18" t="s">
        <v>4017</v>
      </c>
      <c r="K243" s="20"/>
    </row>
    <row r="244" spans="1:11" ht="36.75" thickBot="1">
      <c r="A244" s="18" t="s">
        <v>4430</v>
      </c>
      <c r="B244" s="18">
        <v>20021895819</v>
      </c>
      <c r="C244" s="18" t="s">
        <v>4431</v>
      </c>
      <c r="D244" s="19">
        <v>45450.631249999999</v>
      </c>
      <c r="E244" s="18" t="s">
        <v>10</v>
      </c>
      <c r="F244" s="18">
        <v>150</v>
      </c>
      <c r="G244" s="18" t="s">
        <v>10</v>
      </c>
      <c r="H244" s="18" t="s">
        <v>178</v>
      </c>
      <c r="I244" s="18" t="s">
        <v>10</v>
      </c>
      <c r="J244" s="18" t="s">
        <v>4017</v>
      </c>
      <c r="K244" s="20"/>
    </row>
    <row r="245" spans="1:11" ht="54.75" thickBot="1">
      <c r="A245" s="18" t="s">
        <v>4432</v>
      </c>
      <c r="B245" s="18">
        <v>20021357590</v>
      </c>
      <c r="C245" s="18" t="s">
        <v>4433</v>
      </c>
      <c r="D245" s="19">
        <v>45450.663194444445</v>
      </c>
      <c r="E245" s="18" t="s">
        <v>10</v>
      </c>
      <c r="F245" s="18">
        <v>150</v>
      </c>
      <c r="G245" s="18" t="s">
        <v>10</v>
      </c>
      <c r="H245" s="18" t="s">
        <v>178</v>
      </c>
      <c r="I245" s="18" t="s">
        <v>10</v>
      </c>
      <c r="J245" s="18" t="s">
        <v>4017</v>
      </c>
      <c r="K245" s="20"/>
    </row>
    <row r="246" spans="1:11" ht="36.75" thickBot="1">
      <c r="A246" s="18" t="s">
        <v>4434</v>
      </c>
      <c r="B246" s="18">
        <v>20003209369</v>
      </c>
      <c r="C246" s="18" t="s">
        <v>4435</v>
      </c>
      <c r="D246" s="19">
        <v>45450.790972222225</v>
      </c>
      <c r="E246" s="18" t="s">
        <v>10</v>
      </c>
      <c r="F246" s="18">
        <v>975</v>
      </c>
      <c r="G246" s="18" t="s">
        <v>10</v>
      </c>
      <c r="H246" s="18" t="s">
        <v>178</v>
      </c>
      <c r="I246" s="18" t="s">
        <v>10</v>
      </c>
      <c r="J246" s="18" t="s">
        <v>4017</v>
      </c>
      <c r="K246" s="20"/>
    </row>
    <row r="247" spans="1:11" ht="36.75" thickBot="1">
      <c r="A247" s="18" t="s">
        <v>4436</v>
      </c>
      <c r="B247" s="18">
        <v>20022970533</v>
      </c>
      <c r="C247" s="18" t="s">
        <v>4437</v>
      </c>
      <c r="D247" s="19">
        <v>45453.393750000003</v>
      </c>
      <c r="E247" s="18" t="s">
        <v>10</v>
      </c>
      <c r="F247" s="18">
        <v>180</v>
      </c>
      <c r="G247" s="18" t="s">
        <v>10</v>
      </c>
      <c r="H247" s="18" t="s">
        <v>178</v>
      </c>
      <c r="I247" s="18" t="s">
        <v>10</v>
      </c>
      <c r="J247" s="18" t="s">
        <v>4017</v>
      </c>
      <c r="K247" s="20"/>
    </row>
    <row r="248" spans="1:11" ht="36.75" thickBot="1">
      <c r="A248" s="18" t="s">
        <v>4438</v>
      </c>
      <c r="B248" s="18">
        <v>20019912949</v>
      </c>
      <c r="C248" s="18" t="s">
        <v>543</v>
      </c>
      <c r="D248" s="19">
        <v>45454.484722222223</v>
      </c>
      <c r="E248" s="18" t="s">
        <v>10</v>
      </c>
      <c r="F248" s="18">
        <v>10</v>
      </c>
      <c r="G248" s="18" t="s">
        <v>10</v>
      </c>
      <c r="H248" s="18" t="s">
        <v>178</v>
      </c>
      <c r="I248" s="18" t="s">
        <v>10</v>
      </c>
      <c r="J248" s="18" t="s">
        <v>4017</v>
      </c>
      <c r="K248" s="20"/>
    </row>
    <row r="249" spans="1:11" ht="36.75" thickBot="1">
      <c r="A249" s="18" t="s">
        <v>4439</v>
      </c>
      <c r="B249" s="18">
        <v>20021350838</v>
      </c>
      <c r="C249" s="18" t="s">
        <v>4440</v>
      </c>
      <c r="D249" s="19">
        <v>45454.599305555559</v>
      </c>
      <c r="E249" s="18" t="s">
        <v>10</v>
      </c>
      <c r="F249" s="18">
        <v>175</v>
      </c>
      <c r="G249" s="18" t="s">
        <v>10</v>
      </c>
      <c r="H249" s="18" t="s">
        <v>178</v>
      </c>
      <c r="I249" s="18" t="s">
        <v>10</v>
      </c>
      <c r="J249" s="18" t="s">
        <v>4017</v>
      </c>
      <c r="K249" s="20"/>
    </row>
    <row r="250" spans="1:11" ht="36.75" thickBot="1">
      <c r="A250" s="18" t="s">
        <v>4441</v>
      </c>
      <c r="B250" s="18">
        <v>20003497850</v>
      </c>
      <c r="C250" s="18" t="s">
        <v>4422</v>
      </c>
      <c r="D250" s="19">
        <v>45454.609027777777</v>
      </c>
      <c r="E250" s="18" t="s">
        <v>10</v>
      </c>
      <c r="F250" s="18">
        <v>36</v>
      </c>
      <c r="G250" s="18" t="s">
        <v>10</v>
      </c>
      <c r="H250" s="18" t="s">
        <v>178</v>
      </c>
      <c r="I250" s="18" t="s">
        <v>10</v>
      </c>
      <c r="J250" s="18" t="s">
        <v>4017</v>
      </c>
      <c r="K250" s="20"/>
    </row>
    <row r="251" spans="1:11" ht="36.75" thickBot="1">
      <c r="A251" s="18" t="s">
        <v>4442</v>
      </c>
      <c r="B251" s="18">
        <v>20003310663</v>
      </c>
      <c r="C251" s="18" t="s">
        <v>4443</v>
      </c>
      <c r="D251" s="19">
        <v>45339.750694444447</v>
      </c>
      <c r="E251" s="19">
        <v>45455.977777777778</v>
      </c>
      <c r="F251" s="18">
        <v>150</v>
      </c>
      <c r="G251" s="18" t="s">
        <v>10</v>
      </c>
      <c r="H251" s="18" t="s">
        <v>189</v>
      </c>
      <c r="I251" s="18" t="s">
        <v>10</v>
      </c>
      <c r="J251" s="18" t="s">
        <v>4017</v>
      </c>
      <c r="K251" s="20"/>
    </row>
    <row r="252" spans="1:11" ht="36.75" thickBot="1">
      <c r="A252" s="18" t="s">
        <v>4444</v>
      </c>
      <c r="B252" s="18">
        <v>20002776982</v>
      </c>
      <c r="C252" s="18" t="s">
        <v>4384</v>
      </c>
      <c r="D252" s="19">
        <v>45456.431944444441</v>
      </c>
      <c r="E252" s="18" t="s">
        <v>10</v>
      </c>
      <c r="F252" s="18">
        <v>100</v>
      </c>
      <c r="G252" s="18" t="s">
        <v>10</v>
      </c>
      <c r="H252" s="18" t="s">
        <v>178</v>
      </c>
      <c r="I252" s="18" t="s">
        <v>10</v>
      </c>
      <c r="J252" s="18" t="s">
        <v>4017</v>
      </c>
      <c r="K252" s="20"/>
    </row>
    <row r="253" spans="1:11" ht="36.75" thickBot="1">
      <c r="A253" s="18" t="s">
        <v>4445</v>
      </c>
      <c r="B253" s="18">
        <v>20002786479</v>
      </c>
      <c r="C253" s="18" t="s">
        <v>219</v>
      </c>
      <c r="D253" s="19">
        <v>45334.623611111114</v>
      </c>
      <c r="E253" s="19">
        <v>45456.473611111112</v>
      </c>
      <c r="F253" s="18">
        <v>15</v>
      </c>
      <c r="G253" s="18" t="s">
        <v>10</v>
      </c>
      <c r="H253" s="18" t="s">
        <v>178</v>
      </c>
      <c r="I253" s="18" t="s">
        <v>10</v>
      </c>
      <c r="J253" s="18" t="s">
        <v>4017</v>
      </c>
      <c r="K253" s="20"/>
    </row>
    <row r="254" spans="1:11" ht="36.75" thickBot="1">
      <c r="A254" s="18" t="s">
        <v>4446</v>
      </c>
      <c r="B254" s="18">
        <v>20022512765</v>
      </c>
      <c r="C254" s="18" t="s">
        <v>4447</v>
      </c>
      <c r="D254" s="19">
        <v>45456.563194444447</v>
      </c>
      <c r="E254" s="18" t="s">
        <v>10</v>
      </c>
      <c r="F254" s="18">
        <v>100</v>
      </c>
      <c r="G254" s="18" t="s">
        <v>10</v>
      </c>
      <c r="H254" s="18" t="s">
        <v>178</v>
      </c>
      <c r="I254" s="18" t="s">
        <v>10</v>
      </c>
      <c r="J254" s="18" t="s">
        <v>4017</v>
      </c>
      <c r="K254" s="20"/>
    </row>
    <row r="255" spans="1:11" ht="36.75" thickBot="1">
      <c r="A255" s="18" t="s">
        <v>4448</v>
      </c>
      <c r="B255" s="18">
        <v>20017861884</v>
      </c>
      <c r="C255" s="18" t="s">
        <v>4449</v>
      </c>
      <c r="D255" s="19">
        <v>45456.598611111112</v>
      </c>
      <c r="E255" s="18" t="s">
        <v>10</v>
      </c>
      <c r="F255" s="18">
        <v>550</v>
      </c>
      <c r="G255" s="18" t="s">
        <v>10</v>
      </c>
      <c r="H255" s="18" t="s">
        <v>178</v>
      </c>
      <c r="I255" s="18" t="s">
        <v>10</v>
      </c>
      <c r="J255" s="18" t="s">
        <v>4017</v>
      </c>
      <c r="K255" s="20"/>
    </row>
    <row r="256" spans="1:11" ht="36.75" thickBot="1">
      <c r="A256" s="18" t="s">
        <v>4450</v>
      </c>
      <c r="B256" s="18">
        <v>20017958823</v>
      </c>
      <c r="C256" s="18" t="s">
        <v>4451</v>
      </c>
      <c r="D256" s="19">
        <v>45456.654861111114</v>
      </c>
      <c r="E256" s="18" t="s">
        <v>10</v>
      </c>
      <c r="F256" s="18">
        <v>150</v>
      </c>
      <c r="G256" s="18" t="s">
        <v>10</v>
      </c>
      <c r="H256" s="18" t="s">
        <v>178</v>
      </c>
      <c r="I256" s="18" t="s">
        <v>10</v>
      </c>
      <c r="J256" s="18" t="s">
        <v>4017</v>
      </c>
      <c r="K256" s="20"/>
    </row>
    <row r="257" spans="1:11" ht="36.75" thickBot="1">
      <c r="A257" s="18" t="s">
        <v>4452</v>
      </c>
      <c r="B257" s="18">
        <v>20021344201</v>
      </c>
      <c r="C257" s="18" t="s">
        <v>4453</v>
      </c>
      <c r="D257" s="19">
        <v>45350.488194444442</v>
      </c>
      <c r="E257" s="19">
        <v>45456.708333333336</v>
      </c>
      <c r="F257" s="18">
        <v>250</v>
      </c>
      <c r="G257" s="18" t="s">
        <v>10</v>
      </c>
      <c r="H257" s="18" t="s">
        <v>178</v>
      </c>
      <c r="I257" s="18" t="s">
        <v>10</v>
      </c>
      <c r="J257" s="18" t="s">
        <v>4017</v>
      </c>
      <c r="K257" s="20"/>
    </row>
    <row r="258" spans="1:11" ht="54.75" thickBot="1">
      <c r="A258" s="18" t="s">
        <v>4454</v>
      </c>
      <c r="B258" s="18">
        <v>20003561202</v>
      </c>
      <c r="C258" s="18" t="s">
        <v>4455</v>
      </c>
      <c r="D258" s="19">
        <v>45456.723611111112</v>
      </c>
      <c r="E258" s="18" t="s">
        <v>10</v>
      </c>
      <c r="F258" s="18">
        <v>300</v>
      </c>
      <c r="G258" s="18" t="s">
        <v>10</v>
      </c>
      <c r="H258" s="18" t="s">
        <v>178</v>
      </c>
      <c r="I258" s="18" t="s">
        <v>10</v>
      </c>
      <c r="J258" s="18" t="s">
        <v>4017</v>
      </c>
      <c r="K258" s="20"/>
    </row>
    <row r="259" spans="1:11" ht="36.75" thickBot="1">
      <c r="A259" s="18" t="s">
        <v>4456</v>
      </c>
      <c r="B259" s="18">
        <v>20020972689</v>
      </c>
      <c r="C259" s="18" t="s">
        <v>4457</v>
      </c>
      <c r="D259" s="19">
        <v>45457.415972222225</v>
      </c>
      <c r="E259" s="18" t="s">
        <v>10</v>
      </c>
      <c r="F259" s="18">
        <v>400</v>
      </c>
      <c r="G259" s="18" t="s">
        <v>10</v>
      </c>
      <c r="H259" s="18" t="s">
        <v>178</v>
      </c>
      <c r="I259" s="18" t="s">
        <v>10</v>
      </c>
      <c r="J259" s="18" t="s">
        <v>4017</v>
      </c>
      <c r="K259" s="20"/>
    </row>
    <row r="260" spans="1:11" ht="36.75" thickBot="1">
      <c r="A260" s="18" t="s">
        <v>4458</v>
      </c>
      <c r="B260" s="18">
        <v>20020801070</v>
      </c>
      <c r="C260" s="18" t="s">
        <v>4138</v>
      </c>
      <c r="D260" s="19">
        <v>45457.490972222222</v>
      </c>
      <c r="E260" s="18" t="s">
        <v>10</v>
      </c>
      <c r="F260" s="18">
        <v>150</v>
      </c>
      <c r="G260" s="18" t="s">
        <v>10</v>
      </c>
      <c r="H260" s="18" t="s">
        <v>178</v>
      </c>
      <c r="I260" s="18" t="s">
        <v>10</v>
      </c>
      <c r="J260" s="18" t="s">
        <v>4017</v>
      </c>
      <c r="K260" s="20"/>
    </row>
    <row r="261" spans="1:11" ht="36.75" thickBot="1">
      <c r="A261" s="18" t="s">
        <v>4459</v>
      </c>
      <c r="B261" s="18">
        <v>20017601602</v>
      </c>
      <c r="C261" s="18" t="s">
        <v>4460</v>
      </c>
      <c r="D261" s="19">
        <v>45457.495138888888</v>
      </c>
      <c r="E261" s="18" t="s">
        <v>10</v>
      </c>
      <c r="F261" s="18">
        <v>330</v>
      </c>
      <c r="G261" s="18" t="s">
        <v>10</v>
      </c>
      <c r="H261" s="18" t="s">
        <v>178</v>
      </c>
      <c r="I261" s="18" t="s">
        <v>10</v>
      </c>
      <c r="J261" s="18" t="s">
        <v>4017</v>
      </c>
      <c r="K261" s="20"/>
    </row>
    <row r="262" spans="1:11" ht="36.75" thickBot="1">
      <c r="A262" s="18" t="s">
        <v>4461</v>
      </c>
      <c r="B262" s="18">
        <v>20020987730</v>
      </c>
      <c r="C262" s="18" t="s">
        <v>4391</v>
      </c>
      <c r="D262" s="19">
        <v>45457.630555555559</v>
      </c>
      <c r="E262" s="18" t="s">
        <v>10</v>
      </c>
      <c r="F262" s="18">
        <v>550</v>
      </c>
      <c r="G262" s="18" t="s">
        <v>10</v>
      </c>
      <c r="H262" s="18" t="s">
        <v>178</v>
      </c>
      <c r="I262" s="18" t="s">
        <v>10</v>
      </c>
      <c r="J262" s="18" t="s">
        <v>4017</v>
      </c>
      <c r="K262" s="20"/>
    </row>
    <row r="263" spans="1:11" ht="36.75" thickBot="1">
      <c r="A263" s="18" t="s">
        <v>4462</v>
      </c>
      <c r="B263" s="18">
        <v>20017896427</v>
      </c>
      <c r="C263" s="18" t="s">
        <v>4463</v>
      </c>
      <c r="D263" s="19">
        <v>45457.688888888886</v>
      </c>
      <c r="E263" s="18" t="s">
        <v>10</v>
      </c>
      <c r="F263" s="18">
        <v>180</v>
      </c>
      <c r="G263" s="18" t="s">
        <v>10</v>
      </c>
      <c r="H263" s="18" t="s">
        <v>178</v>
      </c>
      <c r="I263" s="18" t="s">
        <v>10</v>
      </c>
      <c r="J263" s="18" t="s">
        <v>4017</v>
      </c>
      <c r="K263" s="20"/>
    </row>
    <row r="264" spans="1:11" ht="36.75" thickBot="1">
      <c r="A264" s="18" t="s">
        <v>4464</v>
      </c>
      <c r="B264" s="18">
        <v>20002939222</v>
      </c>
      <c r="C264" s="18" t="s">
        <v>4465</v>
      </c>
      <c r="D264" s="19">
        <v>45351.574305555558</v>
      </c>
      <c r="E264" s="19">
        <v>45458.51666666667</v>
      </c>
      <c r="F264" s="18">
        <v>200</v>
      </c>
      <c r="G264" s="18" t="s">
        <v>10</v>
      </c>
      <c r="H264" s="18" t="s">
        <v>178</v>
      </c>
      <c r="I264" s="18" t="s">
        <v>10</v>
      </c>
      <c r="J264" s="18" t="s">
        <v>4017</v>
      </c>
      <c r="K264" s="20"/>
    </row>
    <row r="265" spans="1:11" ht="36.75" thickBot="1">
      <c r="A265" s="18" t="s">
        <v>4466</v>
      </c>
      <c r="B265" s="18">
        <v>20023770666</v>
      </c>
      <c r="C265" s="18" t="s">
        <v>4467</v>
      </c>
      <c r="D265" s="19">
        <v>45349.615972222222</v>
      </c>
      <c r="E265" s="19">
        <v>45458.572222222225</v>
      </c>
      <c r="F265" s="18">
        <v>150</v>
      </c>
      <c r="G265" s="18" t="s">
        <v>10</v>
      </c>
      <c r="H265" s="18" t="s">
        <v>178</v>
      </c>
      <c r="I265" s="18" t="s">
        <v>10</v>
      </c>
      <c r="J265" s="18" t="s">
        <v>4017</v>
      </c>
      <c r="K265" s="20"/>
    </row>
    <row r="266" spans="1:11" ht="36.75" thickBot="1">
      <c r="A266" s="18" t="s">
        <v>4468</v>
      </c>
      <c r="B266" s="18">
        <v>20003598350</v>
      </c>
      <c r="C266" s="18" t="s">
        <v>4469</v>
      </c>
      <c r="D266" s="19">
        <v>45458.644444444442</v>
      </c>
      <c r="E266" s="18" t="s">
        <v>10</v>
      </c>
      <c r="F266" s="18">
        <v>960</v>
      </c>
      <c r="G266" s="18" t="s">
        <v>10</v>
      </c>
      <c r="H266" s="18" t="s">
        <v>178</v>
      </c>
      <c r="I266" s="18" t="s">
        <v>10</v>
      </c>
      <c r="J266" s="18" t="s">
        <v>4017</v>
      </c>
      <c r="K266" s="20"/>
    </row>
    <row r="267" spans="1:11" ht="36.75" thickBot="1">
      <c r="A267" s="18" t="s">
        <v>4470</v>
      </c>
      <c r="B267" s="18">
        <v>20003635511</v>
      </c>
      <c r="C267" s="18" t="s">
        <v>2008</v>
      </c>
      <c r="D267" s="19">
        <v>45460.571527777778</v>
      </c>
      <c r="E267" s="18" t="s">
        <v>10</v>
      </c>
      <c r="F267" s="18">
        <v>30</v>
      </c>
      <c r="G267" s="19">
        <v>45509.642361111109</v>
      </c>
      <c r="H267" s="18" t="s">
        <v>236</v>
      </c>
      <c r="I267" s="18" t="s">
        <v>10</v>
      </c>
      <c r="J267" s="18" t="s">
        <v>4017</v>
      </c>
      <c r="K267" s="20"/>
    </row>
    <row r="268" spans="1:11" ht="36.75" thickBot="1">
      <c r="A268" s="18" t="s">
        <v>4471</v>
      </c>
      <c r="B268" s="18">
        <v>20003476979</v>
      </c>
      <c r="C268" s="18" t="s">
        <v>4472</v>
      </c>
      <c r="D268" s="19">
        <v>45460.630555555559</v>
      </c>
      <c r="E268" s="18" t="s">
        <v>10</v>
      </c>
      <c r="F268" s="18">
        <v>250</v>
      </c>
      <c r="G268" s="18" t="s">
        <v>10</v>
      </c>
      <c r="H268" s="18" t="s">
        <v>178</v>
      </c>
      <c r="I268" s="18" t="s">
        <v>10</v>
      </c>
      <c r="J268" s="18" t="s">
        <v>4017</v>
      </c>
      <c r="K268" s="20"/>
    </row>
    <row r="269" spans="1:11" ht="36.75" thickBot="1">
      <c r="A269" s="18" t="s">
        <v>4473</v>
      </c>
      <c r="B269" s="18">
        <v>20003652264</v>
      </c>
      <c r="C269" s="18" t="s">
        <v>4474</v>
      </c>
      <c r="D269" s="19">
        <v>45352.643055555556</v>
      </c>
      <c r="E269" s="19">
        <v>45461.45</v>
      </c>
      <c r="F269" s="18">
        <v>30</v>
      </c>
      <c r="G269" s="18" t="s">
        <v>10</v>
      </c>
      <c r="H269" s="18" t="s">
        <v>178</v>
      </c>
      <c r="I269" s="18" t="s">
        <v>10</v>
      </c>
      <c r="J269" s="18" t="s">
        <v>4017</v>
      </c>
      <c r="K269" s="20"/>
    </row>
    <row r="270" spans="1:11" ht="36.75" thickBot="1">
      <c r="A270" s="18" t="s">
        <v>4475</v>
      </c>
      <c r="B270" s="18">
        <v>20026429812</v>
      </c>
      <c r="C270" s="18" t="s">
        <v>4476</v>
      </c>
      <c r="D270" s="19">
        <v>45461.597916666666</v>
      </c>
      <c r="E270" s="18" t="s">
        <v>10</v>
      </c>
      <c r="F270" s="18">
        <v>125</v>
      </c>
      <c r="G270" s="18" t="s">
        <v>10</v>
      </c>
      <c r="H270" s="18" t="s">
        <v>178</v>
      </c>
      <c r="I270" s="18" t="s">
        <v>10</v>
      </c>
      <c r="J270" s="18" t="s">
        <v>4017</v>
      </c>
      <c r="K270" s="20"/>
    </row>
    <row r="271" spans="1:11" ht="36.75" thickBot="1">
      <c r="A271" s="18" t="s">
        <v>4477</v>
      </c>
      <c r="B271" s="18">
        <v>20003215484</v>
      </c>
      <c r="C271" s="18" t="s">
        <v>4478</v>
      </c>
      <c r="D271" s="19">
        <v>45461.611805555556</v>
      </c>
      <c r="E271" s="18" t="s">
        <v>10</v>
      </c>
      <c r="F271" s="18">
        <v>220</v>
      </c>
      <c r="G271" s="18" t="s">
        <v>10</v>
      </c>
      <c r="H271" s="18" t="s">
        <v>178</v>
      </c>
      <c r="I271" s="18" t="s">
        <v>10</v>
      </c>
      <c r="J271" s="18" t="s">
        <v>4017</v>
      </c>
      <c r="K271" s="20"/>
    </row>
    <row r="272" spans="1:11" ht="36.75" thickBot="1">
      <c r="A272" s="18" t="s">
        <v>4479</v>
      </c>
      <c r="B272" s="18">
        <v>20003338223</v>
      </c>
      <c r="C272" s="18" t="s">
        <v>4051</v>
      </c>
      <c r="D272" s="19">
        <v>45426.775000000001</v>
      </c>
      <c r="E272" s="19">
        <v>45461.9</v>
      </c>
      <c r="F272" s="18">
        <v>800</v>
      </c>
      <c r="G272" s="18" t="s">
        <v>10</v>
      </c>
      <c r="H272" s="18" t="s">
        <v>178</v>
      </c>
      <c r="I272" s="18" t="s">
        <v>10</v>
      </c>
      <c r="J272" s="18" t="s">
        <v>4017</v>
      </c>
      <c r="K272" s="20"/>
    </row>
    <row r="273" spans="1:11" ht="36.75" thickBot="1">
      <c r="A273" s="18" t="s">
        <v>4480</v>
      </c>
      <c r="B273" s="18">
        <v>20021986711</v>
      </c>
      <c r="C273" s="18" t="s">
        <v>4481</v>
      </c>
      <c r="D273" s="19">
        <v>45462.431250000001</v>
      </c>
      <c r="E273" s="18" t="s">
        <v>10</v>
      </c>
      <c r="F273" s="18">
        <v>200</v>
      </c>
      <c r="G273" s="18" t="s">
        <v>10</v>
      </c>
      <c r="H273" s="18" t="s">
        <v>178</v>
      </c>
      <c r="I273" s="18" t="s">
        <v>10</v>
      </c>
      <c r="J273" s="18" t="s">
        <v>4017</v>
      </c>
      <c r="K273" s="20"/>
    </row>
    <row r="274" spans="1:11" ht="36.75" thickBot="1">
      <c r="A274" s="18" t="s">
        <v>4482</v>
      </c>
      <c r="B274" s="18">
        <v>20022996872</v>
      </c>
      <c r="C274" s="18" t="s">
        <v>4483</v>
      </c>
      <c r="D274" s="19">
        <v>45345.595138888886</v>
      </c>
      <c r="E274" s="19">
        <v>45463.470833333333</v>
      </c>
      <c r="F274" s="18">
        <v>50</v>
      </c>
      <c r="G274" s="18" t="s">
        <v>10</v>
      </c>
      <c r="H274" s="18" t="s">
        <v>178</v>
      </c>
      <c r="I274" s="18" t="s">
        <v>10</v>
      </c>
      <c r="J274" s="18" t="s">
        <v>4017</v>
      </c>
      <c r="K274" s="20"/>
    </row>
    <row r="275" spans="1:11" ht="36.75" thickBot="1">
      <c r="A275" s="18" t="s">
        <v>4484</v>
      </c>
      <c r="B275" s="18">
        <v>20023543126</v>
      </c>
      <c r="C275" s="18" t="s">
        <v>4485</v>
      </c>
      <c r="D275" s="19">
        <v>45464.545138888891</v>
      </c>
      <c r="E275" s="18" t="s">
        <v>10</v>
      </c>
      <c r="F275" s="18">
        <v>150</v>
      </c>
      <c r="G275" s="18" t="s">
        <v>10</v>
      </c>
      <c r="H275" s="18" t="s">
        <v>178</v>
      </c>
      <c r="I275" s="18" t="s">
        <v>10</v>
      </c>
      <c r="J275" s="18" t="s">
        <v>4017</v>
      </c>
      <c r="K275" s="20"/>
    </row>
    <row r="276" spans="1:11" ht="36.75" thickBot="1">
      <c r="A276" s="18" t="s">
        <v>4486</v>
      </c>
      <c r="B276" s="18">
        <v>20003419643</v>
      </c>
      <c r="C276" s="18" t="s">
        <v>4487</v>
      </c>
      <c r="D276" s="19">
        <v>45465.658333333333</v>
      </c>
      <c r="E276" s="18" t="s">
        <v>10</v>
      </c>
      <c r="F276" s="18">
        <v>40</v>
      </c>
      <c r="G276" s="18" t="s">
        <v>10</v>
      </c>
      <c r="H276" s="18" t="s">
        <v>178</v>
      </c>
      <c r="I276" s="18" t="s">
        <v>10</v>
      </c>
      <c r="J276" s="18" t="s">
        <v>4017</v>
      </c>
      <c r="K276" s="20"/>
    </row>
    <row r="277" spans="1:11" ht="36.75" thickBot="1">
      <c r="A277" s="18" t="s">
        <v>4488</v>
      </c>
      <c r="B277" s="18">
        <v>20003419727</v>
      </c>
      <c r="C277" s="18" t="s">
        <v>4487</v>
      </c>
      <c r="D277" s="19">
        <v>45465.667361111111</v>
      </c>
      <c r="E277" s="18" t="s">
        <v>10</v>
      </c>
      <c r="F277" s="18">
        <v>40</v>
      </c>
      <c r="G277" s="18" t="s">
        <v>10</v>
      </c>
      <c r="H277" s="18" t="s">
        <v>178</v>
      </c>
      <c r="I277" s="18" t="s">
        <v>10</v>
      </c>
      <c r="J277" s="18" t="s">
        <v>4017</v>
      </c>
      <c r="K277" s="20"/>
    </row>
    <row r="278" spans="1:11" ht="36.75" thickBot="1">
      <c r="A278" s="18" t="s">
        <v>4489</v>
      </c>
      <c r="B278" s="18">
        <v>20003419643</v>
      </c>
      <c r="C278" s="18" t="s">
        <v>4487</v>
      </c>
      <c r="D278" s="19">
        <v>45465.675694444442</v>
      </c>
      <c r="E278" s="18" t="s">
        <v>10</v>
      </c>
      <c r="F278" s="18">
        <v>40</v>
      </c>
      <c r="G278" s="18" t="s">
        <v>10</v>
      </c>
      <c r="H278" s="18" t="s">
        <v>178</v>
      </c>
      <c r="I278" s="18" t="s">
        <v>10</v>
      </c>
      <c r="J278" s="18" t="s">
        <v>4017</v>
      </c>
      <c r="K278" s="20"/>
    </row>
    <row r="279" spans="1:11" ht="36.75" thickBot="1">
      <c r="A279" s="18" t="s">
        <v>4490</v>
      </c>
      <c r="B279" s="18">
        <v>20003142103</v>
      </c>
      <c r="C279" s="18" t="s">
        <v>4028</v>
      </c>
      <c r="D279" s="19">
        <v>45467.570833333331</v>
      </c>
      <c r="E279" s="18" t="s">
        <v>10</v>
      </c>
      <c r="F279" s="18">
        <v>175</v>
      </c>
      <c r="G279" s="19">
        <v>45518.457638888889</v>
      </c>
      <c r="H279" s="18" t="s">
        <v>236</v>
      </c>
      <c r="I279" s="18" t="s">
        <v>10</v>
      </c>
      <c r="J279" s="18" t="s">
        <v>4017</v>
      </c>
      <c r="K279" s="20"/>
    </row>
    <row r="280" spans="1:11" ht="36.75" thickBot="1">
      <c r="A280" s="18" t="s">
        <v>4491</v>
      </c>
      <c r="B280" s="18">
        <v>20021804194</v>
      </c>
      <c r="C280" s="18" t="s">
        <v>1334</v>
      </c>
      <c r="D280" s="19">
        <v>45467.586111111108</v>
      </c>
      <c r="E280" s="18" t="s">
        <v>10</v>
      </c>
      <c r="F280" s="18">
        <v>40</v>
      </c>
      <c r="G280" s="18" t="s">
        <v>10</v>
      </c>
      <c r="H280" s="18" t="s">
        <v>178</v>
      </c>
      <c r="I280" s="18" t="s">
        <v>10</v>
      </c>
      <c r="J280" s="18" t="s">
        <v>4017</v>
      </c>
      <c r="K280" s="20"/>
    </row>
    <row r="281" spans="1:11" ht="36.75" thickBot="1">
      <c r="A281" s="18" t="s">
        <v>4492</v>
      </c>
      <c r="B281" s="18">
        <v>20003175266</v>
      </c>
      <c r="C281" s="18" t="s">
        <v>4493</v>
      </c>
      <c r="D281" s="19">
        <v>45467.597916666666</v>
      </c>
      <c r="E281" s="18" t="s">
        <v>10</v>
      </c>
      <c r="F281" s="18">
        <v>390</v>
      </c>
      <c r="G281" s="18" t="s">
        <v>10</v>
      </c>
      <c r="H281" s="18" t="s">
        <v>178</v>
      </c>
      <c r="I281" s="18" t="s">
        <v>10</v>
      </c>
      <c r="J281" s="18" t="s">
        <v>4017</v>
      </c>
      <c r="K281" s="20"/>
    </row>
    <row r="282" spans="1:11" ht="36.75" thickBot="1">
      <c r="A282" s="18" t="s">
        <v>4494</v>
      </c>
      <c r="B282" s="18">
        <v>20002883974</v>
      </c>
      <c r="C282" s="18" t="s">
        <v>4495</v>
      </c>
      <c r="D282" s="19">
        <v>45467.667361111111</v>
      </c>
      <c r="E282" s="18" t="s">
        <v>10</v>
      </c>
      <c r="F282" s="18">
        <v>50</v>
      </c>
      <c r="G282" s="18" t="s">
        <v>10</v>
      </c>
      <c r="H282" s="18" t="s">
        <v>178</v>
      </c>
      <c r="I282" s="18" t="s">
        <v>10</v>
      </c>
      <c r="J282" s="18" t="s">
        <v>4017</v>
      </c>
      <c r="K282" s="20"/>
    </row>
    <row r="283" spans="1:11" ht="36.75" thickBot="1">
      <c r="A283" s="18" t="s">
        <v>4496</v>
      </c>
      <c r="B283" s="18">
        <v>20018340141</v>
      </c>
      <c r="C283" s="18" t="s">
        <v>4497</v>
      </c>
      <c r="D283" s="19">
        <v>45350.648611111108</v>
      </c>
      <c r="E283" s="19">
        <v>45467.88958333333</v>
      </c>
      <c r="F283" s="18">
        <v>210</v>
      </c>
      <c r="G283" s="18" t="s">
        <v>10</v>
      </c>
      <c r="H283" s="18" t="s">
        <v>178</v>
      </c>
      <c r="I283" s="18" t="s">
        <v>10</v>
      </c>
      <c r="J283" s="18" t="s">
        <v>4017</v>
      </c>
      <c r="K283" s="20"/>
    </row>
    <row r="284" spans="1:11" ht="36.75" thickBot="1">
      <c r="A284" s="18" t="s">
        <v>4498</v>
      </c>
      <c r="B284" s="18">
        <v>20003012408</v>
      </c>
      <c r="C284" s="18" t="s">
        <v>4499</v>
      </c>
      <c r="D284" s="19">
        <v>45468.599305555559</v>
      </c>
      <c r="E284" s="18" t="s">
        <v>10</v>
      </c>
      <c r="F284" s="18">
        <v>51</v>
      </c>
      <c r="G284" s="18" t="s">
        <v>10</v>
      </c>
      <c r="H284" s="18" t="s">
        <v>178</v>
      </c>
      <c r="I284" s="18" t="s">
        <v>10</v>
      </c>
      <c r="J284" s="18" t="s">
        <v>4017</v>
      </c>
      <c r="K284" s="20"/>
    </row>
    <row r="285" spans="1:11" ht="36.75" thickBot="1">
      <c r="A285" s="18" t="s">
        <v>4500</v>
      </c>
      <c r="B285" s="18">
        <v>20003444540</v>
      </c>
      <c r="C285" s="18" t="s">
        <v>4501</v>
      </c>
      <c r="D285" s="19">
        <v>45331.646527777775</v>
      </c>
      <c r="E285" s="19">
        <v>45468.668749999997</v>
      </c>
      <c r="F285" s="18">
        <v>100</v>
      </c>
      <c r="G285" s="18" t="s">
        <v>10</v>
      </c>
      <c r="H285" s="18" t="s">
        <v>178</v>
      </c>
      <c r="I285" s="18" t="s">
        <v>10</v>
      </c>
      <c r="J285" s="18" t="s">
        <v>4017</v>
      </c>
      <c r="K285" s="20"/>
    </row>
    <row r="286" spans="1:11" ht="36.75" thickBot="1">
      <c r="A286" s="18" t="s">
        <v>4502</v>
      </c>
      <c r="B286" s="18">
        <v>20016515775</v>
      </c>
      <c r="C286" s="18" t="s">
        <v>4503</v>
      </c>
      <c r="D286" s="19">
        <v>45315.675694444442</v>
      </c>
      <c r="E286" s="19">
        <v>45468.68472222222</v>
      </c>
      <c r="F286" s="18">
        <v>250</v>
      </c>
      <c r="G286" s="18" t="s">
        <v>10</v>
      </c>
      <c r="H286" s="18" t="s">
        <v>178</v>
      </c>
      <c r="I286" s="18" t="s">
        <v>10</v>
      </c>
      <c r="J286" s="18" t="s">
        <v>4017</v>
      </c>
      <c r="K286" s="20"/>
    </row>
    <row r="287" spans="1:11" ht="36.75" thickBot="1">
      <c r="A287" s="18" t="s">
        <v>4504</v>
      </c>
      <c r="B287" s="18">
        <v>20026933290</v>
      </c>
      <c r="C287" s="18" t="s">
        <v>1836</v>
      </c>
      <c r="D287" s="19">
        <v>45352.692361111112</v>
      </c>
      <c r="E287" s="19">
        <v>45469.488194444442</v>
      </c>
      <c r="F287" s="18">
        <v>30</v>
      </c>
      <c r="G287" s="18" t="s">
        <v>10</v>
      </c>
      <c r="H287" s="18" t="s">
        <v>178</v>
      </c>
      <c r="I287" s="18" t="s">
        <v>10</v>
      </c>
      <c r="J287" s="18" t="s">
        <v>4017</v>
      </c>
      <c r="K287" s="20"/>
    </row>
    <row r="288" spans="1:11" ht="36.75" thickBot="1">
      <c r="A288" s="18" t="s">
        <v>4505</v>
      </c>
      <c r="B288" s="18">
        <v>20024008034</v>
      </c>
      <c r="C288" s="18" t="s">
        <v>4506</v>
      </c>
      <c r="D288" s="19">
        <v>45357.961111111108</v>
      </c>
      <c r="E288" s="19">
        <v>45469.571527777778</v>
      </c>
      <c r="F288" s="18">
        <v>160</v>
      </c>
      <c r="G288" s="18" t="s">
        <v>10</v>
      </c>
      <c r="H288" s="18" t="s">
        <v>178</v>
      </c>
      <c r="I288" s="18" t="s">
        <v>10</v>
      </c>
      <c r="J288" s="18" t="s">
        <v>4017</v>
      </c>
      <c r="K288" s="20"/>
    </row>
    <row r="289" spans="1:11" ht="36.75" thickBot="1">
      <c r="A289" s="18" t="s">
        <v>4507</v>
      </c>
      <c r="B289" s="18">
        <v>20010794579</v>
      </c>
      <c r="C289" s="18" t="s">
        <v>4508</v>
      </c>
      <c r="D289" s="19">
        <v>45470.446527777778</v>
      </c>
      <c r="E289" s="18" t="s">
        <v>10</v>
      </c>
      <c r="F289" s="18">
        <v>600</v>
      </c>
      <c r="G289" s="18" t="s">
        <v>10</v>
      </c>
      <c r="H289" s="18" t="s">
        <v>178</v>
      </c>
      <c r="I289" s="18" t="s">
        <v>10</v>
      </c>
      <c r="J289" s="18" t="s">
        <v>4017</v>
      </c>
      <c r="K289" s="20"/>
    </row>
    <row r="290" spans="1:11" ht="36.75" thickBot="1">
      <c r="A290" s="18" t="s">
        <v>4509</v>
      </c>
      <c r="B290" s="18">
        <v>20017248953</v>
      </c>
      <c r="C290" s="18" t="s">
        <v>4510</v>
      </c>
      <c r="D290" s="19">
        <v>45470.598611111112</v>
      </c>
      <c r="E290" s="18" t="s">
        <v>10</v>
      </c>
      <c r="F290" s="18">
        <v>880</v>
      </c>
      <c r="G290" s="18" t="s">
        <v>10</v>
      </c>
      <c r="H290" s="18" t="s">
        <v>178</v>
      </c>
      <c r="I290" s="18" t="s">
        <v>10</v>
      </c>
      <c r="J290" s="18" t="s">
        <v>4017</v>
      </c>
      <c r="K290" s="20"/>
    </row>
    <row r="291" spans="1:11" ht="54.75" thickBot="1">
      <c r="A291" s="18" t="s">
        <v>4511</v>
      </c>
      <c r="B291" s="18">
        <v>20018653638</v>
      </c>
      <c r="C291" s="18" t="s">
        <v>4512</v>
      </c>
      <c r="D291" s="19">
        <v>45338.370833333334</v>
      </c>
      <c r="E291" s="19">
        <v>45470.663888888892</v>
      </c>
      <c r="F291" s="18">
        <v>810</v>
      </c>
      <c r="G291" s="19">
        <v>45534.677777777775</v>
      </c>
      <c r="H291" s="18" t="s">
        <v>2654</v>
      </c>
      <c r="I291" s="18" t="s">
        <v>10</v>
      </c>
      <c r="J291" s="18" t="s">
        <v>4017</v>
      </c>
      <c r="K291" s="20"/>
    </row>
    <row r="292" spans="1:11" ht="36.75" thickBot="1">
      <c r="A292" s="18" t="s">
        <v>4513</v>
      </c>
      <c r="B292" s="18">
        <v>20003058861</v>
      </c>
      <c r="C292" s="18" t="s">
        <v>4514</v>
      </c>
      <c r="D292" s="19">
        <v>45470.677777777775</v>
      </c>
      <c r="E292" s="18" t="s">
        <v>10</v>
      </c>
      <c r="F292" s="18">
        <v>480</v>
      </c>
      <c r="G292" s="18" t="s">
        <v>10</v>
      </c>
      <c r="H292" s="18" t="s">
        <v>178</v>
      </c>
      <c r="I292" s="18" t="s">
        <v>10</v>
      </c>
      <c r="J292" s="18" t="s">
        <v>4017</v>
      </c>
      <c r="K292" s="20"/>
    </row>
    <row r="293" spans="1:11" ht="36.75" thickBot="1">
      <c r="A293" s="18" t="s">
        <v>4515</v>
      </c>
      <c r="B293" s="18">
        <v>20027653069</v>
      </c>
      <c r="C293" s="18" t="s">
        <v>4516</v>
      </c>
      <c r="D293" s="19">
        <v>45471.001388888886</v>
      </c>
      <c r="E293" s="18" t="s">
        <v>10</v>
      </c>
      <c r="F293" s="18">
        <v>12</v>
      </c>
      <c r="G293" s="18" t="s">
        <v>10</v>
      </c>
      <c r="H293" s="18" t="s">
        <v>178</v>
      </c>
      <c r="I293" s="18" t="s">
        <v>10</v>
      </c>
      <c r="J293" s="18" t="s">
        <v>4017</v>
      </c>
      <c r="K293" s="20"/>
    </row>
    <row r="294" spans="1:11" ht="36.75" thickBot="1">
      <c r="A294" s="18" t="s">
        <v>4517</v>
      </c>
      <c r="B294" s="18">
        <v>20026310938</v>
      </c>
      <c r="C294" s="18" t="s">
        <v>4518</v>
      </c>
      <c r="D294" s="19">
        <v>45471.45</v>
      </c>
      <c r="E294" s="18" t="s">
        <v>10</v>
      </c>
      <c r="F294" s="18">
        <v>50</v>
      </c>
      <c r="G294" s="18" t="s">
        <v>10</v>
      </c>
      <c r="H294" s="18" t="s">
        <v>178</v>
      </c>
      <c r="I294" s="18" t="s">
        <v>10</v>
      </c>
      <c r="J294" s="18" t="s">
        <v>4017</v>
      </c>
      <c r="K294" s="20"/>
    </row>
    <row r="295" spans="1:11" ht="36.75" thickBot="1">
      <c r="A295" s="18" t="s">
        <v>4519</v>
      </c>
      <c r="B295" s="18">
        <v>20003537116</v>
      </c>
      <c r="C295" s="18" t="s">
        <v>4520</v>
      </c>
      <c r="D295" s="19">
        <v>45331.561805555553</v>
      </c>
      <c r="E295" s="19">
        <v>45471.53125</v>
      </c>
      <c r="F295" s="18">
        <v>30</v>
      </c>
      <c r="G295" s="18" t="s">
        <v>10</v>
      </c>
      <c r="H295" s="18" t="s">
        <v>178</v>
      </c>
      <c r="I295" s="18" t="s">
        <v>10</v>
      </c>
      <c r="J295" s="18" t="s">
        <v>4017</v>
      </c>
      <c r="K295" s="20"/>
    </row>
    <row r="296" spans="1:11" ht="36.75" thickBot="1">
      <c r="A296" s="18" t="s">
        <v>4521</v>
      </c>
      <c r="B296" s="18">
        <v>20003486608</v>
      </c>
      <c r="C296" s="18" t="s">
        <v>4129</v>
      </c>
      <c r="D296" s="19">
        <v>45472.720138888886</v>
      </c>
      <c r="E296" s="18" t="s">
        <v>10</v>
      </c>
      <c r="F296" s="18">
        <v>150</v>
      </c>
      <c r="G296" s="18" t="s">
        <v>10</v>
      </c>
      <c r="H296" s="18" t="s">
        <v>178</v>
      </c>
      <c r="I296" s="18" t="s">
        <v>10</v>
      </c>
      <c r="J296" s="18" t="s">
        <v>4017</v>
      </c>
      <c r="K296" s="20"/>
    </row>
    <row r="297" spans="1:11" ht="54.75" thickBot="1">
      <c r="A297" s="18" t="s">
        <v>4522</v>
      </c>
      <c r="B297" s="18">
        <v>20003478296</v>
      </c>
      <c r="C297" s="18" t="s">
        <v>4523</v>
      </c>
      <c r="D297" s="19">
        <v>45474.428472222222</v>
      </c>
      <c r="E297" s="18" t="s">
        <v>10</v>
      </c>
      <c r="F297" s="18">
        <v>450</v>
      </c>
      <c r="G297" s="18" t="s">
        <v>10</v>
      </c>
      <c r="H297" s="18" t="s">
        <v>178</v>
      </c>
      <c r="I297" s="18" t="s">
        <v>10</v>
      </c>
      <c r="J297" s="18" t="s">
        <v>4017</v>
      </c>
      <c r="K297" s="20"/>
    </row>
    <row r="298" spans="1:11" ht="36.75" thickBot="1">
      <c r="A298" s="18" t="s">
        <v>4524</v>
      </c>
      <c r="B298" s="18">
        <v>20003116685</v>
      </c>
      <c r="C298" s="18" t="s">
        <v>4525</v>
      </c>
      <c r="D298" s="19">
        <v>45307.629861111112</v>
      </c>
      <c r="E298" s="19">
        <v>45474.466666666667</v>
      </c>
      <c r="F298" s="18">
        <v>900</v>
      </c>
      <c r="G298" s="18" t="s">
        <v>10</v>
      </c>
      <c r="H298" s="18" t="s">
        <v>178</v>
      </c>
      <c r="I298" s="18" t="s">
        <v>10</v>
      </c>
      <c r="J298" s="18" t="s">
        <v>4017</v>
      </c>
      <c r="K298" s="20"/>
    </row>
    <row r="299" spans="1:11" ht="36.75" thickBot="1">
      <c r="A299" s="18" t="s">
        <v>4526</v>
      </c>
      <c r="B299" s="18">
        <v>20016667395</v>
      </c>
      <c r="C299" s="18" t="s">
        <v>4066</v>
      </c>
      <c r="D299" s="19">
        <v>45474.484027777777</v>
      </c>
      <c r="E299" s="18" t="s">
        <v>10</v>
      </c>
      <c r="F299" s="18">
        <v>500</v>
      </c>
      <c r="G299" s="18" t="s">
        <v>10</v>
      </c>
      <c r="H299" s="18" t="s">
        <v>178</v>
      </c>
      <c r="I299" s="18" t="s">
        <v>10</v>
      </c>
      <c r="J299" s="18" t="s">
        <v>4017</v>
      </c>
      <c r="K299" s="20"/>
    </row>
    <row r="300" spans="1:11" ht="36.75" thickBot="1">
      <c r="A300" s="18" t="s">
        <v>4527</v>
      </c>
      <c r="B300" s="18">
        <v>20003284170</v>
      </c>
      <c r="C300" s="18" t="s">
        <v>218</v>
      </c>
      <c r="D300" s="19">
        <v>45474.509722222225</v>
      </c>
      <c r="E300" s="18" t="s">
        <v>10</v>
      </c>
      <c r="F300" s="18">
        <v>520</v>
      </c>
      <c r="G300" s="18" t="s">
        <v>10</v>
      </c>
      <c r="H300" s="18" t="s">
        <v>178</v>
      </c>
      <c r="I300" s="18" t="s">
        <v>10</v>
      </c>
      <c r="J300" s="18" t="s">
        <v>4017</v>
      </c>
      <c r="K300" s="20"/>
    </row>
    <row r="301" spans="1:11" ht="36.75" thickBot="1">
      <c r="A301" s="18" t="s">
        <v>4528</v>
      </c>
      <c r="B301" s="18">
        <v>20003652264</v>
      </c>
      <c r="C301" s="18" t="s">
        <v>4529</v>
      </c>
      <c r="D301" s="19">
        <v>45474.683333333334</v>
      </c>
      <c r="E301" s="18" t="s">
        <v>10</v>
      </c>
      <c r="F301" s="18">
        <v>30</v>
      </c>
      <c r="G301" s="18" t="s">
        <v>10</v>
      </c>
      <c r="H301" s="18" t="s">
        <v>178</v>
      </c>
      <c r="I301" s="18" t="s">
        <v>10</v>
      </c>
      <c r="J301" s="18" t="s">
        <v>4017</v>
      </c>
      <c r="K301" s="1"/>
    </row>
    <row r="302" spans="1:11" ht="36.75" thickBot="1">
      <c r="A302" s="21" t="s">
        <v>4530</v>
      </c>
      <c r="B302" s="21">
        <v>20023922007</v>
      </c>
      <c r="C302" s="21" t="s">
        <v>4531</v>
      </c>
      <c r="D302" s="22">
        <v>45475.585416666669</v>
      </c>
      <c r="E302" s="21" t="s">
        <v>10</v>
      </c>
      <c r="F302" s="21">
        <v>125</v>
      </c>
      <c r="G302" s="21" t="s">
        <v>10</v>
      </c>
      <c r="H302" s="21" t="s">
        <v>178</v>
      </c>
      <c r="I302" s="21" t="s">
        <v>10</v>
      </c>
      <c r="J302" s="21" t="s">
        <v>4017</v>
      </c>
      <c r="K302" s="20"/>
    </row>
    <row r="303" spans="1:11" ht="36.75" thickBot="1">
      <c r="A303" s="18" t="s">
        <v>4532</v>
      </c>
      <c r="B303" s="18">
        <v>20003486689</v>
      </c>
      <c r="C303" s="18" t="s">
        <v>4131</v>
      </c>
      <c r="D303" s="19">
        <v>45475.59097222222</v>
      </c>
      <c r="E303" s="18" t="s">
        <v>10</v>
      </c>
      <c r="F303" s="18">
        <v>250</v>
      </c>
      <c r="G303" s="18" t="s">
        <v>10</v>
      </c>
      <c r="H303" s="18" t="s">
        <v>178</v>
      </c>
      <c r="I303" s="18" t="s">
        <v>10</v>
      </c>
      <c r="J303" s="18" t="s">
        <v>4017</v>
      </c>
      <c r="K303" s="20"/>
    </row>
    <row r="304" spans="1:11" ht="36.75" thickBot="1">
      <c r="A304" s="18" t="s">
        <v>4533</v>
      </c>
      <c r="B304" s="18">
        <v>20021538571</v>
      </c>
      <c r="C304" s="18" t="s">
        <v>4534</v>
      </c>
      <c r="D304" s="19">
        <v>45475.73333333333</v>
      </c>
      <c r="E304" s="18" t="s">
        <v>10</v>
      </c>
      <c r="F304" s="18">
        <v>186</v>
      </c>
      <c r="G304" s="18" t="s">
        <v>10</v>
      </c>
      <c r="H304" s="18" t="s">
        <v>178</v>
      </c>
      <c r="I304" s="18" t="s">
        <v>10</v>
      </c>
      <c r="J304" s="18" t="s">
        <v>4017</v>
      </c>
      <c r="K304" s="20"/>
    </row>
    <row r="305" spans="1:11" ht="36.75" thickBot="1">
      <c r="A305" s="18" t="s">
        <v>4535</v>
      </c>
      <c r="B305" s="18">
        <v>20020396003</v>
      </c>
      <c r="C305" s="18" t="s">
        <v>4536</v>
      </c>
      <c r="D305" s="19">
        <v>45370.686805555553</v>
      </c>
      <c r="E305" s="19">
        <v>45476.4375</v>
      </c>
      <c r="F305" s="18">
        <v>70</v>
      </c>
      <c r="G305" s="18" t="s">
        <v>10</v>
      </c>
      <c r="H305" s="18" t="s">
        <v>178</v>
      </c>
      <c r="I305" s="18" t="s">
        <v>10</v>
      </c>
      <c r="J305" s="18" t="s">
        <v>4017</v>
      </c>
      <c r="K305" s="20"/>
    </row>
    <row r="306" spans="1:11" ht="36.75" thickBot="1">
      <c r="A306" s="18" t="s">
        <v>4537</v>
      </c>
      <c r="B306" s="18">
        <v>20023462358</v>
      </c>
      <c r="C306" s="18" t="s">
        <v>4538</v>
      </c>
      <c r="D306" s="19">
        <v>45476.569444444445</v>
      </c>
      <c r="E306" s="18" t="s">
        <v>10</v>
      </c>
      <c r="F306" s="18">
        <v>300</v>
      </c>
      <c r="G306" s="18" t="s">
        <v>10</v>
      </c>
      <c r="H306" s="18" t="s">
        <v>178</v>
      </c>
      <c r="I306" s="18" t="s">
        <v>10</v>
      </c>
      <c r="J306" s="18" t="s">
        <v>4017</v>
      </c>
      <c r="K306" s="20"/>
    </row>
    <row r="307" spans="1:11" ht="36.75" thickBot="1">
      <c r="A307" s="18" t="s">
        <v>4539</v>
      </c>
      <c r="B307" s="18">
        <v>20026250126</v>
      </c>
      <c r="C307" s="18" t="s">
        <v>4540</v>
      </c>
      <c r="D307" s="19">
        <v>45377.649305555555</v>
      </c>
      <c r="E307" s="19">
        <v>45476.606249999997</v>
      </c>
      <c r="F307" s="18">
        <v>36</v>
      </c>
      <c r="G307" s="19">
        <v>45506.464583333334</v>
      </c>
      <c r="H307" s="18" t="s">
        <v>236</v>
      </c>
      <c r="I307" s="18" t="s">
        <v>10</v>
      </c>
      <c r="J307" s="18" t="s">
        <v>4017</v>
      </c>
      <c r="K307" s="20"/>
    </row>
    <row r="308" spans="1:11" ht="36.75" thickBot="1">
      <c r="A308" s="18" t="s">
        <v>4541</v>
      </c>
      <c r="B308" s="18">
        <v>20019588861</v>
      </c>
      <c r="C308" s="18" t="s">
        <v>4542</v>
      </c>
      <c r="D308" s="19">
        <v>45476.729861111111</v>
      </c>
      <c r="E308" s="18" t="s">
        <v>10</v>
      </c>
      <c r="F308" s="18">
        <v>200</v>
      </c>
      <c r="G308" s="18" t="s">
        <v>10</v>
      </c>
      <c r="H308" s="18" t="s">
        <v>178</v>
      </c>
      <c r="I308" s="18" t="s">
        <v>10</v>
      </c>
      <c r="J308" s="18" t="s">
        <v>4017</v>
      </c>
      <c r="K308" s="20"/>
    </row>
    <row r="309" spans="1:11" ht="36.75" thickBot="1">
      <c r="A309" s="18" t="s">
        <v>4543</v>
      </c>
      <c r="B309" s="18">
        <v>20022437329</v>
      </c>
      <c r="C309" s="18" t="s">
        <v>4544</v>
      </c>
      <c r="D309" s="19">
        <v>45477.440972222219</v>
      </c>
      <c r="E309" s="18" t="s">
        <v>10</v>
      </c>
      <c r="F309" s="18">
        <v>300</v>
      </c>
      <c r="G309" s="18" t="s">
        <v>10</v>
      </c>
      <c r="H309" s="18" t="s">
        <v>178</v>
      </c>
      <c r="I309" s="18" t="s">
        <v>10</v>
      </c>
      <c r="J309" s="18" t="s">
        <v>4017</v>
      </c>
      <c r="K309" s="20"/>
    </row>
    <row r="310" spans="1:11" ht="36.75" thickBot="1">
      <c r="A310" s="18" t="s">
        <v>4545</v>
      </c>
      <c r="B310" s="18">
        <v>20017843273</v>
      </c>
      <c r="C310" s="18" t="s">
        <v>4544</v>
      </c>
      <c r="D310" s="19">
        <v>45477.457638888889</v>
      </c>
      <c r="E310" s="18" t="s">
        <v>10</v>
      </c>
      <c r="F310" s="18">
        <v>425</v>
      </c>
      <c r="G310" s="18" t="s">
        <v>10</v>
      </c>
      <c r="H310" s="18" t="s">
        <v>178</v>
      </c>
      <c r="I310" s="18" t="s">
        <v>10</v>
      </c>
      <c r="J310" s="18" t="s">
        <v>4017</v>
      </c>
      <c r="K310" s="20"/>
    </row>
    <row r="311" spans="1:11" ht="36.75" thickBot="1">
      <c r="A311" s="18" t="s">
        <v>4546</v>
      </c>
      <c r="B311" s="18">
        <v>20022717488</v>
      </c>
      <c r="C311" s="18" t="s">
        <v>4382</v>
      </c>
      <c r="D311" s="19">
        <v>45477.632638888892</v>
      </c>
      <c r="E311" s="18" t="s">
        <v>10</v>
      </c>
      <c r="F311" s="18">
        <v>200</v>
      </c>
      <c r="G311" s="19">
        <v>45912.582638888889</v>
      </c>
      <c r="H311" s="18" t="s">
        <v>2654</v>
      </c>
      <c r="I311" s="18" t="s">
        <v>10</v>
      </c>
      <c r="J311" s="18" t="s">
        <v>4017</v>
      </c>
      <c r="K311" s="20"/>
    </row>
    <row r="312" spans="1:11" ht="36.75" thickBot="1">
      <c r="A312" s="18" t="s">
        <v>4547</v>
      </c>
      <c r="B312" s="18">
        <v>20016806790</v>
      </c>
      <c r="C312" s="18" t="s">
        <v>4200</v>
      </c>
      <c r="D312" s="19">
        <v>45477.648611111108</v>
      </c>
      <c r="E312" s="18" t="s">
        <v>10</v>
      </c>
      <c r="F312" s="18">
        <v>375</v>
      </c>
      <c r="G312" s="18" t="s">
        <v>10</v>
      </c>
      <c r="H312" s="18" t="s">
        <v>178</v>
      </c>
      <c r="I312" s="18" t="s">
        <v>10</v>
      </c>
      <c r="J312" s="18" t="s">
        <v>4017</v>
      </c>
      <c r="K312" s="20"/>
    </row>
    <row r="313" spans="1:11" ht="36.75" thickBot="1">
      <c r="A313" s="18" t="s">
        <v>4548</v>
      </c>
      <c r="B313" s="18">
        <v>20025993428</v>
      </c>
      <c r="C313" s="18" t="s">
        <v>4549</v>
      </c>
      <c r="D313" s="19">
        <v>45477.671527777777</v>
      </c>
      <c r="E313" s="18" t="s">
        <v>10</v>
      </c>
      <c r="F313" s="18">
        <v>90</v>
      </c>
      <c r="G313" s="18" t="s">
        <v>10</v>
      </c>
      <c r="H313" s="18" t="s">
        <v>178</v>
      </c>
      <c r="I313" s="18" t="s">
        <v>10</v>
      </c>
      <c r="J313" s="18" t="s">
        <v>4017</v>
      </c>
      <c r="K313" s="20"/>
    </row>
    <row r="314" spans="1:11" ht="36.75" thickBot="1">
      <c r="A314" s="18" t="s">
        <v>4550</v>
      </c>
      <c r="B314" s="18">
        <v>20023589602</v>
      </c>
      <c r="C314" s="18" t="s">
        <v>4551</v>
      </c>
      <c r="D314" s="19">
        <v>45372.917361111111</v>
      </c>
      <c r="E314" s="19">
        <v>45477.690972222219</v>
      </c>
      <c r="F314" s="18">
        <v>30</v>
      </c>
      <c r="G314" s="18" t="s">
        <v>10</v>
      </c>
      <c r="H314" s="18" t="s">
        <v>178</v>
      </c>
      <c r="I314" s="18" t="s">
        <v>10</v>
      </c>
      <c r="J314" s="18" t="s">
        <v>4017</v>
      </c>
      <c r="K314" s="20"/>
    </row>
    <row r="315" spans="1:11" ht="36.75" thickBot="1">
      <c r="A315" s="18" t="s">
        <v>4552</v>
      </c>
      <c r="B315" s="18">
        <v>20025993428</v>
      </c>
      <c r="C315" s="18" t="s">
        <v>4542</v>
      </c>
      <c r="D315" s="19">
        <v>45477.709027777775</v>
      </c>
      <c r="E315" s="18" t="s">
        <v>10</v>
      </c>
      <c r="F315" s="18">
        <v>90</v>
      </c>
      <c r="G315" s="18" t="s">
        <v>10</v>
      </c>
      <c r="H315" s="18" t="s">
        <v>178</v>
      </c>
      <c r="I315" s="18" t="s">
        <v>10</v>
      </c>
      <c r="J315" s="18" t="s">
        <v>4017</v>
      </c>
      <c r="K315" s="20"/>
    </row>
    <row r="316" spans="1:11" ht="54.75" thickBot="1">
      <c r="A316" s="18" t="s">
        <v>4553</v>
      </c>
      <c r="B316" s="18">
        <v>20027127200</v>
      </c>
      <c r="C316" s="18" t="s">
        <v>257</v>
      </c>
      <c r="D316" s="19">
        <v>45477.709722222222</v>
      </c>
      <c r="E316" s="18" t="s">
        <v>10</v>
      </c>
      <c r="F316" s="18">
        <v>50</v>
      </c>
      <c r="G316" s="18" t="s">
        <v>10</v>
      </c>
      <c r="H316" s="18" t="s">
        <v>178</v>
      </c>
      <c r="I316" s="18" t="s">
        <v>10</v>
      </c>
      <c r="J316" s="18" t="s">
        <v>4017</v>
      </c>
      <c r="K316" s="20"/>
    </row>
    <row r="317" spans="1:11" ht="36.75" thickBot="1">
      <c r="A317" s="18" t="s">
        <v>4554</v>
      </c>
      <c r="B317" s="18">
        <v>20017081591</v>
      </c>
      <c r="C317" s="18" t="s">
        <v>4555</v>
      </c>
      <c r="D317" s="19">
        <v>45478.381249999999</v>
      </c>
      <c r="E317" s="18" t="s">
        <v>10</v>
      </c>
      <c r="F317" s="18">
        <v>30</v>
      </c>
      <c r="G317" s="18" t="s">
        <v>10</v>
      </c>
      <c r="H317" s="18" t="s">
        <v>178</v>
      </c>
      <c r="I317" s="18" t="s">
        <v>10</v>
      </c>
      <c r="J317" s="18" t="s">
        <v>4017</v>
      </c>
      <c r="K317" s="20"/>
    </row>
    <row r="318" spans="1:11" ht="36.75" thickBot="1">
      <c r="A318" s="18" t="s">
        <v>4556</v>
      </c>
      <c r="B318" s="18">
        <v>20017081580</v>
      </c>
      <c r="C318" s="18" t="s">
        <v>4555</v>
      </c>
      <c r="D318" s="19">
        <v>45478.388194444444</v>
      </c>
      <c r="E318" s="18" t="s">
        <v>10</v>
      </c>
      <c r="F318" s="18">
        <v>30</v>
      </c>
      <c r="G318" s="18" t="s">
        <v>10</v>
      </c>
      <c r="H318" s="18" t="s">
        <v>178</v>
      </c>
      <c r="I318" s="18" t="s">
        <v>10</v>
      </c>
      <c r="J318" s="18" t="s">
        <v>4017</v>
      </c>
      <c r="K318" s="20"/>
    </row>
    <row r="319" spans="1:11" ht="36.75" thickBot="1">
      <c r="A319" s="18" t="s">
        <v>4557</v>
      </c>
      <c r="B319" s="18">
        <v>20023770666</v>
      </c>
      <c r="C319" s="18" t="s">
        <v>4467</v>
      </c>
      <c r="D319" s="19">
        <v>45478.487500000003</v>
      </c>
      <c r="E319" s="18" t="s">
        <v>10</v>
      </c>
      <c r="F319" s="18">
        <v>150</v>
      </c>
      <c r="G319" s="18" t="s">
        <v>10</v>
      </c>
      <c r="H319" s="18" t="s">
        <v>178</v>
      </c>
      <c r="I319" s="18" t="s">
        <v>10</v>
      </c>
      <c r="J319" s="18" t="s">
        <v>4017</v>
      </c>
      <c r="K319" s="20"/>
    </row>
    <row r="320" spans="1:11" ht="36.75" thickBot="1">
      <c r="A320" s="18" t="s">
        <v>4558</v>
      </c>
      <c r="B320" s="18">
        <v>20003000085</v>
      </c>
      <c r="C320" s="18" t="s">
        <v>4559</v>
      </c>
      <c r="D320" s="19">
        <v>45478.495138888888</v>
      </c>
      <c r="E320" s="18" t="s">
        <v>10</v>
      </c>
      <c r="F320" s="18">
        <v>480</v>
      </c>
      <c r="G320" s="18" t="s">
        <v>10</v>
      </c>
      <c r="H320" s="18" t="s">
        <v>178</v>
      </c>
      <c r="I320" s="18" t="s">
        <v>10</v>
      </c>
      <c r="J320" s="18" t="s">
        <v>4017</v>
      </c>
      <c r="K320" s="20"/>
    </row>
    <row r="321" spans="1:11" ht="36.75" thickBot="1">
      <c r="A321" s="18" t="s">
        <v>4560</v>
      </c>
      <c r="B321" s="18">
        <v>20002929652</v>
      </c>
      <c r="C321" s="18" t="s">
        <v>4561</v>
      </c>
      <c r="D321" s="19">
        <v>45413.054166666669</v>
      </c>
      <c r="E321" s="19">
        <v>45478.50277777778</v>
      </c>
      <c r="F321" s="18">
        <v>100</v>
      </c>
      <c r="G321" s="19">
        <v>45523.634722222225</v>
      </c>
      <c r="H321" s="18" t="s">
        <v>236</v>
      </c>
      <c r="I321" s="18" t="s">
        <v>10</v>
      </c>
      <c r="J321" s="18" t="s">
        <v>4017</v>
      </c>
      <c r="K321" s="20"/>
    </row>
    <row r="322" spans="1:11" ht="36.75" thickBot="1">
      <c r="A322" s="18" t="s">
        <v>4562</v>
      </c>
      <c r="B322" s="18">
        <v>20022699356</v>
      </c>
      <c r="C322" s="18" t="s">
        <v>4563</v>
      </c>
      <c r="D322" s="19">
        <v>45478.729166666664</v>
      </c>
      <c r="E322" s="18" t="s">
        <v>10</v>
      </c>
      <c r="F322" s="18">
        <v>436</v>
      </c>
      <c r="G322" s="18" t="s">
        <v>10</v>
      </c>
      <c r="H322" s="18" t="s">
        <v>178</v>
      </c>
      <c r="I322" s="18" t="s">
        <v>10</v>
      </c>
      <c r="J322" s="18" t="s">
        <v>4017</v>
      </c>
      <c r="K322" s="20"/>
    </row>
    <row r="323" spans="1:11" ht="36.75" thickBot="1">
      <c r="A323" s="18" t="s">
        <v>4564</v>
      </c>
      <c r="B323" s="18">
        <v>20003042770</v>
      </c>
      <c r="C323" s="18" t="s">
        <v>4565</v>
      </c>
      <c r="D323" s="19">
        <v>45479.419444444444</v>
      </c>
      <c r="E323" s="18" t="s">
        <v>10</v>
      </c>
      <c r="F323" s="18">
        <v>375</v>
      </c>
      <c r="G323" s="18" t="s">
        <v>10</v>
      </c>
      <c r="H323" s="18" t="s">
        <v>178</v>
      </c>
      <c r="I323" s="18" t="s">
        <v>10</v>
      </c>
      <c r="J323" s="18" t="s">
        <v>4017</v>
      </c>
      <c r="K323" s="20"/>
    </row>
    <row r="324" spans="1:11" ht="36.75" thickBot="1">
      <c r="A324" s="18" t="s">
        <v>4566</v>
      </c>
      <c r="B324" s="18">
        <v>20024376614</v>
      </c>
      <c r="C324" s="18" t="s">
        <v>1334</v>
      </c>
      <c r="D324" s="19">
        <v>45479.533333333333</v>
      </c>
      <c r="E324" s="18" t="s">
        <v>10</v>
      </c>
      <c r="F324" s="18">
        <v>40</v>
      </c>
      <c r="G324" s="18" t="s">
        <v>10</v>
      </c>
      <c r="H324" s="18" t="s">
        <v>178</v>
      </c>
      <c r="I324" s="18" t="s">
        <v>10</v>
      </c>
      <c r="J324" s="18" t="s">
        <v>4017</v>
      </c>
      <c r="K324" s="20"/>
    </row>
    <row r="325" spans="1:11" ht="36.75" thickBot="1">
      <c r="A325" s="18" t="s">
        <v>4567</v>
      </c>
      <c r="B325" s="18">
        <v>20003534070</v>
      </c>
      <c r="C325" s="18" t="s">
        <v>4568</v>
      </c>
      <c r="D325" s="19">
        <v>45479.901388888888</v>
      </c>
      <c r="E325" s="18" t="s">
        <v>10</v>
      </c>
      <c r="F325" s="18">
        <v>300</v>
      </c>
      <c r="G325" s="18" t="s">
        <v>10</v>
      </c>
      <c r="H325" s="18" t="s">
        <v>178</v>
      </c>
      <c r="I325" s="18" t="s">
        <v>10</v>
      </c>
      <c r="J325" s="18" t="s">
        <v>4017</v>
      </c>
      <c r="K325" s="20"/>
    </row>
    <row r="326" spans="1:11" ht="36.75" thickBot="1">
      <c r="A326" s="18" t="s">
        <v>4569</v>
      </c>
      <c r="B326" s="18">
        <v>20017949380</v>
      </c>
      <c r="C326" s="18" t="s">
        <v>4133</v>
      </c>
      <c r="D326" s="19">
        <v>45480.404166666667</v>
      </c>
      <c r="E326" s="18" t="s">
        <v>10</v>
      </c>
      <c r="F326" s="18">
        <v>200</v>
      </c>
      <c r="G326" s="18" t="s">
        <v>10</v>
      </c>
      <c r="H326" s="18" t="s">
        <v>178</v>
      </c>
      <c r="I326" s="18" t="s">
        <v>10</v>
      </c>
      <c r="J326" s="18" t="s">
        <v>4017</v>
      </c>
      <c r="K326" s="20"/>
    </row>
    <row r="327" spans="1:11" ht="36.75" thickBot="1">
      <c r="A327" s="18" t="s">
        <v>4570</v>
      </c>
      <c r="B327" s="18">
        <v>20017861884</v>
      </c>
      <c r="C327" s="18" t="s">
        <v>4449</v>
      </c>
      <c r="D327" s="19">
        <v>45480.780555555553</v>
      </c>
      <c r="E327" s="18" t="s">
        <v>10</v>
      </c>
      <c r="F327" s="18">
        <v>550</v>
      </c>
      <c r="G327" s="18" t="s">
        <v>10</v>
      </c>
      <c r="H327" s="18" t="s">
        <v>178</v>
      </c>
      <c r="I327" s="18" t="s">
        <v>10</v>
      </c>
      <c r="J327" s="18" t="s">
        <v>4017</v>
      </c>
      <c r="K327" s="20"/>
    </row>
    <row r="328" spans="1:11" ht="36.75" thickBot="1">
      <c r="A328" s="18" t="s">
        <v>4571</v>
      </c>
      <c r="B328" s="18">
        <v>20021903959</v>
      </c>
      <c r="C328" s="18" t="s">
        <v>4572</v>
      </c>
      <c r="D328" s="19">
        <v>45480.78125</v>
      </c>
      <c r="E328" s="18" t="s">
        <v>10</v>
      </c>
      <c r="F328" s="18">
        <v>520</v>
      </c>
      <c r="G328" s="18" t="s">
        <v>10</v>
      </c>
      <c r="H328" s="18" t="s">
        <v>178</v>
      </c>
      <c r="I328" s="18" t="s">
        <v>10</v>
      </c>
      <c r="J328" s="18" t="s">
        <v>4017</v>
      </c>
      <c r="K328" s="20"/>
    </row>
    <row r="329" spans="1:11" ht="36.75" thickBot="1">
      <c r="A329" s="18" t="s">
        <v>4573</v>
      </c>
      <c r="B329" s="18">
        <v>20024704006</v>
      </c>
      <c r="C329" s="18" t="s">
        <v>4574</v>
      </c>
      <c r="D329" s="19">
        <v>45357.773611111108</v>
      </c>
      <c r="E329" s="19">
        <v>45481.37222222222</v>
      </c>
      <c r="F329" s="18">
        <v>250</v>
      </c>
      <c r="G329" s="18" t="s">
        <v>10</v>
      </c>
      <c r="H329" s="18" t="s">
        <v>178</v>
      </c>
      <c r="I329" s="18" t="s">
        <v>10</v>
      </c>
      <c r="J329" s="18" t="s">
        <v>4017</v>
      </c>
      <c r="K329" s="20"/>
    </row>
    <row r="330" spans="1:11" ht="36.75" thickBot="1">
      <c r="A330" s="18" t="s">
        <v>4575</v>
      </c>
      <c r="B330" s="18">
        <v>20023390359</v>
      </c>
      <c r="C330" s="18" t="s">
        <v>4576</v>
      </c>
      <c r="D330" s="19">
        <v>45481.467361111114</v>
      </c>
      <c r="E330" s="18" t="s">
        <v>10</v>
      </c>
      <c r="F330" s="18">
        <v>30</v>
      </c>
      <c r="G330" s="18" t="s">
        <v>10</v>
      </c>
      <c r="H330" s="18" t="s">
        <v>178</v>
      </c>
      <c r="I330" s="18" t="s">
        <v>10</v>
      </c>
      <c r="J330" s="18" t="s">
        <v>4017</v>
      </c>
      <c r="K330" s="20"/>
    </row>
    <row r="331" spans="1:11" ht="36.75" thickBot="1">
      <c r="A331" s="18" t="s">
        <v>4577</v>
      </c>
      <c r="B331" s="18">
        <v>20017839731</v>
      </c>
      <c r="C331" s="18" t="s">
        <v>4578</v>
      </c>
      <c r="D331" s="19">
        <v>45481.467361111114</v>
      </c>
      <c r="E331" s="18" t="s">
        <v>10</v>
      </c>
      <c r="F331" s="18">
        <v>30</v>
      </c>
      <c r="G331" s="18" t="s">
        <v>10</v>
      </c>
      <c r="H331" s="18" t="s">
        <v>178</v>
      </c>
      <c r="I331" s="18" t="s">
        <v>10</v>
      </c>
      <c r="J331" s="18" t="s">
        <v>4017</v>
      </c>
      <c r="K331" s="20"/>
    </row>
    <row r="332" spans="1:11" ht="36.75" thickBot="1">
      <c r="A332" s="18" t="s">
        <v>4579</v>
      </c>
      <c r="B332" s="18">
        <v>20023863682</v>
      </c>
      <c r="C332" s="18" t="s">
        <v>4580</v>
      </c>
      <c r="D332" s="19">
        <v>45481.478472222225</v>
      </c>
      <c r="E332" s="18" t="s">
        <v>10</v>
      </c>
      <c r="F332" s="18">
        <v>500</v>
      </c>
      <c r="G332" s="18" t="s">
        <v>10</v>
      </c>
      <c r="H332" s="18" t="s">
        <v>178</v>
      </c>
      <c r="I332" s="18" t="s">
        <v>10</v>
      </c>
      <c r="J332" s="18" t="s">
        <v>4017</v>
      </c>
      <c r="K332" s="20"/>
    </row>
    <row r="333" spans="1:11" ht="36.75" thickBot="1">
      <c r="A333" s="18" t="s">
        <v>4581</v>
      </c>
      <c r="B333" s="18">
        <v>20003181836</v>
      </c>
      <c r="C333" s="18" t="s">
        <v>4302</v>
      </c>
      <c r="D333" s="19">
        <v>45419.660416666666</v>
      </c>
      <c r="E333" s="19">
        <v>45481.495833333334</v>
      </c>
      <c r="F333" s="18">
        <v>450</v>
      </c>
      <c r="G333" s="19">
        <v>45541.481944444444</v>
      </c>
      <c r="H333" s="18" t="s">
        <v>236</v>
      </c>
      <c r="I333" s="18" t="s">
        <v>10</v>
      </c>
      <c r="J333" s="18" t="s">
        <v>4017</v>
      </c>
      <c r="K333" s="20"/>
    </row>
    <row r="334" spans="1:11" ht="36.75" thickBot="1">
      <c r="A334" s="18" t="s">
        <v>4582</v>
      </c>
      <c r="B334" s="18">
        <v>20017734385</v>
      </c>
      <c r="C334" s="18" t="s">
        <v>4576</v>
      </c>
      <c r="D334" s="19">
        <v>45481.545138888891</v>
      </c>
      <c r="E334" s="18" t="s">
        <v>10</v>
      </c>
      <c r="F334" s="18">
        <v>30</v>
      </c>
      <c r="G334" s="18" t="s">
        <v>10</v>
      </c>
      <c r="H334" s="18" t="s">
        <v>178</v>
      </c>
      <c r="I334" s="18" t="s">
        <v>10</v>
      </c>
      <c r="J334" s="18" t="s">
        <v>4017</v>
      </c>
      <c r="K334" s="20"/>
    </row>
    <row r="335" spans="1:11" ht="36.75" thickBot="1">
      <c r="A335" s="18" t="s">
        <v>4583</v>
      </c>
      <c r="B335" s="18">
        <v>20017813530</v>
      </c>
      <c r="C335" s="18" t="s">
        <v>4578</v>
      </c>
      <c r="D335" s="19">
        <v>45481.556944444441</v>
      </c>
      <c r="E335" s="18" t="s">
        <v>10</v>
      </c>
      <c r="F335" s="18">
        <v>30</v>
      </c>
      <c r="G335" s="18" t="s">
        <v>10</v>
      </c>
      <c r="H335" s="18" t="s">
        <v>178</v>
      </c>
      <c r="I335" s="18" t="s">
        <v>10</v>
      </c>
      <c r="J335" s="18" t="s">
        <v>4017</v>
      </c>
      <c r="K335" s="20"/>
    </row>
    <row r="336" spans="1:11" ht="36.75" thickBot="1">
      <c r="A336" s="18" t="s">
        <v>4584</v>
      </c>
      <c r="B336" s="18">
        <v>20023194743</v>
      </c>
      <c r="C336" s="18" t="s">
        <v>4184</v>
      </c>
      <c r="D336" s="19">
        <v>45360.449305555558</v>
      </c>
      <c r="E336" s="19">
        <v>45481.561805555553</v>
      </c>
      <c r="F336" s="18">
        <v>250</v>
      </c>
      <c r="G336" s="18" t="s">
        <v>10</v>
      </c>
      <c r="H336" s="18" t="s">
        <v>178</v>
      </c>
      <c r="I336" s="18" t="s">
        <v>10</v>
      </c>
      <c r="J336" s="18" t="s">
        <v>4017</v>
      </c>
      <c r="K336" s="20"/>
    </row>
    <row r="337" spans="1:11" ht="36.75" thickBot="1">
      <c r="A337" s="18" t="s">
        <v>4585</v>
      </c>
      <c r="B337" s="18">
        <v>20021566359</v>
      </c>
      <c r="C337" s="18" t="s">
        <v>4576</v>
      </c>
      <c r="D337" s="19">
        <v>45481.574305555558</v>
      </c>
      <c r="E337" s="18" t="s">
        <v>10</v>
      </c>
      <c r="F337" s="18">
        <v>30</v>
      </c>
      <c r="G337" s="18" t="s">
        <v>10</v>
      </c>
      <c r="H337" s="18" t="s">
        <v>178</v>
      </c>
      <c r="I337" s="18" t="s">
        <v>10</v>
      </c>
      <c r="J337" s="18" t="s">
        <v>4017</v>
      </c>
      <c r="K337" s="20"/>
    </row>
    <row r="338" spans="1:11" ht="54.75" thickBot="1">
      <c r="A338" s="18" t="s">
        <v>4586</v>
      </c>
      <c r="B338" s="18">
        <v>20021584525</v>
      </c>
      <c r="C338" s="18" t="s">
        <v>4587</v>
      </c>
      <c r="D338" s="19">
        <v>45481.584027777775</v>
      </c>
      <c r="E338" s="18" t="s">
        <v>10</v>
      </c>
      <c r="F338" s="18">
        <v>5</v>
      </c>
      <c r="G338" s="18" t="s">
        <v>10</v>
      </c>
      <c r="H338" s="18" t="s">
        <v>178</v>
      </c>
      <c r="I338" s="18" t="s">
        <v>10</v>
      </c>
      <c r="J338" s="18" t="s">
        <v>4017</v>
      </c>
      <c r="K338" s="20"/>
    </row>
    <row r="339" spans="1:11" ht="36.75" thickBot="1">
      <c r="A339" s="18" t="s">
        <v>4588</v>
      </c>
      <c r="B339" s="18">
        <v>20018008612</v>
      </c>
      <c r="C339" s="18" t="s">
        <v>4578</v>
      </c>
      <c r="D339" s="19">
        <v>45481.585416666669</v>
      </c>
      <c r="E339" s="18" t="s">
        <v>10</v>
      </c>
      <c r="F339" s="18">
        <v>30</v>
      </c>
      <c r="G339" s="18" t="s">
        <v>10</v>
      </c>
      <c r="H339" s="18" t="s">
        <v>178</v>
      </c>
      <c r="I339" s="18" t="s">
        <v>10</v>
      </c>
      <c r="J339" s="18" t="s">
        <v>4017</v>
      </c>
      <c r="K339" s="20"/>
    </row>
    <row r="340" spans="1:11" ht="54.75" thickBot="1">
      <c r="A340" s="18" t="s">
        <v>4589</v>
      </c>
      <c r="B340" s="18">
        <v>20021277406</v>
      </c>
      <c r="C340" s="18" t="s">
        <v>4587</v>
      </c>
      <c r="D340" s="19">
        <v>45481.603472222225</v>
      </c>
      <c r="E340" s="18" t="s">
        <v>10</v>
      </c>
      <c r="F340" s="18">
        <v>5</v>
      </c>
      <c r="G340" s="18" t="s">
        <v>10</v>
      </c>
      <c r="H340" s="18" t="s">
        <v>178</v>
      </c>
      <c r="I340" s="18" t="s">
        <v>10</v>
      </c>
      <c r="J340" s="18" t="s">
        <v>4017</v>
      </c>
      <c r="K340" s="20"/>
    </row>
    <row r="341" spans="1:11" ht="36.75" thickBot="1">
      <c r="A341" s="18" t="s">
        <v>4590</v>
      </c>
      <c r="B341" s="18">
        <v>20018079322</v>
      </c>
      <c r="C341" s="18" t="s">
        <v>4576</v>
      </c>
      <c r="D341" s="19">
        <v>45481.604861111111</v>
      </c>
      <c r="E341" s="18" t="s">
        <v>10</v>
      </c>
      <c r="F341" s="18">
        <v>30</v>
      </c>
      <c r="G341" s="18" t="s">
        <v>10</v>
      </c>
      <c r="H341" s="18" t="s">
        <v>178</v>
      </c>
      <c r="I341" s="18" t="s">
        <v>10</v>
      </c>
      <c r="J341" s="18" t="s">
        <v>4017</v>
      </c>
      <c r="K341" s="20"/>
    </row>
    <row r="342" spans="1:11" ht="36.75" thickBot="1">
      <c r="A342" s="18" t="s">
        <v>4591</v>
      </c>
      <c r="B342" s="18">
        <v>20017211154</v>
      </c>
      <c r="C342" s="18" t="s">
        <v>4576</v>
      </c>
      <c r="D342" s="19">
        <v>45481.613888888889</v>
      </c>
      <c r="E342" s="18" t="s">
        <v>10</v>
      </c>
      <c r="F342" s="18">
        <v>30</v>
      </c>
      <c r="G342" s="18" t="s">
        <v>10</v>
      </c>
      <c r="H342" s="18" t="s">
        <v>178</v>
      </c>
      <c r="I342" s="18" t="s">
        <v>10</v>
      </c>
      <c r="J342" s="18" t="s">
        <v>4017</v>
      </c>
      <c r="K342" s="20"/>
    </row>
    <row r="343" spans="1:11" ht="54.75" thickBot="1">
      <c r="A343" s="18" t="s">
        <v>4592</v>
      </c>
      <c r="B343" s="18">
        <v>20020972417</v>
      </c>
      <c r="C343" s="18" t="s">
        <v>4587</v>
      </c>
      <c r="D343" s="19">
        <v>45481.615972222222</v>
      </c>
      <c r="E343" s="18" t="s">
        <v>10</v>
      </c>
      <c r="F343" s="18">
        <v>5</v>
      </c>
      <c r="G343" s="18" t="s">
        <v>10</v>
      </c>
      <c r="H343" s="18" t="s">
        <v>178</v>
      </c>
      <c r="I343" s="18" t="s">
        <v>10</v>
      </c>
      <c r="J343" s="18" t="s">
        <v>4017</v>
      </c>
      <c r="K343" s="20"/>
    </row>
    <row r="344" spans="1:11" ht="36.75" thickBot="1">
      <c r="A344" s="18" t="s">
        <v>4593</v>
      </c>
      <c r="B344" s="18">
        <v>20017935226</v>
      </c>
      <c r="C344" s="18" t="s">
        <v>4576</v>
      </c>
      <c r="D344" s="19">
        <v>45481.62222222222</v>
      </c>
      <c r="E344" s="18" t="s">
        <v>10</v>
      </c>
      <c r="F344" s="18">
        <v>30</v>
      </c>
      <c r="G344" s="18" t="s">
        <v>10</v>
      </c>
      <c r="H344" s="18" t="s">
        <v>178</v>
      </c>
      <c r="I344" s="18" t="s">
        <v>10</v>
      </c>
      <c r="J344" s="18" t="s">
        <v>4017</v>
      </c>
      <c r="K344" s="20"/>
    </row>
    <row r="345" spans="1:11" ht="36.75" thickBot="1">
      <c r="A345" s="18" t="s">
        <v>4594</v>
      </c>
      <c r="B345" s="18">
        <v>20023552880</v>
      </c>
      <c r="C345" s="18" t="s">
        <v>4578</v>
      </c>
      <c r="D345" s="19">
        <v>45481.638194444444</v>
      </c>
      <c r="E345" s="18" t="s">
        <v>10</v>
      </c>
      <c r="F345" s="18">
        <v>30</v>
      </c>
      <c r="G345" s="18" t="s">
        <v>10</v>
      </c>
      <c r="H345" s="18" t="s">
        <v>178</v>
      </c>
      <c r="I345" s="18" t="s">
        <v>10</v>
      </c>
      <c r="J345" s="18" t="s">
        <v>4017</v>
      </c>
      <c r="K345" s="20"/>
    </row>
    <row r="346" spans="1:11" ht="36.75" thickBot="1">
      <c r="A346" s="18" t="s">
        <v>4595</v>
      </c>
      <c r="B346" s="18">
        <v>20018036065</v>
      </c>
      <c r="C346" s="18" t="s">
        <v>4576</v>
      </c>
      <c r="D346" s="19">
        <v>45481.658333333333</v>
      </c>
      <c r="E346" s="18" t="s">
        <v>10</v>
      </c>
      <c r="F346" s="18">
        <v>30</v>
      </c>
      <c r="G346" s="18" t="s">
        <v>10</v>
      </c>
      <c r="H346" s="18" t="s">
        <v>178</v>
      </c>
      <c r="I346" s="18" t="s">
        <v>10</v>
      </c>
      <c r="J346" s="18" t="s">
        <v>4017</v>
      </c>
      <c r="K346" s="20"/>
    </row>
    <row r="347" spans="1:11" ht="36.75" thickBot="1">
      <c r="A347" s="18" t="s">
        <v>4596</v>
      </c>
      <c r="B347" s="18">
        <v>20022885728</v>
      </c>
      <c r="C347" s="18" t="s">
        <v>4597</v>
      </c>
      <c r="D347" s="19">
        <v>45481.661111111112</v>
      </c>
      <c r="E347" s="18" t="s">
        <v>10</v>
      </c>
      <c r="F347" s="18">
        <v>40</v>
      </c>
      <c r="G347" s="18" t="s">
        <v>10</v>
      </c>
      <c r="H347" s="18" t="s">
        <v>178</v>
      </c>
      <c r="I347" s="18" t="s">
        <v>10</v>
      </c>
      <c r="J347" s="18" t="s">
        <v>4017</v>
      </c>
      <c r="K347" s="20"/>
    </row>
    <row r="348" spans="1:11" ht="36.75" thickBot="1">
      <c r="A348" s="18" t="s">
        <v>4598</v>
      </c>
      <c r="B348" s="18">
        <v>20017791581</v>
      </c>
      <c r="C348" s="18" t="s">
        <v>4576</v>
      </c>
      <c r="D348" s="19">
        <v>45481.679166666669</v>
      </c>
      <c r="E348" s="18" t="s">
        <v>10</v>
      </c>
      <c r="F348" s="18">
        <v>30</v>
      </c>
      <c r="G348" s="18" t="s">
        <v>10</v>
      </c>
      <c r="H348" s="18" t="s">
        <v>178</v>
      </c>
      <c r="I348" s="18" t="s">
        <v>10</v>
      </c>
      <c r="J348" s="18" t="s">
        <v>4017</v>
      </c>
      <c r="K348" s="20"/>
    </row>
    <row r="349" spans="1:11" ht="36.75" thickBot="1">
      <c r="A349" s="18" t="s">
        <v>4599</v>
      </c>
      <c r="B349" s="18">
        <v>20016786738</v>
      </c>
      <c r="C349" s="18" t="s">
        <v>4578</v>
      </c>
      <c r="D349" s="19">
        <v>45481.682638888888</v>
      </c>
      <c r="E349" s="18" t="s">
        <v>10</v>
      </c>
      <c r="F349" s="18">
        <v>30</v>
      </c>
      <c r="G349" s="18" t="s">
        <v>10</v>
      </c>
      <c r="H349" s="18" t="s">
        <v>178</v>
      </c>
      <c r="I349" s="18" t="s">
        <v>10</v>
      </c>
      <c r="J349" s="18" t="s">
        <v>4017</v>
      </c>
      <c r="K349" s="20"/>
    </row>
    <row r="350" spans="1:11" ht="36.75" thickBot="1">
      <c r="A350" s="18" t="s">
        <v>4600</v>
      </c>
      <c r="B350" s="18">
        <v>20021103516</v>
      </c>
      <c r="C350" s="18" t="s">
        <v>4601</v>
      </c>
      <c r="D350" s="19">
        <v>45352.736111111109</v>
      </c>
      <c r="E350" s="19">
        <v>45481.695833333331</v>
      </c>
      <c r="F350" s="18">
        <v>70</v>
      </c>
      <c r="G350" s="18" t="s">
        <v>10</v>
      </c>
      <c r="H350" s="18" t="s">
        <v>178</v>
      </c>
      <c r="I350" s="18" t="s">
        <v>10</v>
      </c>
      <c r="J350" s="18" t="s">
        <v>4017</v>
      </c>
      <c r="K350" s="20"/>
    </row>
    <row r="351" spans="1:11" ht="36.75" thickBot="1">
      <c r="A351" s="18" t="s">
        <v>4602</v>
      </c>
      <c r="B351" s="18">
        <v>20027136189</v>
      </c>
      <c r="C351" s="18" t="s">
        <v>4603</v>
      </c>
      <c r="D351" s="19">
        <v>45481.900694444441</v>
      </c>
      <c r="E351" s="18" t="s">
        <v>10</v>
      </c>
      <c r="F351" s="18">
        <v>600</v>
      </c>
      <c r="G351" s="18" t="s">
        <v>10</v>
      </c>
      <c r="H351" s="18" t="s">
        <v>178</v>
      </c>
      <c r="I351" s="18" t="s">
        <v>10</v>
      </c>
      <c r="J351" s="18" t="s">
        <v>4017</v>
      </c>
      <c r="K351" s="20"/>
    </row>
    <row r="352" spans="1:11" ht="36.75" thickBot="1">
      <c r="A352" s="18" t="s">
        <v>4604</v>
      </c>
      <c r="B352" s="18">
        <v>20003337969</v>
      </c>
      <c r="C352" s="18" t="s">
        <v>4051</v>
      </c>
      <c r="D352" s="19">
        <v>45482.701388888891</v>
      </c>
      <c r="E352" s="18" t="s">
        <v>10</v>
      </c>
      <c r="F352" s="18">
        <v>300</v>
      </c>
      <c r="G352" s="18" t="s">
        <v>10</v>
      </c>
      <c r="H352" s="18" t="s">
        <v>178</v>
      </c>
      <c r="I352" s="18" t="s">
        <v>10</v>
      </c>
      <c r="J352" s="18" t="s">
        <v>4017</v>
      </c>
      <c r="K352" s="20"/>
    </row>
    <row r="353" spans="1:11" ht="36.75" thickBot="1">
      <c r="A353" s="18" t="s">
        <v>4605</v>
      </c>
      <c r="B353" s="18">
        <v>20016659768</v>
      </c>
      <c r="C353" s="18" t="s">
        <v>4576</v>
      </c>
      <c r="D353" s="19">
        <v>45483.342361111114</v>
      </c>
      <c r="E353" s="18" t="s">
        <v>10</v>
      </c>
      <c r="F353" s="18">
        <v>30</v>
      </c>
      <c r="G353" s="18" t="s">
        <v>10</v>
      </c>
      <c r="H353" s="18" t="s">
        <v>178</v>
      </c>
      <c r="I353" s="18" t="s">
        <v>10</v>
      </c>
      <c r="J353" s="18" t="s">
        <v>4017</v>
      </c>
      <c r="K353" s="20"/>
    </row>
    <row r="354" spans="1:11" ht="36.75" thickBot="1">
      <c r="A354" s="18" t="s">
        <v>4606</v>
      </c>
      <c r="B354" s="18">
        <v>20017734385</v>
      </c>
      <c r="C354" s="18" t="s">
        <v>4576</v>
      </c>
      <c r="D354" s="19">
        <v>45483.368750000001</v>
      </c>
      <c r="E354" s="18" t="s">
        <v>10</v>
      </c>
      <c r="F354" s="18">
        <v>30</v>
      </c>
      <c r="G354" s="18" t="s">
        <v>10</v>
      </c>
      <c r="H354" s="18" t="s">
        <v>178</v>
      </c>
      <c r="I354" s="18" t="s">
        <v>10</v>
      </c>
      <c r="J354" s="18" t="s">
        <v>4017</v>
      </c>
      <c r="K354" s="20"/>
    </row>
    <row r="355" spans="1:11" ht="36.75" thickBot="1">
      <c r="A355" s="18" t="s">
        <v>4607</v>
      </c>
      <c r="B355" s="18">
        <v>20017968105</v>
      </c>
      <c r="C355" s="18" t="s">
        <v>4576</v>
      </c>
      <c r="D355" s="19">
        <v>45483.376388888886</v>
      </c>
      <c r="E355" s="18" t="s">
        <v>10</v>
      </c>
      <c r="F355" s="18">
        <v>30</v>
      </c>
      <c r="G355" s="18" t="s">
        <v>10</v>
      </c>
      <c r="H355" s="18" t="s">
        <v>178</v>
      </c>
      <c r="I355" s="18" t="s">
        <v>10</v>
      </c>
      <c r="J355" s="18" t="s">
        <v>4017</v>
      </c>
      <c r="K355" s="20"/>
    </row>
    <row r="356" spans="1:11" ht="36.75" thickBot="1">
      <c r="A356" s="18" t="s">
        <v>4608</v>
      </c>
      <c r="B356" s="18">
        <v>20017968105</v>
      </c>
      <c r="C356" s="18" t="s">
        <v>4576</v>
      </c>
      <c r="D356" s="19">
        <v>45483.393750000003</v>
      </c>
      <c r="E356" s="18" t="s">
        <v>10</v>
      </c>
      <c r="F356" s="18">
        <v>30</v>
      </c>
      <c r="G356" s="18" t="s">
        <v>10</v>
      </c>
      <c r="H356" s="18" t="s">
        <v>178</v>
      </c>
      <c r="I356" s="18" t="s">
        <v>10</v>
      </c>
      <c r="J356" s="18" t="s">
        <v>4017</v>
      </c>
      <c r="K356" s="20"/>
    </row>
    <row r="357" spans="1:11" ht="36.75" thickBot="1">
      <c r="A357" s="18" t="s">
        <v>4609</v>
      </c>
      <c r="B357" s="18">
        <v>20018036212</v>
      </c>
      <c r="C357" s="18" t="s">
        <v>4576</v>
      </c>
      <c r="D357" s="19">
        <v>45483.40347222222</v>
      </c>
      <c r="E357" s="18" t="s">
        <v>10</v>
      </c>
      <c r="F357" s="18">
        <v>30</v>
      </c>
      <c r="G357" s="18" t="s">
        <v>10</v>
      </c>
      <c r="H357" s="18" t="s">
        <v>178</v>
      </c>
      <c r="I357" s="18" t="s">
        <v>10</v>
      </c>
      <c r="J357" s="18" t="s">
        <v>4017</v>
      </c>
      <c r="K357" s="20"/>
    </row>
    <row r="358" spans="1:11" ht="36.75" thickBot="1">
      <c r="A358" s="18" t="s">
        <v>4610</v>
      </c>
      <c r="B358" s="18">
        <v>20023548484</v>
      </c>
      <c r="C358" s="18" t="s">
        <v>4576</v>
      </c>
      <c r="D358" s="19">
        <v>45483.424305555556</v>
      </c>
      <c r="E358" s="18" t="s">
        <v>10</v>
      </c>
      <c r="F358" s="18">
        <v>30</v>
      </c>
      <c r="G358" s="18" t="s">
        <v>10</v>
      </c>
      <c r="H358" s="18" t="s">
        <v>178</v>
      </c>
      <c r="I358" s="18" t="s">
        <v>10</v>
      </c>
      <c r="J358" s="18" t="s">
        <v>4017</v>
      </c>
      <c r="K358" s="20"/>
    </row>
    <row r="359" spans="1:11" ht="54.75" thickBot="1">
      <c r="A359" s="18" t="s">
        <v>4611</v>
      </c>
      <c r="B359" s="18">
        <v>20021718724</v>
      </c>
      <c r="C359" s="18" t="s">
        <v>4587</v>
      </c>
      <c r="D359" s="19">
        <v>45483.488194444442</v>
      </c>
      <c r="E359" s="18" t="s">
        <v>10</v>
      </c>
      <c r="F359" s="18">
        <v>5</v>
      </c>
      <c r="G359" s="18" t="s">
        <v>10</v>
      </c>
      <c r="H359" s="18" t="s">
        <v>178</v>
      </c>
      <c r="I359" s="18" t="s">
        <v>10</v>
      </c>
      <c r="J359" s="18" t="s">
        <v>4017</v>
      </c>
      <c r="K359" s="20"/>
    </row>
    <row r="360" spans="1:11" ht="54.75" thickBot="1">
      <c r="A360" s="18" t="s">
        <v>4612</v>
      </c>
      <c r="B360" s="18">
        <v>20019458171</v>
      </c>
      <c r="C360" s="18" t="s">
        <v>4587</v>
      </c>
      <c r="D360" s="19">
        <v>45483.518750000003</v>
      </c>
      <c r="E360" s="18" t="s">
        <v>10</v>
      </c>
      <c r="F360" s="18">
        <v>5</v>
      </c>
      <c r="G360" s="18" t="s">
        <v>10</v>
      </c>
      <c r="H360" s="18" t="s">
        <v>178</v>
      </c>
      <c r="I360" s="18" t="s">
        <v>10</v>
      </c>
      <c r="J360" s="18" t="s">
        <v>4017</v>
      </c>
      <c r="K360" s="20"/>
    </row>
    <row r="361" spans="1:11" ht="54.75" thickBot="1">
      <c r="A361" s="18" t="s">
        <v>4613</v>
      </c>
      <c r="B361" s="18">
        <v>20023028477</v>
      </c>
      <c r="C361" s="18" t="s">
        <v>4587</v>
      </c>
      <c r="D361" s="19">
        <v>45483.54583333333</v>
      </c>
      <c r="E361" s="18" t="s">
        <v>10</v>
      </c>
      <c r="F361" s="18">
        <v>5</v>
      </c>
      <c r="G361" s="18" t="s">
        <v>10</v>
      </c>
      <c r="H361" s="18" t="s">
        <v>178</v>
      </c>
      <c r="I361" s="18" t="s">
        <v>10</v>
      </c>
      <c r="J361" s="18" t="s">
        <v>4017</v>
      </c>
      <c r="K361" s="20"/>
    </row>
    <row r="362" spans="1:11" ht="36.75" thickBot="1">
      <c r="A362" s="18" t="s">
        <v>4614</v>
      </c>
      <c r="B362" s="18">
        <v>908402000271</v>
      </c>
      <c r="C362" s="18" t="s">
        <v>4615</v>
      </c>
      <c r="D362" s="19">
        <v>45483.604861111111</v>
      </c>
      <c r="E362" s="18" t="s">
        <v>10</v>
      </c>
      <c r="F362" s="18">
        <v>100</v>
      </c>
      <c r="G362" s="18" t="s">
        <v>10</v>
      </c>
      <c r="H362" s="18" t="s">
        <v>178</v>
      </c>
      <c r="I362" s="18" t="s">
        <v>10</v>
      </c>
      <c r="J362" s="18" t="s">
        <v>4017</v>
      </c>
      <c r="K362" s="20"/>
    </row>
    <row r="363" spans="1:11" ht="36.75" thickBot="1">
      <c r="A363" s="18" t="s">
        <v>4616</v>
      </c>
      <c r="B363" s="18">
        <v>20017816913</v>
      </c>
      <c r="C363" s="18" t="s">
        <v>4578</v>
      </c>
      <c r="D363" s="19">
        <v>45483.664583333331</v>
      </c>
      <c r="E363" s="18" t="s">
        <v>10</v>
      </c>
      <c r="F363" s="18">
        <v>30</v>
      </c>
      <c r="G363" s="18" t="s">
        <v>10</v>
      </c>
      <c r="H363" s="18" t="s">
        <v>178</v>
      </c>
      <c r="I363" s="18" t="s">
        <v>10</v>
      </c>
      <c r="J363" s="18" t="s">
        <v>4017</v>
      </c>
      <c r="K363" s="20"/>
    </row>
    <row r="364" spans="1:11" ht="36.75" thickBot="1">
      <c r="A364" s="18" t="s">
        <v>4617</v>
      </c>
      <c r="B364" s="18">
        <v>20010793516</v>
      </c>
      <c r="C364" s="18" t="s">
        <v>4578</v>
      </c>
      <c r="D364" s="19">
        <v>45483.6875</v>
      </c>
      <c r="E364" s="18" t="s">
        <v>10</v>
      </c>
      <c r="F364" s="18">
        <v>30</v>
      </c>
      <c r="G364" s="18" t="s">
        <v>10</v>
      </c>
      <c r="H364" s="18" t="s">
        <v>178</v>
      </c>
      <c r="I364" s="18" t="s">
        <v>10</v>
      </c>
      <c r="J364" s="18" t="s">
        <v>4017</v>
      </c>
      <c r="K364" s="20"/>
    </row>
    <row r="365" spans="1:11" ht="54.75" thickBot="1">
      <c r="A365" s="18" t="s">
        <v>4618</v>
      </c>
      <c r="B365" s="18">
        <v>20020102553</v>
      </c>
      <c r="C365" s="18" t="s">
        <v>4587</v>
      </c>
      <c r="D365" s="19">
        <v>45484.511805555558</v>
      </c>
      <c r="E365" s="18" t="s">
        <v>10</v>
      </c>
      <c r="F365" s="18">
        <v>5</v>
      </c>
      <c r="G365" s="18" t="s">
        <v>10</v>
      </c>
      <c r="H365" s="18" t="s">
        <v>178</v>
      </c>
      <c r="I365" s="18" t="s">
        <v>10</v>
      </c>
      <c r="J365" s="18" t="s">
        <v>4017</v>
      </c>
      <c r="K365" s="20"/>
    </row>
    <row r="366" spans="1:11" ht="54.75" thickBot="1">
      <c r="A366" s="18" t="s">
        <v>4619</v>
      </c>
      <c r="B366" s="18">
        <v>20021927873</v>
      </c>
      <c r="C366" s="18" t="s">
        <v>4587</v>
      </c>
      <c r="D366" s="19">
        <v>45484.590277777781</v>
      </c>
      <c r="E366" s="18" t="s">
        <v>10</v>
      </c>
      <c r="F366" s="18">
        <v>5</v>
      </c>
      <c r="G366" s="18" t="s">
        <v>10</v>
      </c>
      <c r="H366" s="18" t="s">
        <v>178</v>
      </c>
      <c r="I366" s="18" t="s">
        <v>10</v>
      </c>
      <c r="J366" s="18" t="s">
        <v>4017</v>
      </c>
      <c r="K366" s="20"/>
    </row>
    <row r="367" spans="1:11" ht="54.75" thickBot="1">
      <c r="A367" s="18" t="s">
        <v>4620</v>
      </c>
      <c r="B367" s="18">
        <v>20022868567</v>
      </c>
      <c r="C367" s="18" t="s">
        <v>4587</v>
      </c>
      <c r="D367" s="19">
        <v>45484.606944444444</v>
      </c>
      <c r="E367" s="18" t="s">
        <v>10</v>
      </c>
      <c r="F367" s="18">
        <v>5</v>
      </c>
      <c r="G367" s="18" t="s">
        <v>10</v>
      </c>
      <c r="H367" s="18" t="s">
        <v>178</v>
      </c>
      <c r="I367" s="18" t="s">
        <v>10</v>
      </c>
      <c r="J367" s="18" t="s">
        <v>4017</v>
      </c>
      <c r="K367" s="20"/>
    </row>
    <row r="368" spans="1:11" ht="54.75" thickBot="1">
      <c r="A368" s="18" t="s">
        <v>4621</v>
      </c>
      <c r="B368" s="18">
        <v>20019577685</v>
      </c>
      <c r="C368" s="18" t="s">
        <v>4587</v>
      </c>
      <c r="D368" s="19">
        <v>45484.619444444441</v>
      </c>
      <c r="E368" s="18" t="s">
        <v>10</v>
      </c>
      <c r="F368" s="18">
        <v>5</v>
      </c>
      <c r="G368" s="18" t="s">
        <v>10</v>
      </c>
      <c r="H368" s="18" t="s">
        <v>178</v>
      </c>
      <c r="I368" s="18" t="s">
        <v>10</v>
      </c>
      <c r="J368" s="18" t="s">
        <v>4017</v>
      </c>
      <c r="K368" s="20"/>
    </row>
    <row r="369" spans="1:11" ht="36.75" thickBot="1">
      <c r="A369" s="18" t="s">
        <v>4622</v>
      </c>
      <c r="B369" s="18">
        <v>20020682670</v>
      </c>
      <c r="C369" s="18" t="s">
        <v>4358</v>
      </c>
      <c r="D369" s="19">
        <v>45484.676388888889</v>
      </c>
      <c r="E369" s="18" t="s">
        <v>10</v>
      </c>
      <c r="F369" s="18">
        <v>180</v>
      </c>
      <c r="G369" s="18" t="s">
        <v>10</v>
      </c>
      <c r="H369" s="18" t="s">
        <v>178</v>
      </c>
      <c r="I369" s="18" t="s">
        <v>10</v>
      </c>
      <c r="J369" s="18" t="s">
        <v>4017</v>
      </c>
      <c r="K369" s="20"/>
    </row>
    <row r="370" spans="1:11" ht="36.75" thickBot="1">
      <c r="A370" s="18" t="s">
        <v>4623</v>
      </c>
      <c r="B370" s="18">
        <v>20018950093</v>
      </c>
      <c r="C370" s="18" t="s">
        <v>4624</v>
      </c>
      <c r="D370" s="19">
        <v>45432.62777777778</v>
      </c>
      <c r="E370" s="19">
        <v>45484.689583333333</v>
      </c>
      <c r="F370" s="18">
        <v>180</v>
      </c>
      <c r="G370" s="18" t="s">
        <v>10</v>
      </c>
      <c r="H370" s="18" t="s">
        <v>178</v>
      </c>
      <c r="I370" s="18" t="s">
        <v>10</v>
      </c>
      <c r="J370" s="18" t="s">
        <v>4017</v>
      </c>
      <c r="K370" s="20"/>
    </row>
    <row r="371" spans="1:11" ht="36.75" thickBot="1">
      <c r="A371" s="18" t="s">
        <v>4625</v>
      </c>
      <c r="B371" s="18">
        <v>20003186085</v>
      </c>
      <c r="C371" s="18" t="s">
        <v>4626</v>
      </c>
      <c r="D371" s="19">
        <v>45406.487500000003</v>
      </c>
      <c r="E371" s="19">
        <v>45484.75</v>
      </c>
      <c r="F371" s="18">
        <v>875</v>
      </c>
      <c r="G371" s="18" t="s">
        <v>10</v>
      </c>
      <c r="H371" s="18" t="s">
        <v>178</v>
      </c>
      <c r="I371" s="18" t="s">
        <v>10</v>
      </c>
      <c r="J371" s="18" t="s">
        <v>4017</v>
      </c>
      <c r="K371" s="20"/>
    </row>
    <row r="372" spans="1:11" ht="36.75" thickBot="1">
      <c r="A372" s="18" t="s">
        <v>4627</v>
      </c>
      <c r="B372" s="18">
        <v>20002981308</v>
      </c>
      <c r="C372" s="18" t="s">
        <v>4628</v>
      </c>
      <c r="D372" s="19">
        <v>45484.887499999997</v>
      </c>
      <c r="E372" s="18" t="s">
        <v>10</v>
      </c>
      <c r="F372" s="18">
        <v>30</v>
      </c>
      <c r="G372" s="18" t="s">
        <v>10</v>
      </c>
      <c r="H372" s="18" t="s">
        <v>178</v>
      </c>
      <c r="I372" s="18" t="s">
        <v>10</v>
      </c>
      <c r="J372" s="18" t="s">
        <v>4017</v>
      </c>
      <c r="K372" s="20"/>
    </row>
    <row r="373" spans="1:11" ht="36.75" thickBot="1">
      <c r="A373" s="18" t="s">
        <v>4629</v>
      </c>
      <c r="B373" s="18">
        <v>20003442270</v>
      </c>
      <c r="C373" s="18" t="s">
        <v>4630</v>
      </c>
      <c r="D373" s="19">
        <v>45485.430555555555</v>
      </c>
      <c r="E373" s="18" t="s">
        <v>10</v>
      </c>
      <c r="F373" s="18">
        <v>100</v>
      </c>
      <c r="G373" s="18" t="s">
        <v>10</v>
      </c>
      <c r="H373" s="18" t="s">
        <v>178</v>
      </c>
      <c r="I373" s="18" t="s">
        <v>10</v>
      </c>
      <c r="J373" s="18" t="s">
        <v>4017</v>
      </c>
      <c r="K373" s="20"/>
    </row>
    <row r="374" spans="1:11" ht="36.75" thickBot="1">
      <c r="A374" s="18" t="s">
        <v>4631</v>
      </c>
      <c r="B374" s="18">
        <v>20024847450</v>
      </c>
      <c r="C374" s="18" t="s">
        <v>4632</v>
      </c>
      <c r="D374" s="19">
        <v>45485.557638888888</v>
      </c>
      <c r="E374" s="18" t="s">
        <v>10</v>
      </c>
      <c r="F374" s="18">
        <v>50</v>
      </c>
      <c r="G374" s="18" t="s">
        <v>10</v>
      </c>
      <c r="H374" s="18" t="s">
        <v>178</v>
      </c>
      <c r="I374" s="18" t="s">
        <v>10</v>
      </c>
      <c r="J374" s="18" t="s">
        <v>4017</v>
      </c>
      <c r="K374" s="20"/>
    </row>
    <row r="375" spans="1:11" ht="36.75" thickBot="1">
      <c r="A375" s="18" t="s">
        <v>4633</v>
      </c>
      <c r="B375" s="18">
        <v>20002918553</v>
      </c>
      <c r="C375" s="18" t="s">
        <v>4278</v>
      </c>
      <c r="D375" s="19">
        <v>45485.629166666666</v>
      </c>
      <c r="E375" s="18" t="s">
        <v>10</v>
      </c>
      <c r="F375" s="18">
        <v>800</v>
      </c>
      <c r="G375" s="18" t="s">
        <v>10</v>
      </c>
      <c r="H375" s="18" t="s">
        <v>178</v>
      </c>
      <c r="I375" s="18" t="s">
        <v>10</v>
      </c>
      <c r="J375" s="18" t="s">
        <v>4017</v>
      </c>
      <c r="K375" s="20"/>
    </row>
    <row r="376" spans="1:11" ht="36.75" thickBot="1">
      <c r="A376" s="18" t="s">
        <v>4634</v>
      </c>
      <c r="B376" s="18">
        <v>20017018491</v>
      </c>
      <c r="C376" s="18" t="s">
        <v>4635</v>
      </c>
      <c r="D376" s="19">
        <v>45485.702777777777</v>
      </c>
      <c r="E376" s="18" t="s">
        <v>10</v>
      </c>
      <c r="F376" s="18">
        <v>50</v>
      </c>
      <c r="G376" s="18" t="s">
        <v>10</v>
      </c>
      <c r="H376" s="18" t="s">
        <v>178</v>
      </c>
      <c r="I376" s="18" t="s">
        <v>10</v>
      </c>
      <c r="J376" s="18" t="s">
        <v>4017</v>
      </c>
      <c r="K376" s="20"/>
    </row>
    <row r="377" spans="1:11" ht="36.75" thickBot="1">
      <c r="A377" s="18" t="s">
        <v>4636</v>
      </c>
      <c r="B377" s="18">
        <v>20017018491</v>
      </c>
      <c r="C377" s="18" t="s">
        <v>4635</v>
      </c>
      <c r="D377" s="19">
        <v>45485.711111111108</v>
      </c>
      <c r="E377" s="18" t="s">
        <v>10</v>
      </c>
      <c r="F377" s="18">
        <v>50</v>
      </c>
      <c r="G377" s="18" t="s">
        <v>10</v>
      </c>
      <c r="H377" s="18" t="s">
        <v>178</v>
      </c>
      <c r="I377" s="18" t="s">
        <v>10</v>
      </c>
      <c r="J377" s="18" t="s">
        <v>4017</v>
      </c>
      <c r="K377" s="20"/>
    </row>
    <row r="378" spans="1:11" ht="36.75" thickBot="1">
      <c r="A378" s="18" t="s">
        <v>4637</v>
      </c>
      <c r="B378" s="18">
        <v>20023859100</v>
      </c>
      <c r="C378" s="18" t="s">
        <v>4638</v>
      </c>
      <c r="D378" s="19">
        <v>45485.98333333333</v>
      </c>
      <c r="E378" s="18" t="s">
        <v>10</v>
      </c>
      <c r="F378" s="18">
        <v>100</v>
      </c>
      <c r="G378" s="18" t="s">
        <v>10</v>
      </c>
      <c r="H378" s="18" t="s">
        <v>178</v>
      </c>
      <c r="I378" s="18" t="s">
        <v>10</v>
      </c>
      <c r="J378" s="18" t="s">
        <v>4017</v>
      </c>
      <c r="K378" s="20"/>
    </row>
    <row r="379" spans="1:11" ht="36.75" thickBot="1">
      <c r="A379" s="18" t="s">
        <v>4639</v>
      </c>
      <c r="B379" s="18">
        <v>20003221459</v>
      </c>
      <c r="C379" s="18" t="s">
        <v>4204</v>
      </c>
      <c r="D379" s="19">
        <v>45487.681250000001</v>
      </c>
      <c r="E379" s="18" t="s">
        <v>10</v>
      </c>
      <c r="F379" s="18">
        <v>250</v>
      </c>
      <c r="G379" s="18" t="s">
        <v>10</v>
      </c>
      <c r="H379" s="18" t="s">
        <v>178</v>
      </c>
      <c r="I379" s="18" t="s">
        <v>10</v>
      </c>
      <c r="J379" s="18" t="s">
        <v>4017</v>
      </c>
      <c r="K379" s="20"/>
    </row>
    <row r="380" spans="1:11" ht="36.75" thickBot="1">
      <c r="A380" s="18" t="s">
        <v>4640</v>
      </c>
      <c r="B380" s="18">
        <v>20019983360</v>
      </c>
      <c r="C380" s="18" t="s">
        <v>4641</v>
      </c>
      <c r="D380" s="19">
        <v>45434.683333333334</v>
      </c>
      <c r="E380" s="19">
        <v>45488.762499999997</v>
      </c>
      <c r="F380" s="18">
        <v>85.2</v>
      </c>
      <c r="G380" s="18" t="s">
        <v>10</v>
      </c>
      <c r="H380" s="18" t="s">
        <v>178</v>
      </c>
      <c r="I380" s="18" t="s">
        <v>10</v>
      </c>
      <c r="J380" s="18" t="s">
        <v>4017</v>
      </c>
      <c r="K380" s="20"/>
    </row>
    <row r="381" spans="1:11" ht="36.75" thickBot="1">
      <c r="A381" s="18" t="s">
        <v>4642</v>
      </c>
      <c r="B381" s="18">
        <v>20023705237</v>
      </c>
      <c r="C381" s="18" t="s">
        <v>4049</v>
      </c>
      <c r="D381" s="19">
        <v>45437.484722222223</v>
      </c>
      <c r="E381" s="19">
        <v>45489.524305555555</v>
      </c>
      <c r="F381" s="18">
        <v>90</v>
      </c>
      <c r="G381" s="19">
        <v>45531.487500000003</v>
      </c>
      <c r="H381" s="18" t="s">
        <v>236</v>
      </c>
      <c r="I381" s="18" t="s">
        <v>10</v>
      </c>
      <c r="J381" s="18" t="s">
        <v>4017</v>
      </c>
      <c r="K381" s="20"/>
    </row>
    <row r="382" spans="1:11" ht="36.75" thickBot="1">
      <c r="A382" s="18" t="s">
        <v>4643</v>
      </c>
      <c r="B382" s="18">
        <v>20023114635</v>
      </c>
      <c r="C382" s="18" t="s">
        <v>4367</v>
      </c>
      <c r="D382" s="19">
        <v>45489.886111111111</v>
      </c>
      <c r="E382" s="18" t="s">
        <v>10</v>
      </c>
      <c r="F382" s="18">
        <v>40</v>
      </c>
      <c r="G382" s="18" t="s">
        <v>10</v>
      </c>
      <c r="H382" s="18" t="s">
        <v>178</v>
      </c>
      <c r="I382" s="18" t="s">
        <v>10</v>
      </c>
      <c r="J382" s="18" t="s">
        <v>4017</v>
      </c>
      <c r="K382" s="20"/>
    </row>
    <row r="383" spans="1:11" ht="36.75" thickBot="1">
      <c r="A383" s="18" t="s">
        <v>4644</v>
      </c>
      <c r="B383" s="18">
        <v>20003491572</v>
      </c>
      <c r="C383" s="18" t="s">
        <v>215</v>
      </c>
      <c r="D383" s="19">
        <v>45390.677777777775</v>
      </c>
      <c r="E383" s="19">
        <v>45490.415972222225</v>
      </c>
      <c r="F383" s="18">
        <v>30</v>
      </c>
      <c r="G383" s="19">
        <v>45565.681250000001</v>
      </c>
      <c r="H383" s="18" t="s">
        <v>236</v>
      </c>
      <c r="I383" s="18" t="s">
        <v>10</v>
      </c>
      <c r="J383" s="18" t="s">
        <v>4017</v>
      </c>
      <c r="K383" s="20"/>
    </row>
    <row r="384" spans="1:11" ht="36.75" thickBot="1">
      <c r="A384" s="18" t="s">
        <v>4645</v>
      </c>
      <c r="B384" s="18">
        <v>20022502968</v>
      </c>
      <c r="C384" s="18" t="s">
        <v>4447</v>
      </c>
      <c r="D384" s="19">
        <v>45456.585416666669</v>
      </c>
      <c r="E384" s="19">
        <v>45490.419444444444</v>
      </c>
      <c r="F384" s="18">
        <v>100</v>
      </c>
      <c r="G384" s="18" t="s">
        <v>10</v>
      </c>
      <c r="H384" s="18" t="s">
        <v>178</v>
      </c>
      <c r="I384" s="18" t="s">
        <v>10</v>
      </c>
      <c r="J384" s="18" t="s">
        <v>4017</v>
      </c>
      <c r="K384" s="20"/>
    </row>
    <row r="385" spans="1:11" ht="36.75" thickBot="1">
      <c r="A385" s="18" t="s">
        <v>4646</v>
      </c>
      <c r="B385" s="18">
        <v>20022512765</v>
      </c>
      <c r="C385" s="18" t="s">
        <v>4447</v>
      </c>
      <c r="D385" s="19">
        <v>45490.430555555555</v>
      </c>
      <c r="E385" s="18" t="s">
        <v>10</v>
      </c>
      <c r="F385" s="18">
        <v>100</v>
      </c>
      <c r="G385" s="18" t="s">
        <v>10</v>
      </c>
      <c r="H385" s="18" t="s">
        <v>178</v>
      </c>
      <c r="I385" s="18" t="s">
        <v>10</v>
      </c>
      <c r="J385" s="18" t="s">
        <v>4017</v>
      </c>
      <c r="K385" s="20"/>
    </row>
    <row r="386" spans="1:11" ht="54.75" thickBot="1">
      <c r="A386" s="18" t="s">
        <v>4647</v>
      </c>
      <c r="B386" s="18">
        <v>20020376398</v>
      </c>
      <c r="C386" s="18" t="s">
        <v>4648</v>
      </c>
      <c r="D386" s="19">
        <v>45461.543749999997</v>
      </c>
      <c r="E386" s="19">
        <v>45490.442361111112</v>
      </c>
      <c r="F386" s="18">
        <v>90</v>
      </c>
      <c r="G386" s="18" t="s">
        <v>10</v>
      </c>
      <c r="H386" s="18" t="s">
        <v>178</v>
      </c>
      <c r="I386" s="18" t="s">
        <v>10</v>
      </c>
      <c r="J386" s="18" t="s">
        <v>4017</v>
      </c>
      <c r="K386" s="20"/>
    </row>
    <row r="387" spans="1:11" ht="36.75" thickBot="1">
      <c r="A387" s="18" t="s">
        <v>4649</v>
      </c>
      <c r="B387" s="18">
        <v>20026310938</v>
      </c>
      <c r="C387" s="18" t="s">
        <v>4518</v>
      </c>
      <c r="D387" s="19">
        <v>45490.547222222223</v>
      </c>
      <c r="E387" s="18" t="s">
        <v>10</v>
      </c>
      <c r="F387" s="18">
        <v>50</v>
      </c>
      <c r="G387" s="18" t="s">
        <v>10</v>
      </c>
      <c r="H387" s="18" t="s">
        <v>178</v>
      </c>
      <c r="I387" s="18" t="s">
        <v>10</v>
      </c>
      <c r="J387" s="18" t="s">
        <v>4017</v>
      </c>
      <c r="K387" s="20"/>
    </row>
    <row r="388" spans="1:11" ht="72.75" thickBot="1">
      <c r="A388" s="18" t="s">
        <v>4650</v>
      </c>
      <c r="B388" s="18">
        <v>20022026278</v>
      </c>
      <c r="C388" s="18" t="s">
        <v>4651</v>
      </c>
      <c r="D388" s="19">
        <v>45346.691666666666</v>
      </c>
      <c r="E388" s="19">
        <v>45490.688194444447</v>
      </c>
      <c r="F388" s="18">
        <v>30</v>
      </c>
      <c r="G388" s="19">
        <v>45517.588194444441</v>
      </c>
      <c r="H388" s="18" t="s">
        <v>2657</v>
      </c>
      <c r="I388" s="18" t="s">
        <v>10</v>
      </c>
      <c r="J388" s="18" t="s">
        <v>4017</v>
      </c>
      <c r="K388" s="20"/>
    </row>
    <row r="389" spans="1:11" ht="36.75" thickBot="1">
      <c r="A389" s="18" t="s">
        <v>4652</v>
      </c>
      <c r="B389" s="18">
        <v>20003287120</v>
      </c>
      <c r="C389" s="18" t="s">
        <v>4653</v>
      </c>
      <c r="D389" s="19">
        <v>45490.740277777775</v>
      </c>
      <c r="E389" s="18" t="s">
        <v>10</v>
      </c>
      <c r="F389" s="18">
        <v>350</v>
      </c>
      <c r="G389" s="18" t="s">
        <v>10</v>
      </c>
      <c r="H389" s="18" t="s">
        <v>178</v>
      </c>
      <c r="I389" s="18" t="s">
        <v>10</v>
      </c>
      <c r="J389" s="18" t="s">
        <v>4017</v>
      </c>
      <c r="K389" s="20"/>
    </row>
    <row r="390" spans="1:11" ht="54.75" thickBot="1">
      <c r="A390" s="18" t="s">
        <v>4654</v>
      </c>
      <c r="B390" s="18">
        <v>20025497992</v>
      </c>
      <c r="C390" s="18" t="s">
        <v>4655</v>
      </c>
      <c r="D390" s="19">
        <v>45490.913888888892</v>
      </c>
      <c r="E390" s="18" t="s">
        <v>10</v>
      </c>
      <c r="F390" s="18">
        <v>30</v>
      </c>
      <c r="G390" s="18" t="s">
        <v>10</v>
      </c>
      <c r="H390" s="18" t="s">
        <v>178</v>
      </c>
      <c r="I390" s="18" t="s">
        <v>10</v>
      </c>
      <c r="J390" s="18" t="s">
        <v>4017</v>
      </c>
      <c r="K390" s="20"/>
    </row>
    <row r="391" spans="1:11" ht="36.75" thickBot="1">
      <c r="A391" s="18" t="s">
        <v>4656</v>
      </c>
      <c r="B391" s="18">
        <v>20003102166</v>
      </c>
      <c r="C391" s="18" t="s">
        <v>4657</v>
      </c>
      <c r="D391" s="19">
        <v>45456.682638888888</v>
      </c>
      <c r="E391" s="19">
        <v>45491.411111111112</v>
      </c>
      <c r="F391" s="18">
        <v>150</v>
      </c>
      <c r="G391" s="19">
        <v>45537.473611111112</v>
      </c>
      <c r="H391" s="18" t="s">
        <v>2654</v>
      </c>
      <c r="I391" s="18" t="s">
        <v>10</v>
      </c>
      <c r="J391" s="18" t="s">
        <v>4017</v>
      </c>
      <c r="K391" s="20"/>
    </row>
    <row r="392" spans="1:11" ht="36.75" thickBot="1">
      <c r="A392" s="18" t="s">
        <v>4658</v>
      </c>
      <c r="B392" s="18">
        <v>20026658292</v>
      </c>
      <c r="C392" s="18" t="s">
        <v>4110</v>
      </c>
      <c r="D392" s="19">
        <v>45350.660416666666</v>
      </c>
      <c r="E392" s="19">
        <v>45491.459027777775</v>
      </c>
      <c r="F392" s="18">
        <v>100</v>
      </c>
      <c r="G392" s="19">
        <v>45513.463888888888</v>
      </c>
      <c r="H392" s="18" t="s">
        <v>236</v>
      </c>
      <c r="I392" s="18" t="s">
        <v>10</v>
      </c>
      <c r="J392" s="18" t="s">
        <v>4017</v>
      </c>
      <c r="K392" s="20"/>
    </row>
    <row r="393" spans="1:11" ht="36.75" thickBot="1">
      <c r="A393" s="18" t="s">
        <v>4659</v>
      </c>
      <c r="B393" s="18">
        <v>20023589602</v>
      </c>
      <c r="C393" s="18" t="s">
        <v>4551</v>
      </c>
      <c r="D393" s="19">
        <v>45491.50277777778</v>
      </c>
      <c r="E393" s="18" t="s">
        <v>10</v>
      </c>
      <c r="F393" s="18">
        <v>30</v>
      </c>
      <c r="G393" s="18" t="s">
        <v>10</v>
      </c>
      <c r="H393" s="18" t="s">
        <v>178</v>
      </c>
      <c r="I393" s="18" t="s">
        <v>10</v>
      </c>
      <c r="J393" s="18" t="s">
        <v>4017</v>
      </c>
      <c r="K393" s="20"/>
    </row>
    <row r="394" spans="1:11" ht="36.75" thickBot="1">
      <c r="A394" s="18" t="s">
        <v>4660</v>
      </c>
      <c r="B394" s="18">
        <v>20026413624</v>
      </c>
      <c r="C394" s="18" t="s">
        <v>4661</v>
      </c>
      <c r="D394" s="19">
        <v>45341.59097222222</v>
      </c>
      <c r="E394" s="19">
        <v>45491.548611111109</v>
      </c>
      <c r="F394" s="18">
        <v>50</v>
      </c>
      <c r="G394" s="18" t="s">
        <v>10</v>
      </c>
      <c r="H394" s="18" t="s">
        <v>178</v>
      </c>
      <c r="I394" s="18" t="s">
        <v>10</v>
      </c>
      <c r="J394" s="18" t="s">
        <v>4017</v>
      </c>
      <c r="K394" s="20"/>
    </row>
    <row r="395" spans="1:11" ht="36.75" thickBot="1">
      <c r="A395" s="18" t="s">
        <v>4662</v>
      </c>
      <c r="B395" s="18">
        <v>20022996872</v>
      </c>
      <c r="C395" s="18" t="s">
        <v>4483</v>
      </c>
      <c r="D395" s="19">
        <v>45491.726388888892</v>
      </c>
      <c r="E395" s="18" t="s">
        <v>10</v>
      </c>
      <c r="F395" s="18">
        <v>50</v>
      </c>
      <c r="G395" s="18" t="s">
        <v>10</v>
      </c>
      <c r="H395" s="18" t="s">
        <v>178</v>
      </c>
      <c r="I395" s="18" t="s">
        <v>10</v>
      </c>
      <c r="J395" s="18" t="s">
        <v>4017</v>
      </c>
      <c r="K395" s="20"/>
    </row>
    <row r="396" spans="1:11" ht="54.75" thickBot="1">
      <c r="A396" s="18" t="s">
        <v>4663</v>
      </c>
      <c r="B396" s="18">
        <v>20026425916</v>
      </c>
      <c r="C396" s="18" t="s">
        <v>4664</v>
      </c>
      <c r="D396" s="19">
        <v>45491.905555555553</v>
      </c>
      <c r="E396" s="18" t="s">
        <v>10</v>
      </c>
      <c r="F396" s="18">
        <v>150</v>
      </c>
      <c r="G396" s="18" t="s">
        <v>10</v>
      </c>
      <c r="H396" s="18" t="s">
        <v>178</v>
      </c>
      <c r="I396" s="18" t="s">
        <v>10</v>
      </c>
      <c r="J396" s="18" t="s">
        <v>4017</v>
      </c>
      <c r="K396" s="20"/>
    </row>
    <row r="397" spans="1:11" ht="36.75" thickBot="1">
      <c r="A397" s="18" t="s">
        <v>4665</v>
      </c>
      <c r="B397" s="18">
        <v>20002954023</v>
      </c>
      <c r="C397" s="18" t="s">
        <v>4396</v>
      </c>
      <c r="D397" s="19">
        <v>45491.95</v>
      </c>
      <c r="E397" s="18" t="s">
        <v>10</v>
      </c>
      <c r="F397" s="18">
        <v>40</v>
      </c>
      <c r="G397" s="18" t="s">
        <v>10</v>
      </c>
      <c r="H397" s="18" t="s">
        <v>178</v>
      </c>
      <c r="I397" s="18" t="s">
        <v>10</v>
      </c>
      <c r="J397" s="18" t="s">
        <v>4017</v>
      </c>
      <c r="K397" s="20"/>
    </row>
    <row r="398" spans="1:11" ht="72.75" thickBot="1">
      <c r="A398" s="18" t="s">
        <v>4666</v>
      </c>
      <c r="B398" s="18">
        <v>20022996872</v>
      </c>
      <c r="C398" s="18" t="s">
        <v>4483</v>
      </c>
      <c r="D398" s="19">
        <v>45492.459722222222</v>
      </c>
      <c r="E398" s="18" t="s">
        <v>10</v>
      </c>
      <c r="F398" s="18">
        <v>50</v>
      </c>
      <c r="G398" s="19">
        <v>45534.597916666666</v>
      </c>
      <c r="H398" s="18" t="s">
        <v>2657</v>
      </c>
      <c r="I398" s="18" t="s">
        <v>10</v>
      </c>
      <c r="J398" s="18" t="s">
        <v>4017</v>
      </c>
      <c r="K398" s="20"/>
    </row>
    <row r="399" spans="1:11" ht="36.75" thickBot="1">
      <c r="A399" s="18" t="s">
        <v>4667</v>
      </c>
      <c r="B399" s="18">
        <v>20023390359</v>
      </c>
      <c r="C399" s="18" t="s">
        <v>1836</v>
      </c>
      <c r="D399" s="19">
        <v>45492.503472222219</v>
      </c>
      <c r="E399" s="18" t="s">
        <v>10</v>
      </c>
      <c r="F399" s="18">
        <v>30</v>
      </c>
      <c r="G399" s="18" t="s">
        <v>10</v>
      </c>
      <c r="H399" s="18" t="s">
        <v>178</v>
      </c>
      <c r="I399" s="18" t="s">
        <v>10</v>
      </c>
      <c r="J399" s="18" t="s">
        <v>4017</v>
      </c>
      <c r="K399" s="20"/>
    </row>
    <row r="400" spans="1:11" ht="36.75" thickBot="1">
      <c r="A400" s="18" t="s">
        <v>4668</v>
      </c>
      <c r="B400" s="18">
        <v>20003241236</v>
      </c>
      <c r="C400" s="18" t="s">
        <v>4669</v>
      </c>
      <c r="D400" s="19">
        <v>45441.606249999997</v>
      </c>
      <c r="E400" s="19">
        <v>45492.661111111112</v>
      </c>
      <c r="F400" s="18">
        <v>375</v>
      </c>
      <c r="G400" s="19">
        <v>45551.611805555556</v>
      </c>
      <c r="H400" s="18" t="s">
        <v>236</v>
      </c>
      <c r="I400" s="18" t="s">
        <v>10</v>
      </c>
      <c r="J400" s="18" t="s">
        <v>4017</v>
      </c>
      <c r="K400" s="20"/>
    </row>
    <row r="401" spans="1:11" ht="36.75" thickBot="1">
      <c r="A401" s="18" t="s">
        <v>4670</v>
      </c>
      <c r="B401" s="18">
        <v>20003244701</v>
      </c>
      <c r="C401" s="18" t="s">
        <v>4671</v>
      </c>
      <c r="D401" s="19">
        <v>45492.678472222222</v>
      </c>
      <c r="E401" s="18" t="s">
        <v>10</v>
      </c>
      <c r="F401" s="18">
        <v>24</v>
      </c>
      <c r="G401" s="18" t="s">
        <v>10</v>
      </c>
      <c r="H401" s="18" t="s">
        <v>178</v>
      </c>
      <c r="I401" s="18" t="s">
        <v>10</v>
      </c>
      <c r="J401" s="18" t="s">
        <v>4017</v>
      </c>
      <c r="K401" s="1"/>
    </row>
    <row r="402" spans="1:11" ht="36.75" thickBot="1">
      <c r="A402" s="21" t="s">
        <v>4672</v>
      </c>
      <c r="B402" s="21">
        <v>20002974499</v>
      </c>
      <c r="C402" s="21" t="s">
        <v>4673</v>
      </c>
      <c r="D402" s="22">
        <v>45436.65347222222</v>
      </c>
      <c r="E402" s="22">
        <v>45492.682638888888</v>
      </c>
      <c r="F402" s="21">
        <v>350</v>
      </c>
      <c r="G402" s="21" t="s">
        <v>10</v>
      </c>
      <c r="H402" s="21" t="s">
        <v>178</v>
      </c>
      <c r="I402" s="21" t="s">
        <v>10</v>
      </c>
      <c r="J402" s="21" t="s">
        <v>4017</v>
      </c>
      <c r="K402" s="20"/>
    </row>
    <row r="403" spans="1:11" ht="36.75" thickBot="1">
      <c r="A403" s="18" t="s">
        <v>4674</v>
      </c>
      <c r="B403" s="18">
        <v>20002779629</v>
      </c>
      <c r="C403" s="18" t="s">
        <v>4673</v>
      </c>
      <c r="D403" s="19">
        <v>45436.679861111108</v>
      </c>
      <c r="E403" s="19">
        <v>45492.690972222219</v>
      </c>
      <c r="F403" s="18">
        <v>300</v>
      </c>
      <c r="G403" s="18" t="s">
        <v>10</v>
      </c>
      <c r="H403" s="18" t="s">
        <v>178</v>
      </c>
      <c r="I403" s="18" t="s">
        <v>10</v>
      </c>
      <c r="J403" s="18" t="s">
        <v>4017</v>
      </c>
      <c r="K403" s="20"/>
    </row>
    <row r="404" spans="1:11" ht="36.75" thickBot="1">
      <c r="A404" s="18" t="s">
        <v>4675</v>
      </c>
      <c r="B404" s="18">
        <v>20019225959</v>
      </c>
      <c r="C404" s="18" t="s">
        <v>4673</v>
      </c>
      <c r="D404" s="19">
        <v>45436.712500000001</v>
      </c>
      <c r="E404" s="19">
        <v>45492.693749999999</v>
      </c>
      <c r="F404" s="18">
        <v>800</v>
      </c>
      <c r="G404" s="18" t="s">
        <v>10</v>
      </c>
      <c r="H404" s="18" t="s">
        <v>178</v>
      </c>
      <c r="I404" s="18" t="s">
        <v>10</v>
      </c>
      <c r="J404" s="18" t="s">
        <v>4017</v>
      </c>
      <c r="K404" s="20"/>
    </row>
    <row r="405" spans="1:11" ht="36.75" thickBot="1">
      <c r="A405" s="18" t="s">
        <v>4676</v>
      </c>
      <c r="B405" s="18">
        <v>20002885516</v>
      </c>
      <c r="C405" s="18" t="s">
        <v>4677</v>
      </c>
      <c r="D405" s="19">
        <v>45446.681944444441</v>
      </c>
      <c r="E405" s="19">
        <v>45492.694444444445</v>
      </c>
      <c r="F405" s="18">
        <v>40</v>
      </c>
      <c r="G405" s="18" t="s">
        <v>10</v>
      </c>
      <c r="H405" s="18" t="s">
        <v>178</v>
      </c>
      <c r="I405" s="18" t="s">
        <v>10</v>
      </c>
      <c r="J405" s="18" t="s">
        <v>4017</v>
      </c>
      <c r="K405" s="20"/>
    </row>
    <row r="406" spans="1:11" ht="36.75" thickBot="1">
      <c r="A406" s="18" t="s">
        <v>4678</v>
      </c>
      <c r="B406" s="18">
        <v>20017839731</v>
      </c>
      <c r="C406" s="18" t="s">
        <v>1836</v>
      </c>
      <c r="D406" s="19">
        <v>45492.705555555556</v>
      </c>
      <c r="E406" s="18" t="s">
        <v>10</v>
      </c>
      <c r="F406" s="18">
        <v>30</v>
      </c>
      <c r="G406" s="18" t="s">
        <v>10</v>
      </c>
      <c r="H406" s="18" t="s">
        <v>178</v>
      </c>
      <c r="I406" s="18" t="s">
        <v>10</v>
      </c>
      <c r="J406" s="18" t="s">
        <v>4017</v>
      </c>
      <c r="K406" s="20"/>
    </row>
    <row r="407" spans="1:11" ht="36.75" thickBot="1">
      <c r="A407" s="18" t="s">
        <v>4679</v>
      </c>
      <c r="B407" s="18">
        <v>20018556852</v>
      </c>
      <c r="C407" s="18" t="s">
        <v>4680</v>
      </c>
      <c r="D407" s="19">
        <v>45449.352083333331</v>
      </c>
      <c r="E407" s="19">
        <v>45495.568749999999</v>
      </c>
      <c r="F407" s="18">
        <v>100</v>
      </c>
      <c r="G407" s="19">
        <v>45537.382638888892</v>
      </c>
      <c r="H407" s="18" t="s">
        <v>236</v>
      </c>
      <c r="I407" s="18" t="s">
        <v>10</v>
      </c>
      <c r="J407" s="18" t="s">
        <v>4017</v>
      </c>
      <c r="K407" s="20"/>
    </row>
    <row r="408" spans="1:11" ht="36.75" thickBot="1">
      <c r="A408" s="18" t="s">
        <v>4681</v>
      </c>
      <c r="B408" s="18">
        <v>20002883974</v>
      </c>
      <c r="C408" s="18" t="s">
        <v>4682</v>
      </c>
      <c r="D408" s="19">
        <v>45495.582638888889</v>
      </c>
      <c r="E408" s="18" t="s">
        <v>10</v>
      </c>
      <c r="F408" s="18">
        <v>50</v>
      </c>
      <c r="G408" s="18" t="s">
        <v>10</v>
      </c>
      <c r="H408" s="18" t="s">
        <v>178</v>
      </c>
      <c r="I408" s="18" t="s">
        <v>10</v>
      </c>
      <c r="J408" s="18" t="s">
        <v>4017</v>
      </c>
      <c r="K408" s="20"/>
    </row>
    <row r="409" spans="1:11" ht="36.75" thickBot="1">
      <c r="A409" s="18" t="s">
        <v>4683</v>
      </c>
      <c r="B409" s="18">
        <v>20002722015</v>
      </c>
      <c r="C409" s="18" t="s">
        <v>4078</v>
      </c>
      <c r="D409" s="19">
        <v>45495.67291666667</v>
      </c>
      <c r="E409" s="18" t="s">
        <v>10</v>
      </c>
      <c r="F409" s="18">
        <v>120</v>
      </c>
      <c r="G409" s="18" t="s">
        <v>10</v>
      </c>
      <c r="H409" s="18" t="s">
        <v>178</v>
      </c>
      <c r="I409" s="18" t="s">
        <v>10</v>
      </c>
      <c r="J409" s="18" t="s">
        <v>4017</v>
      </c>
      <c r="K409" s="20"/>
    </row>
    <row r="410" spans="1:11" ht="36.75" thickBot="1">
      <c r="A410" s="18" t="s">
        <v>4684</v>
      </c>
      <c r="B410" s="18">
        <v>20003058464</v>
      </c>
      <c r="C410" s="18" t="s">
        <v>4685</v>
      </c>
      <c r="D410" s="19">
        <v>45496.416666666664</v>
      </c>
      <c r="E410" s="18" t="s">
        <v>10</v>
      </c>
      <c r="F410" s="18">
        <v>200</v>
      </c>
      <c r="G410" s="18" t="s">
        <v>10</v>
      </c>
      <c r="H410" s="18" t="s">
        <v>178</v>
      </c>
      <c r="I410" s="18" t="s">
        <v>10</v>
      </c>
      <c r="J410" s="18" t="s">
        <v>4017</v>
      </c>
      <c r="K410" s="20"/>
    </row>
    <row r="411" spans="1:11" ht="36.75" thickBot="1">
      <c r="A411" s="18" t="s">
        <v>4686</v>
      </c>
      <c r="B411" s="18">
        <v>20003116500</v>
      </c>
      <c r="C411" s="18" t="s">
        <v>4483</v>
      </c>
      <c r="D411" s="19">
        <v>45436.469444444447</v>
      </c>
      <c r="E411" s="19">
        <v>45496.590277777781</v>
      </c>
      <c r="F411" s="18">
        <v>50</v>
      </c>
      <c r="G411" s="18" t="s">
        <v>10</v>
      </c>
      <c r="H411" s="18" t="s">
        <v>178</v>
      </c>
      <c r="I411" s="18" t="s">
        <v>10</v>
      </c>
      <c r="J411" s="18" t="s">
        <v>4017</v>
      </c>
      <c r="K411" s="20"/>
    </row>
    <row r="412" spans="1:11" ht="36.75" thickBot="1">
      <c r="A412" s="18" t="s">
        <v>4687</v>
      </c>
      <c r="B412" s="18">
        <v>20003469856</v>
      </c>
      <c r="C412" s="18" t="s">
        <v>4483</v>
      </c>
      <c r="D412" s="19">
        <v>45436.652777777781</v>
      </c>
      <c r="E412" s="19">
        <v>45496.606249999997</v>
      </c>
      <c r="F412" s="18">
        <v>150</v>
      </c>
      <c r="G412" s="18" t="s">
        <v>10</v>
      </c>
      <c r="H412" s="18" t="s">
        <v>178</v>
      </c>
      <c r="I412" s="18" t="s">
        <v>10</v>
      </c>
      <c r="J412" s="18" t="s">
        <v>4017</v>
      </c>
      <c r="K412" s="20"/>
    </row>
    <row r="413" spans="1:11" ht="36.75" thickBot="1">
      <c r="A413" s="18" t="s">
        <v>4688</v>
      </c>
      <c r="B413" s="18">
        <v>20020396003</v>
      </c>
      <c r="C413" s="18" t="s">
        <v>4536</v>
      </c>
      <c r="D413" s="19">
        <v>45496.670138888891</v>
      </c>
      <c r="E413" s="18" t="s">
        <v>10</v>
      </c>
      <c r="F413" s="18">
        <v>170</v>
      </c>
      <c r="G413" s="18" t="s">
        <v>10</v>
      </c>
      <c r="H413" s="18" t="s">
        <v>178</v>
      </c>
      <c r="I413" s="18" t="s">
        <v>10</v>
      </c>
      <c r="J413" s="18" t="s">
        <v>4017</v>
      </c>
      <c r="K413" s="20"/>
    </row>
    <row r="414" spans="1:11" ht="36.75" thickBot="1">
      <c r="A414" s="18" t="s">
        <v>4689</v>
      </c>
      <c r="B414" s="18">
        <v>20003042519</v>
      </c>
      <c r="C414" s="18" t="s">
        <v>4690</v>
      </c>
      <c r="D414" s="19">
        <v>45498.071527777778</v>
      </c>
      <c r="E414" s="18" t="s">
        <v>10</v>
      </c>
      <c r="F414" s="18">
        <v>190</v>
      </c>
      <c r="G414" s="18" t="s">
        <v>10</v>
      </c>
      <c r="H414" s="18" t="s">
        <v>178</v>
      </c>
      <c r="I414" s="18" t="s">
        <v>10</v>
      </c>
      <c r="J414" s="18" t="s">
        <v>4017</v>
      </c>
      <c r="K414" s="20"/>
    </row>
    <row r="415" spans="1:11" ht="36.75" thickBot="1">
      <c r="A415" s="18" t="s">
        <v>4691</v>
      </c>
      <c r="B415" s="18">
        <v>20002776554</v>
      </c>
      <c r="C415" s="18" t="s">
        <v>4354</v>
      </c>
      <c r="D415" s="19">
        <v>45498.445833333331</v>
      </c>
      <c r="E415" s="18" t="s">
        <v>10</v>
      </c>
      <c r="F415" s="18">
        <v>700</v>
      </c>
      <c r="G415" s="18" t="s">
        <v>10</v>
      </c>
      <c r="H415" s="18" t="s">
        <v>178</v>
      </c>
      <c r="I415" s="18" t="s">
        <v>10</v>
      </c>
      <c r="J415" s="18" t="s">
        <v>4017</v>
      </c>
      <c r="K415" s="20"/>
    </row>
    <row r="416" spans="1:11" ht="36.75" thickBot="1">
      <c r="A416" s="18" t="s">
        <v>4692</v>
      </c>
      <c r="B416" s="18">
        <v>20025617599</v>
      </c>
      <c r="C416" s="18" t="s">
        <v>4291</v>
      </c>
      <c r="D416" s="19">
        <v>45467.617361111108</v>
      </c>
      <c r="E416" s="19">
        <v>45498.446527777778</v>
      </c>
      <c r="F416" s="18">
        <v>100</v>
      </c>
      <c r="G416" s="19">
        <v>45524.670138888891</v>
      </c>
      <c r="H416" s="18" t="s">
        <v>236</v>
      </c>
      <c r="I416" s="18" t="s">
        <v>10</v>
      </c>
      <c r="J416" s="18" t="s">
        <v>4017</v>
      </c>
      <c r="K416" s="20"/>
    </row>
    <row r="417" spans="1:11" ht="36.75" thickBot="1">
      <c r="A417" s="18" t="s">
        <v>4693</v>
      </c>
      <c r="B417" s="18">
        <v>20003518689</v>
      </c>
      <c r="C417" s="18" t="s">
        <v>4694</v>
      </c>
      <c r="D417" s="19">
        <v>45357.459027777775</v>
      </c>
      <c r="E417" s="19">
        <v>45498.46875</v>
      </c>
      <c r="F417" s="18">
        <v>100</v>
      </c>
      <c r="G417" s="19">
        <v>45546.558333333334</v>
      </c>
      <c r="H417" s="18" t="s">
        <v>236</v>
      </c>
      <c r="I417" s="18" t="s">
        <v>10</v>
      </c>
      <c r="J417" s="18" t="s">
        <v>4017</v>
      </c>
      <c r="K417" s="20"/>
    </row>
    <row r="418" spans="1:11" ht="36.75" thickBot="1">
      <c r="A418" s="18" t="s">
        <v>4695</v>
      </c>
      <c r="B418" s="18">
        <v>20022957843</v>
      </c>
      <c r="C418" s="18" t="s">
        <v>4696</v>
      </c>
      <c r="D418" s="19">
        <v>45498.47152777778</v>
      </c>
      <c r="E418" s="18" t="s">
        <v>10</v>
      </c>
      <c r="F418" s="18">
        <v>36</v>
      </c>
      <c r="G418" s="18" t="s">
        <v>10</v>
      </c>
      <c r="H418" s="18" t="s">
        <v>178</v>
      </c>
      <c r="I418" s="18" t="s">
        <v>10</v>
      </c>
      <c r="J418" s="18" t="s">
        <v>4017</v>
      </c>
      <c r="K418" s="20"/>
    </row>
    <row r="419" spans="1:11" ht="36.75" thickBot="1">
      <c r="A419" s="18" t="s">
        <v>4697</v>
      </c>
      <c r="B419" s="18">
        <v>20017970140</v>
      </c>
      <c r="C419" s="18" t="s">
        <v>4698</v>
      </c>
      <c r="D419" s="19">
        <v>45498.504861111112</v>
      </c>
      <c r="E419" s="18" t="s">
        <v>10</v>
      </c>
      <c r="F419" s="18">
        <v>200</v>
      </c>
      <c r="G419" s="18" t="s">
        <v>10</v>
      </c>
      <c r="H419" s="18" t="s">
        <v>178</v>
      </c>
      <c r="I419" s="18" t="s">
        <v>10</v>
      </c>
      <c r="J419" s="18" t="s">
        <v>4017</v>
      </c>
      <c r="K419" s="20"/>
    </row>
    <row r="420" spans="1:11" ht="36.75" thickBot="1">
      <c r="A420" s="18" t="s">
        <v>4699</v>
      </c>
      <c r="B420" s="18">
        <v>20023398193</v>
      </c>
      <c r="C420" s="18" t="s">
        <v>4700</v>
      </c>
      <c r="D420" s="19">
        <v>45498.51666666667</v>
      </c>
      <c r="E420" s="18" t="s">
        <v>10</v>
      </c>
      <c r="F420" s="18">
        <v>36</v>
      </c>
      <c r="G420" s="18" t="s">
        <v>10</v>
      </c>
      <c r="H420" s="18" t="s">
        <v>178</v>
      </c>
      <c r="I420" s="18" t="s">
        <v>10</v>
      </c>
      <c r="J420" s="18" t="s">
        <v>4017</v>
      </c>
      <c r="K420" s="20"/>
    </row>
    <row r="421" spans="1:11" ht="54.75" thickBot="1">
      <c r="A421" s="18" t="s">
        <v>4701</v>
      </c>
      <c r="B421" s="18">
        <v>20002919511</v>
      </c>
      <c r="C421" s="18" t="s">
        <v>4702</v>
      </c>
      <c r="D421" s="19">
        <v>45454.781944444447</v>
      </c>
      <c r="E421" s="19">
        <v>45498.536111111112</v>
      </c>
      <c r="F421" s="18">
        <v>5</v>
      </c>
      <c r="G421" s="18" t="s">
        <v>10</v>
      </c>
      <c r="H421" s="18" t="s">
        <v>178</v>
      </c>
      <c r="I421" s="18" t="s">
        <v>10</v>
      </c>
      <c r="J421" s="18" t="s">
        <v>4017</v>
      </c>
      <c r="K421" s="20"/>
    </row>
    <row r="422" spans="1:11" ht="36.75" thickBot="1">
      <c r="A422" s="18" t="s">
        <v>4703</v>
      </c>
      <c r="B422" s="18">
        <v>20020801070</v>
      </c>
      <c r="C422" s="18" t="s">
        <v>4138</v>
      </c>
      <c r="D422" s="19">
        <v>45498.564583333333</v>
      </c>
      <c r="E422" s="18" t="s">
        <v>10</v>
      </c>
      <c r="F422" s="18">
        <v>150</v>
      </c>
      <c r="G422" s="18" t="s">
        <v>10</v>
      </c>
      <c r="H422" s="18" t="s">
        <v>178</v>
      </c>
      <c r="I422" s="18" t="s">
        <v>10</v>
      </c>
      <c r="J422" s="18" t="s">
        <v>4017</v>
      </c>
      <c r="K422" s="20"/>
    </row>
    <row r="423" spans="1:11" ht="36.75" thickBot="1">
      <c r="A423" s="18" t="s">
        <v>4704</v>
      </c>
      <c r="B423" s="18">
        <v>200035329132</v>
      </c>
      <c r="C423" s="18" t="s">
        <v>4705</v>
      </c>
      <c r="D423" s="19">
        <v>45498.90625</v>
      </c>
      <c r="E423" s="18" t="s">
        <v>10</v>
      </c>
      <c r="F423" s="18">
        <v>30</v>
      </c>
      <c r="G423" s="18" t="s">
        <v>10</v>
      </c>
      <c r="H423" s="18" t="s">
        <v>178</v>
      </c>
      <c r="I423" s="18" t="s">
        <v>10</v>
      </c>
      <c r="J423" s="18" t="s">
        <v>4017</v>
      </c>
      <c r="K423" s="20"/>
    </row>
    <row r="424" spans="1:11" ht="36.75" thickBot="1">
      <c r="A424" s="18" t="s">
        <v>4706</v>
      </c>
      <c r="B424" s="18">
        <v>20027360267</v>
      </c>
      <c r="C424" s="18" t="s">
        <v>4264</v>
      </c>
      <c r="D424" s="19">
        <v>45498.935416666667</v>
      </c>
      <c r="E424" s="18" t="s">
        <v>10</v>
      </c>
      <c r="F424" s="18">
        <v>50</v>
      </c>
      <c r="G424" s="18" t="s">
        <v>10</v>
      </c>
      <c r="H424" s="18" t="s">
        <v>178</v>
      </c>
      <c r="I424" s="18" t="s">
        <v>10</v>
      </c>
      <c r="J424" s="18" t="s">
        <v>4017</v>
      </c>
      <c r="K424" s="20"/>
    </row>
    <row r="425" spans="1:11" ht="36.75" thickBot="1">
      <c r="A425" s="18" t="s">
        <v>4707</v>
      </c>
      <c r="B425" s="18">
        <v>20025105256</v>
      </c>
      <c r="C425" s="18" t="s">
        <v>4245</v>
      </c>
      <c r="D425" s="19">
        <v>45499.519444444442</v>
      </c>
      <c r="E425" s="18" t="s">
        <v>10</v>
      </c>
      <c r="F425" s="18">
        <v>50</v>
      </c>
      <c r="G425" s="18" t="s">
        <v>10</v>
      </c>
      <c r="H425" s="18" t="s">
        <v>178</v>
      </c>
      <c r="I425" s="18" t="s">
        <v>10</v>
      </c>
      <c r="J425" s="18" t="s">
        <v>4017</v>
      </c>
      <c r="K425" s="20"/>
    </row>
    <row r="426" spans="1:11" ht="36.75" thickBot="1">
      <c r="A426" s="18" t="s">
        <v>4708</v>
      </c>
      <c r="B426" s="18">
        <v>20024271389</v>
      </c>
      <c r="C426" s="18" t="s">
        <v>4709</v>
      </c>
      <c r="D426" s="19">
        <v>45499.65347222222</v>
      </c>
      <c r="E426" s="18" t="s">
        <v>10</v>
      </c>
      <c r="F426" s="18">
        <v>100</v>
      </c>
      <c r="G426" s="18" t="s">
        <v>10</v>
      </c>
      <c r="H426" s="18" t="s">
        <v>178</v>
      </c>
      <c r="I426" s="18" t="s">
        <v>10</v>
      </c>
      <c r="J426" s="18" t="s">
        <v>4017</v>
      </c>
      <c r="K426" s="20"/>
    </row>
    <row r="427" spans="1:11" ht="36.75" thickBot="1">
      <c r="A427" s="18" t="s">
        <v>4710</v>
      </c>
      <c r="B427" s="18">
        <v>20003476979</v>
      </c>
      <c r="C427" s="18" t="s">
        <v>4711</v>
      </c>
      <c r="D427" s="19">
        <v>45500.385416666664</v>
      </c>
      <c r="E427" s="18" t="s">
        <v>10</v>
      </c>
      <c r="F427" s="18">
        <v>250</v>
      </c>
      <c r="G427" s="18" t="s">
        <v>10</v>
      </c>
      <c r="H427" s="18" t="s">
        <v>178</v>
      </c>
      <c r="I427" s="18" t="s">
        <v>10</v>
      </c>
      <c r="J427" s="18" t="s">
        <v>4017</v>
      </c>
      <c r="K427" s="20"/>
    </row>
    <row r="428" spans="1:11" ht="36.75" thickBot="1">
      <c r="A428" s="18" t="s">
        <v>4712</v>
      </c>
      <c r="B428" s="18">
        <v>20018878255</v>
      </c>
      <c r="C428" s="18" t="s">
        <v>4352</v>
      </c>
      <c r="D428" s="19">
        <v>45500.388194444444</v>
      </c>
      <c r="E428" s="18" t="s">
        <v>10</v>
      </c>
      <c r="F428" s="18">
        <v>120</v>
      </c>
      <c r="G428" s="18" t="s">
        <v>10</v>
      </c>
      <c r="H428" s="18" t="s">
        <v>178</v>
      </c>
      <c r="I428" s="18" t="s">
        <v>10</v>
      </c>
      <c r="J428" s="18" t="s">
        <v>4017</v>
      </c>
      <c r="K428" s="20"/>
    </row>
    <row r="429" spans="1:11" ht="36.75" thickBot="1">
      <c r="A429" s="18" t="s">
        <v>4713</v>
      </c>
      <c r="B429" s="18">
        <v>20022907329</v>
      </c>
      <c r="C429" s="18" t="s">
        <v>4404</v>
      </c>
      <c r="D429" s="19">
        <v>45500.43472222222</v>
      </c>
      <c r="E429" s="18" t="s">
        <v>10</v>
      </c>
      <c r="F429" s="18">
        <v>50</v>
      </c>
      <c r="G429" s="18" t="s">
        <v>10</v>
      </c>
      <c r="H429" s="18" t="s">
        <v>178</v>
      </c>
      <c r="I429" s="18" t="s">
        <v>10</v>
      </c>
      <c r="J429" s="18" t="s">
        <v>4017</v>
      </c>
      <c r="K429" s="20"/>
    </row>
    <row r="430" spans="1:11" ht="36.75" thickBot="1">
      <c r="A430" s="18" t="s">
        <v>4714</v>
      </c>
      <c r="B430" s="18">
        <v>20003485705</v>
      </c>
      <c r="C430" s="18" t="s">
        <v>4715</v>
      </c>
      <c r="D430" s="19">
        <v>45501.470833333333</v>
      </c>
      <c r="E430" s="18" t="s">
        <v>10</v>
      </c>
      <c r="F430" s="18">
        <v>180</v>
      </c>
      <c r="G430" s="18" t="s">
        <v>10</v>
      </c>
      <c r="H430" s="18" t="s">
        <v>178</v>
      </c>
      <c r="I430" s="18" t="s">
        <v>10</v>
      </c>
      <c r="J430" s="18" t="s">
        <v>4017</v>
      </c>
      <c r="K430" s="20"/>
    </row>
    <row r="431" spans="1:11" ht="36.75" thickBot="1">
      <c r="A431" s="18" t="s">
        <v>4716</v>
      </c>
      <c r="B431" s="18">
        <v>20003480861</v>
      </c>
      <c r="C431" s="18" t="s">
        <v>4175</v>
      </c>
      <c r="D431" s="19">
        <v>45502.445833333331</v>
      </c>
      <c r="E431" s="18" t="s">
        <v>10</v>
      </c>
      <c r="F431" s="18">
        <v>500</v>
      </c>
      <c r="G431" s="18" t="s">
        <v>10</v>
      </c>
      <c r="H431" s="18" t="s">
        <v>178</v>
      </c>
      <c r="I431" s="18" t="s">
        <v>10</v>
      </c>
      <c r="J431" s="18" t="s">
        <v>4017</v>
      </c>
      <c r="K431" s="20"/>
    </row>
    <row r="432" spans="1:11" ht="36.75" thickBot="1">
      <c r="A432" s="18" t="s">
        <v>4717</v>
      </c>
      <c r="B432" s="18">
        <v>20023317287</v>
      </c>
      <c r="C432" s="18" t="s">
        <v>4718</v>
      </c>
      <c r="D432" s="19">
        <v>45503.618055555555</v>
      </c>
      <c r="E432" s="18" t="s">
        <v>10</v>
      </c>
      <c r="F432" s="18">
        <v>110</v>
      </c>
      <c r="G432" s="18" t="s">
        <v>10</v>
      </c>
      <c r="H432" s="18" t="s">
        <v>178</v>
      </c>
      <c r="I432" s="18" t="s">
        <v>10</v>
      </c>
      <c r="J432" s="18" t="s">
        <v>4017</v>
      </c>
      <c r="K432" s="20"/>
    </row>
    <row r="433" spans="1:11" ht="36.75" thickBot="1">
      <c r="A433" s="18" t="s">
        <v>4719</v>
      </c>
      <c r="B433" s="18">
        <v>20003209369</v>
      </c>
      <c r="C433" s="18" t="s">
        <v>4435</v>
      </c>
      <c r="D433" s="19">
        <v>45503.681250000001</v>
      </c>
      <c r="E433" s="18" t="s">
        <v>10</v>
      </c>
      <c r="F433" s="18">
        <v>975</v>
      </c>
      <c r="G433" s="18" t="s">
        <v>10</v>
      </c>
      <c r="H433" s="18" t="s">
        <v>178</v>
      </c>
      <c r="I433" s="18" t="s">
        <v>10</v>
      </c>
      <c r="J433" s="18" t="s">
        <v>4017</v>
      </c>
      <c r="K433" s="20"/>
    </row>
    <row r="434" spans="1:11" ht="36.75" thickBot="1">
      <c r="A434" s="18" t="s">
        <v>4720</v>
      </c>
      <c r="B434" s="18">
        <v>20003291330</v>
      </c>
      <c r="C434" s="18" t="s">
        <v>4721</v>
      </c>
      <c r="D434" s="19">
        <v>45503.692361111112</v>
      </c>
      <c r="E434" s="18" t="s">
        <v>10</v>
      </c>
      <c r="F434" s="18">
        <v>50</v>
      </c>
      <c r="G434" s="18" t="s">
        <v>10</v>
      </c>
      <c r="H434" s="18" t="s">
        <v>178</v>
      </c>
      <c r="I434" s="18" t="s">
        <v>10</v>
      </c>
      <c r="J434" s="18" t="s">
        <v>4017</v>
      </c>
      <c r="K434" s="20"/>
    </row>
    <row r="435" spans="1:11" ht="36.75" thickBot="1">
      <c r="A435" s="18" t="s">
        <v>4722</v>
      </c>
      <c r="B435" s="18">
        <v>20003177570</v>
      </c>
      <c r="C435" s="18" t="s">
        <v>4493</v>
      </c>
      <c r="D435" s="19">
        <v>45467.652083333334</v>
      </c>
      <c r="E435" s="19">
        <v>45503.70208333333</v>
      </c>
      <c r="F435" s="18">
        <v>810</v>
      </c>
      <c r="G435" s="18" t="s">
        <v>10</v>
      </c>
      <c r="H435" s="18" t="s">
        <v>178</v>
      </c>
      <c r="I435" s="18" t="s">
        <v>10</v>
      </c>
      <c r="J435" s="18" t="s">
        <v>4017</v>
      </c>
      <c r="K435" s="20"/>
    </row>
    <row r="436" spans="1:11" ht="54.75" thickBot="1">
      <c r="A436" s="18" t="s">
        <v>4723</v>
      </c>
      <c r="B436" s="18">
        <v>20026652115</v>
      </c>
      <c r="C436" s="18" t="s">
        <v>951</v>
      </c>
      <c r="D436" s="19">
        <v>45503.986805555556</v>
      </c>
      <c r="E436" s="18" t="s">
        <v>10</v>
      </c>
      <c r="F436" s="18">
        <v>6</v>
      </c>
      <c r="G436" s="18" t="s">
        <v>10</v>
      </c>
      <c r="H436" s="18" t="s">
        <v>178</v>
      </c>
      <c r="I436" s="18" t="s">
        <v>10</v>
      </c>
      <c r="J436" s="18" t="s">
        <v>4017</v>
      </c>
      <c r="K436" s="20"/>
    </row>
    <row r="437" spans="1:11" ht="36.75" thickBot="1">
      <c r="A437" s="18" t="s">
        <v>4724</v>
      </c>
      <c r="B437" s="18">
        <v>20003652264</v>
      </c>
      <c r="C437" s="18" t="s">
        <v>4529</v>
      </c>
      <c r="D437" s="19">
        <v>45504.374305555553</v>
      </c>
      <c r="E437" s="18" t="s">
        <v>10</v>
      </c>
      <c r="F437" s="18">
        <v>30</v>
      </c>
      <c r="G437" s="18" t="s">
        <v>10</v>
      </c>
      <c r="H437" s="18" t="s">
        <v>189</v>
      </c>
      <c r="I437" s="18" t="s">
        <v>10</v>
      </c>
      <c r="J437" s="18" t="s">
        <v>4017</v>
      </c>
      <c r="K437" s="20"/>
    </row>
    <row r="438" spans="1:11" ht="36.75" thickBot="1">
      <c r="A438" s="18" t="s">
        <v>4725</v>
      </c>
      <c r="B438" s="18">
        <v>20002939222</v>
      </c>
      <c r="C438" s="18" t="s">
        <v>4465</v>
      </c>
      <c r="D438" s="19">
        <v>45504.581250000003</v>
      </c>
      <c r="E438" s="18" t="s">
        <v>10</v>
      </c>
      <c r="F438" s="18">
        <v>200</v>
      </c>
      <c r="G438" s="18" t="s">
        <v>10</v>
      </c>
      <c r="H438" s="18" t="s">
        <v>178</v>
      </c>
      <c r="I438" s="18" t="s">
        <v>10</v>
      </c>
      <c r="J438" s="18" t="s">
        <v>4017</v>
      </c>
      <c r="K438" s="20"/>
    </row>
    <row r="439" spans="1:11" ht="36.75" thickBot="1">
      <c r="A439" s="18" t="s">
        <v>4726</v>
      </c>
      <c r="B439" s="18">
        <v>20018162107</v>
      </c>
      <c r="C439" s="18" t="s">
        <v>4418</v>
      </c>
      <c r="D439" s="19">
        <v>45504.617361111108</v>
      </c>
      <c r="E439" s="18" t="s">
        <v>10</v>
      </c>
      <c r="F439" s="18">
        <v>60</v>
      </c>
      <c r="G439" s="18" t="s">
        <v>10</v>
      </c>
      <c r="H439" s="18" t="s">
        <v>178</v>
      </c>
      <c r="I439" s="18" t="s">
        <v>10</v>
      </c>
      <c r="J439" s="18" t="s">
        <v>4017</v>
      </c>
      <c r="K439" s="20"/>
    </row>
    <row r="440" spans="1:11" ht="36.75" thickBot="1">
      <c r="A440" s="18" t="s">
        <v>4727</v>
      </c>
      <c r="B440" s="18">
        <v>20002777265</v>
      </c>
      <c r="C440" s="18" t="s">
        <v>4103</v>
      </c>
      <c r="D440" s="19">
        <v>45456.559027777781</v>
      </c>
      <c r="E440" s="19">
        <v>45504.642361111109</v>
      </c>
      <c r="F440" s="18">
        <v>250</v>
      </c>
      <c r="G440" s="18" t="s">
        <v>10</v>
      </c>
      <c r="H440" s="18" t="s">
        <v>178</v>
      </c>
      <c r="I440" s="18" t="s">
        <v>10</v>
      </c>
      <c r="J440" s="18" t="s">
        <v>4017</v>
      </c>
      <c r="K440" s="20"/>
    </row>
    <row r="441" spans="1:11" ht="54.75" thickBot="1">
      <c r="A441" s="18" t="s">
        <v>4728</v>
      </c>
      <c r="B441" s="18">
        <v>20026651696</v>
      </c>
      <c r="C441" s="18" t="s">
        <v>951</v>
      </c>
      <c r="D441" s="19">
        <v>45505.361111111109</v>
      </c>
      <c r="E441" s="18" t="s">
        <v>10</v>
      </c>
      <c r="F441" s="18">
        <v>6</v>
      </c>
      <c r="G441" s="18" t="s">
        <v>10</v>
      </c>
      <c r="H441" s="18" t="s">
        <v>178</v>
      </c>
      <c r="I441" s="18" t="s">
        <v>10</v>
      </c>
      <c r="J441" s="18" t="s">
        <v>4017</v>
      </c>
      <c r="K441" s="20"/>
    </row>
    <row r="442" spans="1:11" ht="36.75" thickBot="1">
      <c r="A442" s="18" t="s">
        <v>4729</v>
      </c>
      <c r="B442" s="18">
        <v>20020940335</v>
      </c>
      <c r="C442" s="18" t="s">
        <v>790</v>
      </c>
      <c r="D442" s="19">
        <v>45505.380555555559</v>
      </c>
      <c r="E442" s="18" t="s">
        <v>10</v>
      </c>
      <c r="F442" s="18">
        <v>60</v>
      </c>
      <c r="G442" s="18" t="s">
        <v>10</v>
      </c>
      <c r="H442" s="18" t="s">
        <v>178</v>
      </c>
      <c r="I442" s="18" t="s">
        <v>10</v>
      </c>
      <c r="J442" s="18" t="s">
        <v>4017</v>
      </c>
      <c r="K442" s="20"/>
    </row>
    <row r="443" spans="1:11" ht="54.75" thickBot="1">
      <c r="A443" s="18" t="s">
        <v>4730</v>
      </c>
      <c r="B443" s="18">
        <v>20026652172</v>
      </c>
      <c r="C443" s="18" t="s">
        <v>951</v>
      </c>
      <c r="D443" s="19">
        <v>45505.397222222222</v>
      </c>
      <c r="E443" s="18" t="s">
        <v>10</v>
      </c>
      <c r="F443" s="18">
        <v>6</v>
      </c>
      <c r="G443" s="18" t="s">
        <v>10</v>
      </c>
      <c r="H443" s="18" t="s">
        <v>178</v>
      </c>
      <c r="I443" s="18" t="s">
        <v>10</v>
      </c>
      <c r="J443" s="18" t="s">
        <v>4017</v>
      </c>
      <c r="K443" s="20"/>
    </row>
    <row r="444" spans="1:11" ht="54.75" thickBot="1">
      <c r="A444" s="18" t="s">
        <v>4731</v>
      </c>
      <c r="B444" s="18">
        <v>20026652171</v>
      </c>
      <c r="C444" s="18" t="s">
        <v>951</v>
      </c>
      <c r="D444" s="19">
        <v>45505.447222222225</v>
      </c>
      <c r="E444" s="18" t="s">
        <v>10</v>
      </c>
      <c r="F444" s="18">
        <v>6</v>
      </c>
      <c r="G444" s="18" t="s">
        <v>10</v>
      </c>
      <c r="H444" s="18" t="s">
        <v>178</v>
      </c>
      <c r="I444" s="18" t="s">
        <v>10</v>
      </c>
      <c r="J444" s="18" t="s">
        <v>4017</v>
      </c>
      <c r="K444" s="20"/>
    </row>
    <row r="445" spans="1:11" ht="36.75" thickBot="1">
      <c r="A445" s="18" t="s">
        <v>4732</v>
      </c>
      <c r="B445" s="18">
        <v>20003162571</v>
      </c>
      <c r="C445" s="18" t="s">
        <v>4733</v>
      </c>
      <c r="D445" s="19">
        <v>45470.863888888889</v>
      </c>
      <c r="E445" s="19">
        <v>45505.45208333333</v>
      </c>
      <c r="F445" s="18">
        <v>120</v>
      </c>
      <c r="G445" s="18" t="s">
        <v>10</v>
      </c>
      <c r="H445" s="18" t="s">
        <v>178</v>
      </c>
      <c r="I445" s="18" t="s">
        <v>10</v>
      </c>
      <c r="J445" s="18" t="s">
        <v>4017</v>
      </c>
      <c r="K445" s="20"/>
    </row>
    <row r="446" spans="1:11" ht="54.75" thickBot="1">
      <c r="A446" s="18" t="s">
        <v>4734</v>
      </c>
      <c r="B446" s="18">
        <v>20026651651</v>
      </c>
      <c r="C446" s="18" t="s">
        <v>951</v>
      </c>
      <c r="D446" s="19">
        <v>45505.458333333336</v>
      </c>
      <c r="E446" s="18" t="s">
        <v>10</v>
      </c>
      <c r="F446" s="18">
        <v>6</v>
      </c>
      <c r="G446" s="18" t="s">
        <v>10</v>
      </c>
      <c r="H446" s="18" t="s">
        <v>178</v>
      </c>
      <c r="I446" s="18" t="s">
        <v>10</v>
      </c>
      <c r="J446" s="18" t="s">
        <v>4017</v>
      </c>
      <c r="K446" s="20"/>
    </row>
    <row r="447" spans="1:11" ht="54.75" thickBot="1">
      <c r="A447" s="18" t="s">
        <v>4735</v>
      </c>
      <c r="B447" s="18">
        <v>20026651707</v>
      </c>
      <c r="C447" s="18" t="s">
        <v>951</v>
      </c>
      <c r="D447" s="19">
        <v>45505.47152777778</v>
      </c>
      <c r="E447" s="18" t="s">
        <v>10</v>
      </c>
      <c r="F447" s="18">
        <v>6</v>
      </c>
      <c r="G447" s="18" t="s">
        <v>10</v>
      </c>
      <c r="H447" s="18" t="s">
        <v>178</v>
      </c>
      <c r="I447" s="18" t="s">
        <v>10</v>
      </c>
      <c r="J447" s="18" t="s">
        <v>4017</v>
      </c>
      <c r="K447" s="20"/>
    </row>
    <row r="448" spans="1:11" ht="36.75" thickBot="1">
      <c r="A448" s="18" t="s">
        <v>4736</v>
      </c>
      <c r="B448" s="18">
        <v>20017601602</v>
      </c>
      <c r="C448" s="18" t="s">
        <v>4460</v>
      </c>
      <c r="D448" s="19">
        <v>45505.475694444445</v>
      </c>
      <c r="E448" s="18" t="s">
        <v>10</v>
      </c>
      <c r="F448" s="18">
        <v>330</v>
      </c>
      <c r="G448" s="18" t="s">
        <v>10</v>
      </c>
      <c r="H448" s="18" t="s">
        <v>178</v>
      </c>
      <c r="I448" s="18" t="s">
        <v>10</v>
      </c>
      <c r="J448" s="18" t="s">
        <v>4017</v>
      </c>
      <c r="K448" s="20"/>
    </row>
    <row r="449" spans="1:11" ht="54.75" thickBot="1">
      <c r="A449" s="18" t="s">
        <v>4737</v>
      </c>
      <c r="B449" s="18">
        <v>20026651673</v>
      </c>
      <c r="C449" s="18" t="s">
        <v>951</v>
      </c>
      <c r="D449" s="19">
        <v>45505.489583333336</v>
      </c>
      <c r="E449" s="18" t="s">
        <v>10</v>
      </c>
      <c r="F449" s="18">
        <v>6</v>
      </c>
      <c r="G449" s="18" t="s">
        <v>10</v>
      </c>
      <c r="H449" s="18" t="s">
        <v>178</v>
      </c>
      <c r="I449" s="18" t="s">
        <v>10</v>
      </c>
      <c r="J449" s="18" t="s">
        <v>4017</v>
      </c>
      <c r="K449" s="20"/>
    </row>
    <row r="450" spans="1:11" ht="54.75" thickBot="1">
      <c r="A450" s="18" t="s">
        <v>4738</v>
      </c>
      <c r="B450" s="18">
        <v>20026651671</v>
      </c>
      <c r="C450" s="18" t="s">
        <v>951</v>
      </c>
      <c r="D450" s="19">
        <v>45505.504166666666</v>
      </c>
      <c r="E450" s="18" t="s">
        <v>10</v>
      </c>
      <c r="F450" s="18">
        <v>6</v>
      </c>
      <c r="G450" s="18" t="s">
        <v>10</v>
      </c>
      <c r="H450" s="18" t="s">
        <v>178</v>
      </c>
      <c r="I450" s="18" t="s">
        <v>10</v>
      </c>
      <c r="J450" s="18" t="s">
        <v>4017</v>
      </c>
      <c r="K450" s="20"/>
    </row>
    <row r="451" spans="1:11" ht="54.75" thickBot="1">
      <c r="A451" s="18" t="s">
        <v>4739</v>
      </c>
      <c r="B451" s="18">
        <v>20026651662</v>
      </c>
      <c r="C451" s="18" t="s">
        <v>951</v>
      </c>
      <c r="D451" s="19">
        <v>45505.529166666667</v>
      </c>
      <c r="E451" s="18" t="s">
        <v>10</v>
      </c>
      <c r="F451" s="18">
        <v>6</v>
      </c>
      <c r="G451" s="18" t="s">
        <v>10</v>
      </c>
      <c r="H451" s="18" t="s">
        <v>178</v>
      </c>
      <c r="I451" s="18" t="s">
        <v>10</v>
      </c>
      <c r="J451" s="18" t="s">
        <v>4017</v>
      </c>
      <c r="K451" s="20"/>
    </row>
    <row r="452" spans="1:11" ht="54.75" thickBot="1">
      <c r="A452" s="18" t="s">
        <v>4740</v>
      </c>
      <c r="B452" s="18">
        <v>20026651684</v>
      </c>
      <c r="C452" s="18" t="s">
        <v>951</v>
      </c>
      <c r="D452" s="19">
        <v>45505.536111111112</v>
      </c>
      <c r="E452" s="18" t="s">
        <v>10</v>
      </c>
      <c r="F452" s="18">
        <v>6</v>
      </c>
      <c r="G452" s="18" t="s">
        <v>10</v>
      </c>
      <c r="H452" s="18" t="s">
        <v>178</v>
      </c>
      <c r="I452" s="18" t="s">
        <v>10</v>
      </c>
      <c r="J452" s="18" t="s">
        <v>4017</v>
      </c>
      <c r="K452" s="20"/>
    </row>
    <row r="453" spans="1:11" ht="54.75" thickBot="1">
      <c r="A453" s="18" t="s">
        <v>4741</v>
      </c>
      <c r="B453" s="18">
        <v>20026652225</v>
      </c>
      <c r="C453" s="18" t="s">
        <v>951</v>
      </c>
      <c r="D453" s="19">
        <v>45505.551388888889</v>
      </c>
      <c r="E453" s="18" t="s">
        <v>10</v>
      </c>
      <c r="F453" s="18">
        <v>6</v>
      </c>
      <c r="G453" s="18" t="s">
        <v>10</v>
      </c>
      <c r="H453" s="18" t="s">
        <v>178</v>
      </c>
      <c r="I453" s="18" t="s">
        <v>10</v>
      </c>
      <c r="J453" s="18" t="s">
        <v>4017</v>
      </c>
      <c r="K453" s="20"/>
    </row>
    <row r="454" spans="1:11" ht="54.75" thickBot="1">
      <c r="A454" s="18" t="s">
        <v>4742</v>
      </c>
      <c r="B454" s="18">
        <v>20026652224</v>
      </c>
      <c r="C454" s="18" t="s">
        <v>951</v>
      </c>
      <c r="D454" s="19">
        <v>45505.561111111114</v>
      </c>
      <c r="E454" s="18" t="s">
        <v>10</v>
      </c>
      <c r="F454" s="18">
        <v>6</v>
      </c>
      <c r="G454" s="18" t="s">
        <v>10</v>
      </c>
      <c r="H454" s="18" t="s">
        <v>178</v>
      </c>
      <c r="I454" s="18" t="s">
        <v>10</v>
      </c>
      <c r="J454" s="18" t="s">
        <v>4017</v>
      </c>
      <c r="K454" s="20"/>
    </row>
    <row r="455" spans="1:11" ht="54.75" thickBot="1">
      <c r="A455" s="18" t="s">
        <v>4743</v>
      </c>
      <c r="B455" s="18">
        <v>20025037073</v>
      </c>
      <c r="C455" s="18" t="s">
        <v>4378</v>
      </c>
      <c r="D455" s="19">
        <v>45506.214583333334</v>
      </c>
      <c r="E455" s="18" t="s">
        <v>10</v>
      </c>
      <c r="F455" s="18">
        <v>270</v>
      </c>
      <c r="G455" s="18" t="s">
        <v>10</v>
      </c>
      <c r="H455" s="18" t="s">
        <v>178</v>
      </c>
      <c r="I455" s="18" t="s">
        <v>10</v>
      </c>
      <c r="J455" s="18" t="s">
        <v>4017</v>
      </c>
      <c r="K455" s="20"/>
    </row>
    <row r="456" spans="1:11" ht="36.75" thickBot="1">
      <c r="A456" s="18" t="s">
        <v>4744</v>
      </c>
      <c r="B456" s="18">
        <v>20003486823</v>
      </c>
      <c r="C456" s="18" t="s">
        <v>4418</v>
      </c>
      <c r="D456" s="19">
        <v>45448.656944444447</v>
      </c>
      <c r="E456" s="19">
        <v>45506.366666666669</v>
      </c>
      <c r="F456" s="18">
        <v>330</v>
      </c>
      <c r="G456" s="18" t="s">
        <v>10</v>
      </c>
      <c r="H456" s="18" t="s">
        <v>178</v>
      </c>
      <c r="I456" s="18" t="s">
        <v>10</v>
      </c>
      <c r="J456" s="18" t="s">
        <v>4017</v>
      </c>
      <c r="K456" s="20"/>
    </row>
    <row r="457" spans="1:11" ht="36.75" thickBot="1">
      <c r="A457" s="18" t="s">
        <v>4745</v>
      </c>
      <c r="B457" s="18">
        <v>20025452895</v>
      </c>
      <c r="C457" s="18" t="s">
        <v>4236</v>
      </c>
      <c r="D457" s="19">
        <v>45506.402083333334</v>
      </c>
      <c r="E457" s="18" t="s">
        <v>10</v>
      </c>
      <c r="F457" s="18">
        <v>250</v>
      </c>
      <c r="G457" s="18" t="s">
        <v>10</v>
      </c>
      <c r="H457" s="18" t="s">
        <v>178</v>
      </c>
      <c r="I457" s="18" t="s">
        <v>10</v>
      </c>
      <c r="J457" s="18" t="s">
        <v>4017</v>
      </c>
      <c r="K457" s="20"/>
    </row>
    <row r="458" spans="1:11" ht="36.75" thickBot="1">
      <c r="A458" s="18" t="s">
        <v>4746</v>
      </c>
      <c r="B458" s="18">
        <v>20022964185</v>
      </c>
      <c r="C458" s="18" t="s">
        <v>4747</v>
      </c>
      <c r="D458" s="19">
        <v>45463.493750000001</v>
      </c>
      <c r="E458" s="19">
        <v>45506.418749999997</v>
      </c>
      <c r="F458" s="18">
        <v>360</v>
      </c>
      <c r="G458" s="18" t="s">
        <v>10</v>
      </c>
      <c r="H458" s="18" t="s">
        <v>178</v>
      </c>
      <c r="I458" s="18" t="s">
        <v>10</v>
      </c>
      <c r="J458" s="18" t="s">
        <v>4017</v>
      </c>
      <c r="K458" s="20"/>
    </row>
    <row r="459" spans="1:11" ht="36.75" thickBot="1">
      <c r="A459" s="18" t="s">
        <v>4748</v>
      </c>
      <c r="B459" s="18">
        <v>20017813525</v>
      </c>
      <c r="C459" s="18" t="s">
        <v>4749</v>
      </c>
      <c r="D459" s="19">
        <v>45506.447916666664</v>
      </c>
      <c r="E459" s="18" t="s">
        <v>10</v>
      </c>
      <c r="F459" s="18">
        <v>30</v>
      </c>
      <c r="G459" s="18" t="s">
        <v>10</v>
      </c>
      <c r="H459" s="18" t="s">
        <v>178</v>
      </c>
      <c r="I459" s="18" t="s">
        <v>10</v>
      </c>
      <c r="J459" s="18" t="s">
        <v>4017</v>
      </c>
      <c r="K459" s="20"/>
    </row>
    <row r="460" spans="1:11" ht="36.75" thickBot="1">
      <c r="A460" s="18" t="s">
        <v>4750</v>
      </c>
      <c r="B460" s="18">
        <v>20017734385</v>
      </c>
      <c r="C460" s="18" t="s">
        <v>4751</v>
      </c>
      <c r="D460" s="19">
        <v>45506.495833333334</v>
      </c>
      <c r="E460" s="18" t="s">
        <v>10</v>
      </c>
      <c r="F460" s="18">
        <v>30</v>
      </c>
      <c r="G460" s="18" t="s">
        <v>10</v>
      </c>
      <c r="H460" s="18" t="s">
        <v>178</v>
      </c>
      <c r="I460" s="18" t="s">
        <v>10</v>
      </c>
      <c r="J460" s="18" t="s">
        <v>4017</v>
      </c>
      <c r="K460" s="20"/>
    </row>
    <row r="461" spans="1:11" ht="36.75" thickBot="1">
      <c r="A461" s="18" t="s">
        <v>4752</v>
      </c>
      <c r="B461" s="18">
        <v>20010793516</v>
      </c>
      <c r="C461" s="18" t="s">
        <v>4751</v>
      </c>
      <c r="D461" s="19">
        <v>45506.574305555558</v>
      </c>
      <c r="E461" s="18" t="s">
        <v>10</v>
      </c>
      <c r="F461" s="18">
        <v>30</v>
      </c>
      <c r="G461" s="18" t="s">
        <v>10</v>
      </c>
      <c r="H461" s="18" t="s">
        <v>178</v>
      </c>
      <c r="I461" s="18" t="s">
        <v>10</v>
      </c>
      <c r="J461" s="18" t="s">
        <v>4017</v>
      </c>
      <c r="K461" s="20"/>
    </row>
    <row r="462" spans="1:11" ht="36.75" thickBot="1">
      <c r="A462" s="18" t="s">
        <v>4753</v>
      </c>
      <c r="B462" s="18">
        <v>20017734385</v>
      </c>
      <c r="C462" s="18" t="s">
        <v>4751</v>
      </c>
      <c r="D462" s="19">
        <v>45506.588888888888</v>
      </c>
      <c r="E462" s="18" t="s">
        <v>10</v>
      </c>
      <c r="F462" s="18">
        <v>30</v>
      </c>
      <c r="G462" s="18" t="s">
        <v>10</v>
      </c>
      <c r="H462" s="18" t="s">
        <v>178</v>
      </c>
      <c r="I462" s="18" t="s">
        <v>10</v>
      </c>
      <c r="J462" s="18" t="s">
        <v>4017</v>
      </c>
      <c r="K462" s="20"/>
    </row>
    <row r="463" spans="1:11" ht="36.75" thickBot="1">
      <c r="A463" s="18" t="s">
        <v>4754</v>
      </c>
      <c r="B463" s="18">
        <v>20016659768</v>
      </c>
      <c r="C463" s="18" t="s">
        <v>4751</v>
      </c>
      <c r="D463" s="19">
        <v>45506.602777777778</v>
      </c>
      <c r="E463" s="18" t="s">
        <v>10</v>
      </c>
      <c r="F463" s="18">
        <v>30</v>
      </c>
      <c r="G463" s="18" t="s">
        <v>10</v>
      </c>
      <c r="H463" s="18" t="s">
        <v>178</v>
      </c>
      <c r="I463" s="18" t="s">
        <v>10</v>
      </c>
      <c r="J463" s="18" t="s">
        <v>4017</v>
      </c>
      <c r="K463" s="20"/>
    </row>
    <row r="464" spans="1:11" ht="72.75" thickBot="1">
      <c r="A464" s="18" t="s">
        <v>4755</v>
      </c>
      <c r="B464" s="18">
        <v>20025888738</v>
      </c>
      <c r="C464" s="18" t="s">
        <v>4632</v>
      </c>
      <c r="D464" s="19">
        <v>45485.545138888891</v>
      </c>
      <c r="E464" s="19">
        <v>45506.68472222222</v>
      </c>
      <c r="F464" s="18">
        <v>30</v>
      </c>
      <c r="G464" s="19">
        <v>45553.602777777778</v>
      </c>
      <c r="H464" s="18" t="s">
        <v>2657</v>
      </c>
      <c r="I464" s="18" t="s">
        <v>10</v>
      </c>
      <c r="J464" s="18" t="s">
        <v>4017</v>
      </c>
      <c r="K464" s="20"/>
    </row>
    <row r="465" spans="1:11" ht="36.75" thickBot="1">
      <c r="A465" s="18" t="s">
        <v>4756</v>
      </c>
      <c r="B465" s="18">
        <v>20024847450</v>
      </c>
      <c r="C465" s="18" t="s">
        <v>4632</v>
      </c>
      <c r="D465" s="19">
        <v>45506.695138888892</v>
      </c>
      <c r="E465" s="18" t="s">
        <v>10</v>
      </c>
      <c r="F465" s="18">
        <v>50</v>
      </c>
      <c r="G465" s="18" t="s">
        <v>10</v>
      </c>
      <c r="H465" s="18" t="s">
        <v>178</v>
      </c>
      <c r="I465" s="18" t="s">
        <v>10</v>
      </c>
      <c r="J465" s="18" t="s">
        <v>4017</v>
      </c>
      <c r="K465" s="20"/>
    </row>
    <row r="466" spans="1:11" ht="36.75" thickBot="1">
      <c r="A466" s="18" t="s">
        <v>4757</v>
      </c>
      <c r="B466" s="18">
        <v>20023770666</v>
      </c>
      <c r="C466" s="18" t="s">
        <v>4467</v>
      </c>
      <c r="D466" s="19">
        <v>45506.704861111109</v>
      </c>
      <c r="E466" s="18" t="s">
        <v>10</v>
      </c>
      <c r="F466" s="18">
        <v>150</v>
      </c>
      <c r="G466" s="19">
        <v>45533.504861111112</v>
      </c>
      <c r="H466" s="18" t="s">
        <v>236</v>
      </c>
      <c r="I466" s="18" t="s">
        <v>10</v>
      </c>
      <c r="J466" s="18" t="s">
        <v>4017</v>
      </c>
      <c r="K466" s="20"/>
    </row>
    <row r="467" spans="1:11" ht="36.75" thickBot="1">
      <c r="A467" s="18" t="s">
        <v>4758</v>
      </c>
      <c r="B467" s="18">
        <v>20017914408</v>
      </c>
      <c r="C467" s="18" t="s">
        <v>4228</v>
      </c>
      <c r="D467" s="19">
        <v>45477.699305555558</v>
      </c>
      <c r="E467" s="19">
        <v>45506.728472222225</v>
      </c>
      <c r="F467" s="18">
        <v>50</v>
      </c>
      <c r="G467" s="19">
        <v>45545.44027777778</v>
      </c>
      <c r="H467" s="18" t="s">
        <v>236</v>
      </c>
      <c r="I467" s="18" t="s">
        <v>10</v>
      </c>
      <c r="J467" s="18" t="s">
        <v>4017</v>
      </c>
      <c r="K467" s="20"/>
    </row>
    <row r="468" spans="1:11" ht="36.75" thickBot="1">
      <c r="A468" s="18" t="s">
        <v>4759</v>
      </c>
      <c r="B468" s="18">
        <v>20017813530</v>
      </c>
      <c r="C468" s="18" t="s">
        <v>4751</v>
      </c>
      <c r="D468" s="19">
        <v>45507.412499999999</v>
      </c>
      <c r="E468" s="18" t="s">
        <v>10</v>
      </c>
      <c r="F468" s="18">
        <v>30</v>
      </c>
      <c r="G468" s="18" t="s">
        <v>10</v>
      </c>
      <c r="H468" s="18" t="s">
        <v>178</v>
      </c>
      <c r="I468" s="18" t="s">
        <v>10</v>
      </c>
      <c r="J468" s="18" t="s">
        <v>4017</v>
      </c>
      <c r="K468" s="20"/>
    </row>
    <row r="469" spans="1:11" ht="36.75" thickBot="1">
      <c r="A469" s="18" t="s">
        <v>4760</v>
      </c>
      <c r="B469" s="18">
        <v>20016786738</v>
      </c>
      <c r="C469" s="18" t="s">
        <v>1836</v>
      </c>
      <c r="D469" s="19">
        <v>45507.426388888889</v>
      </c>
      <c r="E469" s="18" t="s">
        <v>10</v>
      </c>
      <c r="F469" s="18">
        <v>30</v>
      </c>
      <c r="G469" s="18" t="s">
        <v>10</v>
      </c>
      <c r="H469" s="18" t="s">
        <v>178</v>
      </c>
      <c r="I469" s="18" t="s">
        <v>10</v>
      </c>
      <c r="J469" s="18" t="s">
        <v>4017</v>
      </c>
      <c r="K469" s="20"/>
    </row>
    <row r="470" spans="1:11" ht="36.75" thickBot="1">
      <c r="A470" s="18" t="s">
        <v>4761</v>
      </c>
      <c r="B470" s="18">
        <v>20017816913</v>
      </c>
      <c r="C470" s="18" t="s">
        <v>4762</v>
      </c>
      <c r="D470" s="19">
        <v>45507.450694444444</v>
      </c>
      <c r="E470" s="18" t="s">
        <v>10</v>
      </c>
      <c r="F470" s="18">
        <v>30</v>
      </c>
      <c r="G470" s="18" t="s">
        <v>10</v>
      </c>
      <c r="H470" s="18" t="s">
        <v>178</v>
      </c>
      <c r="I470" s="18" t="s">
        <v>10</v>
      </c>
      <c r="J470" s="18" t="s">
        <v>4017</v>
      </c>
      <c r="K470" s="20"/>
    </row>
    <row r="471" spans="1:11" ht="36.75" thickBot="1">
      <c r="A471" s="18" t="s">
        <v>4763</v>
      </c>
      <c r="B471" s="18">
        <v>20017211154</v>
      </c>
      <c r="C471" s="18" t="s">
        <v>1836</v>
      </c>
      <c r="D471" s="19">
        <v>45507.472916666666</v>
      </c>
      <c r="E471" s="18" t="s">
        <v>10</v>
      </c>
      <c r="F471" s="18">
        <v>30</v>
      </c>
      <c r="G471" s="18" t="s">
        <v>10</v>
      </c>
      <c r="H471" s="18" t="s">
        <v>178</v>
      </c>
      <c r="I471" s="18" t="s">
        <v>10</v>
      </c>
      <c r="J471" s="18" t="s">
        <v>4017</v>
      </c>
      <c r="K471" s="20"/>
    </row>
    <row r="472" spans="1:11" ht="36.75" thickBot="1">
      <c r="A472" s="18" t="s">
        <v>4764</v>
      </c>
      <c r="B472" s="18">
        <v>20017791581</v>
      </c>
      <c r="C472" s="18" t="s">
        <v>1836</v>
      </c>
      <c r="D472" s="19">
        <v>45507.488888888889</v>
      </c>
      <c r="E472" s="18" t="s">
        <v>10</v>
      </c>
      <c r="F472" s="18">
        <v>30</v>
      </c>
      <c r="G472" s="18" t="s">
        <v>10</v>
      </c>
      <c r="H472" s="18" t="s">
        <v>178</v>
      </c>
      <c r="I472" s="18" t="s">
        <v>10</v>
      </c>
      <c r="J472" s="18" t="s">
        <v>4017</v>
      </c>
      <c r="K472" s="20"/>
    </row>
    <row r="473" spans="1:11" ht="36.75" thickBot="1">
      <c r="A473" s="18" t="s">
        <v>4765</v>
      </c>
      <c r="B473" s="18">
        <v>20025799649</v>
      </c>
      <c r="C473" s="18" t="s">
        <v>341</v>
      </c>
      <c r="D473" s="19">
        <v>45488.884722222225</v>
      </c>
      <c r="E473" s="19">
        <v>45508.558333333334</v>
      </c>
      <c r="F473" s="18">
        <v>50</v>
      </c>
      <c r="G473" s="19">
        <v>45534.594444444447</v>
      </c>
      <c r="H473" s="18" t="s">
        <v>236</v>
      </c>
      <c r="I473" s="18" t="s">
        <v>10</v>
      </c>
      <c r="J473" s="18" t="s">
        <v>4017</v>
      </c>
      <c r="K473" s="20"/>
    </row>
    <row r="474" spans="1:11" ht="36.75" thickBot="1">
      <c r="A474" s="18" t="s">
        <v>4766</v>
      </c>
      <c r="B474" s="18">
        <v>20018008612</v>
      </c>
      <c r="C474" s="18" t="s">
        <v>1836</v>
      </c>
      <c r="D474" s="19">
        <v>45509.393055555556</v>
      </c>
      <c r="E474" s="18" t="s">
        <v>10</v>
      </c>
      <c r="F474" s="18">
        <v>30</v>
      </c>
      <c r="G474" s="18" t="s">
        <v>10</v>
      </c>
      <c r="H474" s="18" t="s">
        <v>178</v>
      </c>
      <c r="I474" s="18" t="s">
        <v>10</v>
      </c>
      <c r="J474" s="18" t="s">
        <v>4017</v>
      </c>
      <c r="K474" s="20"/>
    </row>
    <row r="475" spans="1:11" ht="36.75" thickBot="1">
      <c r="A475" s="18" t="s">
        <v>4767</v>
      </c>
      <c r="B475" s="18">
        <v>20022321371</v>
      </c>
      <c r="C475" s="18" t="s">
        <v>4768</v>
      </c>
      <c r="D475" s="19">
        <v>45509.640277777777</v>
      </c>
      <c r="E475" s="18" t="s">
        <v>10</v>
      </c>
      <c r="F475" s="18">
        <v>840</v>
      </c>
      <c r="G475" s="18" t="s">
        <v>10</v>
      </c>
      <c r="H475" s="18" t="s">
        <v>178</v>
      </c>
      <c r="I475" s="18" t="s">
        <v>10</v>
      </c>
      <c r="J475" s="18" t="s">
        <v>4017</v>
      </c>
      <c r="K475" s="20"/>
    </row>
    <row r="476" spans="1:11" ht="36.75" thickBot="1">
      <c r="A476" s="18" t="s">
        <v>4769</v>
      </c>
      <c r="B476" s="18">
        <v>20003225463</v>
      </c>
      <c r="C476" s="18" t="s">
        <v>4768</v>
      </c>
      <c r="D476" s="19">
        <v>45509.651388888888</v>
      </c>
      <c r="E476" s="18" t="s">
        <v>10</v>
      </c>
      <c r="F476" s="18">
        <v>840</v>
      </c>
      <c r="G476" s="18" t="s">
        <v>10</v>
      </c>
      <c r="H476" s="18" t="s">
        <v>178</v>
      </c>
      <c r="I476" s="18" t="s">
        <v>10</v>
      </c>
      <c r="J476" s="18" t="s">
        <v>4017</v>
      </c>
      <c r="K476" s="20"/>
    </row>
    <row r="477" spans="1:11" ht="36.75" thickBot="1">
      <c r="A477" s="18" t="s">
        <v>4770</v>
      </c>
      <c r="B477" s="18">
        <v>20026032349</v>
      </c>
      <c r="C477" s="18" t="s">
        <v>216</v>
      </c>
      <c r="D477" s="19">
        <v>45509.664583333331</v>
      </c>
      <c r="E477" s="18" t="s">
        <v>10</v>
      </c>
      <c r="F477" s="18">
        <v>27</v>
      </c>
      <c r="G477" s="18" t="s">
        <v>10</v>
      </c>
      <c r="H477" s="18" t="s">
        <v>178</v>
      </c>
      <c r="I477" s="18" t="s">
        <v>10</v>
      </c>
      <c r="J477" s="18" t="s">
        <v>4017</v>
      </c>
      <c r="K477" s="20"/>
    </row>
    <row r="478" spans="1:11" ht="36.75" thickBot="1">
      <c r="A478" s="18" t="s">
        <v>4771</v>
      </c>
      <c r="B478" s="18">
        <v>20019967609</v>
      </c>
      <c r="C478" s="18" t="s">
        <v>216</v>
      </c>
      <c r="D478" s="19">
        <v>45509.691666666666</v>
      </c>
      <c r="E478" s="18" t="s">
        <v>10</v>
      </c>
      <c r="F478" s="18">
        <v>27</v>
      </c>
      <c r="G478" s="18" t="s">
        <v>10</v>
      </c>
      <c r="H478" s="18" t="s">
        <v>178</v>
      </c>
      <c r="I478" s="18" t="s">
        <v>10</v>
      </c>
      <c r="J478" s="18" t="s">
        <v>4017</v>
      </c>
      <c r="K478" s="20"/>
    </row>
    <row r="479" spans="1:11" ht="72.75" thickBot="1">
      <c r="A479" s="18" t="s">
        <v>4772</v>
      </c>
      <c r="B479" s="18">
        <v>20003240297</v>
      </c>
      <c r="C479" s="18" t="s">
        <v>4773</v>
      </c>
      <c r="D479" s="19">
        <v>45328.899305555555</v>
      </c>
      <c r="E479" s="19">
        <v>45509.898611111108</v>
      </c>
      <c r="F479" s="18">
        <v>10</v>
      </c>
      <c r="G479" s="19">
        <v>45545.465277777781</v>
      </c>
      <c r="H479" s="18" t="s">
        <v>2688</v>
      </c>
      <c r="I479" s="18" t="s">
        <v>10</v>
      </c>
      <c r="J479" s="18" t="s">
        <v>4017</v>
      </c>
      <c r="K479" s="20"/>
    </row>
    <row r="480" spans="1:11" ht="36.75" thickBot="1">
      <c r="A480" s="18" t="s">
        <v>4774</v>
      </c>
      <c r="B480" s="18">
        <v>20025324026</v>
      </c>
      <c r="C480" s="18" t="s">
        <v>4775</v>
      </c>
      <c r="D480" s="19">
        <v>45387.638888888891</v>
      </c>
      <c r="E480" s="19">
        <v>45509.992361111108</v>
      </c>
      <c r="F480" s="18">
        <v>50</v>
      </c>
      <c r="G480" s="19">
        <v>45573.602777777778</v>
      </c>
      <c r="H480" s="18" t="s">
        <v>236</v>
      </c>
      <c r="I480" s="18" t="s">
        <v>10</v>
      </c>
      <c r="J480" s="18" t="s">
        <v>4017</v>
      </c>
      <c r="K480" s="20"/>
    </row>
    <row r="481" spans="1:11" ht="36.75" thickBot="1">
      <c r="A481" s="18" t="s">
        <v>4776</v>
      </c>
      <c r="B481" s="18">
        <v>20003357772</v>
      </c>
      <c r="C481" s="18" t="s">
        <v>4777</v>
      </c>
      <c r="D481" s="19">
        <v>45422.696527777778</v>
      </c>
      <c r="E481" s="19">
        <v>45510.498611111114</v>
      </c>
      <c r="F481" s="18">
        <v>100</v>
      </c>
      <c r="G481" s="19">
        <v>45533.588194444441</v>
      </c>
      <c r="H481" s="18" t="s">
        <v>236</v>
      </c>
      <c r="I481" s="18" t="s">
        <v>10</v>
      </c>
      <c r="J481" s="18" t="s">
        <v>4017</v>
      </c>
      <c r="K481" s="20"/>
    </row>
    <row r="482" spans="1:11" ht="36.75" thickBot="1">
      <c r="A482" s="18" t="s">
        <v>4778</v>
      </c>
      <c r="B482" s="18">
        <v>20003289392</v>
      </c>
      <c r="C482" s="18" t="s">
        <v>4779</v>
      </c>
      <c r="D482" s="19">
        <v>45491.630555555559</v>
      </c>
      <c r="E482" s="19">
        <v>45511.445833333331</v>
      </c>
      <c r="F482" s="18">
        <v>30</v>
      </c>
      <c r="G482" s="18" t="s">
        <v>10</v>
      </c>
      <c r="H482" s="18" t="s">
        <v>178</v>
      </c>
      <c r="I482" s="18" t="s">
        <v>10</v>
      </c>
      <c r="J482" s="18" t="s">
        <v>4017</v>
      </c>
      <c r="K482" s="20"/>
    </row>
    <row r="483" spans="1:11" ht="72.75" thickBot="1">
      <c r="A483" s="18" t="s">
        <v>4780</v>
      </c>
      <c r="B483" s="18">
        <v>20002916375</v>
      </c>
      <c r="C483" s="18" t="s">
        <v>4326</v>
      </c>
      <c r="D483" s="19">
        <v>45490.732638888891</v>
      </c>
      <c r="E483" s="19">
        <v>45512.445138888892</v>
      </c>
      <c r="F483" s="18">
        <v>175</v>
      </c>
      <c r="G483" s="19">
        <v>45553.650694444441</v>
      </c>
      <c r="H483" s="18" t="s">
        <v>2688</v>
      </c>
      <c r="I483" s="18" t="s">
        <v>10</v>
      </c>
      <c r="J483" s="18" t="s">
        <v>4017</v>
      </c>
      <c r="K483" s="20"/>
    </row>
    <row r="484" spans="1:11" ht="36.75" thickBot="1">
      <c r="A484" s="18" t="s">
        <v>4781</v>
      </c>
      <c r="B484" s="18">
        <v>20025114765</v>
      </c>
      <c r="C484" s="18" t="s">
        <v>4184</v>
      </c>
      <c r="D484" s="19">
        <v>45481.579861111109</v>
      </c>
      <c r="E484" s="19">
        <v>45512.583333333336</v>
      </c>
      <c r="F484" s="18">
        <v>175</v>
      </c>
      <c r="G484" s="19">
        <v>45544.420138888891</v>
      </c>
      <c r="H484" s="18" t="s">
        <v>236</v>
      </c>
      <c r="I484" s="18" t="s">
        <v>10</v>
      </c>
      <c r="J484" s="18" t="s">
        <v>4017</v>
      </c>
      <c r="K484" s="20"/>
    </row>
    <row r="485" spans="1:11" ht="54.75" thickBot="1">
      <c r="A485" s="18" t="s">
        <v>4782</v>
      </c>
      <c r="B485" s="18">
        <v>20022475198</v>
      </c>
      <c r="C485" s="18" t="s">
        <v>4783</v>
      </c>
      <c r="D485" s="19">
        <v>45512.644444444442</v>
      </c>
      <c r="E485" s="18" t="s">
        <v>10</v>
      </c>
      <c r="F485" s="18">
        <v>660</v>
      </c>
      <c r="G485" s="18" t="s">
        <v>10</v>
      </c>
      <c r="H485" s="18" t="s">
        <v>178</v>
      </c>
      <c r="I485" s="18" t="s">
        <v>10</v>
      </c>
      <c r="J485" s="18" t="s">
        <v>4017</v>
      </c>
      <c r="K485" s="20"/>
    </row>
    <row r="486" spans="1:11" ht="54.75" thickBot="1">
      <c r="A486" s="18" t="s">
        <v>4784</v>
      </c>
      <c r="B486" s="18">
        <v>20020786217</v>
      </c>
      <c r="C486" s="18" t="s">
        <v>4785</v>
      </c>
      <c r="D486" s="19">
        <v>45513.423611111109</v>
      </c>
      <c r="E486" s="18" t="s">
        <v>10</v>
      </c>
      <c r="F486" s="18">
        <v>720</v>
      </c>
      <c r="G486" s="18" t="s">
        <v>10</v>
      </c>
      <c r="H486" s="18" t="s">
        <v>178</v>
      </c>
      <c r="I486" s="18" t="s">
        <v>10</v>
      </c>
      <c r="J486" s="18" t="s">
        <v>4017</v>
      </c>
      <c r="K486" s="20"/>
    </row>
    <row r="487" spans="1:11" ht="36.75" thickBot="1">
      <c r="A487" s="18" t="s">
        <v>4786</v>
      </c>
      <c r="B487" s="18">
        <v>20020934644</v>
      </c>
      <c r="C487" s="18" t="s">
        <v>216</v>
      </c>
      <c r="D487" s="19">
        <v>45513.656944444447</v>
      </c>
      <c r="E487" s="18" t="s">
        <v>10</v>
      </c>
      <c r="F487" s="18">
        <v>27</v>
      </c>
      <c r="G487" s="18" t="s">
        <v>10</v>
      </c>
      <c r="H487" s="18" t="s">
        <v>178</v>
      </c>
      <c r="I487" s="18" t="s">
        <v>10</v>
      </c>
      <c r="J487" s="18" t="s">
        <v>4017</v>
      </c>
      <c r="K487" s="20"/>
    </row>
    <row r="488" spans="1:11" ht="36.75" thickBot="1">
      <c r="A488" s="18" t="s">
        <v>4787</v>
      </c>
      <c r="B488" s="18">
        <v>20018516912</v>
      </c>
      <c r="C488" s="18" t="s">
        <v>4788</v>
      </c>
      <c r="D488" s="19">
        <v>45513.693749999999</v>
      </c>
      <c r="E488" s="18" t="s">
        <v>10</v>
      </c>
      <c r="F488" s="18">
        <v>70</v>
      </c>
      <c r="G488" s="18" t="s">
        <v>10</v>
      </c>
      <c r="H488" s="18" t="s">
        <v>178</v>
      </c>
      <c r="I488" s="18" t="s">
        <v>10</v>
      </c>
      <c r="J488" s="18" t="s">
        <v>4017</v>
      </c>
      <c r="K488" s="20"/>
    </row>
    <row r="489" spans="1:11" ht="36.75" thickBot="1">
      <c r="A489" s="18" t="s">
        <v>4789</v>
      </c>
      <c r="B489" s="18">
        <v>20023589602</v>
      </c>
      <c r="C489" s="18" t="s">
        <v>4551</v>
      </c>
      <c r="D489" s="19">
        <v>45514.555555555555</v>
      </c>
      <c r="E489" s="18" t="s">
        <v>10</v>
      </c>
      <c r="F489" s="18">
        <v>30</v>
      </c>
      <c r="G489" s="18" t="s">
        <v>10</v>
      </c>
      <c r="H489" s="18" t="s">
        <v>178</v>
      </c>
      <c r="I489" s="18" t="s">
        <v>10</v>
      </c>
      <c r="J489" s="18" t="s">
        <v>4017</v>
      </c>
      <c r="K489" s="20"/>
    </row>
    <row r="490" spans="1:11" ht="36.75" thickBot="1">
      <c r="A490" s="18" t="s">
        <v>4790</v>
      </c>
      <c r="B490" s="18">
        <v>20003425819</v>
      </c>
      <c r="C490" s="18" t="s">
        <v>4791</v>
      </c>
      <c r="D490" s="19">
        <v>45514.850694444445</v>
      </c>
      <c r="E490" s="18" t="s">
        <v>10</v>
      </c>
      <c r="F490" s="18">
        <v>375</v>
      </c>
      <c r="G490" s="18" t="s">
        <v>10</v>
      </c>
      <c r="H490" s="18" t="s">
        <v>178</v>
      </c>
      <c r="I490" s="18" t="s">
        <v>10</v>
      </c>
      <c r="J490" s="18" t="s">
        <v>4017</v>
      </c>
      <c r="K490" s="20"/>
    </row>
    <row r="491" spans="1:11" ht="36.75" thickBot="1">
      <c r="A491" s="18" t="s">
        <v>4792</v>
      </c>
      <c r="B491" s="18">
        <v>20003459949</v>
      </c>
      <c r="C491" s="18" t="s">
        <v>4793</v>
      </c>
      <c r="D491" s="19">
        <v>45516.621527777781</v>
      </c>
      <c r="E491" s="18" t="s">
        <v>10</v>
      </c>
      <c r="F491" s="18">
        <v>350</v>
      </c>
      <c r="G491" s="18" t="s">
        <v>10</v>
      </c>
      <c r="H491" s="18" t="s">
        <v>178</v>
      </c>
      <c r="I491" s="18" t="s">
        <v>10</v>
      </c>
      <c r="J491" s="18" t="s">
        <v>4017</v>
      </c>
      <c r="K491" s="20"/>
    </row>
    <row r="492" spans="1:11" ht="36.75" thickBot="1">
      <c r="A492" s="18" t="s">
        <v>4794</v>
      </c>
      <c r="B492" s="18">
        <v>20019717237</v>
      </c>
      <c r="C492" s="18" t="s">
        <v>4793</v>
      </c>
      <c r="D492" s="19">
        <v>45516.645833333336</v>
      </c>
      <c r="E492" s="18" t="s">
        <v>10</v>
      </c>
      <c r="F492" s="18">
        <v>150</v>
      </c>
      <c r="G492" s="18" t="s">
        <v>10</v>
      </c>
      <c r="H492" s="18" t="s">
        <v>178</v>
      </c>
      <c r="I492" s="18" t="s">
        <v>10</v>
      </c>
      <c r="J492" s="18" t="s">
        <v>4017</v>
      </c>
      <c r="K492" s="20"/>
    </row>
    <row r="493" spans="1:11" ht="36.75" thickBot="1">
      <c r="A493" s="18" t="s">
        <v>4795</v>
      </c>
      <c r="B493" s="18">
        <v>20018122147</v>
      </c>
      <c r="C493" s="18" t="s">
        <v>4247</v>
      </c>
      <c r="D493" s="19">
        <v>45517.371527777781</v>
      </c>
      <c r="E493" s="18" t="s">
        <v>10</v>
      </c>
      <c r="F493" s="18">
        <v>400</v>
      </c>
      <c r="G493" s="18" t="s">
        <v>10</v>
      </c>
      <c r="H493" s="18" t="s">
        <v>178</v>
      </c>
      <c r="I493" s="18" t="s">
        <v>10</v>
      </c>
      <c r="J493" s="18" t="s">
        <v>4017</v>
      </c>
      <c r="K493" s="20"/>
    </row>
    <row r="494" spans="1:11" ht="36.75" thickBot="1">
      <c r="A494" s="18" t="s">
        <v>4796</v>
      </c>
      <c r="B494" s="18">
        <v>20002981308</v>
      </c>
      <c r="C494" s="18" t="s">
        <v>4628</v>
      </c>
      <c r="D494" s="19">
        <v>45517.46597222222</v>
      </c>
      <c r="E494" s="18" t="s">
        <v>10</v>
      </c>
      <c r="F494" s="18">
        <v>30</v>
      </c>
      <c r="G494" s="18" t="s">
        <v>10</v>
      </c>
      <c r="H494" s="18" t="s">
        <v>178</v>
      </c>
      <c r="I494" s="18" t="s">
        <v>10</v>
      </c>
      <c r="J494" s="18" t="s">
        <v>4017</v>
      </c>
      <c r="K494" s="20"/>
    </row>
    <row r="495" spans="1:11" ht="36.75" thickBot="1">
      <c r="A495" s="18" t="s">
        <v>4797</v>
      </c>
      <c r="B495" s="18">
        <v>20003122750</v>
      </c>
      <c r="C495" s="18" t="s">
        <v>4798</v>
      </c>
      <c r="D495" s="19">
        <v>45321.582638888889</v>
      </c>
      <c r="E495" s="19">
        <v>45517.475694444445</v>
      </c>
      <c r="F495" s="18">
        <v>400</v>
      </c>
      <c r="G495" s="19">
        <v>45804.582638888889</v>
      </c>
      <c r="H495" s="18" t="s">
        <v>2654</v>
      </c>
      <c r="I495" s="18" t="s">
        <v>10</v>
      </c>
      <c r="J495" s="18" t="s">
        <v>4017</v>
      </c>
      <c r="K495" s="20"/>
    </row>
    <row r="496" spans="1:11" ht="36.75" thickBot="1">
      <c r="A496" s="18" t="s">
        <v>4799</v>
      </c>
      <c r="B496" s="18">
        <v>20003477517</v>
      </c>
      <c r="C496" s="18" t="s">
        <v>4800</v>
      </c>
      <c r="D496" s="19">
        <v>45517.53125</v>
      </c>
      <c r="E496" s="18" t="s">
        <v>10</v>
      </c>
      <c r="F496" s="18">
        <v>30</v>
      </c>
      <c r="G496" s="18" t="s">
        <v>10</v>
      </c>
      <c r="H496" s="18" t="s">
        <v>178</v>
      </c>
      <c r="I496" s="18" t="s">
        <v>10</v>
      </c>
      <c r="J496" s="18" t="s">
        <v>4017</v>
      </c>
      <c r="K496" s="20"/>
    </row>
    <row r="497" spans="1:11" ht="36.75" thickBot="1">
      <c r="A497" s="18" t="s">
        <v>4801</v>
      </c>
      <c r="B497" s="18">
        <v>20016703735</v>
      </c>
      <c r="C497" s="18" t="s">
        <v>4802</v>
      </c>
      <c r="D497" s="19">
        <v>45517.732638888891</v>
      </c>
      <c r="E497" s="18" t="s">
        <v>10</v>
      </c>
      <c r="F497" s="18">
        <v>30</v>
      </c>
      <c r="G497" s="18" t="s">
        <v>10</v>
      </c>
      <c r="H497" s="18" t="s">
        <v>178</v>
      </c>
      <c r="I497" s="18" t="s">
        <v>10</v>
      </c>
      <c r="J497" s="18" t="s">
        <v>4017</v>
      </c>
      <c r="K497" s="20"/>
    </row>
    <row r="498" spans="1:11" ht="36.75" thickBot="1">
      <c r="A498" s="18" t="s">
        <v>4803</v>
      </c>
      <c r="B498" s="18">
        <v>20002902558</v>
      </c>
      <c r="C498" s="18" t="s">
        <v>4804</v>
      </c>
      <c r="D498" s="19">
        <v>45517.959027777775</v>
      </c>
      <c r="E498" s="18" t="s">
        <v>10</v>
      </c>
      <c r="F498" s="18">
        <v>60</v>
      </c>
      <c r="G498" s="18" t="s">
        <v>10</v>
      </c>
      <c r="H498" s="18" t="s">
        <v>178</v>
      </c>
      <c r="I498" s="18" t="s">
        <v>10</v>
      </c>
      <c r="J498" s="18" t="s">
        <v>4017</v>
      </c>
      <c r="K498" s="20"/>
    </row>
    <row r="499" spans="1:11" ht="36.75" thickBot="1">
      <c r="A499" s="18" t="s">
        <v>4805</v>
      </c>
      <c r="B499" s="18">
        <v>20017477868</v>
      </c>
      <c r="C499" s="18" t="s">
        <v>4806</v>
      </c>
      <c r="D499" s="19">
        <v>45518.604861111111</v>
      </c>
      <c r="E499" s="18" t="s">
        <v>10</v>
      </c>
      <c r="F499" s="18">
        <v>200</v>
      </c>
      <c r="G499" s="18" t="s">
        <v>10</v>
      </c>
      <c r="H499" s="18" t="s">
        <v>178</v>
      </c>
      <c r="I499" s="18" t="s">
        <v>10</v>
      </c>
      <c r="J499" s="18" t="s">
        <v>4017</v>
      </c>
      <c r="K499" s="20"/>
    </row>
    <row r="500" spans="1:11" ht="36.75" thickBot="1">
      <c r="A500" s="18" t="s">
        <v>4807</v>
      </c>
      <c r="B500" s="18">
        <v>20003123727</v>
      </c>
      <c r="C500" s="18" t="s">
        <v>4808</v>
      </c>
      <c r="D500" s="19">
        <v>45518.609027777777</v>
      </c>
      <c r="E500" s="18" t="s">
        <v>10</v>
      </c>
      <c r="F500" s="18">
        <v>360</v>
      </c>
      <c r="G500" s="19">
        <v>45582.612500000003</v>
      </c>
      <c r="H500" s="18" t="s">
        <v>236</v>
      </c>
      <c r="I500" s="18" t="s">
        <v>10</v>
      </c>
      <c r="J500" s="18" t="s">
        <v>4017</v>
      </c>
      <c r="K500" s="20"/>
    </row>
    <row r="501" spans="1:11" ht="36.75" thickBot="1">
      <c r="A501" s="18" t="s">
        <v>4809</v>
      </c>
      <c r="B501" s="18">
        <v>20021490173</v>
      </c>
      <c r="C501" s="18" t="s">
        <v>4810</v>
      </c>
      <c r="D501" s="19">
        <v>45359.685416666667</v>
      </c>
      <c r="E501" s="19">
        <v>45518.67083333333</v>
      </c>
      <c r="F501" s="18">
        <v>90</v>
      </c>
      <c r="G501" s="18" t="s">
        <v>10</v>
      </c>
      <c r="H501" s="18" t="s">
        <v>178</v>
      </c>
      <c r="I501" s="18" t="s">
        <v>10</v>
      </c>
      <c r="J501" s="18" t="s">
        <v>4017</v>
      </c>
      <c r="K501" s="1"/>
    </row>
    <row r="502" spans="1:11" ht="36.75" thickBot="1">
      <c r="A502" s="21" t="s">
        <v>4811</v>
      </c>
      <c r="B502" s="21">
        <v>20003477606</v>
      </c>
      <c r="C502" s="21" t="s">
        <v>4812</v>
      </c>
      <c r="D502" s="22">
        <v>45419.575694444444</v>
      </c>
      <c r="E502" s="22">
        <v>45518.798611111109</v>
      </c>
      <c r="F502" s="21">
        <v>250</v>
      </c>
      <c r="G502" s="22">
        <v>45568.634027777778</v>
      </c>
      <c r="H502" s="21" t="s">
        <v>236</v>
      </c>
      <c r="I502" s="21" t="s">
        <v>10</v>
      </c>
      <c r="J502" s="21" t="s">
        <v>4017</v>
      </c>
      <c r="K502" s="20"/>
    </row>
    <row r="503" spans="1:11" ht="36.75" thickBot="1">
      <c r="A503" s="18" t="s">
        <v>4813</v>
      </c>
      <c r="B503" s="18">
        <v>20003338223</v>
      </c>
      <c r="C503" s="18" t="s">
        <v>4051</v>
      </c>
      <c r="D503" s="19">
        <v>45483.428472222222</v>
      </c>
      <c r="E503" s="19">
        <v>45519.386111111111</v>
      </c>
      <c r="F503" s="117">
        <v>1000</v>
      </c>
      <c r="G503" s="18" t="s">
        <v>10</v>
      </c>
      <c r="H503" s="18" t="s">
        <v>178</v>
      </c>
      <c r="I503" s="18" t="s">
        <v>10</v>
      </c>
      <c r="J503" s="18" t="s">
        <v>4017</v>
      </c>
      <c r="K503" s="20"/>
    </row>
    <row r="504" spans="1:11" ht="36.75" thickBot="1">
      <c r="A504" s="18" t="s">
        <v>4814</v>
      </c>
      <c r="B504" s="18">
        <v>20023922007</v>
      </c>
      <c r="C504" s="18" t="s">
        <v>4531</v>
      </c>
      <c r="D504" s="19">
        <v>45519.406944444447</v>
      </c>
      <c r="E504" s="18" t="s">
        <v>10</v>
      </c>
      <c r="F504" s="18">
        <v>125</v>
      </c>
      <c r="G504" s="18" t="s">
        <v>10</v>
      </c>
      <c r="H504" s="18" t="s">
        <v>178</v>
      </c>
      <c r="I504" s="18" t="s">
        <v>10</v>
      </c>
      <c r="J504" s="18" t="s">
        <v>4017</v>
      </c>
      <c r="K504" s="20"/>
    </row>
    <row r="505" spans="1:11" ht="36.75" thickBot="1">
      <c r="A505" s="18" t="s">
        <v>4815</v>
      </c>
      <c r="B505" s="18">
        <v>20003181954</v>
      </c>
      <c r="C505" s="18" t="s">
        <v>4302</v>
      </c>
      <c r="D505" s="19">
        <v>45519.488888888889</v>
      </c>
      <c r="E505" s="18" t="s">
        <v>10</v>
      </c>
      <c r="F505" s="18">
        <v>100</v>
      </c>
      <c r="G505" s="18" t="s">
        <v>10</v>
      </c>
      <c r="H505" s="18" t="s">
        <v>178</v>
      </c>
      <c r="I505" s="18" t="s">
        <v>10</v>
      </c>
      <c r="J505" s="18" t="s">
        <v>4017</v>
      </c>
      <c r="K505" s="20"/>
    </row>
    <row r="506" spans="1:11" ht="36.75" thickBot="1">
      <c r="A506" s="18" t="s">
        <v>4816</v>
      </c>
      <c r="B506" s="18">
        <v>20021350838</v>
      </c>
      <c r="C506" s="18" t="s">
        <v>4440</v>
      </c>
      <c r="D506" s="19">
        <v>45519.491666666669</v>
      </c>
      <c r="E506" s="18" t="s">
        <v>10</v>
      </c>
      <c r="F506" s="18">
        <v>175</v>
      </c>
      <c r="G506" s="19">
        <v>45581.322916666664</v>
      </c>
      <c r="H506" s="18" t="s">
        <v>236</v>
      </c>
      <c r="I506" s="18" t="s">
        <v>10</v>
      </c>
      <c r="J506" s="18" t="s">
        <v>4017</v>
      </c>
      <c r="K506" s="20"/>
    </row>
    <row r="507" spans="1:11" ht="36.75" thickBot="1">
      <c r="A507" s="18" t="s">
        <v>4817</v>
      </c>
      <c r="B507" s="18">
        <v>20022907329</v>
      </c>
      <c r="C507" s="18" t="s">
        <v>4404</v>
      </c>
      <c r="D507" s="19">
        <v>45519.581250000003</v>
      </c>
      <c r="E507" s="18" t="s">
        <v>10</v>
      </c>
      <c r="F507" s="18">
        <v>50</v>
      </c>
      <c r="G507" s="19">
        <v>45525.543055555558</v>
      </c>
      <c r="H507" s="18" t="s">
        <v>236</v>
      </c>
      <c r="I507" s="18" t="s">
        <v>10</v>
      </c>
      <c r="J507" s="18" t="s">
        <v>4017</v>
      </c>
      <c r="K507" s="20"/>
    </row>
    <row r="508" spans="1:11" ht="72.75" thickBot="1">
      <c r="A508" s="18" t="s">
        <v>4818</v>
      </c>
      <c r="B508" s="18">
        <v>20024919531</v>
      </c>
      <c r="C508" s="18" t="s">
        <v>4819</v>
      </c>
      <c r="D508" s="19">
        <v>45342.679861111108</v>
      </c>
      <c r="E508" s="19">
        <v>45519.615277777775</v>
      </c>
      <c r="F508" s="18">
        <v>60</v>
      </c>
      <c r="G508" s="19">
        <v>45552.396527777775</v>
      </c>
      <c r="H508" s="18" t="s">
        <v>2688</v>
      </c>
      <c r="I508" s="18" t="s">
        <v>10</v>
      </c>
      <c r="J508" s="18" t="s">
        <v>4017</v>
      </c>
      <c r="K508" s="20"/>
    </row>
    <row r="509" spans="1:11" ht="36.75" thickBot="1">
      <c r="A509" s="18" t="s">
        <v>4820</v>
      </c>
      <c r="B509" s="18">
        <v>20017674940</v>
      </c>
      <c r="C509" s="18" t="s">
        <v>4821</v>
      </c>
      <c r="D509" s="19">
        <v>45519.669444444444</v>
      </c>
      <c r="E509" s="18" t="s">
        <v>10</v>
      </c>
      <c r="F509" s="18">
        <v>250</v>
      </c>
      <c r="G509" s="18" t="s">
        <v>10</v>
      </c>
      <c r="H509" s="18" t="s">
        <v>178</v>
      </c>
      <c r="I509" s="18" t="s">
        <v>10</v>
      </c>
      <c r="J509" s="18" t="s">
        <v>4017</v>
      </c>
      <c r="K509" s="20"/>
    </row>
    <row r="510" spans="1:11" ht="36.75" thickBot="1">
      <c r="A510" s="18" t="s">
        <v>4822</v>
      </c>
      <c r="B510" s="18">
        <v>20022576781</v>
      </c>
      <c r="C510" s="18" t="s">
        <v>4393</v>
      </c>
      <c r="D510" s="19">
        <v>45519.750694444447</v>
      </c>
      <c r="E510" s="18" t="s">
        <v>10</v>
      </c>
      <c r="F510" s="18">
        <v>300</v>
      </c>
      <c r="G510" s="18" t="s">
        <v>10</v>
      </c>
      <c r="H510" s="18" t="s">
        <v>178</v>
      </c>
      <c r="I510" s="18" t="s">
        <v>10</v>
      </c>
      <c r="J510" s="18" t="s">
        <v>4017</v>
      </c>
      <c r="K510" s="20"/>
    </row>
    <row r="511" spans="1:11" ht="36.75" thickBot="1">
      <c r="A511" s="18" t="s">
        <v>4823</v>
      </c>
      <c r="B511" s="18">
        <v>20022576210</v>
      </c>
      <c r="C511" s="18" t="s">
        <v>4080</v>
      </c>
      <c r="D511" s="19">
        <v>45519.791666666664</v>
      </c>
      <c r="E511" s="18" t="s">
        <v>10</v>
      </c>
      <c r="F511" s="18">
        <v>800</v>
      </c>
      <c r="G511" s="18" t="s">
        <v>10</v>
      </c>
      <c r="H511" s="18" t="s">
        <v>178</v>
      </c>
      <c r="I511" s="18" t="s">
        <v>10</v>
      </c>
      <c r="J511" s="18" t="s">
        <v>4017</v>
      </c>
      <c r="K511" s="20"/>
    </row>
    <row r="512" spans="1:11" ht="36.75" thickBot="1">
      <c r="A512" s="18" t="s">
        <v>4824</v>
      </c>
      <c r="B512" s="18">
        <v>20025776772</v>
      </c>
      <c r="C512" s="18" t="s">
        <v>4825</v>
      </c>
      <c r="D512" s="19">
        <v>45419.913888888892</v>
      </c>
      <c r="E512" s="19">
        <v>45520.456250000003</v>
      </c>
      <c r="F512" s="18">
        <v>250</v>
      </c>
      <c r="G512" s="19">
        <v>45566.59652777778</v>
      </c>
      <c r="H512" s="18" t="s">
        <v>236</v>
      </c>
      <c r="I512" s="18" t="s">
        <v>10</v>
      </c>
      <c r="J512" s="18" t="s">
        <v>4017</v>
      </c>
      <c r="K512" s="20"/>
    </row>
    <row r="513" spans="1:11" ht="36.75" thickBot="1">
      <c r="A513" s="18" t="s">
        <v>4826</v>
      </c>
      <c r="B513" s="18">
        <v>20002939222</v>
      </c>
      <c r="C513" s="18" t="s">
        <v>4465</v>
      </c>
      <c r="D513" s="19">
        <v>45520.663888888892</v>
      </c>
      <c r="E513" s="18" t="s">
        <v>10</v>
      </c>
      <c r="F513" s="18">
        <v>200</v>
      </c>
      <c r="G513" s="18" t="s">
        <v>10</v>
      </c>
      <c r="H513" s="18" t="s">
        <v>178</v>
      </c>
      <c r="I513" s="18" t="s">
        <v>10</v>
      </c>
      <c r="J513" s="18" t="s">
        <v>4017</v>
      </c>
      <c r="K513" s="20"/>
    </row>
    <row r="514" spans="1:11" ht="36.75" thickBot="1">
      <c r="A514" s="18" t="s">
        <v>4827</v>
      </c>
      <c r="B514" s="18">
        <v>20010794579</v>
      </c>
      <c r="C514" s="18" t="s">
        <v>4508</v>
      </c>
      <c r="D514" s="19">
        <v>45520.843055555553</v>
      </c>
      <c r="E514" s="18" t="s">
        <v>10</v>
      </c>
      <c r="F514" s="18">
        <v>600</v>
      </c>
      <c r="G514" s="18" t="s">
        <v>10</v>
      </c>
      <c r="H514" s="18" t="s">
        <v>178</v>
      </c>
      <c r="I514" s="18" t="s">
        <v>10</v>
      </c>
      <c r="J514" s="18" t="s">
        <v>4017</v>
      </c>
      <c r="K514" s="20"/>
    </row>
    <row r="515" spans="1:11" ht="72.75" thickBot="1">
      <c r="A515" s="18" t="s">
        <v>4828</v>
      </c>
      <c r="B515" s="18">
        <v>20024847450</v>
      </c>
      <c r="C515" s="18" t="s">
        <v>4632</v>
      </c>
      <c r="D515" s="19">
        <v>45521.704861111109</v>
      </c>
      <c r="E515" s="18" t="s">
        <v>10</v>
      </c>
      <c r="F515" s="18">
        <v>50</v>
      </c>
      <c r="G515" s="19">
        <v>45553.602777777778</v>
      </c>
      <c r="H515" s="18" t="s">
        <v>2657</v>
      </c>
      <c r="I515" s="18" t="s">
        <v>10</v>
      </c>
      <c r="J515" s="18" t="s">
        <v>4017</v>
      </c>
      <c r="K515" s="20"/>
    </row>
    <row r="516" spans="1:11" ht="36.75" thickBot="1">
      <c r="A516" s="18" t="s">
        <v>4829</v>
      </c>
      <c r="B516" s="18">
        <v>20018878255</v>
      </c>
      <c r="C516" s="18" t="s">
        <v>4352</v>
      </c>
      <c r="D516" s="19">
        <v>45521.8125</v>
      </c>
      <c r="E516" s="18" t="s">
        <v>10</v>
      </c>
      <c r="F516" s="18">
        <v>120</v>
      </c>
      <c r="G516" s="19">
        <v>45548.406944444447</v>
      </c>
      <c r="H516" s="18" t="s">
        <v>236</v>
      </c>
      <c r="I516" s="18" t="s">
        <v>10</v>
      </c>
      <c r="J516" s="18" t="s">
        <v>4017</v>
      </c>
      <c r="K516" s="20"/>
    </row>
    <row r="517" spans="1:11" ht="36.75" thickBot="1">
      <c r="A517" s="18" t="s">
        <v>4830</v>
      </c>
      <c r="B517" s="18">
        <v>20024051848</v>
      </c>
      <c r="C517" s="18" t="s">
        <v>4831</v>
      </c>
      <c r="D517" s="19">
        <v>45379.448611111111</v>
      </c>
      <c r="E517" s="19">
        <v>45522.49722222222</v>
      </c>
      <c r="F517" s="18">
        <v>225</v>
      </c>
      <c r="G517" s="18" t="s">
        <v>10</v>
      </c>
      <c r="H517" s="18" t="s">
        <v>178</v>
      </c>
      <c r="I517" s="18" t="s">
        <v>10</v>
      </c>
      <c r="J517" s="18" t="s">
        <v>4017</v>
      </c>
      <c r="K517" s="20"/>
    </row>
    <row r="518" spans="1:11" ht="36.75" thickBot="1">
      <c r="A518" s="18" t="s">
        <v>4832</v>
      </c>
      <c r="B518" s="18">
        <v>20020924519</v>
      </c>
      <c r="C518" s="18" t="s">
        <v>216</v>
      </c>
      <c r="D518" s="19">
        <v>45522.707638888889</v>
      </c>
      <c r="E518" s="18" t="s">
        <v>10</v>
      </c>
      <c r="F518" s="18">
        <v>27</v>
      </c>
      <c r="G518" s="18" t="s">
        <v>10</v>
      </c>
      <c r="H518" s="18" t="s">
        <v>178</v>
      </c>
      <c r="I518" s="18" t="s">
        <v>10</v>
      </c>
      <c r="J518" s="18" t="s">
        <v>4017</v>
      </c>
      <c r="K518" s="20"/>
    </row>
    <row r="519" spans="1:11" ht="36.75" thickBot="1">
      <c r="A519" s="18" t="s">
        <v>4833</v>
      </c>
      <c r="B519" s="18">
        <v>20026793694</v>
      </c>
      <c r="C519" s="18" t="s">
        <v>4834</v>
      </c>
      <c r="D519" s="19">
        <v>45469.586805555555</v>
      </c>
      <c r="E519" s="19">
        <v>45522.892361111109</v>
      </c>
      <c r="F519" s="18">
        <v>12</v>
      </c>
      <c r="G519" s="19">
        <v>45561.472916666666</v>
      </c>
      <c r="H519" s="18" t="s">
        <v>236</v>
      </c>
      <c r="I519" s="18" t="s">
        <v>10</v>
      </c>
      <c r="J519" s="18" t="s">
        <v>4017</v>
      </c>
      <c r="K519" s="20"/>
    </row>
    <row r="520" spans="1:11" ht="36.75" thickBot="1">
      <c r="A520" s="18" t="s">
        <v>4835</v>
      </c>
      <c r="B520" s="18">
        <v>20003108483</v>
      </c>
      <c r="C520" s="18" t="s">
        <v>4256</v>
      </c>
      <c r="D520" s="19">
        <v>45523.434027777781</v>
      </c>
      <c r="E520" s="18" t="s">
        <v>10</v>
      </c>
      <c r="F520" s="18">
        <v>100</v>
      </c>
      <c r="G520" s="18" t="s">
        <v>10</v>
      </c>
      <c r="H520" s="18" t="s">
        <v>178</v>
      </c>
      <c r="I520" s="18" t="s">
        <v>10</v>
      </c>
      <c r="J520" s="18" t="s">
        <v>4017</v>
      </c>
      <c r="K520" s="20"/>
    </row>
    <row r="521" spans="1:11" ht="36.75" thickBot="1">
      <c r="A521" s="18" t="s">
        <v>4836</v>
      </c>
      <c r="B521" s="18">
        <v>20017746322</v>
      </c>
      <c r="C521" s="18" t="s">
        <v>4406</v>
      </c>
      <c r="D521" s="19">
        <v>45523.440972222219</v>
      </c>
      <c r="E521" s="18" t="s">
        <v>10</v>
      </c>
      <c r="F521" s="18">
        <v>100</v>
      </c>
      <c r="G521" s="19">
        <v>45547.427083333336</v>
      </c>
      <c r="H521" s="18" t="s">
        <v>236</v>
      </c>
      <c r="I521" s="18" t="s">
        <v>10</v>
      </c>
      <c r="J521" s="18" t="s">
        <v>4017</v>
      </c>
      <c r="K521" s="20"/>
    </row>
    <row r="522" spans="1:11" ht="36.75" thickBot="1">
      <c r="A522" s="18" t="s">
        <v>4837</v>
      </c>
      <c r="B522" s="18">
        <v>20019554269</v>
      </c>
      <c r="C522" s="18" t="s">
        <v>4258</v>
      </c>
      <c r="D522" s="19">
        <v>45523.450694444444</v>
      </c>
      <c r="E522" s="18" t="s">
        <v>10</v>
      </c>
      <c r="F522" s="18">
        <v>150</v>
      </c>
      <c r="G522" s="18" t="s">
        <v>10</v>
      </c>
      <c r="H522" s="18" t="s">
        <v>178</v>
      </c>
      <c r="I522" s="18" t="s">
        <v>10</v>
      </c>
      <c r="J522" s="18" t="s">
        <v>4017</v>
      </c>
      <c r="K522" s="20"/>
    </row>
    <row r="523" spans="1:11" ht="36.75" thickBot="1">
      <c r="A523" s="18" t="s">
        <v>4838</v>
      </c>
      <c r="B523" s="18">
        <v>20003357862</v>
      </c>
      <c r="C523" s="18" t="s">
        <v>4260</v>
      </c>
      <c r="D523" s="19">
        <v>45523.461111111108</v>
      </c>
      <c r="E523" s="18" t="s">
        <v>10</v>
      </c>
      <c r="F523" s="18">
        <v>50</v>
      </c>
      <c r="G523" s="18" t="s">
        <v>10</v>
      </c>
      <c r="H523" s="18" t="s">
        <v>178</v>
      </c>
      <c r="I523" s="18" t="s">
        <v>10</v>
      </c>
      <c r="J523" s="18" t="s">
        <v>4017</v>
      </c>
      <c r="K523" s="20"/>
    </row>
    <row r="524" spans="1:11" ht="36.75" thickBot="1">
      <c r="A524" s="18" t="s">
        <v>4839</v>
      </c>
      <c r="B524" s="18">
        <v>20022269044</v>
      </c>
      <c r="C524" s="18" t="s">
        <v>4840</v>
      </c>
      <c r="D524" s="19">
        <v>45500.645138888889</v>
      </c>
      <c r="E524" s="19">
        <v>45523.461805555555</v>
      </c>
      <c r="F524" s="18">
        <v>30</v>
      </c>
      <c r="G524" s="18" t="s">
        <v>10</v>
      </c>
      <c r="H524" s="18" t="s">
        <v>178</v>
      </c>
      <c r="I524" s="18" t="s">
        <v>10</v>
      </c>
      <c r="J524" s="18" t="s">
        <v>4017</v>
      </c>
      <c r="K524" s="20"/>
    </row>
    <row r="525" spans="1:11" ht="36.75" thickBot="1">
      <c r="A525" s="18" t="s">
        <v>4841</v>
      </c>
      <c r="B525" s="18">
        <v>20026739668</v>
      </c>
      <c r="C525" s="18" t="s">
        <v>4260</v>
      </c>
      <c r="D525" s="19">
        <v>45523.492361111108</v>
      </c>
      <c r="E525" s="18" t="s">
        <v>10</v>
      </c>
      <c r="F525" s="18">
        <v>200</v>
      </c>
      <c r="G525" s="18" t="s">
        <v>10</v>
      </c>
      <c r="H525" s="18" t="s">
        <v>178</v>
      </c>
      <c r="I525" s="18" t="s">
        <v>10</v>
      </c>
      <c r="J525" s="18" t="s">
        <v>4017</v>
      </c>
      <c r="K525" s="20"/>
    </row>
    <row r="526" spans="1:11" ht="36.75" thickBot="1">
      <c r="A526" s="18" t="s">
        <v>4842</v>
      </c>
      <c r="B526" s="18">
        <v>20003486608</v>
      </c>
      <c r="C526" s="18" t="s">
        <v>4129</v>
      </c>
      <c r="D526" s="19">
        <v>45523.695138888892</v>
      </c>
      <c r="E526" s="18" t="s">
        <v>10</v>
      </c>
      <c r="F526" s="18">
        <v>150</v>
      </c>
      <c r="G526" s="18" t="s">
        <v>10</v>
      </c>
      <c r="H526" s="18" t="s">
        <v>178</v>
      </c>
      <c r="I526" s="18" t="s">
        <v>10</v>
      </c>
      <c r="J526" s="18" t="s">
        <v>4017</v>
      </c>
      <c r="K526" s="20"/>
    </row>
    <row r="527" spans="1:11" ht="36.75" thickBot="1">
      <c r="A527" s="18" t="s">
        <v>4843</v>
      </c>
      <c r="B527" s="18">
        <v>20022008913</v>
      </c>
      <c r="C527" s="18" t="s">
        <v>4844</v>
      </c>
      <c r="D527" s="19">
        <v>45496.57708333333</v>
      </c>
      <c r="E527" s="19">
        <v>45523.760416666664</v>
      </c>
      <c r="F527" s="18">
        <v>100</v>
      </c>
      <c r="G527" s="18" t="s">
        <v>10</v>
      </c>
      <c r="H527" s="18" t="s">
        <v>178</v>
      </c>
      <c r="I527" s="18" t="s">
        <v>10</v>
      </c>
      <c r="J527" s="18" t="s">
        <v>4017</v>
      </c>
      <c r="K527" s="20"/>
    </row>
    <row r="528" spans="1:11" ht="36.75" thickBot="1">
      <c r="A528" s="18" t="s">
        <v>4845</v>
      </c>
      <c r="B528" s="18">
        <v>20019983360</v>
      </c>
      <c r="C528" s="18" t="s">
        <v>4641</v>
      </c>
      <c r="D528" s="19">
        <v>45523.774305555555</v>
      </c>
      <c r="E528" s="18" t="s">
        <v>10</v>
      </c>
      <c r="F528" s="18">
        <v>85.2</v>
      </c>
      <c r="G528" s="18" t="s">
        <v>10</v>
      </c>
      <c r="H528" s="18" t="s">
        <v>236</v>
      </c>
      <c r="I528" s="18" t="s">
        <v>10</v>
      </c>
      <c r="J528" s="18" t="s">
        <v>4017</v>
      </c>
      <c r="K528" s="20"/>
    </row>
    <row r="529" spans="1:11" ht="72.75" thickBot="1">
      <c r="A529" s="18" t="s">
        <v>4846</v>
      </c>
      <c r="B529" s="18">
        <v>20021877041</v>
      </c>
      <c r="C529" s="18" t="s">
        <v>4847</v>
      </c>
      <c r="D529" s="19">
        <v>45419.649305555555</v>
      </c>
      <c r="E529" s="19">
        <v>45524.443749999999</v>
      </c>
      <c r="F529" s="18">
        <v>500</v>
      </c>
      <c r="G529" s="19">
        <v>45596.555555555555</v>
      </c>
      <c r="H529" s="18" t="s">
        <v>2688</v>
      </c>
      <c r="I529" s="18" t="s">
        <v>10</v>
      </c>
      <c r="J529" s="18" t="s">
        <v>4017</v>
      </c>
      <c r="K529" s="20"/>
    </row>
    <row r="530" spans="1:11" ht="36.75" thickBot="1">
      <c r="A530" s="18" t="s">
        <v>4848</v>
      </c>
      <c r="B530" s="18">
        <v>20020682670</v>
      </c>
      <c r="C530" s="18" t="s">
        <v>4358</v>
      </c>
      <c r="D530" s="19">
        <v>45524.496527777781</v>
      </c>
      <c r="E530" s="18" t="s">
        <v>10</v>
      </c>
      <c r="F530" s="18">
        <v>180</v>
      </c>
      <c r="G530" s="18" t="s">
        <v>10</v>
      </c>
      <c r="H530" s="18" t="s">
        <v>178</v>
      </c>
      <c r="I530" s="18" t="s">
        <v>10</v>
      </c>
      <c r="J530" s="18" t="s">
        <v>4017</v>
      </c>
      <c r="K530" s="20"/>
    </row>
    <row r="531" spans="1:11" ht="36.75" thickBot="1">
      <c r="A531" s="18" t="s">
        <v>4849</v>
      </c>
      <c r="B531" s="18">
        <v>20016667395</v>
      </c>
      <c r="C531" s="18" t="s">
        <v>4066</v>
      </c>
      <c r="D531" s="19">
        <v>45524.690972222219</v>
      </c>
      <c r="E531" s="19">
        <v>45524.743055555555</v>
      </c>
      <c r="F531" s="18">
        <v>500</v>
      </c>
      <c r="G531" s="18" t="s">
        <v>10</v>
      </c>
      <c r="H531" s="18" t="s">
        <v>178</v>
      </c>
      <c r="I531" s="18" t="s">
        <v>10</v>
      </c>
      <c r="J531" s="18" t="s">
        <v>4017</v>
      </c>
      <c r="K531" s="20"/>
    </row>
    <row r="532" spans="1:11" ht="36.75" thickBot="1">
      <c r="A532" s="18" t="s">
        <v>4850</v>
      </c>
      <c r="B532" s="18">
        <v>20003042519</v>
      </c>
      <c r="C532" s="18" t="s">
        <v>4690</v>
      </c>
      <c r="D532" s="19">
        <v>45524.842361111114</v>
      </c>
      <c r="E532" s="18" t="s">
        <v>10</v>
      </c>
      <c r="F532" s="18">
        <v>190</v>
      </c>
      <c r="G532" s="19">
        <v>45574.582638888889</v>
      </c>
      <c r="H532" s="18" t="s">
        <v>236</v>
      </c>
      <c r="I532" s="18" t="s">
        <v>10</v>
      </c>
      <c r="J532" s="18" t="s">
        <v>4017</v>
      </c>
      <c r="K532" s="20"/>
    </row>
    <row r="533" spans="1:11" ht="36.75" thickBot="1">
      <c r="A533" s="18" t="s">
        <v>4851</v>
      </c>
      <c r="B533" s="18">
        <v>20025421674</v>
      </c>
      <c r="C533" s="18" t="s">
        <v>4852</v>
      </c>
      <c r="D533" s="19">
        <v>45525.707638888889</v>
      </c>
      <c r="E533" s="18" t="s">
        <v>10</v>
      </c>
      <c r="F533" s="18">
        <v>50</v>
      </c>
      <c r="G533" s="18" t="s">
        <v>10</v>
      </c>
      <c r="H533" s="18" t="s">
        <v>178</v>
      </c>
      <c r="I533" s="18" t="s">
        <v>10</v>
      </c>
      <c r="J533" s="18" t="s">
        <v>4017</v>
      </c>
      <c r="K533" s="20"/>
    </row>
    <row r="534" spans="1:11" ht="36.75" thickBot="1">
      <c r="A534" s="18" t="s">
        <v>4853</v>
      </c>
      <c r="B534" s="18">
        <v>20003042770</v>
      </c>
      <c r="C534" s="18" t="s">
        <v>4565</v>
      </c>
      <c r="D534" s="19">
        <v>45525.853472222225</v>
      </c>
      <c r="E534" s="18" t="s">
        <v>10</v>
      </c>
      <c r="F534" s="18">
        <v>375</v>
      </c>
      <c r="G534" s="18" t="s">
        <v>10</v>
      </c>
      <c r="H534" s="18" t="s">
        <v>178</v>
      </c>
      <c r="I534" s="18" t="s">
        <v>10</v>
      </c>
      <c r="J534" s="18" t="s">
        <v>4017</v>
      </c>
      <c r="K534" s="20"/>
    </row>
    <row r="535" spans="1:11" ht="36.75" thickBot="1">
      <c r="A535" s="18" t="s">
        <v>4854</v>
      </c>
      <c r="B535" s="18">
        <v>20027008793</v>
      </c>
      <c r="C535" s="18" t="s">
        <v>4270</v>
      </c>
      <c r="D535" s="19">
        <v>45525.893055555556</v>
      </c>
      <c r="E535" s="18" t="s">
        <v>10</v>
      </c>
      <c r="F535" s="18">
        <v>60</v>
      </c>
      <c r="G535" s="18" t="s">
        <v>10</v>
      </c>
      <c r="H535" s="18" t="s">
        <v>189</v>
      </c>
      <c r="I535" s="18" t="s">
        <v>10</v>
      </c>
      <c r="J535" s="18" t="s">
        <v>4017</v>
      </c>
      <c r="K535" s="20"/>
    </row>
    <row r="536" spans="1:11" ht="36.75" thickBot="1">
      <c r="A536" s="18" t="s">
        <v>4855</v>
      </c>
      <c r="B536" s="18">
        <v>20003129575</v>
      </c>
      <c r="C536" s="18" t="s">
        <v>4856</v>
      </c>
      <c r="D536" s="19">
        <v>45526.490972222222</v>
      </c>
      <c r="E536" s="18" t="s">
        <v>10</v>
      </c>
      <c r="F536" s="18">
        <v>725</v>
      </c>
      <c r="G536" s="18" t="s">
        <v>10</v>
      </c>
      <c r="H536" s="18" t="s">
        <v>178</v>
      </c>
      <c r="I536" s="18" t="s">
        <v>10</v>
      </c>
      <c r="J536" s="18" t="s">
        <v>4017</v>
      </c>
      <c r="K536" s="20"/>
    </row>
    <row r="537" spans="1:11" ht="36.75" thickBot="1">
      <c r="A537" s="18" t="s">
        <v>4857</v>
      </c>
      <c r="B537" s="18">
        <v>20017786125</v>
      </c>
      <c r="C537" s="18" t="s">
        <v>4415</v>
      </c>
      <c r="D537" s="19">
        <v>45526.511111111111</v>
      </c>
      <c r="E537" s="18" t="s">
        <v>10</v>
      </c>
      <c r="F537" s="18">
        <v>480</v>
      </c>
      <c r="G537" s="18" t="s">
        <v>10</v>
      </c>
      <c r="H537" s="18" t="s">
        <v>178</v>
      </c>
      <c r="I537" s="18" t="s">
        <v>10</v>
      </c>
      <c r="J537" s="18" t="s">
        <v>4017</v>
      </c>
      <c r="K537" s="20"/>
    </row>
    <row r="538" spans="1:11" ht="36.75" thickBot="1">
      <c r="A538" s="18" t="s">
        <v>4858</v>
      </c>
      <c r="B538" s="18">
        <v>20020628609</v>
      </c>
      <c r="C538" s="18" t="s">
        <v>4859</v>
      </c>
      <c r="D538" s="19">
        <v>45506.770833333336</v>
      </c>
      <c r="E538" s="19">
        <v>45526.561805555553</v>
      </c>
      <c r="F538" s="18">
        <v>50</v>
      </c>
      <c r="G538" s="19">
        <v>45575.635416666664</v>
      </c>
      <c r="H538" s="18" t="s">
        <v>236</v>
      </c>
      <c r="I538" s="18" t="s">
        <v>10</v>
      </c>
      <c r="J538" s="18" t="s">
        <v>4017</v>
      </c>
      <c r="K538" s="20"/>
    </row>
    <row r="539" spans="1:11" ht="36.75" thickBot="1">
      <c r="A539" s="18" t="s">
        <v>4860</v>
      </c>
      <c r="B539" s="18">
        <v>20003042988</v>
      </c>
      <c r="C539" s="18" t="s">
        <v>4415</v>
      </c>
      <c r="D539" s="19">
        <v>45526.593055555553</v>
      </c>
      <c r="E539" s="18" t="s">
        <v>10</v>
      </c>
      <c r="F539" s="18">
        <v>350</v>
      </c>
      <c r="G539" s="18" t="s">
        <v>10</v>
      </c>
      <c r="H539" s="18" t="s">
        <v>178</v>
      </c>
      <c r="I539" s="18" t="s">
        <v>10</v>
      </c>
      <c r="J539" s="18" t="s">
        <v>4017</v>
      </c>
      <c r="K539" s="20"/>
    </row>
    <row r="540" spans="1:11" ht="36.75" thickBot="1">
      <c r="A540" s="18" t="s">
        <v>4861</v>
      </c>
      <c r="B540" s="18">
        <v>20022970533</v>
      </c>
      <c r="C540" s="18" t="s">
        <v>4437</v>
      </c>
      <c r="D540" s="19">
        <v>45503.769444444442</v>
      </c>
      <c r="E540" s="19">
        <v>45526.647916666669</v>
      </c>
      <c r="F540" s="18">
        <v>180</v>
      </c>
      <c r="G540" s="19">
        <v>45561.472916666666</v>
      </c>
      <c r="H540" s="18" t="s">
        <v>236</v>
      </c>
      <c r="I540" s="18" t="s">
        <v>10</v>
      </c>
      <c r="J540" s="18" t="s">
        <v>4017</v>
      </c>
      <c r="K540" s="20"/>
    </row>
    <row r="541" spans="1:11" ht="36.75" thickBot="1">
      <c r="A541" s="18" t="s">
        <v>4862</v>
      </c>
      <c r="B541" s="18">
        <v>20025660211</v>
      </c>
      <c r="C541" s="18" t="s">
        <v>4863</v>
      </c>
      <c r="D541" s="19">
        <v>45526.688888888886</v>
      </c>
      <c r="E541" s="18" t="s">
        <v>10</v>
      </c>
      <c r="F541" s="18">
        <v>40</v>
      </c>
      <c r="G541" s="18" t="s">
        <v>10</v>
      </c>
      <c r="H541" s="18" t="s">
        <v>178</v>
      </c>
      <c r="I541" s="18" t="s">
        <v>10</v>
      </c>
      <c r="J541" s="18" t="s">
        <v>4017</v>
      </c>
      <c r="K541" s="20"/>
    </row>
    <row r="542" spans="1:11" ht="54.75" thickBot="1">
      <c r="A542" s="18" t="s">
        <v>4864</v>
      </c>
      <c r="B542" s="18">
        <v>20003253489</v>
      </c>
      <c r="C542" s="18" t="s">
        <v>4865</v>
      </c>
      <c r="D542" s="19">
        <v>45526.813888888886</v>
      </c>
      <c r="E542" s="18" t="s">
        <v>10</v>
      </c>
      <c r="F542" s="18">
        <v>175</v>
      </c>
      <c r="G542" s="18" t="s">
        <v>10</v>
      </c>
      <c r="H542" s="18" t="s">
        <v>178</v>
      </c>
      <c r="I542" s="18" t="s">
        <v>10</v>
      </c>
      <c r="J542" s="18" t="s">
        <v>4017</v>
      </c>
      <c r="K542" s="20"/>
    </row>
    <row r="543" spans="1:11" ht="36.75" thickBot="1">
      <c r="A543" s="18" t="s">
        <v>4866</v>
      </c>
      <c r="B543" s="18">
        <v>20002869416</v>
      </c>
      <c r="C543" s="18" t="s">
        <v>4867</v>
      </c>
      <c r="D543" s="19">
        <v>45526.887499999997</v>
      </c>
      <c r="E543" s="18" t="s">
        <v>10</v>
      </c>
      <c r="F543" s="18">
        <v>500</v>
      </c>
      <c r="G543" s="18" t="s">
        <v>10</v>
      </c>
      <c r="H543" s="18" t="s">
        <v>178</v>
      </c>
      <c r="I543" s="18" t="s">
        <v>10</v>
      </c>
      <c r="J543" s="18" t="s">
        <v>4017</v>
      </c>
      <c r="K543" s="20"/>
    </row>
    <row r="544" spans="1:11" ht="36.75" thickBot="1">
      <c r="A544" s="18" t="s">
        <v>4868</v>
      </c>
      <c r="B544" s="18">
        <v>20019268710</v>
      </c>
      <c r="C544" s="18" t="s">
        <v>4280</v>
      </c>
      <c r="D544" s="19">
        <v>45526.981944444444</v>
      </c>
      <c r="E544" s="18" t="s">
        <v>10</v>
      </c>
      <c r="F544" s="18">
        <v>600</v>
      </c>
      <c r="G544" s="18" t="s">
        <v>10</v>
      </c>
      <c r="H544" s="18" t="s">
        <v>178</v>
      </c>
      <c r="I544" s="18" t="s">
        <v>10</v>
      </c>
      <c r="J544" s="18" t="s">
        <v>4017</v>
      </c>
      <c r="K544" s="20"/>
    </row>
    <row r="545" spans="1:11" ht="36.75" thickBot="1">
      <c r="A545" s="18" t="s">
        <v>4869</v>
      </c>
      <c r="B545" s="18">
        <v>20020972689</v>
      </c>
      <c r="C545" s="18" t="s">
        <v>4457</v>
      </c>
      <c r="D545" s="19">
        <v>45527.363194444442</v>
      </c>
      <c r="E545" s="18" t="s">
        <v>10</v>
      </c>
      <c r="F545" s="18">
        <v>400</v>
      </c>
      <c r="G545" s="18" t="s">
        <v>10</v>
      </c>
      <c r="H545" s="18" t="s">
        <v>178</v>
      </c>
      <c r="I545" s="18" t="s">
        <v>10</v>
      </c>
      <c r="J545" s="18" t="s">
        <v>4017</v>
      </c>
      <c r="K545" s="20"/>
    </row>
    <row r="546" spans="1:11" ht="36.75" thickBot="1">
      <c r="A546" s="18" t="s">
        <v>4870</v>
      </c>
      <c r="B546" s="18">
        <v>20021460322</v>
      </c>
      <c r="C546" s="18" t="s">
        <v>4871</v>
      </c>
      <c r="D546" s="19">
        <v>45492.594444444447</v>
      </c>
      <c r="E546" s="19">
        <v>45527.379861111112</v>
      </c>
      <c r="F546" s="18">
        <v>300</v>
      </c>
      <c r="G546" s="18" t="s">
        <v>10</v>
      </c>
      <c r="H546" s="18" t="s">
        <v>178</v>
      </c>
      <c r="I546" s="18" t="s">
        <v>10</v>
      </c>
      <c r="J546" s="18" t="s">
        <v>4017</v>
      </c>
      <c r="K546" s="20"/>
    </row>
    <row r="547" spans="1:11" ht="36.75" thickBot="1">
      <c r="A547" s="18" t="s">
        <v>4872</v>
      </c>
      <c r="B547" s="18">
        <v>20017941508</v>
      </c>
      <c r="C547" s="18" t="s">
        <v>4873</v>
      </c>
      <c r="D547" s="19">
        <v>45527.406944444447</v>
      </c>
      <c r="E547" s="18" t="s">
        <v>10</v>
      </c>
      <c r="F547" s="18">
        <v>800</v>
      </c>
      <c r="G547" s="18" t="s">
        <v>10</v>
      </c>
      <c r="H547" s="18" t="s">
        <v>178</v>
      </c>
      <c r="I547" s="18" t="s">
        <v>10</v>
      </c>
      <c r="J547" s="18" t="s">
        <v>4017</v>
      </c>
      <c r="K547" s="20"/>
    </row>
    <row r="548" spans="1:11" ht="36.75" thickBot="1">
      <c r="A548" s="18" t="s">
        <v>4874</v>
      </c>
      <c r="B548" s="18">
        <v>20016357134</v>
      </c>
      <c r="C548" s="18" t="s">
        <v>4873</v>
      </c>
      <c r="D548" s="19">
        <v>45527.427777777775</v>
      </c>
      <c r="E548" s="18" t="s">
        <v>10</v>
      </c>
      <c r="F548" s="18">
        <v>800</v>
      </c>
      <c r="G548" s="18" t="s">
        <v>10</v>
      </c>
      <c r="H548" s="18" t="s">
        <v>178</v>
      </c>
      <c r="I548" s="18" t="s">
        <v>10</v>
      </c>
      <c r="J548" s="18" t="s">
        <v>4017</v>
      </c>
      <c r="K548" s="20"/>
    </row>
    <row r="549" spans="1:11" ht="36.75" thickBot="1">
      <c r="A549" s="18" t="s">
        <v>4875</v>
      </c>
      <c r="B549" s="18">
        <v>20003512173</v>
      </c>
      <c r="C549" s="18" t="s">
        <v>4876</v>
      </c>
      <c r="D549" s="19">
        <v>45426.738888888889</v>
      </c>
      <c r="E549" s="19">
        <v>45527.474999999999</v>
      </c>
      <c r="F549" s="18">
        <v>70</v>
      </c>
      <c r="G549" s="19">
        <v>45552.40902777778</v>
      </c>
      <c r="H549" s="18" t="s">
        <v>236</v>
      </c>
      <c r="I549" s="18" t="s">
        <v>10</v>
      </c>
      <c r="J549" s="18" t="s">
        <v>4017</v>
      </c>
      <c r="K549" s="20"/>
    </row>
    <row r="550" spans="1:11" ht="36.75" thickBot="1">
      <c r="A550" s="18" t="s">
        <v>4877</v>
      </c>
      <c r="B550" s="18">
        <v>20018681684</v>
      </c>
      <c r="C550" s="18" t="s">
        <v>4878</v>
      </c>
      <c r="D550" s="19">
        <v>45527.489583333336</v>
      </c>
      <c r="E550" s="18" t="s">
        <v>10</v>
      </c>
      <c r="F550" s="18">
        <v>200</v>
      </c>
      <c r="G550" s="18" t="s">
        <v>10</v>
      </c>
      <c r="H550" s="18" t="s">
        <v>178</v>
      </c>
      <c r="I550" s="18" t="s">
        <v>10</v>
      </c>
      <c r="J550" s="18" t="s">
        <v>4017</v>
      </c>
      <c r="K550" s="20"/>
    </row>
    <row r="551" spans="1:11" ht="36.75" thickBot="1">
      <c r="A551" s="18" t="s">
        <v>4879</v>
      </c>
      <c r="B551" s="18">
        <v>20016515775</v>
      </c>
      <c r="C551" s="18" t="s">
        <v>4503</v>
      </c>
      <c r="D551" s="19">
        <v>45527.564583333333</v>
      </c>
      <c r="E551" s="18" t="s">
        <v>10</v>
      </c>
      <c r="F551" s="18">
        <v>250</v>
      </c>
      <c r="G551" s="18" t="s">
        <v>10</v>
      </c>
      <c r="H551" s="18" t="s">
        <v>178</v>
      </c>
      <c r="I551" s="18" t="s">
        <v>10</v>
      </c>
      <c r="J551" s="18" t="s">
        <v>4017</v>
      </c>
      <c r="K551" s="20"/>
    </row>
    <row r="552" spans="1:11" ht="36.75" thickBot="1">
      <c r="A552" s="18" t="s">
        <v>4880</v>
      </c>
      <c r="B552" s="18">
        <v>20003126379</v>
      </c>
      <c r="C552" s="18" t="s">
        <v>4030</v>
      </c>
      <c r="D552" s="19">
        <v>45527.602083333331</v>
      </c>
      <c r="E552" s="18" t="s">
        <v>10</v>
      </c>
      <c r="F552" s="18">
        <v>625</v>
      </c>
      <c r="G552" s="18" t="s">
        <v>10</v>
      </c>
      <c r="H552" s="18" t="s">
        <v>178</v>
      </c>
      <c r="I552" s="18" t="s">
        <v>10</v>
      </c>
      <c r="J552" s="18" t="s">
        <v>4017</v>
      </c>
      <c r="K552" s="20"/>
    </row>
    <row r="553" spans="1:11" ht="54.75" thickBot="1">
      <c r="A553" s="18" t="s">
        <v>4881</v>
      </c>
      <c r="B553" s="18">
        <v>20003474670</v>
      </c>
      <c r="C553" s="18" t="s">
        <v>4882</v>
      </c>
      <c r="D553" s="19">
        <v>45527.674305555556</v>
      </c>
      <c r="E553" s="18" t="s">
        <v>10</v>
      </c>
      <c r="F553" s="18">
        <v>360</v>
      </c>
      <c r="G553" s="18" t="s">
        <v>10</v>
      </c>
      <c r="H553" s="18" t="s">
        <v>178</v>
      </c>
      <c r="I553" s="18" t="s">
        <v>10</v>
      </c>
      <c r="J553" s="18" t="s">
        <v>4017</v>
      </c>
      <c r="K553" s="20"/>
    </row>
    <row r="554" spans="1:11" ht="36.75" thickBot="1">
      <c r="A554" s="18" t="s">
        <v>4883</v>
      </c>
      <c r="B554" s="18">
        <v>20003442270</v>
      </c>
      <c r="C554" s="18" t="s">
        <v>4630</v>
      </c>
      <c r="D554" s="19">
        <v>45528.100694444445</v>
      </c>
      <c r="E554" s="18" t="s">
        <v>10</v>
      </c>
      <c r="F554" s="18">
        <v>100</v>
      </c>
      <c r="G554" s="18" t="s">
        <v>10</v>
      </c>
      <c r="H554" s="18" t="s">
        <v>178</v>
      </c>
      <c r="I554" s="18" t="s">
        <v>10</v>
      </c>
      <c r="J554" s="18" t="s">
        <v>4017</v>
      </c>
      <c r="K554" s="20"/>
    </row>
    <row r="555" spans="1:11" ht="36.75" thickBot="1">
      <c r="A555" s="18" t="s">
        <v>4884</v>
      </c>
      <c r="B555" s="18">
        <v>20026391574</v>
      </c>
      <c r="C555" s="18" t="s">
        <v>4885</v>
      </c>
      <c r="D555" s="19">
        <v>45418.909722222219</v>
      </c>
      <c r="E555" s="19">
        <v>45528.429861111108</v>
      </c>
      <c r="F555" s="18">
        <v>50</v>
      </c>
      <c r="G555" s="19">
        <v>45552.409722222219</v>
      </c>
      <c r="H555" s="18" t="s">
        <v>236</v>
      </c>
      <c r="I555" s="18" t="s">
        <v>10</v>
      </c>
      <c r="J555" s="18" t="s">
        <v>4017</v>
      </c>
      <c r="K555" s="20"/>
    </row>
    <row r="556" spans="1:11" ht="72.75" thickBot="1">
      <c r="A556" s="18" t="s">
        <v>4886</v>
      </c>
      <c r="B556" s="18">
        <v>20023566491</v>
      </c>
      <c r="C556" s="18" t="s">
        <v>4887</v>
      </c>
      <c r="D556" s="19">
        <v>45404.595138888886</v>
      </c>
      <c r="E556" s="19">
        <v>45528.625</v>
      </c>
      <c r="F556" s="18">
        <v>50</v>
      </c>
      <c r="G556" s="19">
        <v>45576.583333333336</v>
      </c>
      <c r="H556" s="18" t="s">
        <v>2657</v>
      </c>
      <c r="I556" s="18" t="s">
        <v>10</v>
      </c>
      <c r="J556" s="18" t="s">
        <v>4017</v>
      </c>
      <c r="K556" s="20"/>
    </row>
    <row r="557" spans="1:11" ht="54.75" thickBot="1">
      <c r="A557" s="18" t="s">
        <v>4888</v>
      </c>
      <c r="B557" s="18">
        <v>20003253489</v>
      </c>
      <c r="C557" s="18" t="s">
        <v>4865</v>
      </c>
      <c r="D557" s="19">
        <v>45528.75277777778</v>
      </c>
      <c r="E557" s="18" t="s">
        <v>10</v>
      </c>
      <c r="F557" s="18">
        <v>300</v>
      </c>
      <c r="G557" s="18" t="s">
        <v>10</v>
      </c>
      <c r="H557" s="18" t="s">
        <v>178</v>
      </c>
      <c r="I557" s="18" t="s">
        <v>10</v>
      </c>
      <c r="J557" s="18" t="s">
        <v>4017</v>
      </c>
      <c r="K557" s="20"/>
    </row>
    <row r="558" spans="1:11" ht="36.75" thickBot="1">
      <c r="A558" s="18" t="s">
        <v>4889</v>
      </c>
      <c r="B558" s="18">
        <v>20026899187</v>
      </c>
      <c r="C558" s="18" t="s">
        <v>4890</v>
      </c>
      <c r="D558" s="19">
        <v>45469.706944444442</v>
      </c>
      <c r="E558" s="19">
        <v>45529.369444444441</v>
      </c>
      <c r="F558" s="18">
        <v>10</v>
      </c>
      <c r="G558" s="19">
        <v>45576.402083333334</v>
      </c>
      <c r="H558" s="18" t="s">
        <v>236</v>
      </c>
      <c r="I558" s="18" t="s">
        <v>10</v>
      </c>
      <c r="J558" s="18" t="s">
        <v>4017</v>
      </c>
      <c r="K558" s="20"/>
    </row>
    <row r="559" spans="1:11" ht="36.75" thickBot="1">
      <c r="A559" s="18" t="s">
        <v>4891</v>
      </c>
      <c r="B559" s="18">
        <v>20027117091</v>
      </c>
      <c r="C559" s="18" t="s">
        <v>4892</v>
      </c>
      <c r="D559" s="19">
        <v>45529.629166666666</v>
      </c>
      <c r="E559" s="18" t="s">
        <v>10</v>
      </c>
      <c r="F559" s="18">
        <v>90</v>
      </c>
      <c r="G559" s="18" t="s">
        <v>10</v>
      </c>
      <c r="H559" s="18" t="s">
        <v>178</v>
      </c>
      <c r="I559" s="18" t="s">
        <v>10</v>
      </c>
      <c r="J559" s="18" t="s">
        <v>4017</v>
      </c>
      <c r="K559" s="20"/>
    </row>
    <row r="560" spans="1:11" ht="36.75" thickBot="1">
      <c r="A560" s="18" t="s">
        <v>4893</v>
      </c>
      <c r="B560" s="18">
        <v>20003512736</v>
      </c>
      <c r="C560" s="18" t="s">
        <v>4894</v>
      </c>
      <c r="D560" s="19">
        <v>45529.676388888889</v>
      </c>
      <c r="E560" s="18" t="s">
        <v>10</v>
      </c>
      <c r="F560" s="18">
        <v>90</v>
      </c>
      <c r="G560" s="18" t="s">
        <v>10</v>
      </c>
      <c r="H560" s="18" t="s">
        <v>178</v>
      </c>
      <c r="I560" s="18" t="s">
        <v>10</v>
      </c>
      <c r="J560" s="18" t="s">
        <v>4017</v>
      </c>
      <c r="K560" s="20"/>
    </row>
    <row r="561" spans="1:11" ht="36.75" thickBot="1">
      <c r="A561" s="18" t="s">
        <v>4895</v>
      </c>
      <c r="B561" s="18">
        <v>20003058464</v>
      </c>
      <c r="C561" s="18" t="s">
        <v>4685</v>
      </c>
      <c r="D561" s="19">
        <v>45530.472222222219</v>
      </c>
      <c r="E561" s="18" t="s">
        <v>10</v>
      </c>
      <c r="F561" s="18">
        <v>200</v>
      </c>
      <c r="G561" s="18" t="s">
        <v>10</v>
      </c>
      <c r="H561" s="18" t="s">
        <v>178</v>
      </c>
      <c r="I561" s="18" t="s">
        <v>10</v>
      </c>
      <c r="J561" s="18" t="s">
        <v>4017</v>
      </c>
      <c r="K561" s="20"/>
    </row>
    <row r="562" spans="1:11" ht="72.75" thickBot="1">
      <c r="A562" s="18" t="s">
        <v>4896</v>
      </c>
      <c r="B562" s="18">
        <v>20024008945</v>
      </c>
      <c r="C562" s="18" t="s">
        <v>4897</v>
      </c>
      <c r="D562" s="19">
        <v>45329.428472222222</v>
      </c>
      <c r="E562" s="19">
        <v>45530.49722222222</v>
      </c>
      <c r="F562" s="18">
        <v>10</v>
      </c>
      <c r="G562" s="19">
        <v>45545.464583333334</v>
      </c>
      <c r="H562" s="18" t="s">
        <v>2688</v>
      </c>
      <c r="I562" s="18" t="s">
        <v>10</v>
      </c>
      <c r="J562" s="18" t="s">
        <v>4017</v>
      </c>
      <c r="K562" s="20"/>
    </row>
    <row r="563" spans="1:11" ht="72.75" thickBot="1">
      <c r="A563" s="18" t="s">
        <v>4898</v>
      </c>
      <c r="B563" s="18">
        <v>20026934040</v>
      </c>
      <c r="C563" s="18" t="s">
        <v>4266</v>
      </c>
      <c r="D563" s="19">
        <v>45483.472222222219</v>
      </c>
      <c r="E563" s="19">
        <v>45530.56527777778</v>
      </c>
      <c r="F563" s="18">
        <v>50</v>
      </c>
      <c r="G563" s="19">
        <v>45569.424305555556</v>
      </c>
      <c r="H563" s="18" t="s">
        <v>2688</v>
      </c>
      <c r="I563" s="18" t="s">
        <v>10</v>
      </c>
      <c r="J563" s="18" t="s">
        <v>4017</v>
      </c>
      <c r="K563" s="20"/>
    </row>
    <row r="564" spans="1:11" ht="36.75" thickBot="1">
      <c r="A564" s="18" t="s">
        <v>4899</v>
      </c>
      <c r="B564" s="18">
        <v>20002902189</v>
      </c>
      <c r="C564" s="18" t="s">
        <v>4900</v>
      </c>
      <c r="D564" s="19">
        <v>45460.577777777777</v>
      </c>
      <c r="E564" s="19">
        <v>45530.613888888889</v>
      </c>
      <c r="F564" s="18">
        <v>180</v>
      </c>
      <c r="G564" s="18" t="s">
        <v>10</v>
      </c>
      <c r="H564" s="18" t="s">
        <v>178</v>
      </c>
      <c r="I564" s="18" t="s">
        <v>10</v>
      </c>
      <c r="J564" s="18" t="s">
        <v>4017</v>
      </c>
      <c r="K564" s="20"/>
    </row>
    <row r="565" spans="1:11" ht="36.75" thickBot="1">
      <c r="A565" s="18" t="s">
        <v>4901</v>
      </c>
      <c r="B565" s="18">
        <v>20020987730</v>
      </c>
      <c r="C565" s="18" t="s">
        <v>4391</v>
      </c>
      <c r="D565" s="19">
        <v>45530.672222222223</v>
      </c>
      <c r="E565" s="18" t="s">
        <v>10</v>
      </c>
      <c r="F565" s="18">
        <v>550</v>
      </c>
      <c r="G565" s="18" t="s">
        <v>10</v>
      </c>
      <c r="H565" s="18" t="s">
        <v>178</v>
      </c>
      <c r="I565" s="18" t="s">
        <v>10</v>
      </c>
      <c r="J565" s="18" t="s">
        <v>4017</v>
      </c>
      <c r="K565" s="20"/>
    </row>
    <row r="566" spans="1:11" ht="36.75" thickBot="1">
      <c r="A566" s="18" t="s">
        <v>4902</v>
      </c>
      <c r="B566" s="18">
        <v>20002883974</v>
      </c>
      <c r="C566" s="18" t="s">
        <v>4682</v>
      </c>
      <c r="D566" s="19">
        <v>45530.71875</v>
      </c>
      <c r="E566" s="18" t="s">
        <v>10</v>
      </c>
      <c r="F566" s="18">
        <v>50</v>
      </c>
      <c r="G566" s="18" t="s">
        <v>10</v>
      </c>
      <c r="H566" s="18" t="s">
        <v>178</v>
      </c>
      <c r="I566" s="18" t="s">
        <v>10</v>
      </c>
      <c r="J566" s="18" t="s">
        <v>4017</v>
      </c>
      <c r="K566" s="20"/>
    </row>
    <row r="567" spans="1:11" ht="72.75" thickBot="1">
      <c r="A567" s="18" t="s">
        <v>4903</v>
      </c>
      <c r="B567" s="18">
        <v>20026933161</v>
      </c>
      <c r="C567" s="18" t="s">
        <v>4904</v>
      </c>
      <c r="D567" s="19">
        <v>45468.947916666664</v>
      </c>
      <c r="E567" s="19">
        <v>45530.864583333336</v>
      </c>
      <c r="F567" s="18">
        <v>130</v>
      </c>
      <c r="G567" s="19">
        <v>45590.43472222222</v>
      </c>
      <c r="H567" s="18" t="s">
        <v>2688</v>
      </c>
      <c r="I567" s="18" t="s">
        <v>10</v>
      </c>
      <c r="J567" s="18" t="s">
        <v>4017</v>
      </c>
      <c r="K567" s="20"/>
    </row>
    <row r="568" spans="1:11" ht="36.75" thickBot="1">
      <c r="A568" s="18" t="s">
        <v>4905</v>
      </c>
      <c r="B568" s="18">
        <v>20003464955</v>
      </c>
      <c r="C568" s="18" t="s">
        <v>4804</v>
      </c>
      <c r="D568" s="19">
        <v>45514.524305555555</v>
      </c>
      <c r="E568" s="19">
        <v>45531.420138888891</v>
      </c>
      <c r="F568" s="18">
        <v>60</v>
      </c>
      <c r="G568" s="18" t="s">
        <v>10</v>
      </c>
      <c r="H568" s="18" t="s">
        <v>178</v>
      </c>
      <c r="I568" s="18" t="s">
        <v>10</v>
      </c>
      <c r="J568" s="18" t="s">
        <v>4017</v>
      </c>
      <c r="K568" s="20"/>
    </row>
    <row r="569" spans="1:11" ht="36.75" thickBot="1">
      <c r="A569" s="18" t="s">
        <v>4906</v>
      </c>
      <c r="B569" s="18">
        <v>20002928139</v>
      </c>
      <c r="C569" s="18" t="s">
        <v>4804</v>
      </c>
      <c r="D569" s="19">
        <v>45514.542361111111</v>
      </c>
      <c r="E569" s="19">
        <v>45531.423611111109</v>
      </c>
      <c r="F569" s="18">
        <v>60</v>
      </c>
      <c r="G569" s="18" t="s">
        <v>10</v>
      </c>
      <c r="H569" s="18" t="s">
        <v>178</v>
      </c>
      <c r="I569" s="18" t="s">
        <v>10</v>
      </c>
      <c r="J569" s="18" t="s">
        <v>4017</v>
      </c>
      <c r="K569" s="20"/>
    </row>
    <row r="570" spans="1:11" ht="36.75" thickBot="1">
      <c r="A570" s="18" t="s">
        <v>4907</v>
      </c>
      <c r="B570" s="18">
        <v>20003606077</v>
      </c>
      <c r="C570" s="18" t="s">
        <v>4908</v>
      </c>
      <c r="D570" s="19">
        <v>45531.533333333333</v>
      </c>
      <c r="E570" s="18" t="s">
        <v>10</v>
      </c>
      <c r="F570" s="18">
        <v>50</v>
      </c>
      <c r="G570" s="18" t="s">
        <v>10</v>
      </c>
      <c r="H570" s="18" t="s">
        <v>178</v>
      </c>
      <c r="I570" s="18" t="s">
        <v>10</v>
      </c>
      <c r="J570" s="18" t="s">
        <v>4017</v>
      </c>
      <c r="K570" s="20"/>
    </row>
    <row r="571" spans="1:11" ht="36.75" thickBot="1">
      <c r="A571" s="18" t="s">
        <v>4909</v>
      </c>
      <c r="B571" s="18">
        <v>20003116685</v>
      </c>
      <c r="C571" s="18" t="s">
        <v>4525</v>
      </c>
      <c r="D571" s="19">
        <v>45531.559027777781</v>
      </c>
      <c r="E571" s="18" t="s">
        <v>10</v>
      </c>
      <c r="F571" s="18">
        <v>900</v>
      </c>
      <c r="G571" s="18" t="s">
        <v>10</v>
      </c>
      <c r="H571" s="18" t="s">
        <v>178</v>
      </c>
      <c r="I571" s="18" t="s">
        <v>10</v>
      </c>
      <c r="J571" s="18" t="s">
        <v>4017</v>
      </c>
      <c r="K571" s="20"/>
    </row>
    <row r="572" spans="1:11" ht="36.75" thickBot="1">
      <c r="A572" s="18" t="s">
        <v>4910</v>
      </c>
      <c r="B572" s="18">
        <v>20024919951</v>
      </c>
      <c r="C572" s="18" t="s">
        <v>4911</v>
      </c>
      <c r="D572" s="19">
        <v>45531.572222222225</v>
      </c>
      <c r="E572" s="18" t="s">
        <v>10</v>
      </c>
      <c r="F572" s="18">
        <v>70</v>
      </c>
      <c r="G572" s="18" t="s">
        <v>10</v>
      </c>
      <c r="H572" s="18" t="s">
        <v>178</v>
      </c>
      <c r="I572" s="18" t="s">
        <v>10</v>
      </c>
      <c r="J572" s="18" t="s">
        <v>4017</v>
      </c>
      <c r="K572" s="20"/>
    </row>
    <row r="573" spans="1:11" ht="36.75" thickBot="1">
      <c r="A573" s="18" t="s">
        <v>4912</v>
      </c>
      <c r="B573" s="18">
        <v>20027109008</v>
      </c>
      <c r="C573" s="18" t="s">
        <v>1836</v>
      </c>
      <c r="D573" s="19">
        <v>45531.654861111114</v>
      </c>
      <c r="E573" s="18" t="s">
        <v>10</v>
      </c>
      <c r="F573" s="18">
        <v>30</v>
      </c>
      <c r="G573" s="18" t="s">
        <v>10</v>
      </c>
      <c r="H573" s="18" t="s">
        <v>178</v>
      </c>
      <c r="I573" s="18" t="s">
        <v>10</v>
      </c>
      <c r="J573" s="18" t="s">
        <v>4017</v>
      </c>
      <c r="K573" s="20"/>
    </row>
    <row r="574" spans="1:11" ht="36.75" thickBot="1">
      <c r="A574" s="18" t="s">
        <v>4913</v>
      </c>
      <c r="B574" s="18">
        <v>20026933290</v>
      </c>
      <c r="C574" s="18" t="s">
        <v>1836</v>
      </c>
      <c r="D574" s="19">
        <v>45531.664583333331</v>
      </c>
      <c r="E574" s="18" t="s">
        <v>10</v>
      </c>
      <c r="F574" s="18">
        <v>30</v>
      </c>
      <c r="G574" s="18" t="s">
        <v>10</v>
      </c>
      <c r="H574" s="18" t="s">
        <v>178</v>
      </c>
      <c r="I574" s="18" t="s">
        <v>10</v>
      </c>
      <c r="J574" s="18" t="s">
        <v>4017</v>
      </c>
      <c r="K574" s="20"/>
    </row>
    <row r="575" spans="1:11" ht="36.75" thickBot="1">
      <c r="A575" s="18" t="s">
        <v>4914</v>
      </c>
      <c r="B575" s="18">
        <v>20003484598</v>
      </c>
      <c r="C575" s="18" t="s">
        <v>4915</v>
      </c>
      <c r="D575" s="19">
        <v>45531.671527777777</v>
      </c>
      <c r="E575" s="18" t="s">
        <v>10</v>
      </c>
      <c r="F575" s="18">
        <v>125</v>
      </c>
      <c r="G575" s="18" t="s">
        <v>10</v>
      </c>
      <c r="H575" s="18" t="s">
        <v>178</v>
      </c>
      <c r="I575" s="18" t="s">
        <v>10</v>
      </c>
      <c r="J575" s="18" t="s">
        <v>4017</v>
      </c>
      <c r="K575" s="20"/>
    </row>
    <row r="576" spans="1:11" ht="36.75" thickBot="1">
      <c r="A576" s="18" t="s">
        <v>4916</v>
      </c>
      <c r="B576" s="18">
        <v>20003040569</v>
      </c>
      <c r="C576" s="18" t="s">
        <v>4917</v>
      </c>
      <c r="D576" s="19">
        <v>45531.705555555556</v>
      </c>
      <c r="E576" s="18" t="s">
        <v>10</v>
      </c>
      <c r="F576" s="18">
        <v>15</v>
      </c>
      <c r="G576" s="18" t="s">
        <v>10</v>
      </c>
      <c r="H576" s="18" t="s">
        <v>178</v>
      </c>
      <c r="I576" s="18" t="s">
        <v>10</v>
      </c>
      <c r="J576" s="18" t="s">
        <v>4017</v>
      </c>
      <c r="K576" s="20"/>
    </row>
    <row r="577" spans="1:11" ht="36.75" thickBot="1">
      <c r="A577" s="18" t="s">
        <v>4918</v>
      </c>
      <c r="B577" s="18">
        <v>20020291231</v>
      </c>
      <c r="C577" s="18" t="s">
        <v>4919</v>
      </c>
      <c r="D577" s="19">
        <v>45488.700694444444</v>
      </c>
      <c r="E577" s="19">
        <v>45531.717361111114</v>
      </c>
      <c r="F577" s="18">
        <v>810</v>
      </c>
      <c r="G577" s="18" t="s">
        <v>10</v>
      </c>
      <c r="H577" s="18" t="s">
        <v>178</v>
      </c>
      <c r="I577" s="18" t="s">
        <v>10</v>
      </c>
      <c r="J577" s="18" t="s">
        <v>4017</v>
      </c>
      <c r="K577" s="20"/>
    </row>
    <row r="578" spans="1:11" ht="36.75" thickBot="1">
      <c r="A578" s="18" t="s">
        <v>4920</v>
      </c>
      <c r="B578" s="18">
        <v>20023869937</v>
      </c>
      <c r="C578" s="18" t="s">
        <v>4264</v>
      </c>
      <c r="D578" s="19">
        <v>45531.82916666667</v>
      </c>
      <c r="E578" s="18" t="s">
        <v>10</v>
      </c>
      <c r="F578" s="18">
        <v>50</v>
      </c>
      <c r="G578" s="18" t="s">
        <v>10</v>
      </c>
      <c r="H578" s="18" t="s">
        <v>178</v>
      </c>
      <c r="I578" s="18" t="s">
        <v>10</v>
      </c>
      <c r="J578" s="18" t="s">
        <v>4017</v>
      </c>
      <c r="K578" s="20"/>
    </row>
    <row r="579" spans="1:11" ht="36.75" thickBot="1">
      <c r="A579" s="18" t="s">
        <v>4921</v>
      </c>
      <c r="B579" s="18">
        <v>20025877377</v>
      </c>
      <c r="C579" s="18" t="s">
        <v>4922</v>
      </c>
      <c r="D579" s="19">
        <v>45531.865972222222</v>
      </c>
      <c r="E579" s="18" t="s">
        <v>10</v>
      </c>
      <c r="F579" s="18">
        <v>50</v>
      </c>
      <c r="G579" s="18" t="s">
        <v>10</v>
      </c>
      <c r="H579" s="18" t="s">
        <v>178</v>
      </c>
      <c r="I579" s="18" t="s">
        <v>10</v>
      </c>
      <c r="J579" s="18" t="s">
        <v>4017</v>
      </c>
      <c r="K579" s="20"/>
    </row>
    <row r="580" spans="1:11" ht="36.75" thickBot="1">
      <c r="A580" s="18" t="s">
        <v>4923</v>
      </c>
      <c r="B580" s="18">
        <v>20003133136</v>
      </c>
      <c r="C580" s="18" t="s">
        <v>4924</v>
      </c>
      <c r="D580" s="19">
        <v>45532.408333333333</v>
      </c>
      <c r="E580" s="18" t="s">
        <v>10</v>
      </c>
      <c r="F580" s="18">
        <v>150</v>
      </c>
      <c r="G580" s="18" t="s">
        <v>10</v>
      </c>
      <c r="H580" s="18" t="s">
        <v>178</v>
      </c>
      <c r="I580" s="18" t="s">
        <v>10</v>
      </c>
      <c r="J580" s="18" t="s">
        <v>4017</v>
      </c>
      <c r="K580" s="20"/>
    </row>
    <row r="581" spans="1:11" ht="54.75" thickBot="1">
      <c r="A581" s="18" t="s">
        <v>4925</v>
      </c>
      <c r="B581" s="18">
        <v>20026425916</v>
      </c>
      <c r="C581" s="18" t="s">
        <v>4664</v>
      </c>
      <c r="D581" s="19">
        <v>45532.435416666667</v>
      </c>
      <c r="E581" s="18" t="s">
        <v>10</v>
      </c>
      <c r="F581" s="18">
        <v>150</v>
      </c>
      <c r="G581" s="18" t="s">
        <v>10</v>
      </c>
      <c r="H581" s="18" t="s">
        <v>178</v>
      </c>
      <c r="I581" s="18" t="s">
        <v>10</v>
      </c>
      <c r="J581" s="18" t="s">
        <v>4017</v>
      </c>
      <c r="K581" s="20"/>
    </row>
    <row r="582" spans="1:11" ht="36.75" thickBot="1">
      <c r="A582" s="18" t="s">
        <v>4926</v>
      </c>
      <c r="B582" s="18">
        <v>20024121521</v>
      </c>
      <c r="C582" s="18" t="s">
        <v>4369</v>
      </c>
      <c r="D582" s="19">
        <v>45499.479166666664</v>
      </c>
      <c r="E582" s="19">
        <v>45532.478472222225</v>
      </c>
      <c r="F582" s="18">
        <v>130</v>
      </c>
      <c r="G582" s="18" t="s">
        <v>10</v>
      </c>
      <c r="H582" s="18" t="s">
        <v>178</v>
      </c>
      <c r="I582" s="18" t="s">
        <v>10</v>
      </c>
      <c r="J582" s="18" t="s">
        <v>4017</v>
      </c>
      <c r="K582" s="20"/>
    </row>
    <row r="583" spans="1:11" ht="36.75" thickBot="1">
      <c r="A583" s="18" t="s">
        <v>4927</v>
      </c>
      <c r="B583" s="18">
        <v>20020940335</v>
      </c>
      <c r="C583" s="18" t="s">
        <v>4928</v>
      </c>
      <c r="D583" s="19">
        <v>45532.506249999999</v>
      </c>
      <c r="E583" s="18" t="s">
        <v>10</v>
      </c>
      <c r="F583" s="18">
        <v>60</v>
      </c>
      <c r="G583" s="18" t="s">
        <v>10</v>
      </c>
      <c r="H583" s="18" t="s">
        <v>178</v>
      </c>
      <c r="I583" s="18" t="s">
        <v>10</v>
      </c>
      <c r="J583" s="18" t="s">
        <v>4017</v>
      </c>
      <c r="K583" s="20"/>
    </row>
    <row r="584" spans="1:11" ht="36.75" thickBot="1">
      <c r="A584" s="18" t="s">
        <v>4929</v>
      </c>
      <c r="B584" s="18">
        <v>20023589602</v>
      </c>
      <c r="C584" s="18" t="s">
        <v>4551</v>
      </c>
      <c r="D584" s="19">
        <v>45532.543055555558</v>
      </c>
      <c r="E584" s="18" t="s">
        <v>10</v>
      </c>
      <c r="F584" s="18">
        <v>30</v>
      </c>
      <c r="G584" s="19">
        <v>45597.564583333333</v>
      </c>
      <c r="H584" s="18" t="s">
        <v>236</v>
      </c>
      <c r="I584" s="18" t="s">
        <v>10</v>
      </c>
      <c r="J584" s="18" t="s">
        <v>4017</v>
      </c>
      <c r="K584" s="20"/>
    </row>
    <row r="585" spans="1:11" ht="36.75" thickBot="1">
      <c r="A585" s="18" t="s">
        <v>4930</v>
      </c>
      <c r="B585" s="18">
        <v>20023906206</v>
      </c>
      <c r="C585" s="18" t="s">
        <v>930</v>
      </c>
      <c r="D585" s="19">
        <v>45532.550694444442</v>
      </c>
      <c r="E585" s="18" t="s">
        <v>10</v>
      </c>
      <c r="F585" s="18">
        <v>10</v>
      </c>
      <c r="G585" s="18" t="s">
        <v>10</v>
      </c>
      <c r="H585" s="18" t="s">
        <v>178</v>
      </c>
      <c r="I585" s="18" t="s">
        <v>10</v>
      </c>
      <c r="J585" s="18" t="s">
        <v>4017</v>
      </c>
      <c r="K585" s="20"/>
    </row>
    <row r="586" spans="1:11" ht="36.75" thickBot="1">
      <c r="A586" s="18" t="s">
        <v>4931</v>
      </c>
      <c r="B586" s="18">
        <v>20022459079</v>
      </c>
      <c r="C586" s="18" t="s">
        <v>4251</v>
      </c>
      <c r="D586" s="19">
        <v>45532.554166666669</v>
      </c>
      <c r="E586" s="18" t="s">
        <v>10</v>
      </c>
      <c r="F586" s="18">
        <v>110</v>
      </c>
      <c r="G586" s="18" t="s">
        <v>10</v>
      </c>
      <c r="H586" s="18" t="s">
        <v>178</v>
      </c>
      <c r="I586" s="18" t="s">
        <v>10</v>
      </c>
      <c r="J586" s="18" t="s">
        <v>4017</v>
      </c>
      <c r="K586" s="20"/>
    </row>
    <row r="587" spans="1:11" ht="36.75" thickBot="1">
      <c r="A587" s="18" t="s">
        <v>4932</v>
      </c>
      <c r="B587" s="18">
        <v>20003514669</v>
      </c>
      <c r="C587" s="18" t="s">
        <v>932</v>
      </c>
      <c r="D587" s="19">
        <v>45532.572222222225</v>
      </c>
      <c r="E587" s="18" t="s">
        <v>10</v>
      </c>
      <c r="F587" s="18">
        <v>15</v>
      </c>
      <c r="G587" s="18" t="s">
        <v>10</v>
      </c>
      <c r="H587" s="18" t="s">
        <v>178</v>
      </c>
      <c r="I587" s="18" t="s">
        <v>10</v>
      </c>
      <c r="J587" s="18" t="s">
        <v>4017</v>
      </c>
      <c r="K587" s="20"/>
    </row>
    <row r="588" spans="1:11" ht="36.75" thickBot="1">
      <c r="A588" s="18" t="s">
        <v>4933</v>
      </c>
      <c r="B588" s="18">
        <v>20024704006</v>
      </c>
      <c r="C588" s="18" t="s">
        <v>4574</v>
      </c>
      <c r="D588" s="19">
        <v>45532.673611111109</v>
      </c>
      <c r="E588" s="18" t="s">
        <v>10</v>
      </c>
      <c r="F588" s="18">
        <v>250</v>
      </c>
      <c r="G588" s="18" t="s">
        <v>10</v>
      </c>
      <c r="H588" s="18" t="s">
        <v>178</v>
      </c>
      <c r="I588" s="18" t="s">
        <v>10</v>
      </c>
      <c r="J588" s="18" t="s">
        <v>4017</v>
      </c>
      <c r="K588" s="20"/>
    </row>
    <row r="589" spans="1:11" ht="54.75" thickBot="1">
      <c r="A589" s="18" t="s">
        <v>4934</v>
      </c>
      <c r="B589" s="18">
        <v>20021539421</v>
      </c>
      <c r="C589" s="18" t="s">
        <v>4935</v>
      </c>
      <c r="D589" s="19">
        <v>45532.711111111108</v>
      </c>
      <c r="E589" s="18" t="s">
        <v>10</v>
      </c>
      <c r="F589" s="18">
        <v>50</v>
      </c>
      <c r="G589" s="18" t="s">
        <v>10</v>
      </c>
      <c r="H589" s="18" t="s">
        <v>178</v>
      </c>
      <c r="I589" s="18" t="s">
        <v>10</v>
      </c>
      <c r="J589" s="18" t="s">
        <v>4017</v>
      </c>
      <c r="K589" s="20"/>
    </row>
    <row r="590" spans="1:11" ht="36.75" thickBot="1">
      <c r="A590" s="18" t="s">
        <v>4936</v>
      </c>
      <c r="B590" s="18">
        <v>20027766901</v>
      </c>
      <c r="C590" s="18" t="s">
        <v>863</v>
      </c>
      <c r="D590" s="19">
        <v>45532.736111111109</v>
      </c>
      <c r="E590" s="18" t="s">
        <v>10</v>
      </c>
      <c r="F590" s="18">
        <v>50</v>
      </c>
      <c r="G590" s="18" t="s">
        <v>10</v>
      </c>
      <c r="H590" s="18" t="s">
        <v>178</v>
      </c>
      <c r="I590" s="18" t="s">
        <v>10</v>
      </c>
      <c r="J590" s="18" t="s">
        <v>4017</v>
      </c>
      <c r="K590" s="20"/>
    </row>
    <row r="591" spans="1:11" ht="36.75" thickBot="1">
      <c r="A591" s="18" t="s">
        <v>4937</v>
      </c>
      <c r="B591" s="18">
        <v>20003284170</v>
      </c>
      <c r="C591" s="18" t="s">
        <v>218</v>
      </c>
      <c r="D591" s="19">
        <v>45532.754861111112</v>
      </c>
      <c r="E591" s="18" t="s">
        <v>10</v>
      </c>
      <c r="F591" s="18">
        <v>500</v>
      </c>
      <c r="G591" s="18" t="s">
        <v>10</v>
      </c>
      <c r="H591" s="18" t="s">
        <v>178</v>
      </c>
      <c r="I591" s="18" t="s">
        <v>10</v>
      </c>
      <c r="J591" s="18" t="s">
        <v>4017</v>
      </c>
      <c r="K591" s="20"/>
    </row>
    <row r="592" spans="1:11" ht="36.75" thickBot="1">
      <c r="A592" s="18" t="s">
        <v>4938</v>
      </c>
      <c r="B592" s="18">
        <v>20016806790</v>
      </c>
      <c r="C592" s="18" t="s">
        <v>4200</v>
      </c>
      <c r="D592" s="19">
        <v>45532.762499999997</v>
      </c>
      <c r="E592" s="18" t="s">
        <v>10</v>
      </c>
      <c r="F592" s="18">
        <v>375</v>
      </c>
      <c r="G592" s="18" t="s">
        <v>10</v>
      </c>
      <c r="H592" s="18" t="s">
        <v>178</v>
      </c>
      <c r="I592" s="18" t="s">
        <v>10</v>
      </c>
      <c r="J592" s="18" t="s">
        <v>4017</v>
      </c>
      <c r="K592" s="20"/>
    </row>
    <row r="593" spans="1:11" ht="36.75" thickBot="1">
      <c r="A593" s="18" t="s">
        <v>4939</v>
      </c>
      <c r="B593" s="18">
        <v>20003199543</v>
      </c>
      <c r="C593" s="18" t="s">
        <v>4940</v>
      </c>
      <c r="D593" s="19">
        <v>45532.866666666669</v>
      </c>
      <c r="E593" s="18" t="s">
        <v>10</v>
      </c>
      <c r="F593" s="18">
        <v>30</v>
      </c>
      <c r="G593" s="18" t="s">
        <v>10</v>
      </c>
      <c r="H593" s="18" t="s">
        <v>178</v>
      </c>
      <c r="I593" s="18" t="s">
        <v>10</v>
      </c>
      <c r="J593" s="18" t="s">
        <v>4017</v>
      </c>
      <c r="K593" s="20"/>
    </row>
    <row r="594" spans="1:11" ht="36.75" thickBot="1">
      <c r="A594" s="18" t="s">
        <v>4941</v>
      </c>
      <c r="B594" s="18">
        <v>20019460971</v>
      </c>
      <c r="C594" s="18" t="s">
        <v>4942</v>
      </c>
      <c r="D594" s="19">
        <v>45533.613888888889</v>
      </c>
      <c r="E594" s="18" t="s">
        <v>10</v>
      </c>
      <c r="F594" s="18">
        <v>150</v>
      </c>
      <c r="G594" s="18" t="s">
        <v>10</v>
      </c>
      <c r="H594" s="18" t="s">
        <v>178</v>
      </c>
      <c r="I594" s="18" t="s">
        <v>10</v>
      </c>
      <c r="J594" s="18" t="s">
        <v>4017</v>
      </c>
      <c r="K594" s="20"/>
    </row>
    <row r="595" spans="1:11" ht="36.75" thickBot="1">
      <c r="A595" s="18" t="s">
        <v>4943</v>
      </c>
      <c r="B595" s="18">
        <v>20025808179</v>
      </c>
      <c r="C595" s="18" t="s">
        <v>4944</v>
      </c>
      <c r="D595" s="19">
        <v>45533.629166666666</v>
      </c>
      <c r="E595" s="18" t="s">
        <v>10</v>
      </c>
      <c r="F595" s="18">
        <v>70</v>
      </c>
      <c r="G595" s="18" t="s">
        <v>10</v>
      </c>
      <c r="H595" s="18" t="s">
        <v>178</v>
      </c>
      <c r="I595" s="18" t="s">
        <v>10</v>
      </c>
      <c r="J595" s="18" t="s">
        <v>4017</v>
      </c>
      <c r="K595" s="20"/>
    </row>
    <row r="596" spans="1:11" ht="54.75" thickBot="1">
      <c r="A596" s="18" t="s">
        <v>4945</v>
      </c>
      <c r="B596" s="18">
        <v>20003478296</v>
      </c>
      <c r="C596" s="18" t="s">
        <v>4523</v>
      </c>
      <c r="D596" s="19">
        <v>45533.694444444445</v>
      </c>
      <c r="E596" s="18" t="s">
        <v>10</v>
      </c>
      <c r="F596" s="18">
        <v>450</v>
      </c>
      <c r="G596" s="18" t="s">
        <v>10</v>
      </c>
      <c r="H596" s="18" t="s">
        <v>178</v>
      </c>
      <c r="I596" s="18" t="s">
        <v>10</v>
      </c>
      <c r="J596" s="18" t="s">
        <v>4017</v>
      </c>
      <c r="K596" s="20"/>
    </row>
    <row r="597" spans="1:11" ht="36.75" thickBot="1">
      <c r="A597" s="18" t="s">
        <v>4946</v>
      </c>
      <c r="B597" s="18">
        <v>20021477254</v>
      </c>
      <c r="C597" s="18" t="s">
        <v>4947</v>
      </c>
      <c r="D597" s="19">
        <v>45533.878472222219</v>
      </c>
      <c r="E597" s="18" t="s">
        <v>10</v>
      </c>
      <c r="F597" s="18">
        <v>250</v>
      </c>
      <c r="G597" s="18" t="s">
        <v>10</v>
      </c>
      <c r="H597" s="18" t="s">
        <v>178</v>
      </c>
      <c r="I597" s="18" t="s">
        <v>10</v>
      </c>
      <c r="J597" s="18" t="s">
        <v>4017</v>
      </c>
      <c r="K597" s="20"/>
    </row>
    <row r="598" spans="1:11" ht="36.75" thickBot="1">
      <c r="A598" s="18" t="s">
        <v>4948</v>
      </c>
      <c r="B598" s="18">
        <v>20017449599</v>
      </c>
      <c r="C598" s="18" t="s">
        <v>4949</v>
      </c>
      <c r="D598" s="19">
        <v>45534.4375</v>
      </c>
      <c r="E598" s="18" t="s">
        <v>10</v>
      </c>
      <c r="F598" s="18">
        <v>50</v>
      </c>
      <c r="G598" s="18" t="s">
        <v>10</v>
      </c>
      <c r="H598" s="18" t="s">
        <v>178</v>
      </c>
      <c r="I598" s="18" t="s">
        <v>10</v>
      </c>
      <c r="J598" s="18" t="s">
        <v>4017</v>
      </c>
      <c r="K598" s="20"/>
    </row>
    <row r="599" spans="1:11" ht="36.75" thickBot="1">
      <c r="A599" s="18" t="s">
        <v>4950</v>
      </c>
      <c r="B599" s="18">
        <v>20003116041</v>
      </c>
      <c r="C599" s="18" t="s">
        <v>4360</v>
      </c>
      <c r="D599" s="19">
        <v>45504.557638888888</v>
      </c>
      <c r="E599" s="19">
        <v>45534.458333333336</v>
      </c>
      <c r="F599" s="18">
        <v>650</v>
      </c>
      <c r="G599" s="18" t="s">
        <v>10</v>
      </c>
      <c r="H599" s="18" t="s">
        <v>178</v>
      </c>
      <c r="I599" s="18" t="s">
        <v>10</v>
      </c>
      <c r="J599" s="18" t="s">
        <v>4017</v>
      </c>
      <c r="K599" s="20"/>
    </row>
    <row r="600" spans="1:11" ht="36.75" thickBot="1">
      <c r="A600" s="18" t="s">
        <v>4951</v>
      </c>
      <c r="B600" s="18">
        <v>20017369757</v>
      </c>
      <c r="C600" s="18" t="s">
        <v>4949</v>
      </c>
      <c r="D600" s="19">
        <v>45534.479166666664</v>
      </c>
      <c r="E600" s="18" t="s">
        <v>10</v>
      </c>
      <c r="F600" s="18">
        <v>72</v>
      </c>
      <c r="G600" s="18" t="s">
        <v>10</v>
      </c>
      <c r="H600" s="18" t="s">
        <v>178</v>
      </c>
      <c r="I600" s="18" t="s">
        <v>10</v>
      </c>
      <c r="J600" s="18" t="s">
        <v>4017</v>
      </c>
      <c r="K600" s="20"/>
    </row>
    <row r="601" spans="1:11" ht="36.75" thickBot="1">
      <c r="A601" s="18" t="s">
        <v>4952</v>
      </c>
      <c r="B601" s="18">
        <v>20002885516</v>
      </c>
      <c r="C601" s="18" t="s">
        <v>4677</v>
      </c>
      <c r="D601" s="19">
        <v>45534.70208333333</v>
      </c>
      <c r="E601" s="18" t="s">
        <v>10</v>
      </c>
      <c r="F601" s="18">
        <v>40</v>
      </c>
      <c r="G601" s="18" t="s">
        <v>10</v>
      </c>
      <c r="H601" s="18" t="s">
        <v>178</v>
      </c>
      <c r="I601" s="18" t="s">
        <v>10</v>
      </c>
      <c r="J601" s="18" t="s">
        <v>4017</v>
      </c>
      <c r="K601" s="1"/>
    </row>
    <row r="602" spans="1:11" ht="36.75" thickBot="1">
      <c r="A602" s="21" t="s">
        <v>4953</v>
      </c>
      <c r="B602" s="21">
        <v>20017128247</v>
      </c>
      <c r="C602" s="21" t="s">
        <v>4954</v>
      </c>
      <c r="D602" s="22">
        <v>45534.72152777778</v>
      </c>
      <c r="E602" s="21" t="s">
        <v>10</v>
      </c>
      <c r="F602" s="21">
        <v>33.299999999999997</v>
      </c>
      <c r="G602" s="21" t="s">
        <v>10</v>
      </c>
      <c r="H602" s="21" t="s">
        <v>178</v>
      </c>
      <c r="I602" s="21" t="s">
        <v>10</v>
      </c>
      <c r="J602" s="21" t="s">
        <v>4017</v>
      </c>
      <c r="K602" s="20"/>
    </row>
    <row r="603" spans="1:11" ht="36.75" thickBot="1">
      <c r="A603" s="18" t="s">
        <v>4955</v>
      </c>
      <c r="B603" s="18">
        <v>20026597814</v>
      </c>
      <c r="C603" s="18" t="s">
        <v>4956</v>
      </c>
      <c r="D603" s="19">
        <v>45513.348611111112</v>
      </c>
      <c r="E603" s="19">
        <v>45535.536111111112</v>
      </c>
      <c r="F603" s="18">
        <v>30</v>
      </c>
      <c r="G603" s="18" t="s">
        <v>10</v>
      </c>
      <c r="H603" s="18" t="s">
        <v>178</v>
      </c>
      <c r="I603" s="18" t="s">
        <v>10</v>
      </c>
      <c r="J603" s="18" t="s">
        <v>4017</v>
      </c>
      <c r="K603" s="20"/>
    </row>
    <row r="604" spans="1:11" ht="36.75" thickBot="1">
      <c r="A604" s="18" t="s">
        <v>4957</v>
      </c>
      <c r="B604" s="18">
        <v>20022512765</v>
      </c>
      <c r="C604" s="18" t="s">
        <v>4447</v>
      </c>
      <c r="D604" s="19">
        <v>45535.588194444441</v>
      </c>
      <c r="E604" s="18" t="s">
        <v>10</v>
      </c>
      <c r="F604" s="18">
        <v>100</v>
      </c>
      <c r="G604" s="18" t="s">
        <v>10</v>
      </c>
      <c r="H604" s="18" t="s">
        <v>178</v>
      </c>
      <c r="I604" s="18" t="s">
        <v>10</v>
      </c>
      <c r="J604" s="18" t="s">
        <v>4017</v>
      </c>
      <c r="K604" s="20"/>
    </row>
    <row r="605" spans="1:11" ht="36.75" thickBot="1">
      <c r="A605" s="18" t="s">
        <v>4958</v>
      </c>
      <c r="B605" s="18">
        <v>20003477517</v>
      </c>
      <c r="C605" s="18" t="s">
        <v>4800</v>
      </c>
      <c r="D605" s="19">
        <v>45535.689583333333</v>
      </c>
      <c r="E605" s="18" t="s">
        <v>10</v>
      </c>
      <c r="F605" s="18">
        <v>30</v>
      </c>
      <c r="G605" s="18" t="s">
        <v>10</v>
      </c>
      <c r="H605" s="18" t="s">
        <v>178</v>
      </c>
      <c r="I605" s="18" t="s">
        <v>10</v>
      </c>
      <c r="J605" s="18" t="s">
        <v>4017</v>
      </c>
      <c r="K605" s="20"/>
    </row>
    <row r="606" spans="1:11" ht="36.75" thickBot="1">
      <c r="A606" s="18" t="s">
        <v>4959</v>
      </c>
      <c r="B606" s="18">
        <v>20023202164</v>
      </c>
      <c r="C606" s="18" t="s">
        <v>4960</v>
      </c>
      <c r="D606" s="19">
        <v>45536.767361111109</v>
      </c>
      <c r="E606" s="18" t="s">
        <v>10</v>
      </c>
      <c r="F606" s="18">
        <v>50</v>
      </c>
      <c r="G606" s="18" t="s">
        <v>10</v>
      </c>
      <c r="H606" s="18" t="s">
        <v>178</v>
      </c>
      <c r="I606" s="18" t="s">
        <v>10</v>
      </c>
      <c r="J606" s="18" t="s">
        <v>4017</v>
      </c>
      <c r="K606" s="20"/>
    </row>
    <row r="607" spans="1:11" ht="54.75" thickBot="1">
      <c r="A607" s="18" t="s">
        <v>4961</v>
      </c>
      <c r="B607" s="18">
        <v>20027127200</v>
      </c>
      <c r="C607" s="18" t="s">
        <v>257</v>
      </c>
      <c r="D607" s="19">
        <v>45537.411111111112</v>
      </c>
      <c r="E607" s="18" t="s">
        <v>10</v>
      </c>
      <c r="F607" s="18">
        <v>50</v>
      </c>
      <c r="G607" s="18" t="s">
        <v>10</v>
      </c>
      <c r="H607" s="18" t="s">
        <v>178</v>
      </c>
      <c r="I607" s="18" t="s">
        <v>10</v>
      </c>
      <c r="J607" s="18" t="s">
        <v>4017</v>
      </c>
      <c r="K607" s="20"/>
    </row>
    <row r="608" spans="1:11" ht="36.75" thickBot="1">
      <c r="A608" s="18" t="s">
        <v>4962</v>
      </c>
      <c r="B608" s="18">
        <v>20002954020</v>
      </c>
      <c r="C608" s="18" t="s">
        <v>4963</v>
      </c>
      <c r="D608" s="19">
        <v>45537.634027777778</v>
      </c>
      <c r="E608" s="18" t="s">
        <v>10</v>
      </c>
      <c r="F608" s="18">
        <v>300</v>
      </c>
      <c r="G608" s="18" t="s">
        <v>10</v>
      </c>
      <c r="H608" s="18" t="s">
        <v>178</v>
      </c>
      <c r="I608" s="18" t="s">
        <v>10</v>
      </c>
      <c r="J608" s="18" t="s">
        <v>4017</v>
      </c>
      <c r="K608" s="20"/>
    </row>
    <row r="609" spans="1:11" ht="36.75" thickBot="1">
      <c r="A609" s="18" t="s">
        <v>4964</v>
      </c>
      <c r="B609" s="18">
        <v>20003291330</v>
      </c>
      <c r="C609" s="18" t="s">
        <v>4721</v>
      </c>
      <c r="D609" s="19">
        <v>45537.640277777777</v>
      </c>
      <c r="E609" s="18" t="s">
        <v>10</v>
      </c>
      <c r="F609" s="18">
        <v>50</v>
      </c>
      <c r="G609" s="18" t="s">
        <v>10</v>
      </c>
      <c r="H609" s="18" t="s">
        <v>178</v>
      </c>
      <c r="I609" s="18" t="s">
        <v>10</v>
      </c>
      <c r="J609" s="18" t="s">
        <v>4017</v>
      </c>
      <c r="K609" s="20"/>
    </row>
    <row r="610" spans="1:11" ht="36.75" thickBot="1">
      <c r="A610" s="18" t="s">
        <v>4965</v>
      </c>
      <c r="B610" s="18">
        <v>20002981308</v>
      </c>
      <c r="C610" s="18" t="s">
        <v>4628</v>
      </c>
      <c r="D610" s="19">
        <v>45537.668055555558</v>
      </c>
      <c r="E610" s="18" t="s">
        <v>10</v>
      </c>
      <c r="F610" s="18">
        <v>30</v>
      </c>
      <c r="G610" s="18" t="s">
        <v>10</v>
      </c>
      <c r="H610" s="18" t="s">
        <v>178</v>
      </c>
      <c r="I610" s="18" t="s">
        <v>10</v>
      </c>
      <c r="J610" s="18" t="s">
        <v>4017</v>
      </c>
      <c r="K610" s="20"/>
    </row>
    <row r="611" spans="1:11" ht="36.75" thickBot="1">
      <c r="A611" s="18" t="s">
        <v>4966</v>
      </c>
      <c r="B611" s="18">
        <v>20027937353</v>
      </c>
      <c r="C611" s="18" t="s">
        <v>4967</v>
      </c>
      <c r="D611" s="19">
        <v>45537.97152777778</v>
      </c>
      <c r="E611" s="18" t="s">
        <v>10</v>
      </c>
      <c r="F611" s="18">
        <v>25</v>
      </c>
      <c r="G611" s="18" t="s">
        <v>10</v>
      </c>
      <c r="H611" s="18" t="s">
        <v>178</v>
      </c>
      <c r="I611" s="18" t="s">
        <v>10</v>
      </c>
      <c r="J611" s="18" t="s">
        <v>4017</v>
      </c>
      <c r="K611" s="20"/>
    </row>
    <row r="612" spans="1:11" ht="36.75" thickBot="1">
      <c r="A612" s="18" t="s">
        <v>4968</v>
      </c>
      <c r="B612" s="18">
        <v>20003449915</v>
      </c>
      <c r="C612" s="18" t="s">
        <v>1078</v>
      </c>
      <c r="D612" s="19">
        <v>45538.414583333331</v>
      </c>
      <c r="E612" s="18" t="s">
        <v>10</v>
      </c>
      <c r="F612" s="18">
        <v>175</v>
      </c>
      <c r="G612" s="18" t="s">
        <v>10</v>
      </c>
      <c r="H612" s="18" t="s">
        <v>178</v>
      </c>
      <c r="I612" s="18" t="s">
        <v>10</v>
      </c>
      <c r="J612" s="18" t="s">
        <v>4017</v>
      </c>
      <c r="K612" s="20"/>
    </row>
    <row r="613" spans="1:11" ht="36.75" thickBot="1">
      <c r="A613" s="18" t="s">
        <v>4969</v>
      </c>
      <c r="B613" s="18">
        <v>20021903959</v>
      </c>
      <c r="C613" s="18" t="s">
        <v>4572</v>
      </c>
      <c r="D613" s="19">
        <v>45538.430555555555</v>
      </c>
      <c r="E613" s="18" t="s">
        <v>10</v>
      </c>
      <c r="F613" s="18">
        <v>250</v>
      </c>
      <c r="G613" s="18" t="s">
        <v>10</v>
      </c>
      <c r="H613" s="18" t="s">
        <v>178</v>
      </c>
      <c r="I613" s="18" t="s">
        <v>10</v>
      </c>
      <c r="J613" s="18" t="s">
        <v>4017</v>
      </c>
      <c r="K613" s="20"/>
    </row>
    <row r="614" spans="1:11" ht="36.75" thickBot="1">
      <c r="A614" s="18" t="s">
        <v>4970</v>
      </c>
      <c r="B614" s="18">
        <v>20019638372</v>
      </c>
      <c r="C614" s="18" t="s">
        <v>4572</v>
      </c>
      <c r="D614" s="19">
        <v>45538.441666666666</v>
      </c>
      <c r="E614" s="18" t="s">
        <v>10</v>
      </c>
      <c r="F614" s="18">
        <v>260</v>
      </c>
      <c r="G614" s="18" t="s">
        <v>10</v>
      </c>
      <c r="H614" s="18" t="s">
        <v>178</v>
      </c>
      <c r="I614" s="18" t="s">
        <v>10</v>
      </c>
      <c r="J614" s="18" t="s">
        <v>4017</v>
      </c>
      <c r="K614" s="20"/>
    </row>
    <row r="615" spans="1:11" ht="36.75" thickBot="1">
      <c r="A615" s="18" t="s">
        <v>4971</v>
      </c>
      <c r="B615" s="18">
        <v>20003449607</v>
      </c>
      <c r="C615" s="18" t="s">
        <v>4972</v>
      </c>
      <c r="D615" s="19">
        <v>45538.460416666669</v>
      </c>
      <c r="E615" s="18" t="s">
        <v>10</v>
      </c>
      <c r="F615" s="18">
        <v>175</v>
      </c>
      <c r="G615" s="18" t="s">
        <v>10</v>
      </c>
      <c r="H615" s="18" t="s">
        <v>178</v>
      </c>
      <c r="I615" s="18" t="s">
        <v>10</v>
      </c>
      <c r="J615" s="18" t="s">
        <v>4017</v>
      </c>
      <c r="K615" s="20"/>
    </row>
    <row r="616" spans="1:11" ht="36.75" thickBot="1">
      <c r="A616" s="18" t="s">
        <v>4973</v>
      </c>
      <c r="B616" s="18">
        <v>20022885728</v>
      </c>
      <c r="C616" s="18" t="s">
        <v>4974</v>
      </c>
      <c r="D616" s="19">
        <v>45538.461111111108</v>
      </c>
      <c r="E616" s="18" t="s">
        <v>10</v>
      </c>
      <c r="F616" s="18">
        <v>40</v>
      </c>
      <c r="G616" s="18" t="s">
        <v>10</v>
      </c>
      <c r="H616" s="18" t="s">
        <v>178</v>
      </c>
      <c r="I616" s="18" t="s">
        <v>10</v>
      </c>
      <c r="J616" s="18" t="s">
        <v>4017</v>
      </c>
      <c r="K616" s="20"/>
    </row>
    <row r="617" spans="1:11" ht="54.75" thickBot="1">
      <c r="A617" s="18" t="s">
        <v>4975</v>
      </c>
      <c r="B617" s="18">
        <v>20025497992</v>
      </c>
      <c r="C617" s="18" t="s">
        <v>4655</v>
      </c>
      <c r="D617" s="19">
        <v>45510.40902777778</v>
      </c>
      <c r="E617" s="19">
        <v>45538.686111111114</v>
      </c>
      <c r="F617" s="18">
        <v>30</v>
      </c>
      <c r="G617" s="18" t="s">
        <v>10</v>
      </c>
      <c r="H617" s="18" t="s">
        <v>178</v>
      </c>
      <c r="I617" s="18" t="s">
        <v>10</v>
      </c>
      <c r="J617" s="18" t="s">
        <v>4017</v>
      </c>
      <c r="K617" s="20"/>
    </row>
    <row r="618" spans="1:11" ht="36.75" thickBot="1">
      <c r="A618" s="18" t="s">
        <v>4976</v>
      </c>
      <c r="B618" s="18">
        <v>20025484343</v>
      </c>
      <c r="C618" s="18" t="s">
        <v>4977</v>
      </c>
      <c r="D618" s="19">
        <v>45538.811805555553</v>
      </c>
      <c r="E618" s="18" t="s">
        <v>10</v>
      </c>
      <c r="F618" s="18">
        <v>50</v>
      </c>
      <c r="G618" s="18" t="s">
        <v>10</v>
      </c>
      <c r="H618" s="18" t="s">
        <v>178</v>
      </c>
      <c r="I618" s="18" t="s">
        <v>10</v>
      </c>
      <c r="J618" s="18" t="s">
        <v>4017</v>
      </c>
      <c r="K618" s="20"/>
    </row>
    <row r="619" spans="1:11" ht="72.75" thickBot="1">
      <c r="A619" s="18" t="s">
        <v>4978</v>
      </c>
      <c r="B619" s="18">
        <v>20003116500</v>
      </c>
      <c r="C619" s="18" t="s">
        <v>4483</v>
      </c>
      <c r="D619" s="19">
        <v>45539.375694444447</v>
      </c>
      <c r="E619" s="18" t="s">
        <v>10</v>
      </c>
      <c r="F619" s="18">
        <v>50</v>
      </c>
      <c r="G619" s="19">
        <v>45573.602777777778</v>
      </c>
      <c r="H619" s="18" t="s">
        <v>2657</v>
      </c>
      <c r="I619" s="18" t="s">
        <v>10</v>
      </c>
      <c r="J619" s="18" t="s">
        <v>4017</v>
      </c>
      <c r="K619" s="20"/>
    </row>
    <row r="620" spans="1:11" ht="36.75" thickBot="1">
      <c r="A620" s="18" t="s">
        <v>4979</v>
      </c>
      <c r="B620" s="18">
        <v>20023022820</v>
      </c>
      <c r="C620" s="18" t="s">
        <v>4980</v>
      </c>
      <c r="D620" s="19">
        <v>45539.414583333331</v>
      </c>
      <c r="E620" s="18" t="s">
        <v>10</v>
      </c>
      <c r="F620" s="18">
        <v>800</v>
      </c>
      <c r="G620" s="18" t="s">
        <v>10</v>
      </c>
      <c r="H620" s="18" t="s">
        <v>178</v>
      </c>
      <c r="I620" s="18" t="s">
        <v>10</v>
      </c>
      <c r="J620" s="18" t="s">
        <v>4017</v>
      </c>
      <c r="K620" s="20"/>
    </row>
    <row r="621" spans="1:11" ht="36.75" thickBot="1">
      <c r="A621" s="18" t="s">
        <v>4981</v>
      </c>
      <c r="B621" s="18">
        <v>20003469856</v>
      </c>
      <c r="C621" s="18" t="s">
        <v>4483</v>
      </c>
      <c r="D621" s="19">
        <v>45539.415972222225</v>
      </c>
      <c r="E621" s="18" t="s">
        <v>10</v>
      </c>
      <c r="F621" s="18">
        <v>150</v>
      </c>
      <c r="G621" s="18" t="s">
        <v>10</v>
      </c>
      <c r="H621" s="18" t="s">
        <v>178</v>
      </c>
      <c r="I621" s="18" t="s">
        <v>10</v>
      </c>
      <c r="J621" s="18" t="s">
        <v>4017</v>
      </c>
      <c r="K621" s="20"/>
    </row>
    <row r="622" spans="1:11" ht="36.75" thickBot="1">
      <c r="A622" s="18" t="s">
        <v>4982</v>
      </c>
      <c r="B622" s="18">
        <v>20023728032</v>
      </c>
      <c r="C622" s="18" t="s">
        <v>4074</v>
      </c>
      <c r="D622" s="19">
        <v>45539.488194444442</v>
      </c>
      <c r="E622" s="18" t="s">
        <v>10</v>
      </c>
      <c r="F622" s="18">
        <v>30</v>
      </c>
      <c r="G622" s="18" t="s">
        <v>10</v>
      </c>
      <c r="H622" s="18" t="s">
        <v>178</v>
      </c>
      <c r="I622" s="18" t="s">
        <v>10</v>
      </c>
      <c r="J622" s="18" t="s">
        <v>4017</v>
      </c>
      <c r="K622" s="20"/>
    </row>
    <row r="623" spans="1:11" ht="72.75" thickBot="1">
      <c r="A623" s="18" t="s">
        <v>4983</v>
      </c>
      <c r="B623" s="18">
        <v>20003477751</v>
      </c>
      <c r="C623" s="18" t="s">
        <v>4288</v>
      </c>
      <c r="D623" s="19">
        <v>45505.661805555559</v>
      </c>
      <c r="E623" s="19">
        <v>45539.520833333336</v>
      </c>
      <c r="F623" s="18">
        <v>300</v>
      </c>
      <c r="G623" s="19">
        <v>45610.626388888886</v>
      </c>
      <c r="H623" s="18" t="s">
        <v>2688</v>
      </c>
      <c r="I623" s="18" t="s">
        <v>10</v>
      </c>
      <c r="J623" s="18" t="s">
        <v>4017</v>
      </c>
      <c r="K623" s="20"/>
    </row>
    <row r="624" spans="1:11" ht="54.75" thickBot="1">
      <c r="A624" s="18" t="s">
        <v>4984</v>
      </c>
      <c r="B624" s="18">
        <v>20002919511</v>
      </c>
      <c r="C624" s="18" t="s">
        <v>4702</v>
      </c>
      <c r="D624" s="19">
        <v>45539.589583333334</v>
      </c>
      <c r="E624" s="18" t="s">
        <v>10</v>
      </c>
      <c r="F624" s="18">
        <v>5</v>
      </c>
      <c r="G624" s="18" t="s">
        <v>10</v>
      </c>
      <c r="H624" s="18" t="s">
        <v>178</v>
      </c>
      <c r="I624" s="18" t="s">
        <v>10</v>
      </c>
      <c r="J624" s="18" t="s">
        <v>4017</v>
      </c>
      <c r="K624" s="20"/>
    </row>
    <row r="625" spans="1:11" ht="36.75" thickBot="1">
      <c r="A625" s="18" t="s">
        <v>4985</v>
      </c>
      <c r="B625" s="18">
        <v>20023543126</v>
      </c>
      <c r="C625" s="18" t="s">
        <v>4485</v>
      </c>
      <c r="D625" s="19">
        <v>45499.459722222222</v>
      </c>
      <c r="E625" s="19">
        <v>45539.841666666667</v>
      </c>
      <c r="F625" s="18">
        <v>150</v>
      </c>
      <c r="G625" s="18" t="s">
        <v>10</v>
      </c>
      <c r="H625" s="18" t="s">
        <v>178</v>
      </c>
      <c r="I625" s="18" t="s">
        <v>10</v>
      </c>
      <c r="J625" s="18" t="s">
        <v>4017</v>
      </c>
      <c r="K625" s="20"/>
    </row>
    <row r="626" spans="1:11" ht="36.75" thickBot="1">
      <c r="A626" s="18" t="s">
        <v>4986</v>
      </c>
      <c r="B626" s="18">
        <v>20022512765</v>
      </c>
      <c r="C626" s="18" t="s">
        <v>4447</v>
      </c>
      <c r="D626" s="19">
        <v>45539.87777777778</v>
      </c>
      <c r="E626" s="18" t="s">
        <v>10</v>
      </c>
      <c r="F626" s="18">
        <v>100</v>
      </c>
      <c r="G626" s="18" t="s">
        <v>10</v>
      </c>
      <c r="H626" s="18" t="s">
        <v>178</v>
      </c>
      <c r="I626" s="18" t="s">
        <v>10</v>
      </c>
      <c r="J626" s="18" t="s">
        <v>4017</v>
      </c>
      <c r="K626" s="20"/>
    </row>
    <row r="627" spans="1:11" ht="54.75" thickBot="1">
      <c r="A627" s="18" t="s">
        <v>4987</v>
      </c>
      <c r="B627" s="18">
        <v>20027733976</v>
      </c>
      <c r="C627" s="18" t="s">
        <v>4455</v>
      </c>
      <c r="D627" s="19">
        <v>45539.905555555553</v>
      </c>
      <c r="E627" s="18" t="s">
        <v>10</v>
      </c>
      <c r="F627" s="18">
        <v>150</v>
      </c>
      <c r="G627" s="18" t="s">
        <v>10</v>
      </c>
      <c r="H627" s="18" t="s">
        <v>178</v>
      </c>
      <c r="I627" s="18" t="s">
        <v>10</v>
      </c>
      <c r="J627" s="18" t="s">
        <v>4017</v>
      </c>
      <c r="K627" s="20"/>
    </row>
    <row r="628" spans="1:11" ht="72.75" thickBot="1">
      <c r="A628" s="18" t="s">
        <v>4988</v>
      </c>
      <c r="B628" s="18">
        <v>20003477698</v>
      </c>
      <c r="C628" s="18" t="s">
        <v>4288</v>
      </c>
      <c r="D628" s="19">
        <v>45509.657638888886</v>
      </c>
      <c r="E628" s="19">
        <v>45540.574999999997</v>
      </c>
      <c r="F628" s="18">
        <v>375</v>
      </c>
      <c r="G628" s="19">
        <v>45610.626388888886</v>
      </c>
      <c r="H628" s="18" t="s">
        <v>2688</v>
      </c>
      <c r="I628" s="18" t="s">
        <v>10</v>
      </c>
      <c r="J628" s="18" t="s">
        <v>4017</v>
      </c>
      <c r="K628" s="20"/>
    </row>
    <row r="629" spans="1:11" ht="36.75" thickBot="1">
      <c r="A629" s="18" t="s">
        <v>4989</v>
      </c>
      <c r="B629" s="18">
        <v>20020585213</v>
      </c>
      <c r="C629" s="18" t="s">
        <v>4990</v>
      </c>
      <c r="D629" s="19">
        <v>45540.62777777778</v>
      </c>
      <c r="E629" s="18" t="s">
        <v>10</v>
      </c>
      <c r="F629" s="18">
        <v>500</v>
      </c>
      <c r="G629" s="18" t="s">
        <v>10</v>
      </c>
      <c r="H629" s="18" t="s">
        <v>178</v>
      </c>
      <c r="I629" s="18" t="s">
        <v>10</v>
      </c>
      <c r="J629" s="18" t="s">
        <v>4017</v>
      </c>
      <c r="K629" s="20"/>
    </row>
    <row r="630" spans="1:11" ht="36.75" thickBot="1">
      <c r="A630" s="18" t="s">
        <v>4991</v>
      </c>
      <c r="B630" s="18">
        <v>20024271389</v>
      </c>
      <c r="C630" s="18" t="s">
        <v>4709</v>
      </c>
      <c r="D630" s="19">
        <v>45540.657638888886</v>
      </c>
      <c r="E630" s="18" t="s">
        <v>10</v>
      </c>
      <c r="F630" s="18">
        <v>100</v>
      </c>
      <c r="G630" s="18" t="s">
        <v>10</v>
      </c>
      <c r="H630" s="18" t="s">
        <v>178</v>
      </c>
      <c r="I630" s="18" t="s">
        <v>10</v>
      </c>
      <c r="J630" s="18" t="s">
        <v>4017</v>
      </c>
      <c r="K630" s="20"/>
    </row>
    <row r="631" spans="1:11" ht="36.75" thickBot="1">
      <c r="A631" s="18" t="s">
        <v>4992</v>
      </c>
      <c r="B631" s="18">
        <v>20023195125</v>
      </c>
      <c r="C631" s="18" t="s">
        <v>4993</v>
      </c>
      <c r="D631" s="19">
        <v>45540.765972222223</v>
      </c>
      <c r="E631" s="18" t="s">
        <v>10</v>
      </c>
      <c r="F631" s="18">
        <v>30</v>
      </c>
      <c r="G631" s="18" t="s">
        <v>10</v>
      </c>
      <c r="H631" s="18" t="s">
        <v>178</v>
      </c>
      <c r="I631" s="18" t="s">
        <v>10</v>
      </c>
      <c r="J631" s="18" t="s">
        <v>4017</v>
      </c>
      <c r="K631" s="20"/>
    </row>
    <row r="632" spans="1:11" ht="36.75" thickBot="1">
      <c r="A632" s="18" t="s">
        <v>4994</v>
      </c>
      <c r="B632" s="18">
        <v>20018516912</v>
      </c>
      <c r="C632" s="18" t="s">
        <v>4341</v>
      </c>
      <c r="D632" s="19">
        <v>45540.822916666664</v>
      </c>
      <c r="E632" s="18" t="s">
        <v>10</v>
      </c>
      <c r="F632" s="18">
        <v>70</v>
      </c>
      <c r="G632" s="18" t="s">
        <v>10</v>
      </c>
      <c r="H632" s="18" t="s">
        <v>178</v>
      </c>
      <c r="I632" s="18" t="s">
        <v>10</v>
      </c>
      <c r="J632" s="18" t="s">
        <v>4017</v>
      </c>
      <c r="K632" s="20"/>
    </row>
    <row r="633" spans="1:11" ht="36.75" thickBot="1">
      <c r="A633" s="18" t="s">
        <v>4995</v>
      </c>
      <c r="B633" s="18">
        <v>20023543126</v>
      </c>
      <c r="C633" s="18" t="s">
        <v>4485</v>
      </c>
      <c r="D633" s="19">
        <v>45540.898611111108</v>
      </c>
      <c r="E633" s="18" t="s">
        <v>10</v>
      </c>
      <c r="F633" s="18">
        <v>150</v>
      </c>
      <c r="G633" s="18" t="s">
        <v>10</v>
      </c>
      <c r="H633" s="18" t="s">
        <v>178</v>
      </c>
      <c r="I633" s="18" t="s">
        <v>10</v>
      </c>
      <c r="J633" s="18" t="s">
        <v>4017</v>
      </c>
      <c r="K633" s="20"/>
    </row>
    <row r="634" spans="1:11" ht="36.75" thickBot="1">
      <c r="A634" s="18" t="s">
        <v>4996</v>
      </c>
      <c r="B634" s="18">
        <v>20003181954</v>
      </c>
      <c r="C634" s="18" t="s">
        <v>4302</v>
      </c>
      <c r="D634" s="19">
        <v>45541.402083333334</v>
      </c>
      <c r="E634" s="18" t="s">
        <v>10</v>
      </c>
      <c r="F634" s="18">
        <v>100</v>
      </c>
      <c r="G634" s="19">
        <v>45574.461111111108</v>
      </c>
      <c r="H634" s="18" t="s">
        <v>236</v>
      </c>
      <c r="I634" s="18" t="s">
        <v>10</v>
      </c>
      <c r="J634" s="18" t="s">
        <v>4017</v>
      </c>
      <c r="K634" s="20"/>
    </row>
    <row r="635" spans="1:11" ht="36.75" thickBot="1">
      <c r="A635" s="18" t="s">
        <v>4997</v>
      </c>
      <c r="B635" s="18">
        <v>20003483911</v>
      </c>
      <c r="C635" s="18" t="s">
        <v>4413</v>
      </c>
      <c r="D635" s="19">
        <v>45507.585416666669</v>
      </c>
      <c r="E635" s="19">
        <v>45541.438194444447</v>
      </c>
      <c r="F635" s="18">
        <v>390</v>
      </c>
      <c r="G635" s="18" t="s">
        <v>10</v>
      </c>
      <c r="H635" s="18" t="s">
        <v>189</v>
      </c>
      <c r="I635" s="18" t="s">
        <v>10</v>
      </c>
      <c r="J635" s="18" t="s">
        <v>4017</v>
      </c>
      <c r="K635" s="20"/>
    </row>
    <row r="636" spans="1:11" ht="36.75" thickBot="1">
      <c r="A636" s="18" t="s">
        <v>4998</v>
      </c>
      <c r="B636" s="18">
        <v>20003607217</v>
      </c>
      <c r="C636" s="18" t="s">
        <v>4999</v>
      </c>
      <c r="D636" s="19">
        <v>45463.776388888888</v>
      </c>
      <c r="E636" s="19">
        <v>45541.675694444442</v>
      </c>
      <c r="F636" s="18">
        <v>90</v>
      </c>
      <c r="G636" s="19">
        <v>45615.638194444444</v>
      </c>
      <c r="H636" s="18" t="s">
        <v>236</v>
      </c>
      <c r="I636" s="18" t="s">
        <v>10</v>
      </c>
      <c r="J636" s="18" t="s">
        <v>4017</v>
      </c>
      <c r="K636" s="20"/>
    </row>
    <row r="637" spans="1:11" ht="36.75" thickBot="1">
      <c r="A637" s="18" t="s">
        <v>5000</v>
      </c>
      <c r="B637" s="18">
        <v>20018038010</v>
      </c>
      <c r="C637" s="18" t="s">
        <v>5001</v>
      </c>
      <c r="D637" s="19">
        <v>45541.740277777775</v>
      </c>
      <c r="E637" s="18" t="s">
        <v>10</v>
      </c>
      <c r="F637" s="18">
        <v>50</v>
      </c>
      <c r="G637" s="18" t="s">
        <v>10</v>
      </c>
      <c r="H637" s="18" t="s">
        <v>178</v>
      </c>
      <c r="I637" s="18" t="s">
        <v>10</v>
      </c>
      <c r="J637" s="18" t="s">
        <v>4017</v>
      </c>
      <c r="K637" s="20"/>
    </row>
    <row r="638" spans="1:11" ht="36.75" thickBot="1">
      <c r="A638" s="18" t="s">
        <v>5002</v>
      </c>
      <c r="B638" s="18">
        <v>20019647602</v>
      </c>
      <c r="C638" s="18" t="s">
        <v>4243</v>
      </c>
      <c r="D638" s="19">
        <v>45541.892361111109</v>
      </c>
      <c r="E638" s="18" t="s">
        <v>10</v>
      </c>
      <c r="F638" s="18">
        <v>190</v>
      </c>
      <c r="G638" s="18" t="s">
        <v>10</v>
      </c>
      <c r="H638" s="18" t="s">
        <v>178</v>
      </c>
      <c r="I638" s="18" t="s">
        <v>10</v>
      </c>
      <c r="J638" s="18" t="s">
        <v>4017</v>
      </c>
      <c r="K638" s="20"/>
    </row>
    <row r="639" spans="1:11" ht="54.75" thickBot="1">
      <c r="A639" s="18" t="s">
        <v>5003</v>
      </c>
      <c r="B639" s="18">
        <v>20003491572</v>
      </c>
      <c r="C639" s="18" t="s">
        <v>5004</v>
      </c>
      <c r="D639" s="19">
        <v>45542.632638888892</v>
      </c>
      <c r="E639" s="18" t="s">
        <v>10</v>
      </c>
      <c r="F639" s="18">
        <v>30</v>
      </c>
      <c r="G639" s="18" t="s">
        <v>10</v>
      </c>
      <c r="H639" s="18" t="s">
        <v>178</v>
      </c>
      <c r="I639" s="18" t="s">
        <v>10</v>
      </c>
      <c r="J639" s="18" t="s">
        <v>4017</v>
      </c>
      <c r="K639" s="20"/>
    </row>
    <row r="640" spans="1:11" ht="36.75" thickBot="1">
      <c r="A640" s="18" t="s">
        <v>5005</v>
      </c>
      <c r="B640" s="18">
        <v>20019102870</v>
      </c>
      <c r="C640" s="18" t="s">
        <v>4284</v>
      </c>
      <c r="D640" s="19">
        <v>45516.509027777778</v>
      </c>
      <c r="E640" s="19">
        <v>45544.427083333336</v>
      </c>
      <c r="F640" s="18">
        <v>100</v>
      </c>
      <c r="G640" s="19">
        <v>45618.385416666664</v>
      </c>
      <c r="H640" s="18" t="s">
        <v>2654</v>
      </c>
      <c r="I640" s="18" t="s">
        <v>10</v>
      </c>
      <c r="J640" s="18" t="s">
        <v>4017</v>
      </c>
      <c r="K640" s="20"/>
    </row>
    <row r="641" spans="1:11" ht="36.75" thickBot="1">
      <c r="A641" s="18" t="s">
        <v>5006</v>
      </c>
      <c r="B641" s="18">
        <v>20023859100</v>
      </c>
      <c r="C641" s="18" t="s">
        <v>4215</v>
      </c>
      <c r="D641" s="19">
        <v>45544.447222222225</v>
      </c>
      <c r="E641" s="18" t="s">
        <v>10</v>
      </c>
      <c r="F641" s="18">
        <v>120</v>
      </c>
      <c r="G641" s="18" t="s">
        <v>10</v>
      </c>
      <c r="H641" s="18" t="s">
        <v>178</v>
      </c>
      <c r="I641" s="18" t="s">
        <v>10</v>
      </c>
      <c r="J641" s="18" t="s">
        <v>4017</v>
      </c>
      <c r="K641" s="20"/>
    </row>
    <row r="642" spans="1:11" ht="72.75" thickBot="1">
      <c r="A642" s="18" t="s">
        <v>5007</v>
      </c>
      <c r="B642" s="18">
        <v>20003515498</v>
      </c>
      <c r="C642" s="18" t="s">
        <v>4315</v>
      </c>
      <c r="D642" s="19">
        <v>45496.702777777777</v>
      </c>
      <c r="E642" s="19">
        <v>45544.474305555559</v>
      </c>
      <c r="F642" s="18">
        <v>125</v>
      </c>
      <c r="G642" s="19">
        <v>45652.572916666664</v>
      </c>
      <c r="H642" s="18" t="s">
        <v>2657</v>
      </c>
      <c r="I642" s="18" t="s">
        <v>10</v>
      </c>
      <c r="J642" s="18" t="s">
        <v>4017</v>
      </c>
      <c r="K642" s="20"/>
    </row>
    <row r="643" spans="1:11" ht="36.75" thickBot="1">
      <c r="A643" s="18" t="s">
        <v>5008</v>
      </c>
      <c r="B643" s="18">
        <v>20002722015</v>
      </c>
      <c r="C643" s="18" t="s">
        <v>1597</v>
      </c>
      <c r="D643" s="19">
        <v>45544.710416666669</v>
      </c>
      <c r="E643" s="18" t="s">
        <v>10</v>
      </c>
      <c r="F643" s="18">
        <v>120</v>
      </c>
      <c r="G643" s="18" t="s">
        <v>10</v>
      </c>
      <c r="H643" s="18" t="s">
        <v>178</v>
      </c>
      <c r="I643" s="18" t="s">
        <v>10</v>
      </c>
      <c r="J643" s="18" t="s">
        <v>4017</v>
      </c>
      <c r="K643" s="20"/>
    </row>
    <row r="644" spans="1:11" ht="54.75" thickBot="1">
      <c r="A644" s="18" t="s">
        <v>5009</v>
      </c>
      <c r="B644" s="18">
        <v>20020376398</v>
      </c>
      <c r="C644" s="18" t="s">
        <v>4105</v>
      </c>
      <c r="D644" s="19">
        <v>45509.835416666669</v>
      </c>
      <c r="E644" s="19">
        <v>45544.765277777777</v>
      </c>
      <c r="F644" s="18">
        <v>90</v>
      </c>
      <c r="G644" s="19">
        <v>45621.509722222225</v>
      </c>
      <c r="H644" s="18" t="s">
        <v>236</v>
      </c>
      <c r="I644" s="18" t="s">
        <v>10</v>
      </c>
      <c r="J644" s="18" t="s">
        <v>4017</v>
      </c>
      <c r="K644" s="20"/>
    </row>
    <row r="645" spans="1:11" ht="36.75" thickBot="1">
      <c r="A645" s="18" t="s">
        <v>5010</v>
      </c>
      <c r="B645" s="18">
        <v>20016703735</v>
      </c>
      <c r="C645" s="18" t="s">
        <v>4802</v>
      </c>
      <c r="D645" s="19">
        <v>45545.477777777778</v>
      </c>
      <c r="E645" s="18" t="s">
        <v>10</v>
      </c>
      <c r="F645" s="18">
        <v>30</v>
      </c>
      <c r="G645" s="18" t="s">
        <v>10</v>
      </c>
      <c r="H645" s="18" t="s">
        <v>178</v>
      </c>
      <c r="I645" s="18" t="s">
        <v>10</v>
      </c>
      <c r="J645" s="18" t="s">
        <v>4017</v>
      </c>
      <c r="K645" s="20"/>
    </row>
    <row r="646" spans="1:11" ht="36.75" thickBot="1">
      <c r="A646" s="18" t="s">
        <v>5011</v>
      </c>
      <c r="B646" s="18">
        <v>20003286464</v>
      </c>
      <c r="C646" s="18" t="s">
        <v>5012</v>
      </c>
      <c r="D646" s="19">
        <v>45545.591666666667</v>
      </c>
      <c r="E646" s="18" t="s">
        <v>10</v>
      </c>
      <c r="F646" s="18">
        <v>100</v>
      </c>
      <c r="G646" s="18" t="s">
        <v>10</v>
      </c>
      <c r="H646" s="18" t="s">
        <v>178</v>
      </c>
      <c r="I646" s="18" t="s">
        <v>10</v>
      </c>
      <c r="J646" s="18" t="s">
        <v>4017</v>
      </c>
      <c r="K646" s="20"/>
    </row>
    <row r="647" spans="1:11" ht="36.75" thickBot="1">
      <c r="A647" s="18" t="s">
        <v>5013</v>
      </c>
      <c r="B647" s="18">
        <v>20020720216</v>
      </c>
      <c r="C647" s="18" t="s">
        <v>5014</v>
      </c>
      <c r="D647" s="19">
        <v>45545.616666666669</v>
      </c>
      <c r="E647" s="18" t="s">
        <v>10</v>
      </c>
      <c r="F647" s="18">
        <v>550</v>
      </c>
      <c r="G647" s="18" t="s">
        <v>10</v>
      </c>
      <c r="H647" s="18" t="s">
        <v>178</v>
      </c>
      <c r="I647" s="18" t="s">
        <v>10</v>
      </c>
      <c r="J647" s="18" t="s">
        <v>4017</v>
      </c>
      <c r="K647" s="20"/>
    </row>
    <row r="648" spans="1:11" ht="54.75" thickBot="1">
      <c r="A648" s="18" t="s">
        <v>5015</v>
      </c>
      <c r="B648" s="18">
        <v>20020763087</v>
      </c>
      <c r="C648" s="18" t="s">
        <v>5016</v>
      </c>
      <c r="D648" s="19">
        <v>45527.465277777781</v>
      </c>
      <c r="E648" s="19">
        <v>45545.645833333336</v>
      </c>
      <c r="F648" s="18">
        <v>40</v>
      </c>
      <c r="G648" s="19">
        <v>45842.559027777781</v>
      </c>
      <c r="H648" s="18" t="s">
        <v>2654</v>
      </c>
      <c r="I648" s="18" t="s">
        <v>10</v>
      </c>
      <c r="J648" s="18" t="s">
        <v>4017</v>
      </c>
      <c r="K648" s="20"/>
    </row>
    <row r="649" spans="1:11" ht="36.75" thickBot="1">
      <c r="A649" s="18" t="s">
        <v>5017</v>
      </c>
      <c r="B649" s="18">
        <v>20020396003</v>
      </c>
      <c r="C649" s="18" t="s">
        <v>4536</v>
      </c>
      <c r="D649" s="19">
        <v>45545.660416666666</v>
      </c>
      <c r="E649" s="18" t="s">
        <v>10</v>
      </c>
      <c r="F649" s="18">
        <v>170</v>
      </c>
      <c r="G649" s="18" t="s">
        <v>10</v>
      </c>
      <c r="H649" s="18" t="s">
        <v>178</v>
      </c>
      <c r="I649" s="18" t="s">
        <v>10</v>
      </c>
      <c r="J649" s="18" t="s">
        <v>4017</v>
      </c>
      <c r="K649" s="20"/>
    </row>
    <row r="650" spans="1:11" ht="36.75" thickBot="1">
      <c r="A650" s="18" t="s">
        <v>5018</v>
      </c>
      <c r="B650" s="18">
        <v>20003486689</v>
      </c>
      <c r="C650" s="18" t="s">
        <v>4131</v>
      </c>
      <c r="D650" s="19">
        <v>45510.931944444441</v>
      </c>
      <c r="E650" s="19">
        <v>45545.911805555559</v>
      </c>
      <c r="F650" s="18">
        <v>250</v>
      </c>
      <c r="G650" s="19">
        <v>45590.631944444445</v>
      </c>
      <c r="H650" s="18" t="s">
        <v>236</v>
      </c>
      <c r="I650" s="18" t="s">
        <v>10</v>
      </c>
      <c r="J650" s="18" t="s">
        <v>4017</v>
      </c>
      <c r="K650" s="20"/>
    </row>
    <row r="651" spans="1:11" ht="36.75" thickBot="1">
      <c r="A651" s="18" t="s">
        <v>5019</v>
      </c>
      <c r="B651" s="18">
        <v>20017861884</v>
      </c>
      <c r="C651" s="18" t="s">
        <v>4449</v>
      </c>
      <c r="D651" s="19">
        <v>45512.422222222223</v>
      </c>
      <c r="E651" s="19">
        <v>45546.375694444447</v>
      </c>
      <c r="F651" s="18">
        <v>550</v>
      </c>
      <c r="G651" s="19">
        <v>45621.600694444445</v>
      </c>
      <c r="H651" s="18" t="s">
        <v>236</v>
      </c>
      <c r="I651" s="18" t="s">
        <v>10</v>
      </c>
      <c r="J651" s="18" t="s">
        <v>4017</v>
      </c>
      <c r="K651" s="20"/>
    </row>
    <row r="652" spans="1:11" ht="36.75" thickBot="1">
      <c r="A652" s="18" t="s">
        <v>5020</v>
      </c>
      <c r="B652" s="18">
        <v>20003407053</v>
      </c>
      <c r="C652" s="18" t="s">
        <v>4949</v>
      </c>
      <c r="D652" s="19">
        <v>45546.473611111112</v>
      </c>
      <c r="E652" s="18" t="s">
        <v>10</v>
      </c>
      <c r="F652" s="18">
        <v>90</v>
      </c>
      <c r="G652" s="18" t="s">
        <v>10</v>
      </c>
      <c r="H652" s="18" t="s">
        <v>178</v>
      </c>
      <c r="I652" s="18" t="s">
        <v>10</v>
      </c>
      <c r="J652" s="18" t="s">
        <v>4017</v>
      </c>
      <c r="K652" s="20"/>
    </row>
    <row r="653" spans="1:11" ht="54.75" thickBot="1">
      <c r="A653" s="18" t="s">
        <v>5021</v>
      </c>
      <c r="B653" s="18">
        <v>20025911938</v>
      </c>
      <c r="C653" s="18" t="s">
        <v>5022</v>
      </c>
      <c r="D653" s="19">
        <v>45547.404861111114</v>
      </c>
      <c r="E653" s="18" t="s">
        <v>10</v>
      </c>
      <c r="F653" s="18">
        <v>100</v>
      </c>
      <c r="G653" s="18" t="s">
        <v>10</v>
      </c>
      <c r="H653" s="18" t="s">
        <v>178</v>
      </c>
      <c r="I653" s="18" t="s">
        <v>10</v>
      </c>
      <c r="J653" s="18" t="s">
        <v>4017</v>
      </c>
      <c r="K653" s="20"/>
    </row>
    <row r="654" spans="1:11" ht="36.75" thickBot="1">
      <c r="A654" s="18" t="s">
        <v>5023</v>
      </c>
      <c r="B654" s="18">
        <v>781402000324</v>
      </c>
      <c r="C654" s="18" t="s">
        <v>4217</v>
      </c>
      <c r="D654" s="19">
        <v>45547.578472222223</v>
      </c>
      <c r="E654" s="18" t="s">
        <v>10</v>
      </c>
      <c r="F654" s="18">
        <v>800</v>
      </c>
      <c r="G654" s="18" t="s">
        <v>10</v>
      </c>
      <c r="H654" s="18" t="s">
        <v>178</v>
      </c>
      <c r="I654" s="18" t="s">
        <v>10</v>
      </c>
      <c r="J654" s="18" t="s">
        <v>4017</v>
      </c>
      <c r="K654" s="20"/>
    </row>
    <row r="655" spans="1:11" ht="36.75" thickBot="1">
      <c r="A655" s="18" t="s">
        <v>5024</v>
      </c>
      <c r="B655" s="18">
        <v>20002777265</v>
      </c>
      <c r="C655" s="18" t="s">
        <v>4103</v>
      </c>
      <c r="D655" s="19">
        <v>45547.584722222222</v>
      </c>
      <c r="E655" s="18" t="s">
        <v>10</v>
      </c>
      <c r="F655" s="18">
        <v>250</v>
      </c>
      <c r="G655" s="18" t="s">
        <v>10</v>
      </c>
      <c r="H655" s="18" t="s">
        <v>178</v>
      </c>
      <c r="I655" s="18" t="s">
        <v>10</v>
      </c>
      <c r="J655" s="18" t="s">
        <v>4017</v>
      </c>
      <c r="K655" s="20"/>
    </row>
    <row r="656" spans="1:11" ht="36.75" thickBot="1">
      <c r="A656" s="18" t="s">
        <v>5025</v>
      </c>
      <c r="B656" s="18">
        <v>20003287120</v>
      </c>
      <c r="C656" s="18" t="s">
        <v>4653</v>
      </c>
      <c r="D656" s="19">
        <v>45548.589583333334</v>
      </c>
      <c r="E656" s="18" t="s">
        <v>10</v>
      </c>
      <c r="F656" s="18">
        <v>350</v>
      </c>
      <c r="G656" s="18" t="s">
        <v>10</v>
      </c>
      <c r="H656" s="18" t="s">
        <v>178</v>
      </c>
      <c r="I656" s="18" t="s">
        <v>10</v>
      </c>
      <c r="J656" s="18" t="s">
        <v>4017</v>
      </c>
      <c r="K656" s="20"/>
    </row>
    <row r="657" spans="1:11" ht="36.75" thickBot="1">
      <c r="A657" s="18" t="s">
        <v>5026</v>
      </c>
      <c r="B657" s="18">
        <v>20022964185</v>
      </c>
      <c r="C657" s="18" t="s">
        <v>4747</v>
      </c>
      <c r="D657" s="19">
        <v>45518.504861111112</v>
      </c>
      <c r="E657" s="19">
        <v>45548.625</v>
      </c>
      <c r="F657" s="18">
        <v>360</v>
      </c>
      <c r="G657" s="19">
        <v>45649.548611111109</v>
      </c>
      <c r="H657" s="18" t="s">
        <v>236</v>
      </c>
      <c r="I657" s="18" t="s">
        <v>10</v>
      </c>
      <c r="J657" s="18" t="s">
        <v>4017</v>
      </c>
      <c r="K657" s="20"/>
    </row>
    <row r="658" spans="1:11" ht="72.75" thickBot="1">
      <c r="A658" s="18" t="s">
        <v>5027</v>
      </c>
      <c r="B658" s="18">
        <v>20024857904</v>
      </c>
      <c r="C658" s="18" t="s">
        <v>5028</v>
      </c>
      <c r="D658" s="19">
        <v>45352.65347222222</v>
      </c>
      <c r="E658" s="19">
        <v>45548.693749999999</v>
      </c>
      <c r="F658" s="18">
        <v>50</v>
      </c>
      <c r="G658" s="19">
        <v>45645.468055555553</v>
      </c>
      <c r="H658" s="18" t="s">
        <v>2688</v>
      </c>
      <c r="I658" s="18" t="s">
        <v>10</v>
      </c>
      <c r="J658" s="18" t="s">
        <v>4017</v>
      </c>
      <c r="K658" s="20"/>
    </row>
    <row r="659" spans="1:11" ht="36.75" thickBot="1">
      <c r="A659" s="18" t="s">
        <v>5029</v>
      </c>
      <c r="B659" s="18">
        <v>20019055247</v>
      </c>
      <c r="C659" s="18" t="s">
        <v>5030</v>
      </c>
      <c r="D659" s="19">
        <v>45548.761111111111</v>
      </c>
      <c r="E659" s="18" t="s">
        <v>10</v>
      </c>
      <c r="F659" s="18">
        <v>80</v>
      </c>
      <c r="G659" s="18" t="s">
        <v>10</v>
      </c>
      <c r="H659" s="18" t="s">
        <v>178</v>
      </c>
      <c r="I659" s="18" t="s">
        <v>10</v>
      </c>
      <c r="J659" s="18" t="s">
        <v>4017</v>
      </c>
      <c r="K659" s="20"/>
    </row>
    <row r="660" spans="1:11" ht="36.75" thickBot="1">
      <c r="A660" s="18" t="s">
        <v>5031</v>
      </c>
      <c r="B660" s="18">
        <v>20003532913</v>
      </c>
      <c r="C660" s="18" t="s">
        <v>4705</v>
      </c>
      <c r="D660" s="19">
        <v>45518.986805555556</v>
      </c>
      <c r="E660" s="19">
        <v>45549.5</v>
      </c>
      <c r="F660" s="18">
        <v>30</v>
      </c>
      <c r="G660" s="18" t="s">
        <v>10</v>
      </c>
      <c r="H660" s="18" t="s">
        <v>178</v>
      </c>
      <c r="I660" s="18" t="s">
        <v>10</v>
      </c>
      <c r="J660" s="18" t="s">
        <v>4017</v>
      </c>
      <c r="K660" s="20"/>
    </row>
    <row r="661" spans="1:11" ht="36.75" thickBot="1">
      <c r="A661" s="18" t="s">
        <v>5032</v>
      </c>
      <c r="B661" s="18">
        <v>20002776982</v>
      </c>
      <c r="C661" s="18" t="s">
        <v>4384</v>
      </c>
      <c r="D661" s="19">
        <v>45492.481944444444</v>
      </c>
      <c r="E661" s="19">
        <v>45551.549305555556</v>
      </c>
      <c r="F661" s="18">
        <v>100</v>
      </c>
      <c r="G661" s="18" t="s">
        <v>10</v>
      </c>
      <c r="H661" s="18" t="s">
        <v>189</v>
      </c>
      <c r="I661" s="18" t="s">
        <v>10</v>
      </c>
      <c r="J661" s="18" t="s">
        <v>4017</v>
      </c>
      <c r="K661" s="20"/>
    </row>
    <row r="662" spans="1:11" ht="36.75" thickBot="1">
      <c r="A662" s="18" t="s">
        <v>5033</v>
      </c>
      <c r="B662" s="18">
        <v>20003478268</v>
      </c>
      <c r="C662" s="18" t="s">
        <v>4362</v>
      </c>
      <c r="D662" s="19">
        <v>45551.60833333333</v>
      </c>
      <c r="E662" s="18" t="s">
        <v>10</v>
      </c>
      <c r="F662" s="18">
        <v>378</v>
      </c>
      <c r="G662" s="18" t="s">
        <v>10</v>
      </c>
      <c r="H662" s="18" t="s">
        <v>178</v>
      </c>
      <c r="I662" s="18" t="s">
        <v>10</v>
      </c>
      <c r="J662" s="18" t="s">
        <v>4017</v>
      </c>
      <c r="K662" s="20"/>
    </row>
    <row r="663" spans="1:11" ht="54.75" thickBot="1">
      <c r="A663" s="18" t="s">
        <v>5034</v>
      </c>
      <c r="B663" s="18">
        <v>20016562947</v>
      </c>
      <c r="C663" s="18" t="s">
        <v>5035</v>
      </c>
      <c r="D663" s="19">
        <v>45551.658333333333</v>
      </c>
      <c r="E663" s="18" t="s">
        <v>10</v>
      </c>
      <c r="F663" s="18">
        <v>50</v>
      </c>
      <c r="G663" s="18" t="s">
        <v>10</v>
      </c>
      <c r="H663" s="18" t="s">
        <v>178</v>
      </c>
      <c r="I663" s="18" t="s">
        <v>10</v>
      </c>
      <c r="J663" s="18" t="s">
        <v>4017</v>
      </c>
      <c r="K663" s="20"/>
    </row>
    <row r="664" spans="1:11" ht="36.75" thickBot="1">
      <c r="A664" s="18" t="s">
        <v>5036</v>
      </c>
      <c r="B664" s="18">
        <v>20003215484</v>
      </c>
      <c r="C664" s="18" t="s">
        <v>4478</v>
      </c>
      <c r="D664" s="19">
        <v>45551.738194444442</v>
      </c>
      <c r="E664" s="18" t="s">
        <v>10</v>
      </c>
      <c r="F664" s="18">
        <v>220</v>
      </c>
      <c r="G664" s="18" t="s">
        <v>10</v>
      </c>
      <c r="H664" s="18" t="s">
        <v>178</v>
      </c>
      <c r="I664" s="18" t="s">
        <v>10</v>
      </c>
      <c r="J664" s="18" t="s">
        <v>4017</v>
      </c>
      <c r="K664" s="20"/>
    </row>
    <row r="665" spans="1:11" ht="36.75" thickBot="1">
      <c r="A665" s="18" t="s">
        <v>5037</v>
      </c>
      <c r="B665" s="18">
        <v>20020942102</v>
      </c>
      <c r="C665" s="18" t="s">
        <v>4090</v>
      </c>
      <c r="D665" s="19">
        <v>45551.746527777781</v>
      </c>
      <c r="E665" s="18" t="s">
        <v>10</v>
      </c>
      <c r="F665" s="18">
        <v>60</v>
      </c>
      <c r="G665" s="18" t="s">
        <v>10</v>
      </c>
      <c r="H665" s="18" t="s">
        <v>178</v>
      </c>
      <c r="I665" s="18" t="s">
        <v>10</v>
      </c>
      <c r="J665" s="18" t="s">
        <v>4017</v>
      </c>
      <c r="K665" s="20"/>
    </row>
    <row r="666" spans="1:11" ht="36.75" thickBot="1">
      <c r="A666" s="18" t="s">
        <v>5038</v>
      </c>
      <c r="B666" s="18">
        <v>20021684117</v>
      </c>
      <c r="C666" s="18" t="s">
        <v>5039</v>
      </c>
      <c r="D666" s="19">
        <v>45552.51458333333</v>
      </c>
      <c r="E666" s="18" t="s">
        <v>10</v>
      </c>
      <c r="F666" s="18">
        <v>22</v>
      </c>
      <c r="G666" s="18" t="s">
        <v>10</v>
      </c>
      <c r="H666" s="18" t="s">
        <v>178</v>
      </c>
      <c r="I666" s="18" t="s">
        <v>10</v>
      </c>
      <c r="J666" s="18" t="s">
        <v>4017</v>
      </c>
      <c r="K666" s="20"/>
    </row>
    <row r="667" spans="1:11" ht="36.75" thickBot="1">
      <c r="A667" s="18" t="s">
        <v>5040</v>
      </c>
      <c r="B667" s="18">
        <v>20003000058</v>
      </c>
      <c r="C667" s="18" t="s">
        <v>4559</v>
      </c>
      <c r="D667" s="19">
        <v>45552.574305555558</v>
      </c>
      <c r="E667" s="18" t="s">
        <v>10</v>
      </c>
      <c r="F667" s="18">
        <v>800</v>
      </c>
      <c r="G667" s="18" t="s">
        <v>10</v>
      </c>
      <c r="H667" s="18" t="s">
        <v>178</v>
      </c>
      <c r="I667" s="18" t="s">
        <v>10</v>
      </c>
      <c r="J667" s="18" t="s">
        <v>4017</v>
      </c>
      <c r="K667" s="20"/>
    </row>
    <row r="668" spans="1:11" ht="36.75" thickBot="1">
      <c r="A668" s="18" t="s">
        <v>5041</v>
      </c>
      <c r="B668" s="18">
        <v>20018793815</v>
      </c>
      <c r="C668" s="18" t="s">
        <v>4310</v>
      </c>
      <c r="D668" s="19">
        <v>45552.772916666669</v>
      </c>
      <c r="E668" s="18" t="s">
        <v>10</v>
      </c>
      <c r="F668" s="18">
        <v>625</v>
      </c>
      <c r="G668" s="18" t="s">
        <v>10</v>
      </c>
      <c r="H668" s="18" t="s">
        <v>178</v>
      </c>
      <c r="I668" s="18" t="s">
        <v>10</v>
      </c>
      <c r="J668" s="18" t="s">
        <v>4017</v>
      </c>
      <c r="K668" s="20"/>
    </row>
    <row r="669" spans="1:11" ht="36.75" thickBot="1">
      <c r="A669" s="18" t="s">
        <v>5042</v>
      </c>
      <c r="B669" s="18">
        <v>20003592133</v>
      </c>
      <c r="C669" s="18" t="s">
        <v>1800</v>
      </c>
      <c r="D669" s="19">
        <v>45553.530555555553</v>
      </c>
      <c r="E669" s="18" t="s">
        <v>10</v>
      </c>
      <c r="F669" s="18">
        <v>5</v>
      </c>
      <c r="G669" s="18" t="s">
        <v>10</v>
      </c>
      <c r="H669" s="18" t="s">
        <v>178</v>
      </c>
      <c r="I669" s="18" t="s">
        <v>10</v>
      </c>
      <c r="J669" s="18" t="s">
        <v>4017</v>
      </c>
      <c r="K669" s="20"/>
    </row>
    <row r="670" spans="1:11" ht="36.75" thickBot="1">
      <c r="A670" s="18" t="s">
        <v>5043</v>
      </c>
      <c r="B670" s="18">
        <v>20026575518</v>
      </c>
      <c r="C670" s="18" t="s">
        <v>1792</v>
      </c>
      <c r="D670" s="19">
        <v>45553.614583333336</v>
      </c>
      <c r="E670" s="18" t="s">
        <v>10</v>
      </c>
      <c r="F670" s="18">
        <v>10</v>
      </c>
      <c r="G670" s="18" t="s">
        <v>10</v>
      </c>
      <c r="H670" s="18" t="s">
        <v>178</v>
      </c>
      <c r="I670" s="18" t="s">
        <v>10</v>
      </c>
      <c r="J670" s="18" t="s">
        <v>4017</v>
      </c>
      <c r="K670" s="20"/>
    </row>
    <row r="671" spans="1:11" ht="36.75" thickBot="1">
      <c r="A671" s="18" t="s">
        <v>5044</v>
      </c>
      <c r="B671" s="18">
        <v>20021986711</v>
      </c>
      <c r="C671" s="18" t="s">
        <v>5045</v>
      </c>
      <c r="D671" s="19">
        <v>45553.675000000003</v>
      </c>
      <c r="E671" s="18" t="s">
        <v>10</v>
      </c>
      <c r="F671" s="18">
        <v>200</v>
      </c>
      <c r="G671" s="18" t="s">
        <v>10</v>
      </c>
      <c r="H671" s="18" t="s">
        <v>178</v>
      </c>
      <c r="I671" s="18" t="s">
        <v>10</v>
      </c>
      <c r="J671" s="18" t="s">
        <v>4017</v>
      </c>
      <c r="K671" s="20"/>
    </row>
    <row r="672" spans="1:11" ht="36.75" thickBot="1">
      <c r="A672" s="18" t="s">
        <v>5046</v>
      </c>
      <c r="B672" s="18">
        <v>20002880104</v>
      </c>
      <c r="C672" s="18" t="s">
        <v>4319</v>
      </c>
      <c r="D672" s="19">
        <v>45513.631944444445</v>
      </c>
      <c r="E672" s="19">
        <v>45553.731249999997</v>
      </c>
      <c r="F672" s="18">
        <v>425</v>
      </c>
      <c r="G672" s="18" t="s">
        <v>10</v>
      </c>
      <c r="H672" s="18" t="s">
        <v>178</v>
      </c>
      <c r="I672" s="18" t="s">
        <v>10</v>
      </c>
      <c r="J672" s="18" t="s">
        <v>4017</v>
      </c>
      <c r="K672" s="20"/>
    </row>
    <row r="673" spans="1:11" ht="36.75" thickBot="1">
      <c r="A673" s="18" t="s">
        <v>5047</v>
      </c>
      <c r="B673" s="18">
        <v>20027155775</v>
      </c>
      <c r="C673" s="18" t="s">
        <v>5048</v>
      </c>
      <c r="D673" s="19">
        <v>45553.737500000003</v>
      </c>
      <c r="E673" s="18" t="s">
        <v>10</v>
      </c>
      <c r="F673" s="18">
        <v>30</v>
      </c>
      <c r="G673" s="18" t="s">
        <v>10</v>
      </c>
      <c r="H673" s="18" t="s">
        <v>178</v>
      </c>
      <c r="I673" s="18" t="s">
        <v>10</v>
      </c>
      <c r="J673" s="18" t="s">
        <v>4017</v>
      </c>
      <c r="K673" s="20"/>
    </row>
    <row r="674" spans="1:11" ht="36.75" thickBot="1">
      <c r="A674" s="18" t="s">
        <v>5049</v>
      </c>
      <c r="B674" s="18">
        <v>20003337969</v>
      </c>
      <c r="C674" s="18" t="s">
        <v>4051</v>
      </c>
      <c r="D674" s="19">
        <v>45554.414583333331</v>
      </c>
      <c r="E674" s="18" t="s">
        <v>10</v>
      </c>
      <c r="F674" s="18">
        <v>300</v>
      </c>
      <c r="G674" s="18" t="s">
        <v>10</v>
      </c>
      <c r="H674" s="18" t="s">
        <v>178</v>
      </c>
      <c r="I674" s="18" t="s">
        <v>10</v>
      </c>
      <c r="J674" s="18" t="s">
        <v>4017</v>
      </c>
      <c r="K674" s="20"/>
    </row>
    <row r="675" spans="1:11" ht="36.75" thickBot="1">
      <c r="A675" s="18" t="s">
        <v>5050</v>
      </c>
      <c r="B675" s="18">
        <v>20018950093</v>
      </c>
      <c r="C675" s="18" t="s">
        <v>4624</v>
      </c>
      <c r="D675" s="19">
        <v>45554.461111111108</v>
      </c>
      <c r="E675" s="18" t="s">
        <v>10</v>
      </c>
      <c r="F675" s="18">
        <v>390</v>
      </c>
      <c r="G675" s="18" t="s">
        <v>10</v>
      </c>
      <c r="H675" s="18" t="s">
        <v>178</v>
      </c>
      <c r="I675" s="18" t="s">
        <v>10</v>
      </c>
      <c r="J675" s="18" t="s">
        <v>4017</v>
      </c>
      <c r="K675" s="20"/>
    </row>
    <row r="676" spans="1:11" ht="36.75" thickBot="1">
      <c r="A676" s="18" t="s">
        <v>5051</v>
      </c>
      <c r="B676" s="18">
        <v>20019451419</v>
      </c>
      <c r="C676" s="18" t="s">
        <v>5052</v>
      </c>
      <c r="D676" s="19">
        <v>45436.715277777781</v>
      </c>
      <c r="E676" s="19">
        <v>45554.554861111108</v>
      </c>
      <c r="F676" s="18">
        <v>450</v>
      </c>
      <c r="G676" s="18" t="s">
        <v>10</v>
      </c>
      <c r="H676" s="18" t="s">
        <v>178</v>
      </c>
      <c r="I676" s="18" t="s">
        <v>10</v>
      </c>
      <c r="J676" s="18" t="s">
        <v>4017</v>
      </c>
      <c r="K676" s="20"/>
    </row>
    <row r="677" spans="1:11" ht="36.75" thickBot="1">
      <c r="A677" s="18" t="s">
        <v>5053</v>
      </c>
      <c r="B677" s="18">
        <v>20003548286</v>
      </c>
      <c r="C677" s="18" t="s">
        <v>5054</v>
      </c>
      <c r="D677" s="19">
        <v>45554.563888888886</v>
      </c>
      <c r="E677" s="18" t="s">
        <v>10</v>
      </c>
      <c r="F677" s="18">
        <v>50</v>
      </c>
      <c r="G677" s="18" t="s">
        <v>10</v>
      </c>
      <c r="H677" s="18" t="s">
        <v>178</v>
      </c>
      <c r="I677" s="18" t="s">
        <v>10</v>
      </c>
      <c r="J677" s="18" t="s">
        <v>4017</v>
      </c>
      <c r="K677" s="20"/>
    </row>
    <row r="678" spans="1:11" ht="36.75" thickBot="1">
      <c r="A678" s="18" t="s">
        <v>5055</v>
      </c>
      <c r="B678" s="18">
        <v>20003428225</v>
      </c>
      <c r="C678" s="18" t="s">
        <v>5056</v>
      </c>
      <c r="D678" s="19">
        <v>45554.603472222225</v>
      </c>
      <c r="E678" s="18" t="s">
        <v>10</v>
      </c>
      <c r="F678" s="18">
        <v>90</v>
      </c>
      <c r="G678" s="18" t="s">
        <v>10</v>
      </c>
      <c r="H678" s="18" t="s">
        <v>178</v>
      </c>
      <c r="I678" s="18" t="s">
        <v>10</v>
      </c>
      <c r="J678" s="18" t="s">
        <v>4017</v>
      </c>
      <c r="K678" s="20"/>
    </row>
    <row r="679" spans="1:11" ht="36.75" thickBot="1">
      <c r="A679" s="18" t="s">
        <v>5057</v>
      </c>
      <c r="B679" s="18">
        <v>20024149586</v>
      </c>
      <c r="C679" s="18" t="s">
        <v>5058</v>
      </c>
      <c r="D679" s="19">
        <v>45554.636805555558</v>
      </c>
      <c r="E679" s="18" t="s">
        <v>10</v>
      </c>
      <c r="F679" s="18">
        <v>200</v>
      </c>
      <c r="G679" s="18" t="s">
        <v>10</v>
      </c>
      <c r="H679" s="18" t="s">
        <v>178</v>
      </c>
      <c r="I679" s="18" t="s">
        <v>10</v>
      </c>
      <c r="J679" s="18" t="s">
        <v>4017</v>
      </c>
      <c r="K679" s="20"/>
    </row>
    <row r="680" spans="1:11" ht="36.75" thickBot="1">
      <c r="A680" s="18" t="s">
        <v>5059</v>
      </c>
      <c r="B680" s="18">
        <v>20020524656</v>
      </c>
      <c r="C680" s="18" t="s">
        <v>5060</v>
      </c>
      <c r="D680" s="19">
        <v>45554.897222222222</v>
      </c>
      <c r="E680" s="18" t="s">
        <v>10</v>
      </c>
      <c r="F680" s="18">
        <v>150</v>
      </c>
      <c r="G680" s="18" t="s">
        <v>10</v>
      </c>
      <c r="H680" s="18" t="s">
        <v>178</v>
      </c>
      <c r="I680" s="18" t="s">
        <v>10</v>
      </c>
      <c r="J680" s="18" t="s">
        <v>4017</v>
      </c>
      <c r="K680" s="20"/>
    </row>
    <row r="681" spans="1:11" ht="36.75" thickBot="1">
      <c r="A681" s="18" t="s">
        <v>5061</v>
      </c>
      <c r="B681" s="18">
        <v>20003483502</v>
      </c>
      <c r="C681" s="18" t="s">
        <v>5062</v>
      </c>
      <c r="D681" s="19">
        <v>45491.569444444445</v>
      </c>
      <c r="E681" s="19">
        <v>45555.587500000001</v>
      </c>
      <c r="F681" s="18">
        <v>220</v>
      </c>
      <c r="G681" s="18" t="s">
        <v>10</v>
      </c>
      <c r="H681" s="18" t="s">
        <v>189</v>
      </c>
      <c r="I681" s="18" t="s">
        <v>10</v>
      </c>
      <c r="J681" s="18" t="s">
        <v>4017</v>
      </c>
      <c r="K681" s="20"/>
    </row>
    <row r="682" spans="1:11" ht="36.75" thickBot="1">
      <c r="A682" s="18" t="s">
        <v>5063</v>
      </c>
      <c r="B682" s="18">
        <v>20002939222</v>
      </c>
      <c r="C682" s="18" t="s">
        <v>4465</v>
      </c>
      <c r="D682" s="19">
        <v>45555.673611111109</v>
      </c>
      <c r="E682" s="18" t="s">
        <v>10</v>
      </c>
      <c r="F682" s="18">
        <v>200</v>
      </c>
      <c r="G682" s="18" t="s">
        <v>10</v>
      </c>
      <c r="H682" s="18" t="s">
        <v>178</v>
      </c>
      <c r="I682" s="18" t="s">
        <v>10</v>
      </c>
      <c r="J682" s="18" t="s">
        <v>4017</v>
      </c>
      <c r="K682" s="20"/>
    </row>
    <row r="683" spans="1:11" ht="36.75" thickBot="1">
      <c r="A683" s="18" t="s">
        <v>5064</v>
      </c>
      <c r="B683" s="18">
        <v>20002776554</v>
      </c>
      <c r="C683" s="18" t="s">
        <v>5065</v>
      </c>
      <c r="D683" s="19">
        <v>45555.676388888889</v>
      </c>
      <c r="E683" s="18" t="s">
        <v>10</v>
      </c>
      <c r="F683" s="18">
        <v>700</v>
      </c>
      <c r="G683" s="18" t="s">
        <v>10</v>
      </c>
      <c r="H683" s="18" t="s">
        <v>178</v>
      </c>
      <c r="I683" s="18" t="s">
        <v>10</v>
      </c>
      <c r="J683" s="18" t="s">
        <v>4017</v>
      </c>
      <c r="K683" s="20"/>
    </row>
    <row r="684" spans="1:11" ht="36.75" thickBot="1">
      <c r="A684" s="18" t="s">
        <v>5066</v>
      </c>
      <c r="B684" s="18">
        <v>20019703563</v>
      </c>
      <c r="C684" s="18" t="s">
        <v>5067</v>
      </c>
      <c r="D684" s="19">
        <v>45556.486805555556</v>
      </c>
      <c r="E684" s="18" t="s">
        <v>10</v>
      </c>
      <c r="F684" s="18">
        <v>110</v>
      </c>
      <c r="G684" s="18" t="s">
        <v>10</v>
      </c>
      <c r="H684" s="18" t="s">
        <v>178</v>
      </c>
      <c r="I684" s="18" t="s">
        <v>10</v>
      </c>
      <c r="J684" s="18" t="s">
        <v>4017</v>
      </c>
      <c r="K684" s="20"/>
    </row>
    <row r="685" spans="1:11" ht="36.75" thickBot="1">
      <c r="A685" s="18" t="s">
        <v>5068</v>
      </c>
      <c r="B685" s="18">
        <v>20003598350</v>
      </c>
      <c r="C685" s="18" t="s">
        <v>4469</v>
      </c>
      <c r="D685" s="19">
        <v>45556.671527777777</v>
      </c>
      <c r="E685" s="18" t="s">
        <v>10</v>
      </c>
      <c r="F685" s="18">
        <v>960</v>
      </c>
      <c r="G685" s="18" t="s">
        <v>10</v>
      </c>
      <c r="H685" s="18" t="s">
        <v>178</v>
      </c>
      <c r="I685" s="18" t="s">
        <v>10</v>
      </c>
      <c r="J685" s="18" t="s">
        <v>4017</v>
      </c>
      <c r="K685" s="20"/>
    </row>
    <row r="686" spans="1:11" ht="36.75" thickBot="1">
      <c r="A686" s="18" t="s">
        <v>5069</v>
      </c>
      <c r="B686" s="18">
        <v>20027253866</v>
      </c>
      <c r="C686" s="18" t="s">
        <v>5070</v>
      </c>
      <c r="D686" s="19">
        <v>45556.70416666667</v>
      </c>
      <c r="E686" s="18" t="s">
        <v>10</v>
      </c>
      <c r="F686" s="18">
        <v>70</v>
      </c>
      <c r="G686" s="18" t="s">
        <v>10</v>
      </c>
      <c r="H686" s="18" t="s">
        <v>178</v>
      </c>
      <c r="I686" s="18" t="s">
        <v>10</v>
      </c>
      <c r="J686" s="18" t="s">
        <v>4017</v>
      </c>
      <c r="K686" s="20"/>
    </row>
    <row r="687" spans="1:11" ht="36.75" thickBot="1">
      <c r="A687" s="18" t="s">
        <v>5071</v>
      </c>
      <c r="B687" s="18">
        <v>20021937584</v>
      </c>
      <c r="C687" s="18" t="s">
        <v>4671</v>
      </c>
      <c r="D687" s="19">
        <v>45558.114583333336</v>
      </c>
      <c r="E687" s="18" t="s">
        <v>10</v>
      </c>
      <c r="F687" s="18">
        <v>24</v>
      </c>
      <c r="G687" s="18" t="s">
        <v>10</v>
      </c>
      <c r="H687" s="18" t="s">
        <v>178</v>
      </c>
      <c r="I687" s="18" t="s">
        <v>10</v>
      </c>
      <c r="J687" s="18" t="s">
        <v>4017</v>
      </c>
      <c r="K687" s="20"/>
    </row>
    <row r="688" spans="1:11" ht="36.75" thickBot="1">
      <c r="A688" s="18" t="s">
        <v>5072</v>
      </c>
      <c r="B688" s="18">
        <v>20022008913</v>
      </c>
      <c r="C688" s="18" t="s">
        <v>4844</v>
      </c>
      <c r="D688" s="19">
        <v>45558.45416666667</v>
      </c>
      <c r="E688" s="18" t="s">
        <v>10</v>
      </c>
      <c r="F688" s="18">
        <v>100</v>
      </c>
      <c r="G688" s="18" t="s">
        <v>10</v>
      </c>
      <c r="H688" s="18" t="s">
        <v>178</v>
      </c>
      <c r="I688" s="18" t="s">
        <v>10</v>
      </c>
      <c r="J688" s="18" t="s">
        <v>4017</v>
      </c>
      <c r="K688" s="20"/>
    </row>
    <row r="689" spans="1:11" ht="36.75" thickBot="1">
      <c r="A689" s="18" t="s">
        <v>5073</v>
      </c>
      <c r="B689" s="18">
        <v>20024052409</v>
      </c>
      <c r="C689" s="18" t="s">
        <v>5074</v>
      </c>
      <c r="D689" s="19">
        <v>45558.46875</v>
      </c>
      <c r="E689" s="18" t="s">
        <v>10</v>
      </c>
      <c r="F689" s="18">
        <v>30</v>
      </c>
      <c r="G689" s="18" t="s">
        <v>10</v>
      </c>
      <c r="H689" s="18" t="s">
        <v>178</v>
      </c>
      <c r="I689" s="18" t="s">
        <v>10</v>
      </c>
      <c r="J689" s="18" t="s">
        <v>4017</v>
      </c>
      <c r="K689" s="20"/>
    </row>
    <row r="690" spans="1:11" ht="36.75" thickBot="1">
      <c r="A690" s="18" t="s">
        <v>5075</v>
      </c>
      <c r="B690" s="18">
        <v>20022699356</v>
      </c>
      <c r="C690" s="18" t="s">
        <v>4563</v>
      </c>
      <c r="D690" s="19">
        <v>45558.591666666667</v>
      </c>
      <c r="E690" s="18" t="s">
        <v>10</v>
      </c>
      <c r="F690" s="18">
        <v>436</v>
      </c>
      <c r="G690" s="18" t="s">
        <v>10</v>
      </c>
      <c r="H690" s="18" t="s">
        <v>178</v>
      </c>
      <c r="I690" s="18" t="s">
        <v>10</v>
      </c>
      <c r="J690" s="18" t="s">
        <v>4017</v>
      </c>
      <c r="K690" s="20"/>
    </row>
    <row r="691" spans="1:11" ht="36.75" thickBot="1">
      <c r="A691" s="18" t="s">
        <v>5076</v>
      </c>
      <c r="B691" s="18">
        <v>20026062627</v>
      </c>
      <c r="C691" s="18" t="s">
        <v>5077</v>
      </c>
      <c r="D691" s="19">
        <v>45558.602777777778</v>
      </c>
      <c r="E691" s="18" t="s">
        <v>10</v>
      </c>
      <c r="F691" s="18">
        <v>60</v>
      </c>
      <c r="G691" s="18" t="s">
        <v>10</v>
      </c>
      <c r="H691" s="18" t="s">
        <v>178</v>
      </c>
      <c r="I691" s="18" t="s">
        <v>10</v>
      </c>
      <c r="J691" s="18" t="s">
        <v>4017</v>
      </c>
      <c r="K691" s="20"/>
    </row>
    <row r="692" spans="1:11" ht="36.75" thickBot="1">
      <c r="A692" s="18" t="s">
        <v>5078</v>
      </c>
      <c r="B692" s="18">
        <v>20002974499</v>
      </c>
      <c r="C692" s="18" t="s">
        <v>4673</v>
      </c>
      <c r="D692" s="19">
        <v>45558.618055555555</v>
      </c>
      <c r="E692" s="18" t="s">
        <v>10</v>
      </c>
      <c r="F692" s="18">
        <v>350</v>
      </c>
      <c r="G692" s="18" t="s">
        <v>10</v>
      </c>
      <c r="H692" s="18" t="s">
        <v>178</v>
      </c>
      <c r="I692" s="18" t="s">
        <v>10</v>
      </c>
      <c r="J692" s="18" t="s">
        <v>4017</v>
      </c>
      <c r="K692" s="20"/>
    </row>
    <row r="693" spans="1:11" ht="36.75" thickBot="1">
      <c r="A693" s="18" t="s">
        <v>5079</v>
      </c>
      <c r="B693" s="18">
        <v>20022576781</v>
      </c>
      <c r="C693" s="18" t="s">
        <v>5080</v>
      </c>
      <c r="D693" s="19">
        <v>45558.649305555555</v>
      </c>
      <c r="E693" s="18" t="s">
        <v>10</v>
      </c>
      <c r="F693" s="18">
        <v>300</v>
      </c>
      <c r="G693" s="18" t="s">
        <v>10</v>
      </c>
      <c r="H693" s="18" t="s">
        <v>178</v>
      </c>
      <c r="I693" s="18" t="s">
        <v>10</v>
      </c>
      <c r="J693" s="18" t="s">
        <v>4017</v>
      </c>
      <c r="K693" s="20"/>
    </row>
    <row r="694" spans="1:11" ht="36.75" thickBot="1">
      <c r="A694" s="18" t="s">
        <v>5081</v>
      </c>
      <c r="B694" s="18">
        <v>20002779629</v>
      </c>
      <c r="C694" s="18" t="s">
        <v>4673</v>
      </c>
      <c r="D694" s="19">
        <v>45558.659722222219</v>
      </c>
      <c r="E694" s="18" t="s">
        <v>10</v>
      </c>
      <c r="F694" s="18">
        <v>300</v>
      </c>
      <c r="G694" s="18" t="s">
        <v>10</v>
      </c>
      <c r="H694" s="18" t="s">
        <v>178</v>
      </c>
      <c r="I694" s="18" t="s">
        <v>10</v>
      </c>
      <c r="J694" s="18" t="s">
        <v>4017</v>
      </c>
      <c r="K694" s="20"/>
    </row>
    <row r="695" spans="1:11" ht="36.75" thickBot="1">
      <c r="A695" s="18" t="s">
        <v>5082</v>
      </c>
      <c r="B695" s="18">
        <v>20003500622</v>
      </c>
      <c r="C695" s="18" t="s">
        <v>5083</v>
      </c>
      <c r="D695" s="19">
        <v>45558.690972222219</v>
      </c>
      <c r="E695" s="18" t="s">
        <v>10</v>
      </c>
      <c r="F695" s="18">
        <v>800</v>
      </c>
      <c r="G695" s="18" t="s">
        <v>10</v>
      </c>
      <c r="H695" s="18" t="s">
        <v>178</v>
      </c>
      <c r="I695" s="18" t="s">
        <v>10</v>
      </c>
      <c r="J695" s="18" t="s">
        <v>4017</v>
      </c>
      <c r="K695" s="20"/>
    </row>
    <row r="696" spans="1:11" ht="36.75" thickBot="1">
      <c r="A696" s="18" t="s">
        <v>5084</v>
      </c>
      <c r="B696" s="18">
        <v>20003290098</v>
      </c>
      <c r="C696" s="18" t="s">
        <v>5085</v>
      </c>
      <c r="D696" s="19">
        <v>45558.70208333333</v>
      </c>
      <c r="E696" s="18" t="s">
        <v>10</v>
      </c>
      <c r="F696" s="18">
        <v>540</v>
      </c>
      <c r="G696" s="18" t="s">
        <v>10</v>
      </c>
      <c r="H696" s="18" t="s">
        <v>178</v>
      </c>
      <c r="I696" s="18" t="s">
        <v>10</v>
      </c>
      <c r="J696" s="18" t="s">
        <v>4017</v>
      </c>
      <c r="K696" s="20"/>
    </row>
    <row r="697" spans="1:11" ht="36.75" thickBot="1">
      <c r="A697" s="18" t="s">
        <v>5086</v>
      </c>
      <c r="B697" s="18">
        <v>20019225959</v>
      </c>
      <c r="C697" s="18" t="s">
        <v>4673</v>
      </c>
      <c r="D697" s="19">
        <v>45558.709027777775</v>
      </c>
      <c r="E697" s="18" t="s">
        <v>10</v>
      </c>
      <c r="F697" s="18">
        <v>800</v>
      </c>
      <c r="G697" s="18" t="s">
        <v>10</v>
      </c>
      <c r="H697" s="18" t="s">
        <v>178</v>
      </c>
      <c r="I697" s="18" t="s">
        <v>10</v>
      </c>
      <c r="J697" s="18" t="s">
        <v>4017</v>
      </c>
      <c r="K697" s="20"/>
    </row>
    <row r="698" spans="1:11" ht="36.75" thickBot="1">
      <c r="A698" s="18" t="s">
        <v>5087</v>
      </c>
      <c r="B698" s="18">
        <v>20003127136</v>
      </c>
      <c r="C698" s="18" t="s">
        <v>5088</v>
      </c>
      <c r="D698" s="19">
        <v>45355.746527777781</v>
      </c>
      <c r="E698" s="19">
        <v>45559.375</v>
      </c>
      <c r="F698" s="18">
        <v>800</v>
      </c>
      <c r="G698" s="19">
        <v>45576.413194444445</v>
      </c>
      <c r="H698" s="18" t="s">
        <v>236</v>
      </c>
      <c r="I698" s="18" t="s">
        <v>10</v>
      </c>
      <c r="J698" s="18" t="s">
        <v>4017</v>
      </c>
      <c r="K698" s="20"/>
    </row>
    <row r="699" spans="1:11" ht="36.75" thickBot="1">
      <c r="A699" s="18" t="s">
        <v>5089</v>
      </c>
      <c r="B699" s="18">
        <v>20002913117</v>
      </c>
      <c r="C699" s="18" t="s">
        <v>5088</v>
      </c>
      <c r="D699" s="19">
        <v>45355.754166666666</v>
      </c>
      <c r="E699" s="19">
        <v>45559.37777777778</v>
      </c>
      <c r="F699" s="18">
        <v>350</v>
      </c>
      <c r="G699" s="19">
        <v>45576.411805555559</v>
      </c>
      <c r="H699" s="18" t="s">
        <v>236</v>
      </c>
      <c r="I699" s="18" t="s">
        <v>10</v>
      </c>
      <c r="J699" s="18" t="s">
        <v>4017</v>
      </c>
      <c r="K699" s="20"/>
    </row>
    <row r="700" spans="1:11" ht="36.75" thickBot="1">
      <c r="A700" s="18" t="s">
        <v>5090</v>
      </c>
      <c r="B700" s="18">
        <v>20025105256</v>
      </c>
      <c r="C700" s="18" t="s">
        <v>4245</v>
      </c>
      <c r="D700" s="19">
        <v>45559.413194444445</v>
      </c>
      <c r="E700" s="18" t="s">
        <v>10</v>
      </c>
      <c r="F700" s="18">
        <v>50</v>
      </c>
      <c r="G700" s="18" t="s">
        <v>10</v>
      </c>
      <c r="H700" s="18" t="s">
        <v>178</v>
      </c>
      <c r="I700" s="18" t="s">
        <v>10</v>
      </c>
      <c r="J700" s="18" t="s">
        <v>4017</v>
      </c>
      <c r="K700" s="20"/>
    </row>
    <row r="701" spans="1:11" ht="36.75" thickBot="1">
      <c r="A701" s="18" t="s">
        <v>5091</v>
      </c>
      <c r="B701" s="18">
        <v>20022421938</v>
      </c>
      <c r="C701" s="18" t="s">
        <v>4411</v>
      </c>
      <c r="D701" s="19">
        <v>45559.456944444442</v>
      </c>
      <c r="E701" s="18" t="s">
        <v>10</v>
      </c>
      <c r="F701" s="18">
        <v>800</v>
      </c>
      <c r="G701" s="18" t="s">
        <v>10</v>
      </c>
      <c r="H701" s="18" t="s">
        <v>178</v>
      </c>
      <c r="I701" s="18" t="s">
        <v>10</v>
      </c>
      <c r="J701" s="18" t="s">
        <v>4017</v>
      </c>
      <c r="K701" s="1"/>
    </row>
    <row r="702" spans="1:11" ht="36.75" thickBot="1">
      <c r="A702" s="21" t="s">
        <v>5092</v>
      </c>
      <c r="B702" s="21">
        <v>20003005738</v>
      </c>
      <c r="C702" s="21" t="s">
        <v>5093</v>
      </c>
      <c r="D702" s="22">
        <v>45559.459722222222</v>
      </c>
      <c r="E702" s="21" t="s">
        <v>10</v>
      </c>
      <c r="F702" s="21">
        <v>100</v>
      </c>
      <c r="G702" s="21" t="s">
        <v>10</v>
      </c>
      <c r="H702" s="21" t="s">
        <v>178</v>
      </c>
      <c r="I702" s="21" t="s">
        <v>10</v>
      </c>
      <c r="J702" s="21" t="s">
        <v>4017</v>
      </c>
      <c r="K702" s="20"/>
    </row>
    <row r="703" spans="1:11" ht="36.75" thickBot="1">
      <c r="A703" s="18" t="s">
        <v>5094</v>
      </c>
      <c r="B703" s="18">
        <v>20016531975</v>
      </c>
      <c r="C703" s="18" t="s">
        <v>5095</v>
      </c>
      <c r="D703" s="19">
        <v>45559.631249999999</v>
      </c>
      <c r="E703" s="18" t="s">
        <v>10</v>
      </c>
      <c r="F703" s="18">
        <v>30</v>
      </c>
      <c r="G703" s="18" t="s">
        <v>10</v>
      </c>
      <c r="H703" s="18" t="s">
        <v>178</v>
      </c>
      <c r="I703" s="18" t="s">
        <v>10</v>
      </c>
      <c r="J703" s="18" t="s">
        <v>4017</v>
      </c>
      <c r="K703" s="20"/>
    </row>
    <row r="704" spans="1:11" ht="36.75" thickBot="1">
      <c r="A704" s="18" t="s">
        <v>5096</v>
      </c>
      <c r="B704" s="18">
        <v>20003287120</v>
      </c>
      <c r="C704" s="18" t="s">
        <v>4653</v>
      </c>
      <c r="D704" s="19">
        <v>45560.463194444441</v>
      </c>
      <c r="E704" s="18" t="s">
        <v>10</v>
      </c>
      <c r="F704" s="18">
        <v>50</v>
      </c>
      <c r="G704" s="18" t="s">
        <v>10</v>
      </c>
      <c r="H704" s="18" t="s">
        <v>178</v>
      </c>
      <c r="I704" s="18" t="s">
        <v>10</v>
      </c>
      <c r="J704" s="18" t="s">
        <v>4017</v>
      </c>
      <c r="K704" s="20"/>
    </row>
    <row r="705" spans="1:11" ht="36.75" thickBot="1">
      <c r="A705" s="18" t="s">
        <v>5097</v>
      </c>
      <c r="B705" s="18">
        <v>20003477672</v>
      </c>
      <c r="C705" s="18" t="s">
        <v>5098</v>
      </c>
      <c r="D705" s="19">
        <v>45560.479861111111</v>
      </c>
      <c r="E705" s="18" t="s">
        <v>10</v>
      </c>
      <c r="F705" s="18">
        <v>100</v>
      </c>
      <c r="G705" s="18" t="s">
        <v>10</v>
      </c>
      <c r="H705" s="18" t="s">
        <v>178</v>
      </c>
      <c r="I705" s="18" t="s">
        <v>10</v>
      </c>
      <c r="J705" s="18" t="s">
        <v>4017</v>
      </c>
      <c r="K705" s="20"/>
    </row>
    <row r="706" spans="1:11" ht="36.75" thickBot="1">
      <c r="A706" s="18" t="s">
        <v>5099</v>
      </c>
      <c r="B706" s="18">
        <v>20002917455</v>
      </c>
      <c r="C706" s="18" t="s">
        <v>4856</v>
      </c>
      <c r="D706" s="19">
        <v>45561.413888888892</v>
      </c>
      <c r="E706" s="18" t="s">
        <v>10</v>
      </c>
      <c r="F706" s="18">
        <v>725</v>
      </c>
      <c r="G706" s="18" t="s">
        <v>10</v>
      </c>
      <c r="H706" s="18" t="s">
        <v>178</v>
      </c>
      <c r="I706" s="18" t="s">
        <v>10</v>
      </c>
      <c r="J706" s="18" t="s">
        <v>4017</v>
      </c>
      <c r="K706" s="20"/>
    </row>
    <row r="707" spans="1:11" ht="36.75" thickBot="1">
      <c r="A707" s="18" t="s">
        <v>5100</v>
      </c>
      <c r="B707" s="18">
        <v>20019792990</v>
      </c>
      <c r="C707" s="18" t="s">
        <v>5101</v>
      </c>
      <c r="D707" s="19">
        <v>45526.602083333331</v>
      </c>
      <c r="E707" s="19">
        <v>45561.430555555555</v>
      </c>
      <c r="F707" s="18">
        <v>150</v>
      </c>
      <c r="G707" s="19">
        <v>45630.572222222225</v>
      </c>
      <c r="H707" s="18" t="s">
        <v>236</v>
      </c>
      <c r="I707" s="18" t="s">
        <v>10</v>
      </c>
      <c r="J707" s="18" t="s">
        <v>4017</v>
      </c>
      <c r="K707" s="20"/>
    </row>
    <row r="708" spans="1:11" ht="36.75" thickBot="1">
      <c r="A708" s="18" t="s">
        <v>5102</v>
      </c>
      <c r="B708" s="18">
        <v>20002893602</v>
      </c>
      <c r="C708" s="18" t="s">
        <v>5103</v>
      </c>
      <c r="D708" s="19">
        <v>45561.529861111114</v>
      </c>
      <c r="E708" s="18" t="s">
        <v>10</v>
      </c>
      <c r="F708" s="18">
        <v>60</v>
      </c>
      <c r="G708" s="18" t="s">
        <v>10</v>
      </c>
      <c r="H708" s="18" t="s">
        <v>178</v>
      </c>
      <c r="I708" s="18" t="s">
        <v>10</v>
      </c>
      <c r="J708" s="18" t="s">
        <v>4017</v>
      </c>
      <c r="K708" s="20"/>
    </row>
    <row r="709" spans="1:11" ht="36.75" thickBot="1">
      <c r="A709" s="18" t="s">
        <v>5104</v>
      </c>
      <c r="B709" s="18">
        <v>20017601602</v>
      </c>
      <c r="C709" s="18" t="s">
        <v>4460</v>
      </c>
      <c r="D709" s="19">
        <v>45561.667361111111</v>
      </c>
      <c r="E709" s="18" t="s">
        <v>10</v>
      </c>
      <c r="F709" s="18">
        <v>330</v>
      </c>
      <c r="G709" s="18" t="s">
        <v>10</v>
      </c>
      <c r="H709" s="18" t="s">
        <v>189</v>
      </c>
      <c r="I709" s="18" t="s">
        <v>10</v>
      </c>
      <c r="J709" s="18" t="s">
        <v>4017</v>
      </c>
      <c r="K709" s="20"/>
    </row>
    <row r="710" spans="1:11" ht="36.75" thickBot="1">
      <c r="A710" s="18" t="s">
        <v>5105</v>
      </c>
      <c r="B710" s="18">
        <v>20002945860</v>
      </c>
      <c r="C710" s="18" t="s">
        <v>5106</v>
      </c>
      <c r="D710" s="19">
        <v>45561.761805555558</v>
      </c>
      <c r="E710" s="18" t="s">
        <v>10</v>
      </c>
      <c r="F710" s="18">
        <v>140</v>
      </c>
      <c r="G710" s="18" t="s">
        <v>10</v>
      </c>
      <c r="H710" s="18" t="s">
        <v>178</v>
      </c>
      <c r="I710" s="18" t="s">
        <v>10</v>
      </c>
      <c r="J710" s="18" t="s">
        <v>4017</v>
      </c>
      <c r="K710" s="20"/>
    </row>
    <row r="711" spans="1:11" ht="36.75" thickBot="1">
      <c r="A711" s="18" t="s">
        <v>5107</v>
      </c>
      <c r="B711" s="18">
        <v>20022714603</v>
      </c>
      <c r="C711" s="18" t="s">
        <v>5106</v>
      </c>
      <c r="D711" s="19">
        <v>45561.772222222222</v>
      </c>
      <c r="E711" s="18" t="s">
        <v>10</v>
      </c>
      <c r="F711" s="18">
        <v>130</v>
      </c>
      <c r="G711" s="18" t="s">
        <v>10</v>
      </c>
      <c r="H711" s="18" t="s">
        <v>178</v>
      </c>
      <c r="I711" s="18" t="s">
        <v>10</v>
      </c>
      <c r="J711" s="18" t="s">
        <v>4017</v>
      </c>
      <c r="K711" s="20"/>
    </row>
    <row r="712" spans="1:11" ht="36.75" thickBot="1">
      <c r="A712" s="18" t="s">
        <v>5108</v>
      </c>
      <c r="B712" s="18">
        <v>20028039533</v>
      </c>
      <c r="C712" s="18" t="s">
        <v>5109</v>
      </c>
      <c r="D712" s="19">
        <v>45562.720138888886</v>
      </c>
      <c r="E712" s="18" t="s">
        <v>10</v>
      </c>
      <c r="F712" s="18">
        <v>50</v>
      </c>
      <c r="G712" s="18" t="s">
        <v>10</v>
      </c>
      <c r="H712" s="18" t="s">
        <v>178</v>
      </c>
      <c r="I712" s="18" t="s">
        <v>10</v>
      </c>
      <c r="J712" s="18" t="s">
        <v>4017</v>
      </c>
      <c r="K712" s="20"/>
    </row>
    <row r="713" spans="1:11" ht="36.75" thickBot="1">
      <c r="A713" s="18" t="s">
        <v>5110</v>
      </c>
      <c r="B713" s="18">
        <v>20003127733</v>
      </c>
      <c r="C713" s="18" t="s">
        <v>5111</v>
      </c>
      <c r="D713" s="19">
        <v>45336.495833333334</v>
      </c>
      <c r="E713" s="19">
        <v>45562.789583333331</v>
      </c>
      <c r="F713" s="18">
        <v>400</v>
      </c>
      <c r="G713" s="18" t="s">
        <v>10</v>
      </c>
      <c r="H713" s="18" t="s">
        <v>178</v>
      </c>
      <c r="I713" s="18" t="s">
        <v>10</v>
      </c>
      <c r="J713" s="18" t="s">
        <v>4017</v>
      </c>
      <c r="K713" s="20"/>
    </row>
    <row r="714" spans="1:11" ht="36.75" thickBot="1">
      <c r="A714" s="18" t="s">
        <v>5112</v>
      </c>
      <c r="B714" s="18">
        <v>20003431905</v>
      </c>
      <c r="C714" s="18" t="s">
        <v>4145</v>
      </c>
      <c r="D714" s="19">
        <v>45479.457638888889</v>
      </c>
      <c r="E714" s="19">
        <v>45563.352777777778</v>
      </c>
      <c r="F714" s="18">
        <v>330</v>
      </c>
      <c r="G714" s="19">
        <v>45623.409722222219</v>
      </c>
      <c r="H714" s="18" t="s">
        <v>2654</v>
      </c>
      <c r="I714" s="18" t="s">
        <v>10</v>
      </c>
      <c r="J714" s="18" t="s">
        <v>4017</v>
      </c>
      <c r="K714" s="20"/>
    </row>
    <row r="715" spans="1:11" ht="36.75" thickBot="1">
      <c r="A715" s="18" t="s">
        <v>5113</v>
      </c>
      <c r="B715" s="18">
        <v>20003058464</v>
      </c>
      <c r="C715" s="18" t="s">
        <v>5114</v>
      </c>
      <c r="D715" s="19">
        <v>45563.698611111111</v>
      </c>
      <c r="E715" s="18" t="s">
        <v>10</v>
      </c>
      <c r="F715" s="18">
        <v>130</v>
      </c>
      <c r="G715" s="18" t="s">
        <v>10</v>
      </c>
      <c r="H715" s="18" t="s">
        <v>178</v>
      </c>
      <c r="I715" s="18" t="s">
        <v>10</v>
      </c>
      <c r="J715" s="18" t="s">
        <v>4017</v>
      </c>
      <c r="K715" s="20"/>
    </row>
    <row r="716" spans="1:11" ht="36.75" thickBot="1">
      <c r="A716" s="18" t="s">
        <v>5115</v>
      </c>
      <c r="B716" s="18">
        <v>20020700764</v>
      </c>
      <c r="C716" s="18" t="s">
        <v>5116</v>
      </c>
      <c r="D716" s="19">
        <v>45563.818055555559</v>
      </c>
      <c r="E716" s="18" t="s">
        <v>10</v>
      </c>
      <c r="F716" s="18">
        <v>290</v>
      </c>
      <c r="G716" s="18" t="s">
        <v>10</v>
      </c>
      <c r="H716" s="18" t="s">
        <v>178</v>
      </c>
      <c r="I716" s="18" t="s">
        <v>10</v>
      </c>
      <c r="J716" s="18" t="s">
        <v>4017</v>
      </c>
      <c r="K716" s="20"/>
    </row>
    <row r="717" spans="1:11" ht="36.75" thickBot="1">
      <c r="A717" s="18" t="s">
        <v>5117</v>
      </c>
      <c r="B717" s="18">
        <v>20021984722</v>
      </c>
      <c r="C717" s="18" t="s">
        <v>5118</v>
      </c>
      <c r="D717" s="19">
        <v>45564.025000000001</v>
      </c>
      <c r="E717" s="18" t="s">
        <v>10</v>
      </c>
      <c r="F717" s="18">
        <v>100</v>
      </c>
      <c r="G717" s="18" t="s">
        <v>10</v>
      </c>
      <c r="H717" s="18" t="s">
        <v>178</v>
      </c>
      <c r="I717" s="18" t="s">
        <v>10</v>
      </c>
      <c r="J717" s="18" t="s">
        <v>4017</v>
      </c>
      <c r="K717" s="20"/>
    </row>
    <row r="718" spans="1:11" ht="36.75" thickBot="1">
      <c r="A718" s="18" t="s">
        <v>5119</v>
      </c>
      <c r="B718" s="18">
        <v>20003489371</v>
      </c>
      <c r="C718" s="18" t="s">
        <v>5120</v>
      </c>
      <c r="D718" s="19">
        <v>45565.605555555558</v>
      </c>
      <c r="E718" s="18" t="s">
        <v>10</v>
      </c>
      <c r="F718" s="18">
        <v>375</v>
      </c>
      <c r="G718" s="18" t="s">
        <v>10</v>
      </c>
      <c r="H718" s="18" t="s">
        <v>178</v>
      </c>
      <c r="I718" s="18" t="s">
        <v>10</v>
      </c>
      <c r="J718" s="18" t="s">
        <v>4017</v>
      </c>
      <c r="K718" s="20"/>
    </row>
    <row r="719" spans="1:11" ht="36.75" thickBot="1">
      <c r="A719" s="18" t="s">
        <v>5121</v>
      </c>
      <c r="B719" s="18">
        <v>20027840423</v>
      </c>
      <c r="C719" s="18" t="s">
        <v>5122</v>
      </c>
      <c r="D719" s="19">
        <v>45565.647222222222</v>
      </c>
      <c r="E719" s="18" t="s">
        <v>10</v>
      </c>
      <c r="F719" s="18">
        <v>50</v>
      </c>
      <c r="G719" s="18" t="s">
        <v>10</v>
      </c>
      <c r="H719" s="18" t="s">
        <v>178</v>
      </c>
      <c r="I719" s="18" t="s">
        <v>10</v>
      </c>
      <c r="J719" s="18" t="s">
        <v>4017</v>
      </c>
      <c r="K719" s="20"/>
    </row>
    <row r="720" spans="1:11" ht="36.75" thickBot="1">
      <c r="A720" s="18" t="s">
        <v>5123</v>
      </c>
      <c r="B720" s="18">
        <v>20025749527</v>
      </c>
      <c r="C720" s="18" t="s">
        <v>5124</v>
      </c>
      <c r="D720" s="19">
        <v>45565.693055555559</v>
      </c>
      <c r="E720" s="18" t="s">
        <v>10</v>
      </c>
      <c r="F720" s="18">
        <v>100</v>
      </c>
      <c r="G720" s="18" t="s">
        <v>10</v>
      </c>
      <c r="H720" s="18" t="s">
        <v>178</v>
      </c>
      <c r="I720" s="18" t="s">
        <v>10</v>
      </c>
      <c r="J720" s="18" t="s">
        <v>4017</v>
      </c>
      <c r="K720" s="20"/>
    </row>
    <row r="721" spans="1:11" ht="54.75" thickBot="1">
      <c r="A721" s="18" t="s">
        <v>5125</v>
      </c>
      <c r="B721" s="18">
        <v>10553511158</v>
      </c>
      <c r="C721" s="18" t="s">
        <v>5126</v>
      </c>
      <c r="D721" s="19">
        <v>45566.648611111108</v>
      </c>
      <c r="E721" s="18" t="s">
        <v>10</v>
      </c>
      <c r="F721" s="18">
        <v>200</v>
      </c>
      <c r="G721" s="18" t="s">
        <v>10</v>
      </c>
      <c r="H721" s="18" t="s">
        <v>178</v>
      </c>
      <c r="I721" s="18" t="s">
        <v>10</v>
      </c>
      <c r="J721" s="18" t="s">
        <v>4017</v>
      </c>
      <c r="K721" s="20"/>
    </row>
    <row r="722" spans="1:11" ht="36.75" thickBot="1">
      <c r="A722" s="18" t="s">
        <v>5127</v>
      </c>
      <c r="B722" s="18">
        <v>20020672844</v>
      </c>
      <c r="C722" s="18" t="s">
        <v>5128</v>
      </c>
      <c r="D722" s="19">
        <v>45566.683333333334</v>
      </c>
      <c r="E722" s="18" t="s">
        <v>10</v>
      </c>
      <c r="F722" s="18">
        <v>100</v>
      </c>
      <c r="G722" s="18" t="s">
        <v>10</v>
      </c>
      <c r="H722" s="18" t="s">
        <v>178</v>
      </c>
      <c r="I722" s="18" t="s">
        <v>10</v>
      </c>
      <c r="J722" s="18" t="s">
        <v>4017</v>
      </c>
      <c r="K722" s="20"/>
    </row>
    <row r="723" spans="1:11" ht="36.75" thickBot="1">
      <c r="A723" s="18" t="s">
        <v>5129</v>
      </c>
      <c r="B723" s="18">
        <v>20003493003</v>
      </c>
      <c r="C723" s="18" t="s">
        <v>5130</v>
      </c>
      <c r="D723" s="19">
        <v>45567.454861111109</v>
      </c>
      <c r="E723" s="18" t="s">
        <v>10</v>
      </c>
      <c r="F723" s="18">
        <v>210</v>
      </c>
      <c r="G723" s="18" t="s">
        <v>10</v>
      </c>
      <c r="H723" s="18" t="s">
        <v>178</v>
      </c>
      <c r="I723" s="18" t="s">
        <v>10</v>
      </c>
      <c r="J723" s="18" t="s">
        <v>4017</v>
      </c>
      <c r="K723" s="20"/>
    </row>
    <row r="724" spans="1:11" ht="36.75" thickBot="1">
      <c r="A724" s="18" t="s">
        <v>5131</v>
      </c>
      <c r="B724" s="18">
        <v>20027597300</v>
      </c>
      <c r="C724" s="18" t="s">
        <v>5132</v>
      </c>
      <c r="D724" s="19">
        <v>45567.46597222222</v>
      </c>
      <c r="E724" s="18" t="s">
        <v>10</v>
      </c>
      <c r="F724" s="18">
        <v>30</v>
      </c>
      <c r="G724" s="18" t="s">
        <v>10</v>
      </c>
      <c r="H724" s="18" t="s">
        <v>178</v>
      </c>
      <c r="I724" s="18" t="s">
        <v>10</v>
      </c>
      <c r="J724" s="18" t="s">
        <v>4017</v>
      </c>
      <c r="K724" s="20"/>
    </row>
    <row r="725" spans="1:11" ht="36.75" thickBot="1">
      <c r="A725" s="18" t="s">
        <v>5133</v>
      </c>
      <c r="B725" s="18">
        <v>20003042770</v>
      </c>
      <c r="C725" s="18" t="s">
        <v>4565</v>
      </c>
      <c r="D725" s="19">
        <v>45567.555555555555</v>
      </c>
      <c r="E725" s="18" t="s">
        <v>10</v>
      </c>
      <c r="F725" s="18">
        <v>375</v>
      </c>
      <c r="G725" s="18" t="s">
        <v>10</v>
      </c>
      <c r="H725" s="18" t="s">
        <v>178</v>
      </c>
      <c r="I725" s="18" t="s">
        <v>10</v>
      </c>
      <c r="J725" s="18" t="s">
        <v>4017</v>
      </c>
      <c r="K725" s="20"/>
    </row>
    <row r="726" spans="1:11" ht="36.75" thickBot="1">
      <c r="A726" s="18" t="s">
        <v>5134</v>
      </c>
      <c r="B726" s="18">
        <v>20003118712</v>
      </c>
      <c r="C726" s="18" t="s">
        <v>5135</v>
      </c>
      <c r="D726" s="19">
        <v>45568.4</v>
      </c>
      <c r="E726" s="18" t="s">
        <v>10</v>
      </c>
      <c r="F726" s="18">
        <v>875</v>
      </c>
      <c r="G726" s="18" t="s">
        <v>10</v>
      </c>
      <c r="H726" s="18" t="s">
        <v>178</v>
      </c>
      <c r="I726" s="18" t="s">
        <v>10</v>
      </c>
      <c r="J726" s="18" t="s">
        <v>4017</v>
      </c>
      <c r="K726" s="20"/>
    </row>
    <row r="727" spans="1:11" ht="36.75" thickBot="1">
      <c r="A727" s="18" t="s">
        <v>5136</v>
      </c>
      <c r="B727" s="18">
        <v>20016341495</v>
      </c>
      <c r="C727" s="18" t="s">
        <v>5137</v>
      </c>
      <c r="D727" s="19">
        <v>45568.438194444447</v>
      </c>
      <c r="E727" s="18" t="s">
        <v>10</v>
      </c>
      <c r="F727" s="18">
        <v>40</v>
      </c>
      <c r="G727" s="18" t="s">
        <v>10</v>
      </c>
      <c r="H727" s="18" t="s">
        <v>178</v>
      </c>
      <c r="I727" s="18" t="s">
        <v>10</v>
      </c>
      <c r="J727" s="18" t="s">
        <v>4017</v>
      </c>
      <c r="K727" s="20"/>
    </row>
    <row r="728" spans="1:11" ht="36.75" thickBot="1">
      <c r="A728" s="18" t="s">
        <v>5138</v>
      </c>
      <c r="B728" s="18">
        <v>20017639155</v>
      </c>
      <c r="C728" s="18" t="s">
        <v>5139</v>
      </c>
      <c r="D728" s="19">
        <v>45568.754166666666</v>
      </c>
      <c r="E728" s="18" t="s">
        <v>10</v>
      </c>
      <c r="F728" s="18">
        <v>50</v>
      </c>
      <c r="G728" s="18" t="s">
        <v>10</v>
      </c>
      <c r="H728" s="18" t="s">
        <v>178</v>
      </c>
      <c r="I728" s="18" t="s">
        <v>10</v>
      </c>
      <c r="J728" s="18" t="s">
        <v>4017</v>
      </c>
      <c r="K728" s="20"/>
    </row>
    <row r="729" spans="1:11" ht="36.75" thickBot="1">
      <c r="A729" s="18" t="s">
        <v>5140</v>
      </c>
      <c r="B729" s="18">
        <v>20019137700</v>
      </c>
      <c r="C729" s="18" t="s">
        <v>5141</v>
      </c>
      <c r="D729" s="19">
        <v>45569.462500000001</v>
      </c>
      <c r="E729" s="18" t="s">
        <v>10</v>
      </c>
      <c r="F729" s="18">
        <v>900</v>
      </c>
      <c r="G729" s="18" t="s">
        <v>10</v>
      </c>
      <c r="H729" s="18" t="s">
        <v>178</v>
      </c>
      <c r="I729" s="18" t="s">
        <v>10</v>
      </c>
      <c r="J729" s="18" t="s">
        <v>4017</v>
      </c>
      <c r="K729" s="20"/>
    </row>
    <row r="730" spans="1:11" ht="36.75" thickBot="1">
      <c r="A730" s="18" t="s">
        <v>5142</v>
      </c>
      <c r="B730" s="18">
        <v>20003497807</v>
      </c>
      <c r="C730" s="18" t="s">
        <v>5143</v>
      </c>
      <c r="D730" s="19">
        <v>45569.707638888889</v>
      </c>
      <c r="E730" s="18" t="s">
        <v>10</v>
      </c>
      <c r="F730" s="18">
        <v>30</v>
      </c>
      <c r="G730" s="18" t="s">
        <v>10</v>
      </c>
      <c r="H730" s="18" t="s">
        <v>178</v>
      </c>
      <c r="I730" s="18" t="s">
        <v>10</v>
      </c>
      <c r="J730" s="18" t="s">
        <v>4017</v>
      </c>
      <c r="K730" s="20"/>
    </row>
    <row r="731" spans="1:11" ht="36.75" thickBot="1">
      <c r="A731" s="18" t="s">
        <v>5144</v>
      </c>
      <c r="B731" s="18">
        <v>20020972689</v>
      </c>
      <c r="C731" s="18" t="s">
        <v>4457</v>
      </c>
      <c r="D731" s="19">
        <v>45569.771527777775</v>
      </c>
      <c r="E731" s="18" t="s">
        <v>10</v>
      </c>
      <c r="F731" s="18">
        <v>400</v>
      </c>
      <c r="G731" s="18" t="s">
        <v>10</v>
      </c>
      <c r="H731" s="18" t="s">
        <v>178</v>
      </c>
      <c r="I731" s="18" t="s">
        <v>10</v>
      </c>
      <c r="J731" s="18" t="s">
        <v>4017</v>
      </c>
      <c r="K731" s="20"/>
    </row>
    <row r="732" spans="1:11" ht="36.75" thickBot="1">
      <c r="A732" s="18" t="s">
        <v>5145</v>
      </c>
      <c r="B732" s="18">
        <v>20003209369</v>
      </c>
      <c r="C732" s="18" t="s">
        <v>4435</v>
      </c>
      <c r="D732" s="19">
        <v>45533.756944444445</v>
      </c>
      <c r="E732" s="19">
        <v>45570.328472222223</v>
      </c>
      <c r="F732" s="18">
        <v>975</v>
      </c>
      <c r="G732" s="19">
        <v>45604.493750000001</v>
      </c>
      <c r="H732" s="18" t="s">
        <v>236</v>
      </c>
      <c r="I732" s="18" t="s">
        <v>10</v>
      </c>
      <c r="J732" s="18" t="s">
        <v>4017</v>
      </c>
      <c r="K732" s="20"/>
    </row>
    <row r="733" spans="1:11" ht="36.75" thickBot="1">
      <c r="A733" s="18" t="s">
        <v>5146</v>
      </c>
      <c r="B733" s="18">
        <v>20003459473</v>
      </c>
      <c r="C733" s="18" t="s">
        <v>5147</v>
      </c>
      <c r="D733" s="19">
        <v>45570.588194444441</v>
      </c>
      <c r="E733" s="18" t="s">
        <v>10</v>
      </c>
      <c r="F733" s="18">
        <v>30</v>
      </c>
      <c r="G733" s="18" t="s">
        <v>10</v>
      </c>
      <c r="H733" s="18" t="s">
        <v>178</v>
      </c>
      <c r="I733" s="18" t="s">
        <v>10</v>
      </c>
      <c r="J733" s="18" t="s">
        <v>4017</v>
      </c>
      <c r="K733" s="20"/>
    </row>
    <row r="734" spans="1:11" ht="36.75" thickBot="1">
      <c r="A734" s="18" t="s">
        <v>5148</v>
      </c>
      <c r="B734" s="18">
        <v>20003551975</v>
      </c>
      <c r="C734" s="18" t="s">
        <v>5149</v>
      </c>
      <c r="D734" s="19">
        <v>45570.995138888888</v>
      </c>
      <c r="E734" s="18" t="s">
        <v>10</v>
      </c>
      <c r="F734" s="18">
        <v>40</v>
      </c>
      <c r="G734" s="19">
        <v>45649.517361111109</v>
      </c>
      <c r="H734" s="18" t="s">
        <v>236</v>
      </c>
      <c r="I734" s="18" t="s">
        <v>10</v>
      </c>
      <c r="J734" s="18" t="s">
        <v>4017</v>
      </c>
      <c r="K734" s="20"/>
    </row>
    <row r="735" spans="1:11" ht="36.75" thickBot="1">
      <c r="A735" s="18" t="s">
        <v>5150</v>
      </c>
      <c r="B735" s="18">
        <v>20003403529</v>
      </c>
      <c r="C735" s="18" t="s">
        <v>5151</v>
      </c>
      <c r="D735" s="19">
        <v>45572.781944444447</v>
      </c>
      <c r="E735" s="18" t="s">
        <v>10</v>
      </c>
      <c r="F735" s="18">
        <v>800</v>
      </c>
      <c r="G735" s="18" t="s">
        <v>10</v>
      </c>
      <c r="H735" s="18" t="s">
        <v>178</v>
      </c>
      <c r="I735" s="18" t="s">
        <v>10</v>
      </c>
      <c r="J735" s="18" t="s">
        <v>4017</v>
      </c>
      <c r="K735" s="20"/>
    </row>
    <row r="736" spans="1:11" ht="36.75" thickBot="1">
      <c r="A736" s="18" t="s">
        <v>5152</v>
      </c>
      <c r="B736" s="18">
        <v>20021460322</v>
      </c>
      <c r="C736" s="18" t="s">
        <v>4871</v>
      </c>
      <c r="D736" s="19">
        <v>45573.013194444444</v>
      </c>
      <c r="E736" s="18" t="s">
        <v>10</v>
      </c>
      <c r="F736" s="18">
        <v>300</v>
      </c>
      <c r="G736" s="18" t="s">
        <v>10</v>
      </c>
      <c r="H736" s="18" t="s">
        <v>178</v>
      </c>
      <c r="I736" s="18" t="s">
        <v>10</v>
      </c>
      <c r="J736" s="18" t="s">
        <v>4017</v>
      </c>
      <c r="K736" s="20"/>
    </row>
    <row r="737" spans="1:11" ht="36.75" thickBot="1">
      <c r="A737" s="18" t="s">
        <v>5153</v>
      </c>
      <c r="B737" s="18">
        <v>20003489158</v>
      </c>
      <c r="C737" s="18" t="s">
        <v>5154</v>
      </c>
      <c r="D737" s="19">
        <v>45573.420138888891</v>
      </c>
      <c r="E737" s="18" t="s">
        <v>10</v>
      </c>
      <c r="F737" s="18">
        <v>400</v>
      </c>
      <c r="G737" s="18" t="s">
        <v>10</v>
      </c>
      <c r="H737" s="18" t="s">
        <v>178</v>
      </c>
      <c r="I737" s="18" t="s">
        <v>10</v>
      </c>
      <c r="J737" s="18" t="s">
        <v>4017</v>
      </c>
      <c r="K737" s="20"/>
    </row>
    <row r="738" spans="1:11" ht="36.75" thickBot="1">
      <c r="A738" s="18" t="s">
        <v>5155</v>
      </c>
      <c r="B738" s="18">
        <v>20028039533</v>
      </c>
      <c r="C738" s="18" t="s">
        <v>5156</v>
      </c>
      <c r="D738" s="19">
        <v>45573.479166666664</v>
      </c>
      <c r="E738" s="18" t="s">
        <v>10</v>
      </c>
      <c r="F738" s="18">
        <v>50</v>
      </c>
      <c r="G738" s="18" t="s">
        <v>10</v>
      </c>
      <c r="H738" s="18" t="s">
        <v>178</v>
      </c>
      <c r="I738" s="18" t="s">
        <v>10</v>
      </c>
      <c r="J738" s="18" t="s">
        <v>4017</v>
      </c>
      <c r="K738" s="20"/>
    </row>
    <row r="739" spans="1:11" ht="36.75" thickBot="1">
      <c r="A739" s="18" t="s">
        <v>5157</v>
      </c>
      <c r="B739" s="18">
        <v>20016515775</v>
      </c>
      <c r="C739" s="18" t="s">
        <v>4503</v>
      </c>
      <c r="D739" s="19">
        <v>45573.606249999997</v>
      </c>
      <c r="E739" s="18" t="s">
        <v>10</v>
      </c>
      <c r="F739" s="18">
        <v>250</v>
      </c>
      <c r="G739" s="19">
        <v>45684.602777777778</v>
      </c>
      <c r="H739" s="18" t="s">
        <v>236</v>
      </c>
      <c r="I739" s="18" t="s">
        <v>10</v>
      </c>
      <c r="J739" s="18" t="s">
        <v>4017</v>
      </c>
      <c r="K739" s="20"/>
    </row>
    <row r="740" spans="1:11" ht="36.75" thickBot="1">
      <c r="A740" s="18" t="s">
        <v>5158</v>
      </c>
      <c r="B740" s="18">
        <v>20003042988</v>
      </c>
      <c r="C740" s="18" t="s">
        <v>4415</v>
      </c>
      <c r="D740" s="19">
        <v>45573.609722222223</v>
      </c>
      <c r="E740" s="18" t="s">
        <v>10</v>
      </c>
      <c r="F740" s="18">
        <v>350</v>
      </c>
      <c r="G740" s="18" t="s">
        <v>10</v>
      </c>
      <c r="H740" s="18" t="s">
        <v>178</v>
      </c>
      <c r="I740" s="18" t="s">
        <v>10</v>
      </c>
      <c r="J740" s="18" t="s">
        <v>4017</v>
      </c>
      <c r="K740" s="20"/>
    </row>
    <row r="741" spans="1:11" ht="36.75" thickBot="1">
      <c r="A741" s="18" t="s">
        <v>5159</v>
      </c>
      <c r="B741" s="18">
        <v>20003497621</v>
      </c>
      <c r="C741" s="18" t="s">
        <v>4209</v>
      </c>
      <c r="D741" s="19">
        <v>45573.656944444447</v>
      </c>
      <c r="E741" s="18" t="s">
        <v>10</v>
      </c>
      <c r="F741" s="18">
        <v>600</v>
      </c>
      <c r="G741" s="18" t="s">
        <v>10</v>
      </c>
      <c r="H741" s="18" t="s">
        <v>178</v>
      </c>
      <c r="I741" s="18" t="s">
        <v>10</v>
      </c>
      <c r="J741" s="18" t="s">
        <v>4017</v>
      </c>
      <c r="K741" s="20"/>
    </row>
    <row r="742" spans="1:11" ht="36.75" thickBot="1">
      <c r="A742" s="18" t="s">
        <v>5160</v>
      </c>
      <c r="B742" s="18">
        <v>20016377327</v>
      </c>
      <c r="C742" s="18" t="s">
        <v>1790</v>
      </c>
      <c r="D742" s="19">
        <v>45573.741666666669</v>
      </c>
      <c r="E742" s="18" t="s">
        <v>10</v>
      </c>
      <c r="F742" s="18">
        <v>3</v>
      </c>
      <c r="G742" s="18" t="s">
        <v>10</v>
      </c>
      <c r="H742" s="18" t="s">
        <v>178</v>
      </c>
      <c r="I742" s="18" t="s">
        <v>10</v>
      </c>
      <c r="J742" s="18" t="s">
        <v>4017</v>
      </c>
      <c r="K742" s="20"/>
    </row>
    <row r="743" spans="1:11" ht="36.75" thickBot="1">
      <c r="A743" s="18" t="s">
        <v>5161</v>
      </c>
      <c r="B743" s="18">
        <v>20018471705</v>
      </c>
      <c r="C743" s="18" t="s">
        <v>5162</v>
      </c>
      <c r="D743" s="19">
        <v>45574.593055555553</v>
      </c>
      <c r="E743" s="18" t="s">
        <v>10</v>
      </c>
      <c r="F743" s="18">
        <v>190</v>
      </c>
      <c r="G743" s="18" t="s">
        <v>10</v>
      </c>
      <c r="H743" s="18" t="s">
        <v>178</v>
      </c>
      <c r="I743" s="18" t="s">
        <v>10</v>
      </c>
      <c r="J743" s="18" t="s">
        <v>4017</v>
      </c>
      <c r="K743" s="20"/>
    </row>
    <row r="744" spans="1:11" ht="36.75" thickBot="1">
      <c r="A744" s="18" t="s">
        <v>5163</v>
      </c>
      <c r="B744" s="18">
        <v>20003432629</v>
      </c>
      <c r="C744" s="18" t="s">
        <v>5164</v>
      </c>
      <c r="D744" s="19">
        <v>45574.662499999999</v>
      </c>
      <c r="E744" s="18" t="s">
        <v>10</v>
      </c>
      <c r="F744" s="18">
        <v>40</v>
      </c>
      <c r="G744" s="18" t="s">
        <v>10</v>
      </c>
      <c r="H744" s="18" t="s">
        <v>178</v>
      </c>
      <c r="I744" s="18" t="s">
        <v>10</v>
      </c>
      <c r="J744" s="18" t="s">
        <v>4017</v>
      </c>
      <c r="K744" s="20"/>
    </row>
    <row r="745" spans="1:11" ht="36.75" thickBot="1">
      <c r="A745" s="18" t="s">
        <v>5165</v>
      </c>
      <c r="B745" s="18">
        <v>20003311188</v>
      </c>
      <c r="C745" s="18" t="s">
        <v>5166</v>
      </c>
      <c r="D745" s="19">
        <v>45575.018055555556</v>
      </c>
      <c r="E745" s="18" t="s">
        <v>10</v>
      </c>
      <c r="F745" s="18">
        <v>100</v>
      </c>
      <c r="G745" s="18" t="s">
        <v>10</v>
      </c>
      <c r="H745" s="18" t="s">
        <v>178</v>
      </c>
      <c r="I745" s="18" t="s">
        <v>10</v>
      </c>
      <c r="J745" s="18" t="s">
        <v>4017</v>
      </c>
      <c r="K745" s="20"/>
    </row>
    <row r="746" spans="1:11" ht="36.75" thickBot="1">
      <c r="A746" s="18" t="s">
        <v>5167</v>
      </c>
      <c r="B746" s="18">
        <v>20003485705</v>
      </c>
      <c r="C746" s="18" t="s">
        <v>4715</v>
      </c>
      <c r="D746" s="19">
        <v>45575.03125</v>
      </c>
      <c r="E746" s="18" t="s">
        <v>10</v>
      </c>
      <c r="F746" s="18">
        <v>180</v>
      </c>
      <c r="G746" s="18" t="s">
        <v>10</v>
      </c>
      <c r="H746" s="18" t="s">
        <v>178</v>
      </c>
      <c r="I746" s="18" t="s">
        <v>10</v>
      </c>
      <c r="J746" s="18" t="s">
        <v>4017</v>
      </c>
      <c r="K746" s="20"/>
    </row>
    <row r="747" spans="1:11" ht="36.75" thickBot="1">
      <c r="A747" s="18" t="s">
        <v>5168</v>
      </c>
      <c r="B747" s="18">
        <v>20023398193</v>
      </c>
      <c r="C747" s="18" t="s">
        <v>4700</v>
      </c>
      <c r="D747" s="19">
        <v>45575.390972222223</v>
      </c>
      <c r="E747" s="18" t="s">
        <v>10</v>
      </c>
      <c r="F747" s="18">
        <v>36</v>
      </c>
      <c r="G747" s="18" t="s">
        <v>10</v>
      </c>
      <c r="H747" s="18" t="s">
        <v>178</v>
      </c>
      <c r="I747" s="18" t="s">
        <v>10</v>
      </c>
      <c r="J747" s="18" t="s">
        <v>4017</v>
      </c>
      <c r="K747" s="20"/>
    </row>
    <row r="748" spans="1:11" ht="36.75" thickBot="1">
      <c r="A748" s="18" t="s">
        <v>5169</v>
      </c>
      <c r="B748" s="18">
        <v>20022957843</v>
      </c>
      <c r="C748" s="18" t="s">
        <v>4696</v>
      </c>
      <c r="D748" s="19">
        <v>45575.553472222222</v>
      </c>
      <c r="E748" s="18" t="s">
        <v>10</v>
      </c>
      <c r="F748" s="18">
        <v>36</v>
      </c>
      <c r="G748" s="18" t="s">
        <v>10</v>
      </c>
      <c r="H748" s="18" t="s">
        <v>178</v>
      </c>
      <c r="I748" s="18" t="s">
        <v>10</v>
      </c>
      <c r="J748" s="18" t="s">
        <v>4017</v>
      </c>
      <c r="K748" s="20"/>
    </row>
    <row r="749" spans="1:11" ht="36.75" thickBot="1">
      <c r="A749" s="18" t="s">
        <v>5170</v>
      </c>
      <c r="B749" s="18">
        <v>20003334372</v>
      </c>
      <c r="C749" s="18" t="s">
        <v>5171</v>
      </c>
      <c r="D749" s="19">
        <v>45575.659722222219</v>
      </c>
      <c r="E749" s="18" t="s">
        <v>10</v>
      </c>
      <c r="F749" s="18">
        <v>100</v>
      </c>
      <c r="G749" s="18" t="s">
        <v>10</v>
      </c>
      <c r="H749" s="18" t="s">
        <v>178</v>
      </c>
      <c r="I749" s="18" t="s">
        <v>10</v>
      </c>
      <c r="J749" s="18" t="s">
        <v>4017</v>
      </c>
      <c r="K749" s="20"/>
    </row>
    <row r="750" spans="1:11" ht="36.75" thickBot="1">
      <c r="A750" s="18" t="s">
        <v>5172</v>
      </c>
      <c r="B750" s="18">
        <v>20018681684</v>
      </c>
      <c r="C750" s="18" t="s">
        <v>4878</v>
      </c>
      <c r="D750" s="19">
        <v>45576.380555555559</v>
      </c>
      <c r="E750" s="18" t="s">
        <v>10</v>
      </c>
      <c r="F750" s="18">
        <v>200</v>
      </c>
      <c r="G750" s="18" t="s">
        <v>10</v>
      </c>
      <c r="H750" s="18" t="s">
        <v>178</v>
      </c>
      <c r="I750" s="18" t="s">
        <v>10</v>
      </c>
      <c r="J750" s="18" t="s">
        <v>4017</v>
      </c>
      <c r="K750" s="20"/>
    </row>
    <row r="751" spans="1:11" ht="36.75" thickBot="1">
      <c r="A751" s="18" t="s">
        <v>5173</v>
      </c>
      <c r="B751" s="18">
        <v>20003337709</v>
      </c>
      <c r="C751" s="18" t="s">
        <v>5174</v>
      </c>
      <c r="D751" s="19">
        <v>45576.405555555553</v>
      </c>
      <c r="E751" s="18" t="s">
        <v>10</v>
      </c>
      <c r="F751" s="18">
        <v>120</v>
      </c>
      <c r="G751" s="18" t="s">
        <v>10</v>
      </c>
      <c r="H751" s="18" t="s">
        <v>178</v>
      </c>
      <c r="I751" s="18" t="s">
        <v>10</v>
      </c>
      <c r="J751" s="18" t="s">
        <v>4017</v>
      </c>
      <c r="K751" s="20"/>
    </row>
    <row r="752" spans="1:11" ht="36.75" thickBot="1">
      <c r="A752" s="18" t="s">
        <v>5175</v>
      </c>
      <c r="B752" s="18">
        <v>20003487569</v>
      </c>
      <c r="C752" s="18" t="s">
        <v>5176</v>
      </c>
      <c r="D752" s="19">
        <v>45576.538194444445</v>
      </c>
      <c r="E752" s="18" t="s">
        <v>10</v>
      </c>
      <c r="F752" s="18">
        <v>100</v>
      </c>
      <c r="G752" s="18" t="s">
        <v>10</v>
      </c>
      <c r="H752" s="18" t="s">
        <v>178</v>
      </c>
      <c r="I752" s="18" t="s">
        <v>10</v>
      </c>
      <c r="J752" s="18" t="s">
        <v>4017</v>
      </c>
      <c r="K752" s="20"/>
    </row>
    <row r="753" spans="1:11" ht="36.75" thickBot="1">
      <c r="A753" s="18" t="s">
        <v>5177</v>
      </c>
      <c r="B753" s="18">
        <v>20027690999</v>
      </c>
      <c r="C753" s="18" t="s">
        <v>5178</v>
      </c>
      <c r="D753" s="19">
        <v>45507.634722222225</v>
      </c>
      <c r="E753" s="19">
        <v>45576.620833333334</v>
      </c>
      <c r="F753" s="18">
        <v>100</v>
      </c>
      <c r="G753" s="19">
        <v>45629.584027777775</v>
      </c>
      <c r="H753" s="18" t="s">
        <v>236</v>
      </c>
      <c r="I753" s="18" t="s">
        <v>10</v>
      </c>
      <c r="J753" s="18" t="s">
        <v>4017</v>
      </c>
      <c r="K753" s="20"/>
    </row>
    <row r="754" spans="1:11" ht="36.75" thickBot="1">
      <c r="A754" s="18" t="s">
        <v>5179</v>
      </c>
      <c r="B754" s="18">
        <v>20019102870</v>
      </c>
      <c r="C754" s="18" t="s">
        <v>4284</v>
      </c>
      <c r="D754" s="19">
        <v>45493.961805555555</v>
      </c>
      <c r="E754" s="19">
        <v>45579.939583333333</v>
      </c>
      <c r="F754" s="18">
        <v>100</v>
      </c>
      <c r="G754" s="18" t="s">
        <v>10</v>
      </c>
      <c r="H754" s="18" t="s">
        <v>178</v>
      </c>
      <c r="I754" s="18" t="s">
        <v>10</v>
      </c>
      <c r="J754" s="18" t="s">
        <v>4017</v>
      </c>
      <c r="K754" s="20"/>
    </row>
    <row r="755" spans="1:11" ht="36.75" thickBot="1">
      <c r="A755" s="18" t="s">
        <v>5180</v>
      </c>
      <c r="B755" s="18">
        <v>20025731137</v>
      </c>
      <c r="C755" s="18" t="s">
        <v>5181</v>
      </c>
      <c r="D755" s="19">
        <v>45580.725694444445</v>
      </c>
      <c r="E755" s="18" t="s">
        <v>10</v>
      </c>
      <c r="F755" s="18">
        <v>100</v>
      </c>
      <c r="G755" s="18" t="s">
        <v>10</v>
      </c>
      <c r="H755" s="18" t="s">
        <v>178</v>
      </c>
      <c r="I755" s="18" t="s">
        <v>10</v>
      </c>
      <c r="J755" s="18" t="s">
        <v>4017</v>
      </c>
      <c r="K755" s="20"/>
    </row>
    <row r="756" spans="1:11" ht="36.75" thickBot="1">
      <c r="A756" s="18" t="s">
        <v>5182</v>
      </c>
      <c r="B756" s="18">
        <v>20003511106</v>
      </c>
      <c r="C756" s="18" t="s">
        <v>5183</v>
      </c>
      <c r="D756" s="19">
        <v>45498.372916666667</v>
      </c>
      <c r="E756" s="19">
        <v>45581.385416666664</v>
      </c>
      <c r="F756" s="18">
        <v>225</v>
      </c>
      <c r="G756" s="19">
        <v>45624.460416666669</v>
      </c>
      <c r="H756" s="18" t="s">
        <v>178</v>
      </c>
      <c r="I756" s="18" t="s">
        <v>10</v>
      </c>
      <c r="J756" s="18" t="s">
        <v>4017</v>
      </c>
      <c r="K756" s="20"/>
    </row>
    <row r="757" spans="1:11" ht="36.75" thickBot="1">
      <c r="A757" s="18" t="s">
        <v>5184</v>
      </c>
      <c r="B757" s="18">
        <v>20003058745</v>
      </c>
      <c r="C757" s="18" t="s">
        <v>4514</v>
      </c>
      <c r="D757" s="19">
        <v>45581.399305555555</v>
      </c>
      <c r="E757" s="18" t="s">
        <v>10</v>
      </c>
      <c r="F757" s="18">
        <v>360</v>
      </c>
      <c r="G757" s="18" t="s">
        <v>10</v>
      </c>
      <c r="H757" s="18" t="s">
        <v>178</v>
      </c>
      <c r="I757" s="18" t="s">
        <v>10</v>
      </c>
      <c r="J757" s="18" t="s">
        <v>4017</v>
      </c>
      <c r="K757" s="20"/>
    </row>
    <row r="758" spans="1:11" ht="72.75" thickBot="1">
      <c r="A758" s="18" t="s">
        <v>5185</v>
      </c>
      <c r="B758" s="18">
        <v>20003476979</v>
      </c>
      <c r="C758" s="18" t="s">
        <v>4472</v>
      </c>
      <c r="D758" s="19">
        <v>45531.493055555555</v>
      </c>
      <c r="E758" s="19">
        <v>45581.402777777781</v>
      </c>
      <c r="F758" s="18">
        <v>250</v>
      </c>
      <c r="G758" s="19">
        <v>45646.491666666669</v>
      </c>
      <c r="H758" s="18" t="s">
        <v>2688</v>
      </c>
      <c r="I758" s="18" t="s">
        <v>10</v>
      </c>
      <c r="J758" s="18" t="s">
        <v>4017</v>
      </c>
      <c r="K758" s="20"/>
    </row>
    <row r="759" spans="1:11" ht="36.75" thickBot="1">
      <c r="A759" s="18" t="s">
        <v>5186</v>
      </c>
      <c r="B759" s="18">
        <v>20003116685</v>
      </c>
      <c r="C759" s="18" t="s">
        <v>4525</v>
      </c>
      <c r="D759" s="19">
        <v>45581.479861111111</v>
      </c>
      <c r="E759" s="18" t="s">
        <v>10</v>
      </c>
      <c r="F759" s="18">
        <v>900</v>
      </c>
      <c r="G759" s="19">
        <v>45702.634027777778</v>
      </c>
      <c r="H759" s="18" t="s">
        <v>236</v>
      </c>
      <c r="I759" s="18" t="s">
        <v>10</v>
      </c>
      <c r="J759" s="18" t="s">
        <v>4017</v>
      </c>
      <c r="K759" s="20"/>
    </row>
    <row r="760" spans="1:11" ht="36.75" thickBot="1">
      <c r="A760" s="18" t="s">
        <v>5187</v>
      </c>
      <c r="B760" s="18">
        <v>20027117091</v>
      </c>
      <c r="C760" s="18" t="s">
        <v>4892</v>
      </c>
      <c r="D760" s="19">
        <v>45581.605555555558</v>
      </c>
      <c r="E760" s="18" t="s">
        <v>10</v>
      </c>
      <c r="F760" s="18">
        <v>90</v>
      </c>
      <c r="G760" s="18" t="s">
        <v>10</v>
      </c>
      <c r="H760" s="18" t="s">
        <v>178</v>
      </c>
      <c r="I760" s="18" t="s">
        <v>10</v>
      </c>
      <c r="J760" s="18" t="s">
        <v>4017</v>
      </c>
      <c r="K760" s="20"/>
    </row>
    <row r="761" spans="1:11" ht="36.75" thickBot="1">
      <c r="A761" s="18" t="s">
        <v>5188</v>
      </c>
      <c r="B761" s="18">
        <v>20003512736</v>
      </c>
      <c r="C761" s="18" t="s">
        <v>4894</v>
      </c>
      <c r="D761" s="19">
        <v>45581.620138888888</v>
      </c>
      <c r="E761" s="18" t="s">
        <v>10</v>
      </c>
      <c r="F761" s="18">
        <v>90</v>
      </c>
      <c r="G761" s="18" t="s">
        <v>10</v>
      </c>
      <c r="H761" s="18" t="s">
        <v>178</v>
      </c>
      <c r="I761" s="18" t="s">
        <v>10</v>
      </c>
      <c r="J761" s="18" t="s">
        <v>4017</v>
      </c>
      <c r="K761" s="20"/>
    </row>
    <row r="762" spans="1:11" ht="36.75" thickBot="1">
      <c r="A762" s="18" t="s">
        <v>5189</v>
      </c>
      <c r="B762" s="18">
        <v>20003477473</v>
      </c>
      <c r="C762" s="18" t="s">
        <v>5190</v>
      </c>
      <c r="D762" s="19">
        <v>45581.943749999999</v>
      </c>
      <c r="E762" s="18" t="s">
        <v>10</v>
      </c>
      <c r="F762" s="18">
        <v>875</v>
      </c>
      <c r="G762" s="18" t="s">
        <v>10</v>
      </c>
      <c r="H762" s="18" t="s">
        <v>178</v>
      </c>
      <c r="I762" s="18" t="s">
        <v>10</v>
      </c>
      <c r="J762" s="18" t="s">
        <v>4017</v>
      </c>
      <c r="K762" s="20"/>
    </row>
    <row r="763" spans="1:11" ht="36.75" thickBot="1">
      <c r="A763" s="18" t="s">
        <v>5191</v>
      </c>
      <c r="B763" s="18">
        <v>20022732555</v>
      </c>
      <c r="C763" s="18" t="s">
        <v>4169</v>
      </c>
      <c r="D763" s="19">
        <v>45498.745138888888</v>
      </c>
      <c r="E763" s="19">
        <v>45582.393750000003</v>
      </c>
      <c r="F763" s="18">
        <v>300</v>
      </c>
      <c r="G763" s="19">
        <v>45646.430555555555</v>
      </c>
      <c r="H763" s="18" t="s">
        <v>236</v>
      </c>
      <c r="I763" s="18" t="s">
        <v>10</v>
      </c>
      <c r="J763" s="18" t="s">
        <v>4017</v>
      </c>
      <c r="K763" s="20"/>
    </row>
    <row r="764" spans="1:11" ht="36.75" thickBot="1">
      <c r="A764" s="18" t="s">
        <v>5192</v>
      </c>
      <c r="B764" s="18">
        <v>20025360216</v>
      </c>
      <c r="C764" s="18" t="s">
        <v>5190</v>
      </c>
      <c r="D764" s="19">
        <v>45582.436111111114</v>
      </c>
      <c r="E764" s="18" t="s">
        <v>10</v>
      </c>
      <c r="F764" s="18">
        <v>900</v>
      </c>
      <c r="G764" s="18" t="s">
        <v>10</v>
      </c>
      <c r="H764" s="18" t="s">
        <v>178</v>
      </c>
      <c r="I764" s="18" t="s">
        <v>10</v>
      </c>
      <c r="J764" s="18" t="s">
        <v>4017</v>
      </c>
      <c r="K764" s="20"/>
    </row>
    <row r="765" spans="1:11" ht="36.75" thickBot="1">
      <c r="A765" s="18" t="s">
        <v>5193</v>
      </c>
      <c r="B765" s="18">
        <v>20023181627</v>
      </c>
      <c r="C765" s="18" t="s">
        <v>1334</v>
      </c>
      <c r="D765" s="19">
        <v>45582.447916666664</v>
      </c>
      <c r="E765" s="18" t="s">
        <v>10</v>
      </c>
      <c r="F765" s="18">
        <v>40</v>
      </c>
      <c r="G765" s="18" t="s">
        <v>10</v>
      </c>
      <c r="H765" s="18" t="s">
        <v>178</v>
      </c>
      <c r="I765" s="18" t="s">
        <v>10</v>
      </c>
      <c r="J765" s="18" t="s">
        <v>4017</v>
      </c>
      <c r="K765" s="20"/>
    </row>
    <row r="766" spans="1:11" ht="36.75" thickBot="1">
      <c r="A766" s="18" t="s">
        <v>5194</v>
      </c>
      <c r="B766" s="18">
        <v>20003486608</v>
      </c>
      <c r="C766" s="18" t="s">
        <v>4129</v>
      </c>
      <c r="D766" s="19">
        <v>45547.76458333333</v>
      </c>
      <c r="E766" s="19">
        <v>45582.645138888889</v>
      </c>
      <c r="F766" s="18">
        <v>150</v>
      </c>
      <c r="G766" s="19">
        <v>45623.626388888886</v>
      </c>
      <c r="H766" s="18" t="s">
        <v>2654</v>
      </c>
      <c r="I766" s="18" t="s">
        <v>10</v>
      </c>
      <c r="J766" s="18" t="s">
        <v>4017</v>
      </c>
      <c r="K766" s="20"/>
    </row>
    <row r="767" spans="1:11" ht="36.75" thickBot="1">
      <c r="A767" s="18" t="s">
        <v>5195</v>
      </c>
      <c r="B767" s="18">
        <v>20003348958</v>
      </c>
      <c r="C767" s="18" t="s">
        <v>5196</v>
      </c>
      <c r="D767" s="19">
        <v>45582.650694444441</v>
      </c>
      <c r="E767" s="18" t="s">
        <v>10</v>
      </c>
      <c r="F767" s="18">
        <v>30</v>
      </c>
      <c r="G767" s="18" t="s">
        <v>10</v>
      </c>
      <c r="H767" s="18" t="s">
        <v>178</v>
      </c>
      <c r="I767" s="18" t="s">
        <v>10</v>
      </c>
      <c r="J767" s="18" t="s">
        <v>4017</v>
      </c>
      <c r="K767" s="20"/>
    </row>
    <row r="768" spans="1:11" ht="36.75" thickBot="1">
      <c r="A768" s="18" t="s">
        <v>5197</v>
      </c>
      <c r="B768" s="18">
        <v>20017639155</v>
      </c>
      <c r="C768" s="18" t="s">
        <v>5198</v>
      </c>
      <c r="D768" s="19">
        <v>45582.695138888892</v>
      </c>
      <c r="E768" s="18" t="s">
        <v>10</v>
      </c>
      <c r="F768" s="18">
        <v>50</v>
      </c>
      <c r="G768" s="18" t="s">
        <v>10</v>
      </c>
      <c r="H768" s="18" t="s">
        <v>178</v>
      </c>
      <c r="I768" s="18" t="s">
        <v>10</v>
      </c>
      <c r="J768" s="18" t="s">
        <v>4017</v>
      </c>
      <c r="K768" s="20"/>
    </row>
    <row r="769" spans="1:11" ht="36.75" thickBot="1">
      <c r="A769" s="18" t="s">
        <v>5199</v>
      </c>
      <c r="B769" s="18">
        <v>20026413624</v>
      </c>
      <c r="C769" s="18" t="s">
        <v>4661</v>
      </c>
      <c r="D769" s="19">
        <v>45514.701388888891</v>
      </c>
      <c r="E769" s="19">
        <v>45583.343055555553</v>
      </c>
      <c r="F769" s="18">
        <v>50</v>
      </c>
      <c r="G769" s="19">
        <v>45624.398611111108</v>
      </c>
      <c r="H769" s="18" t="s">
        <v>236</v>
      </c>
      <c r="I769" s="18" t="s">
        <v>10</v>
      </c>
      <c r="J769" s="18" t="s">
        <v>4017</v>
      </c>
      <c r="K769" s="20"/>
    </row>
    <row r="770" spans="1:11" ht="36.75" thickBot="1">
      <c r="A770" s="18" t="s">
        <v>5200</v>
      </c>
      <c r="B770" s="18">
        <v>20020009169</v>
      </c>
      <c r="C770" s="18" t="s">
        <v>5201</v>
      </c>
      <c r="D770" s="19">
        <v>45583.493055555555</v>
      </c>
      <c r="E770" s="18" t="s">
        <v>10</v>
      </c>
      <c r="F770" s="18">
        <v>200</v>
      </c>
      <c r="G770" s="18" t="s">
        <v>10</v>
      </c>
      <c r="H770" s="18" t="s">
        <v>178</v>
      </c>
      <c r="I770" s="18" t="s">
        <v>10</v>
      </c>
      <c r="J770" s="18" t="s">
        <v>4017</v>
      </c>
      <c r="K770" s="20"/>
    </row>
    <row r="771" spans="1:11" ht="36.75" thickBot="1">
      <c r="A771" s="18" t="s">
        <v>5202</v>
      </c>
      <c r="B771" s="18">
        <v>20003191354</v>
      </c>
      <c r="C771" s="18" t="s">
        <v>5203</v>
      </c>
      <c r="D771" s="19">
        <v>45489.679861111108</v>
      </c>
      <c r="E771" s="19">
        <v>45584.457638888889</v>
      </c>
      <c r="F771" s="18">
        <v>450</v>
      </c>
      <c r="G771" s="19">
        <v>45651.613194444442</v>
      </c>
      <c r="H771" s="18" t="s">
        <v>236</v>
      </c>
      <c r="I771" s="18" t="s">
        <v>10</v>
      </c>
      <c r="J771" s="18" t="s">
        <v>4017</v>
      </c>
      <c r="K771" s="20"/>
    </row>
    <row r="772" spans="1:11" ht="36.75" thickBot="1">
      <c r="A772" s="18" t="s">
        <v>5204</v>
      </c>
      <c r="B772" s="18">
        <v>20003133136</v>
      </c>
      <c r="C772" s="18" t="s">
        <v>4924</v>
      </c>
      <c r="D772" s="19">
        <v>45584.722916666666</v>
      </c>
      <c r="E772" s="18" t="s">
        <v>10</v>
      </c>
      <c r="F772" s="18">
        <v>150</v>
      </c>
      <c r="G772" s="18" t="s">
        <v>10</v>
      </c>
      <c r="H772" s="18" t="s">
        <v>178</v>
      </c>
      <c r="I772" s="18" t="s">
        <v>10</v>
      </c>
      <c r="J772" s="18" t="s">
        <v>4017</v>
      </c>
      <c r="K772" s="20"/>
    </row>
    <row r="773" spans="1:11" ht="36.75" thickBot="1">
      <c r="A773" s="18" t="s">
        <v>5205</v>
      </c>
      <c r="B773" s="18">
        <v>20024877583</v>
      </c>
      <c r="C773" s="18" t="s">
        <v>5206</v>
      </c>
      <c r="D773" s="19">
        <v>45584.75</v>
      </c>
      <c r="E773" s="18" t="s">
        <v>10</v>
      </c>
      <c r="F773" s="18">
        <v>100</v>
      </c>
      <c r="G773" s="18" t="s">
        <v>10</v>
      </c>
      <c r="H773" s="18" t="s">
        <v>178</v>
      </c>
      <c r="I773" s="18" t="s">
        <v>10</v>
      </c>
      <c r="J773" s="18" t="s">
        <v>4017</v>
      </c>
      <c r="K773" s="20"/>
    </row>
    <row r="774" spans="1:11" ht="36.75" thickBot="1">
      <c r="A774" s="18" t="s">
        <v>5207</v>
      </c>
      <c r="B774" s="18">
        <v>20021874798</v>
      </c>
      <c r="C774" s="18" t="s">
        <v>5208</v>
      </c>
      <c r="D774" s="19">
        <v>45584.759722222225</v>
      </c>
      <c r="E774" s="18" t="s">
        <v>10</v>
      </c>
      <c r="F774" s="18">
        <v>100</v>
      </c>
      <c r="G774" s="18" t="s">
        <v>10</v>
      </c>
      <c r="H774" s="18" t="s">
        <v>178</v>
      </c>
      <c r="I774" s="18" t="s">
        <v>10</v>
      </c>
      <c r="J774" s="18" t="s">
        <v>4017</v>
      </c>
      <c r="K774" s="20"/>
    </row>
    <row r="775" spans="1:11" ht="36.75" thickBot="1">
      <c r="A775" s="18" t="s">
        <v>5209</v>
      </c>
      <c r="B775" s="18">
        <v>20003500555</v>
      </c>
      <c r="C775" s="18" t="s">
        <v>5210</v>
      </c>
      <c r="D775" s="19">
        <v>45586.424305555556</v>
      </c>
      <c r="E775" s="18" t="s">
        <v>10</v>
      </c>
      <c r="F775" s="18">
        <v>500</v>
      </c>
      <c r="G775" s="18" t="s">
        <v>10</v>
      </c>
      <c r="H775" s="18" t="s">
        <v>178</v>
      </c>
      <c r="I775" s="18" t="s">
        <v>10</v>
      </c>
      <c r="J775" s="18" t="s">
        <v>4017</v>
      </c>
      <c r="K775" s="20"/>
    </row>
    <row r="776" spans="1:11" ht="36.75" thickBot="1">
      <c r="A776" s="18" t="s">
        <v>5211</v>
      </c>
      <c r="B776" s="18">
        <v>20003108483</v>
      </c>
      <c r="C776" s="18" t="s">
        <v>4256</v>
      </c>
      <c r="D776" s="19">
        <v>45586.493750000001</v>
      </c>
      <c r="E776" s="18" t="s">
        <v>10</v>
      </c>
      <c r="F776" s="18">
        <v>100</v>
      </c>
      <c r="G776" s="18" t="s">
        <v>10</v>
      </c>
      <c r="H776" s="18" t="s">
        <v>178</v>
      </c>
      <c r="I776" s="18" t="s">
        <v>10</v>
      </c>
      <c r="J776" s="18" t="s">
        <v>4017</v>
      </c>
      <c r="K776" s="20"/>
    </row>
    <row r="777" spans="1:11" ht="54.75" thickBot="1">
      <c r="A777" s="18" t="s">
        <v>5212</v>
      </c>
      <c r="B777" s="18">
        <v>20026942270</v>
      </c>
      <c r="C777" s="18" t="s">
        <v>5213</v>
      </c>
      <c r="D777" s="19">
        <v>45587.429861111108</v>
      </c>
      <c r="E777" s="18" t="s">
        <v>10</v>
      </c>
      <c r="F777" s="18">
        <v>250</v>
      </c>
      <c r="G777" s="18" t="s">
        <v>10</v>
      </c>
      <c r="H777" s="18" t="s">
        <v>178</v>
      </c>
      <c r="I777" s="18" t="s">
        <v>10</v>
      </c>
      <c r="J777" s="18" t="s">
        <v>4017</v>
      </c>
      <c r="K777" s="20"/>
    </row>
    <row r="778" spans="1:11" ht="36.75" thickBot="1">
      <c r="A778" s="18" t="s">
        <v>5214</v>
      </c>
      <c r="B778" s="18">
        <v>20016341495</v>
      </c>
      <c r="C778" s="18" t="s">
        <v>5215</v>
      </c>
      <c r="D778" s="19">
        <v>45587.454861111109</v>
      </c>
      <c r="E778" s="18" t="s">
        <v>10</v>
      </c>
      <c r="F778" s="18">
        <v>40</v>
      </c>
      <c r="G778" s="18" t="s">
        <v>10</v>
      </c>
      <c r="H778" s="18" t="s">
        <v>178</v>
      </c>
      <c r="I778" s="18" t="s">
        <v>10</v>
      </c>
      <c r="J778" s="18" t="s">
        <v>4017</v>
      </c>
      <c r="K778" s="20"/>
    </row>
    <row r="779" spans="1:11" ht="36.75" thickBot="1">
      <c r="A779" s="18" t="s">
        <v>5216</v>
      </c>
      <c r="B779" s="18">
        <v>20022767715</v>
      </c>
      <c r="C779" s="18" t="s">
        <v>1836</v>
      </c>
      <c r="D779" s="19">
        <v>45587.517361111109</v>
      </c>
      <c r="E779" s="18" t="s">
        <v>10</v>
      </c>
      <c r="F779" s="18">
        <v>30</v>
      </c>
      <c r="G779" s="18" t="s">
        <v>10</v>
      </c>
      <c r="H779" s="18" t="s">
        <v>178</v>
      </c>
      <c r="I779" s="18" t="s">
        <v>10</v>
      </c>
      <c r="J779" s="18" t="s">
        <v>4017</v>
      </c>
      <c r="K779" s="20"/>
    </row>
    <row r="780" spans="1:11" ht="36.75" thickBot="1">
      <c r="A780" s="18" t="s">
        <v>5217</v>
      </c>
      <c r="B780" s="18">
        <v>20021133884</v>
      </c>
      <c r="C780" s="18" t="s">
        <v>1836</v>
      </c>
      <c r="D780" s="19">
        <v>45587.668055555558</v>
      </c>
      <c r="E780" s="18" t="s">
        <v>10</v>
      </c>
      <c r="F780" s="18">
        <v>30</v>
      </c>
      <c r="G780" s="18" t="s">
        <v>10</v>
      </c>
      <c r="H780" s="18" t="s">
        <v>178</v>
      </c>
      <c r="I780" s="18" t="s">
        <v>10</v>
      </c>
      <c r="J780" s="18" t="s">
        <v>4017</v>
      </c>
      <c r="K780" s="20"/>
    </row>
    <row r="781" spans="1:11" ht="36.75" thickBot="1">
      <c r="A781" s="18" t="s">
        <v>5218</v>
      </c>
      <c r="B781" s="18">
        <v>20017899766</v>
      </c>
      <c r="C781" s="18" t="s">
        <v>1836</v>
      </c>
      <c r="D781" s="19">
        <v>45587.715277777781</v>
      </c>
      <c r="E781" s="18" t="s">
        <v>10</v>
      </c>
      <c r="F781" s="18">
        <v>15</v>
      </c>
      <c r="G781" s="18" t="s">
        <v>10</v>
      </c>
      <c r="H781" s="18" t="s">
        <v>178</v>
      </c>
      <c r="I781" s="18" t="s">
        <v>10</v>
      </c>
      <c r="J781" s="18" t="s">
        <v>4017</v>
      </c>
      <c r="K781" s="20"/>
    </row>
    <row r="782" spans="1:11" ht="36.75" thickBot="1">
      <c r="A782" s="18" t="s">
        <v>5219</v>
      </c>
      <c r="B782" s="18">
        <v>20025731137</v>
      </c>
      <c r="C782" s="18" t="s">
        <v>5220</v>
      </c>
      <c r="D782" s="19">
        <v>45587.734722222223</v>
      </c>
      <c r="E782" s="18" t="s">
        <v>10</v>
      </c>
      <c r="F782" s="18">
        <v>100</v>
      </c>
      <c r="G782" s="18" t="s">
        <v>10</v>
      </c>
      <c r="H782" s="18" t="s">
        <v>178</v>
      </c>
      <c r="I782" s="18" t="s">
        <v>10</v>
      </c>
      <c r="J782" s="18" t="s">
        <v>4017</v>
      </c>
      <c r="K782" s="20"/>
    </row>
    <row r="783" spans="1:11" ht="54.75" thickBot="1">
      <c r="A783" s="18" t="s">
        <v>5221</v>
      </c>
      <c r="B783" s="18">
        <v>20020786217</v>
      </c>
      <c r="C783" s="18" t="s">
        <v>4785</v>
      </c>
      <c r="D783" s="19">
        <v>45588.430555555555</v>
      </c>
      <c r="E783" s="18" t="s">
        <v>10</v>
      </c>
      <c r="F783" s="18">
        <v>720</v>
      </c>
      <c r="G783" s="18" t="s">
        <v>10</v>
      </c>
      <c r="H783" s="18" t="s">
        <v>178</v>
      </c>
      <c r="I783" s="18" t="s">
        <v>10</v>
      </c>
      <c r="J783" s="18" t="s">
        <v>4017</v>
      </c>
      <c r="K783" s="20"/>
    </row>
    <row r="784" spans="1:11" ht="54.75" thickBot="1">
      <c r="A784" s="18" t="s">
        <v>5222</v>
      </c>
      <c r="B784" s="18">
        <v>20002834790</v>
      </c>
      <c r="C784" s="18" t="s">
        <v>5223</v>
      </c>
      <c r="D784" s="19">
        <v>45588.468055555553</v>
      </c>
      <c r="E784" s="18" t="s">
        <v>10</v>
      </c>
      <c r="F784" s="18">
        <v>50</v>
      </c>
      <c r="G784" s="18" t="s">
        <v>10</v>
      </c>
      <c r="H784" s="18" t="s">
        <v>178</v>
      </c>
      <c r="I784" s="18" t="s">
        <v>10</v>
      </c>
      <c r="J784" s="18" t="s">
        <v>4017</v>
      </c>
      <c r="K784" s="20"/>
    </row>
    <row r="785" spans="1:11" ht="36.75" thickBot="1">
      <c r="A785" s="18" t="s">
        <v>5224</v>
      </c>
      <c r="B785" s="18">
        <v>20023610938</v>
      </c>
      <c r="C785" s="18" t="s">
        <v>5225</v>
      </c>
      <c r="D785" s="19">
        <v>45588.532638888886</v>
      </c>
      <c r="E785" s="18" t="s">
        <v>10</v>
      </c>
      <c r="F785" s="18">
        <v>50</v>
      </c>
      <c r="G785" s="18" t="s">
        <v>10</v>
      </c>
      <c r="H785" s="18" t="s">
        <v>178</v>
      </c>
      <c r="I785" s="18" t="s">
        <v>10</v>
      </c>
      <c r="J785" s="18" t="s">
        <v>4017</v>
      </c>
      <c r="K785" s="20"/>
    </row>
    <row r="786" spans="1:11" ht="36.75" thickBot="1">
      <c r="A786" s="18" t="s">
        <v>5226</v>
      </c>
      <c r="B786" s="18">
        <v>20017807637</v>
      </c>
      <c r="C786" s="18" t="s">
        <v>1836</v>
      </c>
      <c r="D786" s="19">
        <v>45589.404861111114</v>
      </c>
      <c r="E786" s="18" t="s">
        <v>10</v>
      </c>
      <c r="F786" s="18">
        <v>30</v>
      </c>
      <c r="G786" s="18" t="s">
        <v>10</v>
      </c>
      <c r="H786" s="18" t="s">
        <v>178</v>
      </c>
      <c r="I786" s="18" t="s">
        <v>10</v>
      </c>
      <c r="J786" s="18" t="s">
        <v>4017</v>
      </c>
      <c r="K786" s="20"/>
    </row>
    <row r="787" spans="1:11" ht="36.75" thickBot="1">
      <c r="A787" s="18" t="s">
        <v>5227</v>
      </c>
      <c r="B787" s="18">
        <v>20019554269</v>
      </c>
      <c r="C787" s="18" t="s">
        <v>4258</v>
      </c>
      <c r="D787" s="19">
        <v>45589.418749999997</v>
      </c>
      <c r="E787" s="18" t="s">
        <v>10</v>
      </c>
      <c r="F787" s="18">
        <v>150</v>
      </c>
      <c r="G787" s="18" t="s">
        <v>10</v>
      </c>
      <c r="H787" s="18" t="s">
        <v>178</v>
      </c>
      <c r="I787" s="18" t="s">
        <v>10</v>
      </c>
      <c r="J787" s="18" t="s">
        <v>4017</v>
      </c>
      <c r="K787" s="20"/>
    </row>
    <row r="788" spans="1:11" ht="36.75" thickBot="1">
      <c r="A788" s="18" t="s">
        <v>5228</v>
      </c>
      <c r="B788" s="18">
        <v>20003357862</v>
      </c>
      <c r="C788" s="18" t="s">
        <v>4260</v>
      </c>
      <c r="D788" s="19">
        <v>45589.435416666667</v>
      </c>
      <c r="E788" s="18" t="s">
        <v>10</v>
      </c>
      <c r="F788" s="18">
        <v>50</v>
      </c>
      <c r="G788" s="18" t="s">
        <v>10</v>
      </c>
      <c r="H788" s="18" t="s">
        <v>178</v>
      </c>
      <c r="I788" s="18" t="s">
        <v>10</v>
      </c>
      <c r="J788" s="18" t="s">
        <v>4017</v>
      </c>
      <c r="K788" s="20"/>
    </row>
    <row r="789" spans="1:11" ht="36.75" thickBot="1">
      <c r="A789" s="18" t="s">
        <v>5229</v>
      </c>
      <c r="B789" s="18">
        <v>20026739668</v>
      </c>
      <c r="C789" s="18" t="s">
        <v>4260</v>
      </c>
      <c r="D789" s="19">
        <v>45589.443749999999</v>
      </c>
      <c r="E789" s="18" t="s">
        <v>10</v>
      </c>
      <c r="F789" s="18">
        <v>200</v>
      </c>
      <c r="G789" s="18" t="s">
        <v>10</v>
      </c>
      <c r="H789" s="18" t="s">
        <v>178</v>
      </c>
      <c r="I789" s="18" t="s">
        <v>10</v>
      </c>
      <c r="J789" s="18" t="s">
        <v>4017</v>
      </c>
      <c r="K789" s="20"/>
    </row>
    <row r="790" spans="1:11" ht="36.75" thickBot="1">
      <c r="A790" s="18" t="s">
        <v>5230</v>
      </c>
      <c r="B790" s="18">
        <v>20018425967</v>
      </c>
      <c r="C790" s="18" t="s">
        <v>1836</v>
      </c>
      <c r="D790" s="19">
        <v>45589.511111111111</v>
      </c>
      <c r="E790" s="18" t="s">
        <v>10</v>
      </c>
      <c r="F790" s="18">
        <v>20</v>
      </c>
      <c r="G790" s="18" t="s">
        <v>10</v>
      </c>
      <c r="H790" s="18" t="s">
        <v>178</v>
      </c>
      <c r="I790" s="18" t="s">
        <v>10</v>
      </c>
      <c r="J790" s="18" t="s">
        <v>4017</v>
      </c>
      <c r="K790" s="20"/>
    </row>
    <row r="791" spans="1:11" ht="36.75" thickBot="1">
      <c r="A791" s="18" t="s">
        <v>5231</v>
      </c>
      <c r="B791" s="18">
        <v>20018447541</v>
      </c>
      <c r="C791" s="18" t="s">
        <v>1836</v>
      </c>
      <c r="D791" s="19">
        <v>45589.591666666667</v>
      </c>
      <c r="E791" s="18" t="s">
        <v>10</v>
      </c>
      <c r="F791" s="18">
        <v>20</v>
      </c>
      <c r="G791" s="18" t="s">
        <v>10</v>
      </c>
      <c r="H791" s="18" t="s">
        <v>178</v>
      </c>
      <c r="I791" s="18" t="s">
        <v>10</v>
      </c>
      <c r="J791" s="18" t="s">
        <v>4017</v>
      </c>
      <c r="K791" s="20"/>
    </row>
    <row r="792" spans="1:11" ht="36.75" thickBot="1">
      <c r="A792" s="18" t="s">
        <v>5232</v>
      </c>
      <c r="B792" s="18">
        <v>20017077174</v>
      </c>
      <c r="C792" s="18" t="s">
        <v>1836</v>
      </c>
      <c r="D792" s="19">
        <v>45589.600694444445</v>
      </c>
      <c r="E792" s="18" t="s">
        <v>10</v>
      </c>
      <c r="F792" s="18">
        <v>30</v>
      </c>
      <c r="G792" s="18" t="s">
        <v>10</v>
      </c>
      <c r="H792" s="18" t="s">
        <v>178</v>
      </c>
      <c r="I792" s="18" t="s">
        <v>10</v>
      </c>
      <c r="J792" s="18" t="s">
        <v>4017</v>
      </c>
      <c r="K792" s="20"/>
    </row>
    <row r="793" spans="1:11" ht="36.75" thickBot="1">
      <c r="A793" s="18" t="s">
        <v>5233</v>
      </c>
      <c r="B793" s="18">
        <v>20017892796</v>
      </c>
      <c r="C793" s="18" t="s">
        <v>1836</v>
      </c>
      <c r="D793" s="19">
        <v>45589.661111111112</v>
      </c>
      <c r="E793" s="18" t="s">
        <v>10</v>
      </c>
      <c r="F793" s="18">
        <v>20</v>
      </c>
      <c r="G793" s="18" t="s">
        <v>10</v>
      </c>
      <c r="H793" s="18" t="s">
        <v>178</v>
      </c>
      <c r="I793" s="18" t="s">
        <v>10</v>
      </c>
      <c r="J793" s="18" t="s">
        <v>4017</v>
      </c>
      <c r="K793" s="20"/>
    </row>
    <row r="794" spans="1:11" ht="36.75" thickBot="1">
      <c r="A794" s="18" t="s">
        <v>5234</v>
      </c>
      <c r="B794" s="18">
        <v>20018340141</v>
      </c>
      <c r="C794" s="18" t="s">
        <v>4497</v>
      </c>
      <c r="D794" s="19">
        <v>45532.727083333331</v>
      </c>
      <c r="E794" s="19">
        <v>45589.677777777775</v>
      </c>
      <c r="F794" s="18">
        <v>210</v>
      </c>
      <c r="G794" s="19">
        <v>45643.431250000001</v>
      </c>
      <c r="H794" s="18" t="s">
        <v>2654</v>
      </c>
      <c r="I794" s="18" t="s">
        <v>10</v>
      </c>
      <c r="J794" s="18" t="s">
        <v>4017</v>
      </c>
      <c r="K794" s="20"/>
    </row>
    <row r="795" spans="1:11" ht="36.75" thickBot="1">
      <c r="A795" s="18" t="s">
        <v>5235</v>
      </c>
      <c r="B795" s="18">
        <v>20026907378</v>
      </c>
      <c r="C795" s="18" t="s">
        <v>1836</v>
      </c>
      <c r="D795" s="19">
        <v>45589.685416666667</v>
      </c>
      <c r="E795" s="18" t="s">
        <v>10</v>
      </c>
      <c r="F795" s="18">
        <v>30</v>
      </c>
      <c r="G795" s="18" t="s">
        <v>10</v>
      </c>
      <c r="H795" s="18" t="s">
        <v>178</v>
      </c>
      <c r="I795" s="18" t="s">
        <v>10</v>
      </c>
      <c r="J795" s="18" t="s">
        <v>4017</v>
      </c>
      <c r="K795" s="20"/>
    </row>
    <row r="796" spans="1:11" ht="36.75" thickBot="1">
      <c r="A796" s="18" t="s">
        <v>5236</v>
      </c>
      <c r="B796" s="18">
        <v>20018079322</v>
      </c>
      <c r="C796" s="18" t="s">
        <v>5237</v>
      </c>
      <c r="D796" s="19">
        <v>45590.433333333334</v>
      </c>
      <c r="E796" s="18" t="s">
        <v>10</v>
      </c>
      <c r="F796" s="18">
        <v>30</v>
      </c>
      <c r="G796" s="18" t="s">
        <v>10</v>
      </c>
      <c r="H796" s="18" t="s">
        <v>178</v>
      </c>
      <c r="I796" s="18" t="s">
        <v>10</v>
      </c>
      <c r="J796" s="18" t="s">
        <v>4017</v>
      </c>
      <c r="K796" s="20"/>
    </row>
    <row r="797" spans="1:11" ht="36.75" thickBot="1">
      <c r="A797" s="18" t="s">
        <v>5238</v>
      </c>
      <c r="B797" s="18">
        <v>20003592895</v>
      </c>
      <c r="C797" s="18" t="s">
        <v>5239</v>
      </c>
      <c r="D797" s="19">
        <v>45592.898611111108</v>
      </c>
      <c r="E797" s="18" t="s">
        <v>10</v>
      </c>
      <c r="F797" s="18">
        <v>960</v>
      </c>
      <c r="G797" s="18" t="s">
        <v>10</v>
      </c>
      <c r="H797" s="18" t="s">
        <v>178</v>
      </c>
      <c r="I797" s="18" t="s">
        <v>10</v>
      </c>
      <c r="J797" s="18" t="s">
        <v>4017</v>
      </c>
      <c r="K797" s="20"/>
    </row>
    <row r="798" spans="1:11" ht="36.75" thickBot="1">
      <c r="A798" s="18" t="s">
        <v>5240</v>
      </c>
      <c r="B798" s="18">
        <v>20027963365</v>
      </c>
      <c r="C798" s="18" t="s">
        <v>5241</v>
      </c>
      <c r="D798" s="19">
        <v>45593.455555555556</v>
      </c>
      <c r="E798" s="18" t="s">
        <v>10</v>
      </c>
      <c r="F798" s="18">
        <v>60</v>
      </c>
      <c r="G798" s="18" t="s">
        <v>10</v>
      </c>
      <c r="H798" s="18" t="s">
        <v>178</v>
      </c>
      <c r="I798" s="18" t="s">
        <v>10</v>
      </c>
      <c r="J798" s="18" t="s">
        <v>4017</v>
      </c>
      <c r="K798" s="20"/>
    </row>
    <row r="799" spans="1:11" ht="36.75" thickBot="1">
      <c r="A799" s="18" t="s">
        <v>5242</v>
      </c>
      <c r="B799" s="18">
        <v>20018165861</v>
      </c>
      <c r="C799" s="18" t="s">
        <v>5243</v>
      </c>
      <c r="D799" s="19">
        <v>45593.738888888889</v>
      </c>
      <c r="E799" s="18" t="s">
        <v>10</v>
      </c>
      <c r="F799" s="18">
        <v>15</v>
      </c>
      <c r="G799" s="18" t="s">
        <v>10</v>
      </c>
      <c r="H799" s="18" t="s">
        <v>178</v>
      </c>
      <c r="I799" s="18" t="s">
        <v>10</v>
      </c>
      <c r="J799" s="18" t="s">
        <v>4017</v>
      </c>
      <c r="K799" s="20"/>
    </row>
    <row r="800" spans="1:11" ht="36.75" thickBot="1">
      <c r="A800" s="18" t="s">
        <v>5244</v>
      </c>
      <c r="B800" s="18">
        <v>20020872289</v>
      </c>
      <c r="C800" s="18" t="s">
        <v>4358</v>
      </c>
      <c r="D800" s="19">
        <v>45594.511111111111</v>
      </c>
      <c r="E800" s="18" t="s">
        <v>10</v>
      </c>
      <c r="F800" s="18">
        <v>180</v>
      </c>
      <c r="G800" s="18" t="s">
        <v>10</v>
      </c>
      <c r="H800" s="18" t="s">
        <v>178</v>
      </c>
      <c r="I800" s="18" t="s">
        <v>10</v>
      </c>
      <c r="J800" s="18" t="s">
        <v>4017</v>
      </c>
      <c r="K800" s="20"/>
    </row>
    <row r="801" spans="1:11" ht="36.75" thickBot="1">
      <c r="A801" s="18" t="s">
        <v>5245</v>
      </c>
      <c r="B801" s="18">
        <v>20027167730</v>
      </c>
      <c r="C801" s="18" t="s">
        <v>5246</v>
      </c>
      <c r="D801" s="19">
        <v>45594.601388888892</v>
      </c>
      <c r="E801" s="18" t="s">
        <v>10</v>
      </c>
      <c r="F801" s="18">
        <v>850</v>
      </c>
      <c r="G801" s="18" t="s">
        <v>10</v>
      </c>
      <c r="H801" s="18" t="s">
        <v>178</v>
      </c>
      <c r="I801" s="18" t="s">
        <v>10</v>
      </c>
      <c r="J801" s="18" t="s">
        <v>4017</v>
      </c>
      <c r="K801" s="1"/>
    </row>
    <row r="802" spans="1:11" ht="36.75" thickBot="1">
      <c r="A802" s="21" t="s">
        <v>5247</v>
      </c>
      <c r="B802" s="21">
        <v>20019268710</v>
      </c>
      <c r="C802" s="21" t="s">
        <v>4280</v>
      </c>
      <c r="D802" s="22">
        <v>45594.666666666664</v>
      </c>
      <c r="E802" s="21" t="s">
        <v>10</v>
      </c>
      <c r="F802" s="21">
        <v>600</v>
      </c>
      <c r="G802" s="21" t="s">
        <v>10</v>
      </c>
      <c r="H802" s="21" t="s">
        <v>178</v>
      </c>
      <c r="I802" s="21" t="s">
        <v>10</v>
      </c>
      <c r="J802" s="21" t="s">
        <v>4017</v>
      </c>
      <c r="K802" s="20"/>
    </row>
    <row r="803" spans="1:11" ht="54.75" thickBot="1">
      <c r="A803" s="18" t="s">
        <v>5248</v>
      </c>
      <c r="B803" s="18">
        <v>20017461953</v>
      </c>
      <c r="C803" s="18" t="s">
        <v>5249</v>
      </c>
      <c r="D803" s="19">
        <v>45594.675000000003</v>
      </c>
      <c r="E803" s="18" t="s">
        <v>10</v>
      </c>
      <c r="F803" s="18">
        <v>150</v>
      </c>
      <c r="G803" s="18" t="s">
        <v>10</v>
      </c>
      <c r="H803" s="18" t="s">
        <v>178</v>
      </c>
      <c r="I803" s="18" t="s">
        <v>10</v>
      </c>
      <c r="J803" s="18" t="s">
        <v>4017</v>
      </c>
      <c r="K803" s="20"/>
    </row>
    <row r="804" spans="1:11" ht="54.75" thickBot="1">
      <c r="A804" s="18" t="s">
        <v>5250</v>
      </c>
      <c r="B804" s="18">
        <v>20021539421</v>
      </c>
      <c r="C804" s="18" t="s">
        <v>4935</v>
      </c>
      <c r="D804" s="19">
        <v>45594.709027777775</v>
      </c>
      <c r="E804" s="18" t="s">
        <v>10</v>
      </c>
      <c r="F804" s="18">
        <v>50</v>
      </c>
      <c r="G804" s="18" t="s">
        <v>10</v>
      </c>
      <c r="H804" s="18" t="s">
        <v>178</v>
      </c>
      <c r="I804" s="18" t="s">
        <v>10</v>
      </c>
      <c r="J804" s="18" t="s">
        <v>4017</v>
      </c>
      <c r="K804" s="20"/>
    </row>
    <row r="805" spans="1:11" ht="36.75" thickBot="1">
      <c r="A805" s="18" t="s">
        <v>5251</v>
      </c>
      <c r="B805" s="18">
        <v>20002777265</v>
      </c>
      <c r="C805" s="18" t="s">
        <v>5252</v>
      </c>
      <c r="D805" s="19">
        <v>45594.722916666666</v>
      </c>
      <c r="E805" s="18" t="s">
        <v>10</v>
      </c>
      <c r="F805" s="18">
        <v>250</v>
      </c>
      <c r="G805" s="18" t="s">
        <v>10</v>
      </c>
      <c r="H805" s="18" t="s">
        <v>178</v>
      </c>
      <c r="I805" s="18" t="s">
        <v>10</v>
      </c>
      <c r="J805" s="18" t="s">
        <v>4017</v>
      </c>
      <c r="K805" s="20"/>
    </row>
    <row r="806" spans="1:11" ht="36.75" thickBot="1">
      <c r="A806" s="18" t="s">
        <v>5253</v>
      </c>
      <c r="B806" s="18">
        <v>20003410000</v>
      </c>
      <c r="C806" s="18" t="s">
        <v>5254</v>
      </c>
      <c r="D806" s="19">
        <v>45595.620138888888</v>
      </c>
      <c r="E806" s="18" t="s">
        <v>10</v>
      </c>
      <c r="F806" s="18">
        <v>30</v>
      </c>
      <c r="G806" s="18" t="s">
        <v>10</v>
      </c>
      <c r="H806" s="18" t="s">
        <v>178</v>
      </c>
      <c r="I806" s="18" t="s">
        <v>10</v>
      </c>
      <c r="J806" s="18" t="s">
        <v>4017</v>
      </c>
      <c r="K806" s="20"/>
    </row>
    <row r="807" spans="1:11" ht="36.75" thickBot="1">
      <c r="A807" s="18" t="s">
        <v>5255</v>
      </c>
      <c r="B807" s="18">
        <v>20003338223</v>
      </c>
      <c r="C807" s="18" t="s">
        <v>4051</v>
      </c>
      <c r="D807" s="19">
        <v>45595.683333333334</v>
      </c>
      <c r="E807" s="18" t="s">
        <v>10</v>
      </c>
      <c r="F807" s="117">
        <v>1000</v>
      </c>
      <c r="G807" s="18" t="s">
        <v>10</v>
      </c>
      <c r="H807" s="18" t="s">
        <v>178</v>
      </c>
      <c r="I807" s="18" t="s">
        <v>10</v>
      </c>
      <c r="J807" s="18" t="s">
        <v>4017</v>
      </c>
      <c r="K807" s="20"/>
    </row>
    <row r="808" spans="1:11" ht="72.75" thickBot="1">
      <c r="A808" s="18" t="s">
        <v>5256</v>
      </c>
      <c r="B808" s="18">
        <v>20023944083</v>
      </c>
      <c r="C808" s="18" t="s">
        <v>5257</v>
      </c>
      <c r="D808" s="19">
        <v>45595.751388888886</v>
      </c>
      <c r="E808" s="18" t="s">
        <v>10</v>
      </c>
      <c r="F808" s="18">
        <v>50</v>
      </c>
      <c r="G808" s="19">
        <v>45701.480555555558</v>
      </c>
      <c r="H808" s="18" t="s">
        <v>2657</v>
      </c>
      <c r="I808" s="18" t="s">
        <v>10</v>
      </c>
      <c r="J808" s="18" t="s">
        <v>4017</v>
      </c>
      <c r="K808" s="20"/>
    </row>
    <row r="809" spans="1:11" ht="36.75" thickBot="1">
      <c r="A809" s="18" t="s">
        <v>5258</v>
      </c>
      <c r="B809" s="18">
        <v>20003126379</v>
      </c>
      <c r="C809" s="18" t="s">
        <v>4030</v>
      </c>
      <c r="D809" s="19">
        <v>45596.427777777775</v>
      </c>
      <c r="E809" s="18" t="s">
        <v>10</v>
      </c>
      <c r="F809" s="18">
        <v>625</v>
      </c>
      <c r="G809" s="18" t="s">
        <v>10</v>
      </c>
      <c r="H809" s="18" t="s">
        <v>178</v>
      </c>
      <c r="I809" s="18" t="s">
        <v>10</v>
      </c>
      <c r="J809" s="18" t="s">
        <v>4017</v>
      </c>
      <c r="K809" s="20"/>
    </row>
    <row r="810" spans="1:11" ht="72.75" thickBot="1">
      <c r="A810" s="18" t="s">
        <v>5259</v>
      </c>
      <c r="B810" s="18">
        <v>20027127200</v>
      </c>
      <c r="C810" s="18" t="s">
        <v>5260</v>
      </c>
      <c r="D810" s="19">
        <v>45596.463194444441</v>
      </c>
      <c r="E810" s="18" t="s">
        <v>10</v>
      </c>
      <c r="F810" s="18">
        <v>100</v>
      </c>
      <c r="G810" s="18" t="s">
        <v>10</v>
      </c>
      <c r="H810" s="18" t="s">
        <v>178</v>
      </c>
      <c r="I810" s="18" t="s">
        <v>10</v>
      </c>
      <c r="J810" s="18" t="s">
        <v>4017</v>
      </c>
      <c r="K810" s="20"/>
    </row>
    <row r="811" spans="1:11" ht="36.75" thickBot="1">
      <c r="A811" s="18" t="s">
        <v>5261</v>
      </c>
      <c r="B811" s="18">
        <v>200003423783</v>
      </c>
      <c r="C811" s="18" t="s">
        <v>5262</v>
      </c>
      <c r="D811" s="19">
        <v>45596.751388888886</v>
      </c>
      <c r="E811" s="18" t="s">
        <v>10</v>
      </c>
      <c r="F811" s="18">
        <v>100</v>
      </c>
      <c r="G811" s="18" t="s">
        <v>10</v>
      </c>
      <c r="H811" s="18" t="s">
        <v>178</v>
      </c>
      <c r="I811" s="18" t="s">
        <v>10</v>
      </c>
      <c r="J811" s="18" t="s">
        <v>4017</v>
      </c>
      <c r="K811" s="20"/>
    </row>
    <row r="812" spans="1:11" ht="36.75" thickBot="1">
      <c r="A812" s="18" t="s">
        <v>5263</v>
      </c>
      <c r="B812" s="18">
        <v>20003284170</v>
      </c>
      <c r="C812" s="18" t="s">
        <v>218</v>
      </c>
      <c r="D812" s="19">
        <v>45597.425694444442</v>
      </c>
      <c r="E812" s="18" t="s">
        <v>10</v>
      </c>
      <c r="F812" s="18">
        <v>500</v>
      </c>
      <c r="G812" s="18" t="s">
        <v>10</v>
      </c>
      <c r="H812" s="18" t="s">
        <v>178</v>
      </c>
      <c r="I812" s="18" t="s">
        <v>10</v>
      </c>
      <c r="J812" s="18" t="s">
        <v>4017</v>
      </c>
      <c r="K812" s="20"/>
    </row>
    <row r="813" spans="1:11" ht="36.75" thickBot="1">
      <c r="A813" s="18" t="s">
        <v>5264</v>
      </c>
      <c r="B813" s="18">
        <v>20019149236</v>
      </c>
      <c r="C813" s="18" t="s">
        <v>5265</v>
      </c>
      <c r="D813" s="19">
        <v>45597.629861111112</v>
      </c>
      <c r="E813" s="18" t="s">
        <v>10</v>
      </c>
      <c r="F813" s="18">
        <v>100</v>
      </c>
      <c r="G813" s="18" t="s">
        <v>10</v>
      </c>
      <c r="H813" s="18" t="s">
        <v>178</v>
      </c>
      <c r="I813" s="18" t="s">
        <v>10</v>
      </c>
      <c r="J813" s="18" t="s">
        <v>4017</v>
      </c>
      <c r="K813" s="20"/>
    </row>
    <row r="814" spans="1:11" ht="36.75" thickBot="1">
      <c r="A814" s="18" t="s">
        <v>5266</v>
      </c>
      <c r="B814" s="18">
        <v>20022885728</v>
      </c>
      <c r="C814" s="18" t="s">
        <v>4597</v>
      </c>
      <c r="D814" s="19">
        <v>45597.667361111111</v>
      </c>
      <c r="E814" s="18" t="s">
        <v>10</v>
      </c>
      <c r="F814" s="18">
        <v>40</v>
      </c>
      <c r="G814" s="18" t="s">
        <v>10</v>
      </c>
      <c r="H814" s="18" t="s">
        <v>178</v>
      </c>
      <c r="I814" s="18" t="s">
        <v>10</v>
      </c>
      <c r="J814" s="18" t="s">
        <v>4017</v>
      </c>
      <c r="K814" s="20"/>
    </row>
    <row r="815" spans="1:11" ht="36.75" thickBot="1">
      <c r="A815" s="18" t="s">
        <v>5267</v>
      </c>
      <c r="B815" s="18">
        <v>20016806790</v>
      </c>
      <c r="C815" s="18" t="s">
        <v>4200</v>
      </c>
      <c r="D815" s="19">
        <v>45597.713194444441</v>
      </c>
      <c r="E815" s="18" t="s">
        <v>10</v>
      </c>
      <c r="F815" s="18">
        <v>375</v>
      </c>
      <c r="G815" s="18" t="s">
        <v>10</v>
      </c>
      <c r="H815" s="18" t="s">
        <v>178</v>
      </c>
      <c r="I815" s="18" t="s">
        <v>10</v>
      </c>
      <c r="J815" s="18" t="s">
        <v>4017</v>
      </c>
      <c r="K815" s="20"/>
    </row>
    <row r="816" spans="1:11" ht="36.75" thickBot="1">
      <c r="A816" s="18" t="s">
        <v>5268</v>
      </c>
      <c r="B816" s="18">
        <v>20023139664</v>
      </c>
      <c r="C816" s="18" t="s">
        <v>5269</v>
      </c>
      <c r="D816" s="19">
        <v>45597.723611111112</v>
      </c>
      <c r="E816" s="18" t="s">
        <v>10</v>
      </c>
      <c r="F816" s="18">
        <v>200</v>
      </c>
      <c r="G816" s="18" t="s">
        <v>10</v>
      </c>
      <c r="H816" s="18" t="s">
        <v>178</v>
      </c>
      <c r="I816" s="18" t="s">
        <v>10</v>
      </c>
      <c r="J816" s="18" t="s">
        <v>4017</v>
      </c>
      <c r="K816" s="20"/>
    </row>
    <row r="817" spans="1:11" ht="36.75" thickBot="1">
      <c r="A817" s="18" t="s">
        <v>5270</v>
      </c>
      <c r="B817" s="18">
        <v>20003196481</v>
      </c>
      <c r="C817" s="18" t="s">
        <v>5271</v>
      </c>
      <c r="D817" s="19">
        <v>45597.731944444444</v>
      </c>
      <c r="E817" s="18" t="s">
        <v>10</v>
      </c>
      <c r="F817" s="18">
        <v>200</v>
      </c>
      <c r="G817" s="18" t="s">
        <v>10</v>
      </c>
      <c r="H817" s="18" t="s">
        <v>178</v>
      </c>
      <c r="I817" s="18" t="s">
        <v>10</v>
      </c>
      <c r="J817" s="18" t="s">
        <v>4017</v>
      </c>
      <c r="K817" s="20"/>
    </row>
    <row r="818" spans="1:11" ht="36.75" thickBot="1">
      <c r="A818" s="18" t="s">
        <v>5272</v>
      </c>
      <c r="B818" s="18">
        <v>20003396871</v>
      </c>
      <c r="C818" s="18" t="s">
        <v>5273</v>
      </c>
      <c r="D818" s="19">
        <v>45600.563194444447</v>
      </c>
      <c r="E818" s="18" t="s">
        <v>10</v>
      </c>
      <c r="F818" s="18">
        <v>30</v>
      </c>
      <c r="G818" s="18" t="s">
        <v>10</v>
      </c>
      <c r="H818" s="18" t="s">
        <v>178</v>
      </c>
      <c r="I818" s="18" t="s">
        <v>10</v>
      </c>
      <c r="J818" s="18" t="s">
        <v>4017</v>
      </c>
      <c r="K818" s="20"/>
    </row>
    <row r="819" spans="1:11" ht="36.75" thickBot="1">
      <c r="A819" s="18" t="s">
        <v>5274</v>
      </c>
      <c r="B819" s="18">
        <v>20022606966</v>
      </c>
      <c r="C819" s="18" t="s">
        <v>5275</v>
      </c>
      <c r="D819" s="19">
        <v>45600.713888888888</v>
      </c>
      <c r="E819" s="18" t="s">
        <v>10</v>
      </c>
      <c r="F819" s="18">
        <v>100</v>
      </c>
      <c r="G819" s="18" t="s">
        <v>10</v>
      </c>
      <c r="H819" s="18" t="s">
        <v>178</v>
      </c>
      <c r="I819" s="18" t="s">
        <v>10</v>
      </c>
      <c r="J819" s="18" t="s">
        <v>4017</v>
      </c>
      <c r="K819" s="20"/>
    </row>
    <row r="820" spans="1:11" ht="36.75" thickBot="1">
      <c r="A820" s="18" t="s">
        <v>5276</v>
      </c>
      <c r="B820" s="18">
        <v>20023869937</v>
      </c>
      <c r="C820" s="18" t="s">
        <v>4264</v>
      </c>
      <c r="D820" s="19">
        <v>45600.845138888886</v>
      </c>
      <c r="E820" s="18" t="s">
        <v>10</v>
      </c>
      <c r="F820" s="18">
        <v>50</v>
      </c>
      <c r="G820" s="18" t="s">
        <v>10</v>
      </c>
      <c r="H820" s="18" t="s">
        <v>178</v>
      </c>
      <c r="I820" s="18" t="s">
        <v>10</v>
      </c>
      <c r="J820" s="18" t="s">
        <v>4017</v>
      </c>
      <c r="K820" s="20"/>
    </row>
    <row r="821" spans="1:11" ht="36.75" thickBot="1">
      <c r="A821" s="18" t="s">
        <v>5277</v>
      </c>
      <c r="B821" s="18">
        <v>20003428225</v>
      </c>
      <c r="C821" s="18" t="s">
        <v>5278</v>
      </c>
      <c r="D821" s="19">
        <v>45602.434027777781</v>
      </c>
      <c r="E821" s="18" t="s">
        <v>10</v>
      </c>
      <c r="F821" s="18">
        <v>90</v>
      </c>
      <c r="G821" s="18" t="s">
        <v>10</v>
      </c>
      <c r="H821" s="18" t="s">
        <v>178</v>
      </c>
      <c r="I821" s="18" t="s">
        <v>10</v>
      </c>
      <c r="J821" s="18" t="s">
        <v>4017</v>
      </c>
      <c r="K821" s="20"/>
    </row>
    <row r="822" spans="1:11" ht="36.75" thickBot="1">
      <c r="A822" s="18" t="s">
        <v>5279</v>
      </c>
      <c r="B822" s="18">
        <v>20002918553</v>
      </c>
      <c r="C822" s="18" t="s">
        <v>4278</v>
      </c>
      <c r="D822" s="19">
        <v>45540.713194444441</v>
      </c>
      <c r="E822" s="19">
        <v>45602.442361111112</v>
      </c>
      <c r="F822" s="18">
        <v>800</v>
      </c>
      <c r="G822" s="19">
        <v>45609.484027777777</v>
      </c>
      <c r="H822" s="18" t="s">
        <v>2654</v>
      </c>
      <c r="I822" s="18" t="s">
        <v>10</v>
      </c>
      <c r="J822" s="18" t="s">
        <v>4017</v>
      </c>
      <c r="K822" s="20"/>
    </row>
    <row r="823" spans="1:11" ht="54.75" thickBot="1">
      <c r="A823" s="18" t="s">
        <v>5280</v>
      </c>
      <c r="B823" s="18">
        <v>20021598303</v>
      </c>
      <c r="C823" s="18" t="s">
        <v>5281</v>
      </c>
      <c r="D823" s="19">
        <v>45602.498611111114</v>
      </c>
      <c r="E823" s="18" t="s">
        <v>10</v>
      </c>
      <c r="F823" s="18">
        <v>30</v>
      </c>
      <c r="G823" s="18" t="s">
        <v>10</v>
      </c>
      <c r="H823" s="18" t="s">
        <v>178</v>
      </c>
      <c r="I823" s="18" t="s">
        <v>10</v>
      </c>
      <c r="J823" s="18" t="s">
        <v>4017</v>
      </c>
      <c r="K823" s="20"/>
    </row>
    <row r="824" spans="1:11" ht="36.75" thickBot="1">
      <c r="A824" s="18" t="s">
        <v>5282</v>
      </c>
      <c r="B824" s="18">
        <v>20026409097</v>
      </c>
      <c r="C824" s="18" t="s">
        <v>5283</v>
      </c>
      <c r="D824" s="19">
        <v>45602.605555555558</v>
      </c>
      <c r="E824" s="18" t="s">
        <v>10</v>
      </c>
      <c r="F824" s="18">
        <v>50</v>
      </c>
      <c r="G824" s="18" t="s">
        <v>10</v>
      </c>
      <c r="H824" s="18" t="s">
        <v>178</v>
      </c>
      <c r="I824" s="18" t="s">
        <v>10</v>
      </c>
      <c r="J824" s="18" t="s">
        <v>4017</v>
      </c>
      <c r="K824" s="20"/>
    </row>
    <row r="825" spans="1:11" ht="36.75" thickBot="1">
      <c r="A825" s="18" t="s">
        <v>5284</v>
      </c>
      <c r="B825" s="18">
        <v>20022437329</v>
      </c>
      <c r="C825" s="18" t="s">
        <v>4544</v>
      </c>
      <c r="D825" s="19">
        <v>45602.636111111111</v>
      </c>
      <c r="E825" s="18" t="s">
        <v>10</v>
      </c>
      <c r="F825" s="18">
        <v>300</v>
      </c>
      <c r="G825" s="18" t="s">
        <v>10</v>
      </c>
      <c r="H825" s="18" t="s">
        <v>178</v>
      </c>
      <c r="I825" s="18" t="s">
        <v>10</v>
      </c>
      <c r="J825" s="18" t="s">
        <v>4017</v>
      </c>
      <c r="K825" s="20"/>
    </row>
    <row r="826" spans="1:11" ht="36.75" thickBot="1">
      <c r="A826" s="18" t="s">
        <v>5285</v>
      </c>
      <c r="B826" s="18">
        <v>20017843273</v>
      </c>
      <c r="C826" s="18" t="s">
        <v>4544</v>
      </c>
      <c r="D826" s="19">
        <v>45602.650694444441</v>
      </c>
      <c r="E826" s="18" t="s">
        <v>10</v>
      </c>
      <c r="F826" s="18">
        <v>425</v>
      </c>
      <c r="G826" s="18" t="s">
        <v>10</v>
      </c>
      <c r="H826" s="18" t="s">
        <v>178</v>
      </c>
      <c r="I826" s="18" t="s">
        <v>10</v>
      </c>
      <c r="J826" s="18" t="s">
        <v>4017</v>
      </c>
      <c r="K826" s="20"/>
    </row>
    <row r="827" spans="1:11" ht="36.75" thickBot="1">
      <c r="A827" s="18" t="s">
        <v>5286</v>
      </c>
      <c r="B827" s="18">
        <v>20003484598</v>
      </c>
      <c r="C827" s="18" t="s">
        <v>4915</v>
      </c>
      <c r="D827" s="19">
        <v>45602.708333333336</v>
      </c>
      <c r="E827" s="18" t="s">
        <v>10</v>
      </c>
      <c r="F827" s="18">
        <v>125</v>
      </c>
      <c r="G827" s="18" t="s">
        <v>10</v>
      </c>
      <c r="H827" s="18" t="s">
        <v>178</v>
      </c>
      <c r="I827" s="18" t="s">
        <v>10</v>
      </c>
      <c r="J827" s="18" t="s">
        <v>4017</v>
      </c>
      <c r="K827" s="20"/>
    </row>
    <row r="828" spans="1:11" ht="36.75" thickBot="1">
      <c r="A828" s="18" t="s">
        <v>5287</v>
      </c>
      <c r="B828" s="18">
        <v>20027234836</v>
      </c>
      <c r="C828" s="18" t="s">
        <v>5288</v>
      </c>
      <c r="D828" s="19">
        <v>45602.947916666664</v>
      </c>
      <c r="E828" s="18" t="s">
        <v>10</v>
      </c>
      <c r="F828" s="18">
        <v>100</v>
      </c>
      <c r="G828" s="18" t="s">
        <v>10</v>
      </c>
      <c r="H828" s="18" t="s">
        <v>178</v>
      </c>
      <c r="I828" s="18" t="s">
        <v>10</v>
      </c>
      <c r="J828" s="18" t="s">
        <v>4017</v>
      </c>
      <c r="K828" s="20"/>
    </row>
    <row r="829" spans="1:11" ht="36.75" thickBot="1">
      <c r="A829" s="18" t="s">
        <v>5289</v>
      </c>
      <c r="B829" s="18">
        <v>20021504176</v>
      </c>
      <c r="C829" s="18" t="s">
        <v>5290</v>
      </c>
      <c r="D829" s="19">
        <v>45603.499305555553</v>
      </c>
      <c r="E829" s="18" t="s">
        <v>10</v>
      </c>
      <c r="F829" s="18">
        <v>30</v>
      </c>
      <c r="G829" s="18" t="s">
        <v>10</v>
      </c>
      <c r="H829" s="18" t="s">
        <v>178</v>
      </c>
      <c r="I829" s="18" t="s">
        <v>10</v>
      </c>
      <c r="J829" s="18" t="s">
        <v>4017</v>
      </c>
      <c r="K829" s="20"/>
    </row>
    <row r="830" spans="1:11" ht="36.75" thickBot="1">
      <c r="A830" s="18" t="s">
        <v>5291</v>
      </c>
      <c r="B830" s="18">
        <v>20003511942</v>
      </c>
      <c r="C830" s="18" t="s">
        <v>5292</v>
      </c>
      <c r="D830" s="19">
        <v>45603.501388888886</v>
      </c>
      <c r="E830" s="18" t="s">
        <v>10</v>
      </c>
      <c r="F830" s="18">
        <v>125</v>
      </c>
      <c r="G830" s="18" t="s">
        <v>10</v>
      </c>
      <c r="H830" s="18" t="s">
        <v>178</v>
      </c>
      <c r="I830" s="18" t="s">
        <v>10</v>
      </c>
      <c r="J830" s="18" t="s">
        <v>4017</v>
      </c>
      <c r="K830" s="20"/>
    </row>
    <row r="831" spans="1:11" ht="36.75" thickBot="1">
      <c r="A831" s="18" t="s">
        <v>5293</v>
      </c>
      <c r="B831" s="18">
        <v>20018330639</v>
      </c>
      <c r="C831" s="18" t="s">
        <v>5294</v>
      </c>
      <c r="D831" s="19">
        <v>45603.682638888888</v>
      </c>
      <c r="E831" s="18" t="s">
        <v>10</v>
      </c>
      <c r="F831" s="18">
        <v>220</v>
      </c>
      <c r="G831" s="18" t="s">
        <v>10</v>
      </c>
      <c r="H831" s="18" t="s">
        <v>178</v>
      </c>
      <c r="I831" s="18" t="s">
        <v>10</v>
      </c>
      <c r="J831" s="18" t="s">
        <v>4017</v>
      </c>
      <c r="K831" s="20"/>
    </row>
    <row r="832" spans="1:11" ht="54.75" thickBot="1">
      <c r="A832" s="18" t="s">
        <v>5295</v>
      </c>
      <c r="B832" s="18">
        <v>20026425916</v>
      </c>
      <c r="C832" s="18" t="s">
        <v>5296</v>
      </c>
      <c r="D832" s="19">
        <v>45603.947916666664</v>
      </c>
      <c r="E832" s="18" t="s">
        <v>10</v>
      </c>
      <c r="F832" s="18">
        <v>150</v>
      </c>
      <c r="G832" s="18" t="s">
        <v>10</v>
      </c>
      <c r="H832" s="18" t="s">
        <v>178</v>
      </c>
      <c r="I832" s="18" t="s">
        <v>10</v>
      </c>
      <c r="J832" s="18" t="s">
        <v>4017</v>
      </c>
      <c r="K832" s="20"/>
    </row>
    <row r="833" spans="1:11" ht="36.75" thickBot="1">
      <c r="A833" s="18" t="s">
        <v>5297</v>
      </c>
      <c r="B833" s="18">
        <v>20024121521</v>
      </c>
      <c r="C833" s="18" t="s">
        <v>4369</v>
      </c>
      <c r="D833" s="19">
        <v>45604.474305555559</v>
      </c>
      <c r="E833" s="18" t="s">
        <v>10</v>
      </c>
      <c r="F833" s="18">
        <v>130</v>
      </c>
      <c r="G833" s="18" t="s">
        <v>10</v>
      </c>
      <c r="H833" s="18" t="s">
        <v>178</v>
      </c>
      <c r="I833" s="18" t="s">
        <v>10</v>
      </c>
      <c r="J833" s="18" t="s">
        <v>4017</v>
      </c>
      <c r="K833" s="20"/>
    </row>
    <row r="834" spans="1:11" ht="36.75" thickBot="1">
      <c r="A834" s="18" t="s">
        <v>5298</v>
      </c>
      <c r="B834" s="18">
        <v>20018494055</v>
      </c>
      <c r="C834" s="18" t="s">
        <v>5299</v>
      </c>
      <c r="D834" s="19">
        <v>45604.804861111108</v>
      </c>
      <c r="E834" s="18" t="s">
        <v>10</v>
      </c>
      <c r="F834" s="18">
        <v>800</v>
      </c>
      <c r="G834" s="18" t="s">
        <v>10</v>
      </c>
      <c r="H834" s="18" t="s">
        <v>178</v>
      </c>
      <c r="I834" s="18" t="s">
        <v>10</v>
      </c>
      <c r="J834" s="18" t="s">
        <v>4017</v>
      </c>
      <c r="K834" s="20"/>
    </row>
    <row r="835" spans="1:11" ht="36.75" thickBot="1">
      <c r="A835" s="18" t="s">
        <v>5300</v>
      </c>
      <c r="B835" s="18">
        <v>20020561361</v>
      </c>
      <c r="C835" s="18" t="s">
        <v>5301</v>
      </c>
      <c r="D835" s="19">
        <v>45605.388194444444</v>
      </c>
      <c r="E835" s="18" t="s">
        <v>10</v>
      </c>
      <c r="F835" s="18">
        <v>30</v>
      </c>
      <c r="G835" s="18" t="s">
        <v>10</v>
      </c>
      <c r="H835" s="18" t="s">
        <v>178</v>
      </c>
      <c r="I835" s="18" t="s">
        <v>10</v>
      </c>
      <c r="J835" s="18" t="s">
        <v>4017</v>
      </c>
      <c r="K835" s="20"/>
    </row>
    <row r="836" spans="1:11" ht="36.75" thickBot="1">
      <c r="A836" s="18" t="s">
        <v>5302</v>
      </c>
      <c r="B836" s="18">
        <v>20023728032</v>
      </c>
      <c r="C836" s="18" t="s">
        <v>4074</v>
      </c>
      <c r="D836" s="19">
        <v>45605.394444444442</v>
      </c>
      <c r="E836" s="18" t="s">
        <v>10</v>
      </c>
      <c r="F836" s="18">
        <v>30</v>
      </c>
      <c r="G836" s="18" t="s">
        <v>10</v>
      </c>
      <c r="H836" s="18" t="s">
        <v>178</v>
      </c>
      <c r="I836" s="18" t="s">
        <v>10</v>
      </c>
      <c r="J836" s="18" t="s">
        <v>4017</v>
      </c>
      <c r="K836" s="20"/>
    </row>
    <row r="837" spans="1:11" ht="36.75" thickBot="1">
      <c r="A837" s="18" t="s">
        <v>5303</v>
      </c>
      <c r="B837" s="18">
        <v>20002879501</v>
      </c>
      <c r="C837" s="18" t="s">
        <v>5304</v>
      </c>
      <c r="D837" s="19">
        <v>45605.648611111108</v>
      </c>
      <c r="E837" s="18" t="s">
        <v>10</v>
      </c>
      <c r="F837" s="18">
        <v>625</v>
      </c>
      <c r="G837" s="18" t="s">
        <v>10</v>
      </c>
      <c r="H837" s="18" t="s">
        <v>178</v>
      </c>
      <c r="I837" s="18" t="s">
        <v>10</v>
      </c>
      <c r="J837" s="18" t="s">
        <v>4017</v>
      </c>
      <c r="K837" s="20"/>
    </row>
    <row r="838" spans="1:11" ht="36.75" thickBot="1">
      <c r="A838" s="18" t="s">
        <v>5305</v>
      </c>
      <c r="B838" s="18">
        <v>20018079322</v>
      </c>
      <c r="C838" s="18" t="s">
        <v>1836</v>
      </c>
      <c r="D838" s="19">
        <v>45607.456944444442</v>
      </c>
      <c r="E838" s="18" t="s">
        <v>10</v>
      </c>
      <c r="F838" s="18">
        <v>30</v>
      </c>
      <c r="G838" s="18" t="s">
        <v>10</v>
      </c>
      <c r="H838" s="18" t="s">
        <v>178</v>
      </c>
      <c r="I838" s="18" t="s">
        <v>10</v>
      </c>
      <c r="J838" s="18" t="s">
        <v>4017</v>
      </c>
      <c r="K838" s="20"/>
    </row>
    <row r="839" spans="1:11" ht="36.75" thickBot="1">
      <c r="A839" s="18" t="s">
        <v>5306</v>
      </c>
      <c r="B839" s="18">
        <v>20017430549</v>
      </c>
      <c r="C839" s="18" t="s">
        <v>5307</v>
      </c>
      <c r="D839" s="19">
        <v>45607.476388888892</v>
      </c>
      <c r="E839" s="18" t="s">
        <v>10</v>
      </c>
      <c r="F839" s="18">
        <v>50</v>
      </c>
      <c r="G839" s="18" t="s">
        <v>10</v>
      </c>
      <c r="H839" s="18" t="s">
        <v>178</v>
      </c>
      <c r="I839" s="18" t="s">
        <v>10</v>
      </c>
      <c r="J839" s="18" t="s">
        <v>4017</v>
      </c>
      <c r="K839" s="20"/>
    </row>
    <row r="840" spans="1:11" ht="72.75" thickBot="1">
      <c r="A840" s="18" t="s">
        <v>5308</v>
      </c>
      <c r="B840" s="18">
        <v>20025741348</v>
      </c>
      <c r="C840" s="18" t="s">
        <v>5309</v>
      </c>
      <c r="D840" s="19">
        <v>45608.499305555553</v>
      </c>
      <c r="E840" s="18" t="s">
        <v>10</v>
      </c>
      <c r="F840" s="18">
        <v>40</v>
      </c>
      <c r="G840" s="18" t="s">
        <v>10</v>
      </c>
      <c r="H840" s="18" t="s">
        <v>178</v>
      </c>
      <c r="I840" s="18" t="s">
        <v>10</v>
      </c>
      <c r="J840" s="18" t="s">
        <v>4017</v>
      </c>
      <c r="K840" s="20"/>
    </row>
    <row r="841" spans="1:11" ht="36.75" thickBot="1">
      <c r="A841" s="18" t="s">
        <v>5310</v>
      </c>
      <c r="B841" s="18">
        <v>20003464540</v>
      </c>
      <c r="C841" s="18" t="s">
        <v>5311</v>
      </c>
      <c r="D841" s="19">
        <v>45609.463888888888</v>
      </c>
      <c r="E841" s="18" t="s">
        <v>10</v>
      </c>
      <c r="F841" s="18">
        <v>100</v>
      </c>
      <c r="G841" s="18" t="s">
        <v>10</v>
      </c>
      <c r="H841" s="18" t="s">
        <v>178</v>
      </c>
      <c r="I841" s="18" t="s">
        <v>10</v>
      </c>
      <c r="J841" s="18" t="s">
        <v>4017</v>
      </c>
      <c r="K841" s="20"/>
    </row>
    <row r="842" spans="1:11" ht="36.75" thickBot="1">
      <c r="A842" s="18" t="s">
        <v>5312</v>
      </c>
      <c r="B842" s="18">
        <v>20027931858</v>
      </c>
      <c r="C842" s="18" t="s">
        <v>5313</v>
      </c>
      <c r="D842" s="19">
        <v>45609.649305555555</v>
      </c>
      <c r="E842" s="18" t="s">
        <v>10</v>
      </c>
      <c r="F842" s="18">
        <v>60</v>
      </c>
      <c r="G842" s="18" t="s">
        <v>10</v>
      </c>
      <c r="H842" s="18" t="s">
        <v>178</v>
      </c>
      <c r="I842" s="18" t="s">
        <v>10</v>
      </c>
      <c r="J842" s="18" t="s">
        <v>4017</v>
      </c>
      <c r="K842" s="20"/>
    </row>
    <row r="843" spans="1:11" ht="36.75" thickBot="1">
      <c r="A843" s="18" t="s">
        <v>5314</v>
      </c>
      <c r="B843" s="18">
        <v>20003215862</v>
      </c>
      <c r="C843" s="18" t="s">
        <v>5315</v>
      </c>
      <c r="D843" s="19">
        <v>45609.689583333333</v>
      </c>
      <c r="E843" s="18" t="s">
        <v>10</v>
      </c>
      <c r="F843" s="18">
        <v>575</v>
      </c>
      <c r="G843" s="18" t="s">
        <v>10</v>
      </c>
      <c r="H843" s="18" t="s">
        <v>178</v>
      </c>
      <c r="I843" s="18" t="s">
        <v>10</v>
      </c>
      <c r="J843" s="18" t="s">
        <v>4017</v>
      </c>
      <c r="K843" s="20"/>
    </row>
    <row r="844" spans="1:11" ht="36.75" thickBot="1">
      <c r="A844" s="18" t="s">
        <v>5316</v>
      </c>
      <c r="B844" s="18">
        <v>20022289062</v>
      </c>
      <c r="C844" s="18" t="s">
        <v>5317</v>
      </c>
      <c r="D844" s="19">
        <v>45609.722222222219</v>
      </c>
      <c r="E844" s="18" t="s">
        <v>10</v>
      </c>
      <c r="F844" s="18">
        <v>300</v>
      </c>
      <c r="G844" s="18" t="s">
        <v>10</v>
      </c>
      <c r="H844" s="18" t="s">
        <v>178</v>
      </c>
      <c r="I844" s="18" t="s">
        <v>10</v>
      </c>
      <c r="J844" s="18" t="s">
        <v>4017</v>
      </c>
      <c r="K844" s="20"/>
    </row>
    <row r="845" spans="1:11" ht="36.75" thickBot="1">
      <c r="A845" s="18" t="s">
        <v>5318</v>
      </c>
      <c r="B845" s="18">
        <v>20022687848</v>
      </c>
      <c r="C845" s="18" t="s">
        <v>5319</v>
      </c>
      <c r="D845" s="19">
        <v>45610.154861111114</v>
      </c>
      <c r="E845" s="18" t="s">
        <v>10</v>
      </c>
      <c r="F845" s="18">
        <v>100</v>
      </c>
      <c r="G845" s="18" t="s">
        <v>10</v>
      </c>
      <c r="H845" s="18" t="s">
        <v>178</v>
      </c>
      <c r="I845" s="18" t="s">
        <v>10</v>
      </c>
      <c r="J845" s="18" t="s">
        <v>4017</v>
      </c>
      <c r="K845" s="20"/>
    </row>
    <row r="846" spans="1:11" ht="72.75" thickBot="1">
      <c r="A846" s="18" t="s">
        <v>5320</v>
      </c>
      <c r="B846" s="18">
        <v>20025741348</v>
      </c>
      <c r="C846" s="18" t="s">
        <v>5321</v>
      </c>
      <c r="D846" s="19">
        <v>45610.390972222223</v>
      </c>
      <c r="E846" s="18" t="s">
        <v>10</v>
      </c>
      <c r="F846" s="18">
        <v>40</v>
      </c>
      <c r="G846" s="18" t="s">
        <v>10</v>
      </c>
      <c r="H846" s="18" t="s">
        <v>178</v>
      </c>
      <c r="I846" s="18" t="s">
        <v>10</v>
      </c>
      <c r="J846" s="18" t="s">
        <v>4017</v>
      </c>
      <c r="K846" s="20"/>
    </row>
    <row r="847" spans="1:11" ht="36.75" thickBot="1">
      <c r="A847" s="18" t="s">
        <v>5322</v>
      </c>
      <c r="B847" s="18">
        <v>20020585213</v>
      </c>
      <c r="C847" s="18" t="s">
        <v>4990</v>
      </c>
      <c r="D847" s="19">
        <v>45610.556944444441</v>
      </c>
      <c r="E847" s="18" t="s">
        <v>10</v>
      </c>
      <c r="F847" s="18">
        <v>500</v>
      </c>
      <c r="G847" s="18" t="s">
        <v>10</v>
      </c>
      <c r="H847" s="18" t="s">
        <v>178</v>
      </c>
      <c r="I847" s="18" t="s">
        <v>10</v>
      </c>
      <c r="J847" s="18" t="s">
        <v>4017</v>
      </c>
      <c r="K847" s="20"/>
    </row>
    <row r="848" spans="1:11" ht="36.75" thickBot="1">
      <c r="A848" s="18" t="s">
        <v>5323</v>
      </c>
      <c r="B848" s="18">
        <v>20017384091</v>
      </c>
      <c r="C848" s="18" t="s">
        <v>5324</v>
      </c>
      <c r="D848" s="19">
        <v>45610.829861111109</v>
      </c>
      <c r="E848" s="18" t="s">
        <v>10</v>
      </c>
      <c r="F848" s="18">
        <v>496.8</v>
      </c>
      <c r="G848" s="18" t="s">
        <v>10</v>
      </c>
      <c r="H848" s="18" t="s">
        <v>178</v>
      </c>
      <c r="I848" s="18" t="s">
        <v>10</v>
      </c>
      <c r="J848" s="18" t="s">
        <v>4017</v>
      </c>
      <c r="K848" s="20"/>
    </row>
    <row r="849" spans="1:11" ht="36.75" thickBot="1">
      <c r="A849" s="18" t="s">
        <v>5325</v>
      </c>
      <c r="B849" s="18">
        <v>20020987730</v>
      </c>
      <c r="C849" s="18" t="s">
        <v>4391</v>
      </c>
      <c r="D849" s="19">
        <v>45611.64166666667</v>
      </c>
      <c r="E849" s="18" t="s">
        <v>10</v>
      </c>
      <c r="F849" s="18">
        <v>550</v>
      </c>
      <c r="G849" s="18" t="s">
        <v>10</v>
      </c>
      <c r="H849" s="18" t="s">
        <v>178</v>
      </c>
      <c r="I849" s="18" t="s">
        <v>10</v>
      </c>
      <c r="J849" s="18" t="s">
        <v>4017</v>
      </c>
      <c r="K849" s="20"/>
    </row>
    <row r="850" spans="1:11" ht="36.75" thickBot="1">
      <c r="A850" s="18" t="s">
        <v>5326</v>
      </c>
      <c r="B850" s="18">
        <v>20021686238</v>
      </c>
      <c r="C850" s="18" t="s">
        <v>5327</v>
      </c>
      <c r="D850" s="19">
        <v>45612.689583333333</v>
      </c>
      <c r="E850" s="18" t="s">
        <v>10</v>
      </c>
      <c r="F850" s="18">
        <v>40</v>
      </c>
      <c r="G850" s="18" t="s">
        <v>10</v>
      </c>
      <c r="H850" s="18" t="s">
        <v>178</v>
      </c>
      <c r="I850" s="18" t="s">
        <v>10</v>
      </c>
      <c r="J850" s="18" t="s">
        <v>4017</v>
      </c>
      <c r="K850" s="20"/>
    </row>
    <row r="851" spans="1:11" ht="72.75" thickBot="1">
      <c r="A851" s="18" t="s">
        <v>5328</v>
      </c>
      <c r="B851" s="18">
        <v>20025037073</v>
      </c>
      <c r="C851" s="18" t="s">
        <v>5329</v>
      </c>
      <c r="D851" s="19">
        <v>45541.404861111114</v>
      </c>
      <c r="E851" s="19">
        <v>45613.946527777778</v>
      </c>
      <c r="F851" s="18">
        <v>270</v>
      </c>
      <c r="G851" s="19">
        <v>45651.42083333333</v>
      </c>
      <c r="H851" s="18" t="s">
        <v>2657</v>
      </c>
      <c r="I851" s="18" t="s">
        <v>10</v>
      </c>
      <c r="J851" s="18" t="s">
        <v>4017</v>
      </c>
      <c r="K851" s="20"/>
    </row>
    <row r="852" spans="1:11" ht="36.75" thickBot="1">
      <c r="A852" s="18" t="s">
        <v>5330</v>
      </c>
      <c r="B852" s="18">
        <v>20003089344</v>
      </c>
      <c r="C852" s="18" t="s">
        <v>5331</v>
      </c>
      <c r="D852" s="19">
        <v>45614.474999999999</v>
      </c>
      <c r="E852" s="18" t="s">
        <v>10</v>
      </c>
      <c r="F852" s="18">
        <v>436</v>
      </c>
      <c r="G852" s="18" t="s">
        <v>10</v>
      </c>
      <c r="H852" s="18" t="s">
        <v>178</v>
      </c>
      <c r="I852" s="18" t="s">
        <v>10</v>
      </c>
      <c r="J852" s="18" t="s">
        <v>4017</v>
      </c>
      <c r="K852" s="20"/>
    </row>
    <row r="853" spans="1:11" ht="36.75" thickBot="1">
      <c r="A853" s="18" t="s">
        <v>5332</v>
      </c>
      <c r="B853" s="18">
        <v>20020801070</v>
      </c>
      <c r="C853" s="18" t="s">
        <v>4138</v>
      </c>
      <c r="D853" s="19">
        <v>45518.552777777775</v>
      </c>
      <c r="E853" s="19">
        <v>45614.479166666664</v>
      </c>
      <c r="F853" s="18">
        <v>150</v>
      </c>
      <c r="G853" s="19">
        <v>45637.501388888886</v>
      </c>
      <c r="H853" s="18" t="s">
        <v>236</v>
      </c>
      <c r="I853" s="18" t="s">
        <v>10</v>
      </c>
      <c r="J853" s="18" t="s">
        <v>4017</v>
      </c>
      <c r="K853" s="20"/>
    </row>
    <row r="854" spans="1:11" ht="36.75" thickBot="1">
      <c r="A854" s="18" t="s">
        <v>5333</v>
      </c>
      <c r="B854" s="18">
        <v>20003155704</v>
      </c>
      <c r="C854" s="18" t="s">
        <v>5334</v>
      </c>
      <c r="D854" s="19">
        <v>45614.501388888886</v>
      </c>
      <c r="E854" s="18" t="s">
        <v>10</v>
      </c>
      <c r="F854" s="18">
        <v>180</v>
      </c>
      <c r="G854" s="18" t="s">
        <v>10</v>
      </c>
      <c r="H854" s="18" t="s">
        <v>178</v>
      </c>
      <c r="I854" s="18" t="s">
        <v>10</v>
      </c>
      <c r="J854" s="18" t="s">
        <v>4017</v>
      </c>
      <c r="K854" s="20"/>
    </row>
    <row r="855" spans="1:11" ht="36.75" thickBot="1">
      <c r="A855" s="18" t="s">
        <v>5335</v>
      </c>
      <c r="B855" s="18">
        <v>20026429812</v>
      </c>
      <c r="C855" s="18" t="s">
        <v>4476</v>
      </c>
      <c r="D855" s="19">
        <v>45506.724999999999</v>
      </c>
      <c r="E855" s="19">
        <v>45614.665972222225</v>
      </c>
      <c r="F855" s="18">
        <v>125</v>
      </c>
      <c r="G855" s="18" t="s">
        <v>10</v>
      </c>
      <c r="H855" s="18" t="s">
        <v>178</v>
      </c>
      <c r="I855" s="18" t="s">
        <v>10</v>
      </c>
      <c r="J855" s="18" t="s">
        <v>4017</v>
      </c>
      <c r="K855" s="20"/>
    </row>
    <row r="856" spans="1:11" ht="36.75" thickBot="1">
      <c r="A856" s="18" t="s">
        <v>5336</v>
      </c>
      <c r="B856" s="18">
        <v>20002902189</v>
      </c>
      <c r="C856" s="18" t="s">
        <v>4900</v>
      </c>
      <c r="D856" s="19">
        <v>45615.428472222222</v>
      </c>
      <c r="E856" s="18" t="s">
        <v>10</v>
      </c>
      <c r="F856" s="18">
        <v>180</v>
      </c>
      <c r="G856" s="18" t="s">
        <v>10</v>
      </c>
      <c r="H856" s="18" t="s">
        <v>178</v>
      </c>
      <c r="I856" s="18" t="s">
        <v>10</v>
      </c>
      <c r="J856" s="18" t="s">
        <v>4017</v>
      </c>
      <c r="K856" s="20"/>
    </row>
    <row r="857" spans="1:11" ht="36.75" thickBot="1">
      <c r="A857" s="18" t="s">
        <v>5337</v>
      </c>
      <c r="B857" s="18">
        <v>20003438118</v>
      </c>
      <c r="C857" s="18" t="s">
        <v>5338</v>
      </c>
      <c r="D857" s="19">
        <v>45615.661805555559</v>
      </c>
      <c r="E857" s="18" t="s">
        <v>10</v>
      </c>
      <c r="F857" s="18">
        <v>76</v>
      </c>
      <c r="G857" s="18" t="s">
        <v>10</v>
      </c>
      <c r="H857" s="18" t="s">
        <v>178</v>
      </c>
      <c r="I857" s="18" t="s">
        <v>10</v>
      </c>
      <c r="J857" s="18" t="s">
        <v>4017</v>
      </c>
      <c r="K857" s="20"/>
    </row>
    <row r="858" spans="1:11" ht="36.75" thickBot="1">
      <c r="A858" s="18" t="s">
        <v>5339</v>
      </c>
      <c r="B858" s="18">
        <v>20003009403</v>
      </c>
      <c r="C858" s="18" t="s">
        <v>5340</v>
      </c>
      <c r="D858" s="19">
        <v>45481.364583333336</v>
      </c>
      <c r="E858" s="19">
        <v>45615.690972222219</v>
      </c>
      <c r="F858" s="18">
        <v>30</v>
      </c>
      <c r="G858" s="18" t="s">
        <v>10</v>
      </c>
      <c r="H858" s="18" t="s">
        <v>178</v>
      </c>
      <c r="I858" s="18" t="s">
        <v>10</v>
      </c>
      <c r="J858" s="18" t="s">
        <v>4017</v>
      </c>
      <c r="K858" s="20"/>
    </row>
    <row r="859" spans="1:11" ht="36.75" thickBot="1">
      <c r="A859" s="18" t="s">
        <v>5341</v>
      </c>
      <c r="B859" s="18">
        <v>20018721031</v>
      </c>
      <c r="C859" s="18" t="s">
        <v>4119</v>
      </c>
      <c r="D859" s="19">
        <v>45464.506249999999</v>
      </c>
      <c r="E859" s="19">
        <v>45615.7</v>
      </c>
      <c r="F859" s="18">
        <v>250</v>
      </c>
      <c r="G859" s="19">
        <v>45649.607638888891</v>
      </c>
      <c r="H859" s="18" t="s">
        <v>236</v>
      </c>
      <c r="I859" s="18" t="s">
        <v>10</v>
      </c>
      <c r="J859" s="18" t="s">
        <v>4017</v>
      </c>
      <c r="K859" s="20"/>
    </row>
    <row r="860" spans="1:11" ht="36.75" thickBot="1">
      <c r="A860" s="18" t="s">
        <v>5342</v>
      </c>
      <c r="B860" s="18">
        <v>20003334418</v>
      </c>
      <c r="C860" s="18" t="s">
        <v>5343</v>
      </c>
      <c r="D860" s="19">
        <v>45616.447222222225</v>
      </c>
      <c r="E860" s="18" t="s">
        <v>10</v>
      </c>
      <c r="F860" s="18">
        <v>30</v>
      </c>
      <c r="G860" s="18" t="s">
        <v>10</v>
      </c>
      <c r="H860" s="18" t="s">
        <v>178</v>
      </c>
      <c r="I860" s="18" t="s">
        <v>10</v>
      </c>
      <c r="J860" s="18" t="s">
        <v>4017</v>
      </c>
      <c r="K860" s="20"/>
    </row>
    <row r="861" spans="1:11" ht="54.75" thickBot="1">
      <c r="A861" s="18" t="s">
        <v>5344</v>
      </c>
      <c r="B861" s="18">
        <v>20021443867</v>
      </c>
      <c r="C861" s="18" t="s">
        <v>5345</v>
      </c>
      <c r="D861" s="19">
        <v>45616.631944444445</v>
      </c>
      <c r="E861" s="18" t="s">
        <v>10</v>
      </c>
      <c r="F861" s="18">
        <v>30</v>
      </c>
      <c r="G861" s="18" t="s">
        <v>10</v>
      </c>
      <c r="H861" s="18" t="s">
        <v>178</v>
      </c>
      <c r="I861" s="18" t="s">
        <v>10</v>
      </c>
      <c r="J861" s="18" t="s">
        <v>4017</v>
      </c>
      <c r="K861" s="20"/>
    </row>
    <row r="862" spans="1:11" ht="36.75" thickBot="1">
      <c r="A862" s="18" t="s">
        <v>5346</v>
      </c>
      <c r="B862" s="18">
        <v>20021603219</v>
      </c>
      <c r="C862" s="18" t="s">
        <v>5347</v>
      </c>
      <c r="D862" s="19">
        <v>45616.679861111108</v>
      </c>
      <c r="E862" s="18" t="s">
        <v>10</v>
      </c>
      <c r="F862" s="18">
        <v>300</v>
      </c>
      <c r="G862" s="18" t="s">
        <v>10</v>
      </c>
      <c r="H862" s="18" t="s">
        <v>178</v>
      </c>
      <c r="I862" s="18" t="s">
        <v>10</v>
      </c>
      <c r="J862" s="18" t="s">
        <v>4017</v>
      </c>
      <c r="K862" s="20"/>
    </row>
    <row r="863" spans="1:11" ht="36.75" thickBot="1">
      <c r="A863" s="18" t="s">
        <v>5348</v>
      </c>
      <c r="B863" s="18">
        <v>20002838041</v>
      </c>
      <c r="C863" s="18" t="s">
        <v>5349</v>
      </c>
      <c r="D863" s="19">
        <v>45616.834722222222</v>
      </c>
      <c r="E863" s="18" t="s">
        <v>10</v>
      </c>
      <c r="F863" s="18">
        <v>900</v>
      </c>
      <c r="G863" s="18" t="s">
        <v>10</v>
      </c>
      <c r="H863" s="18" t="s">
        <v>178</v>
      </c>
      <c r="I863" s="18" t="s">
        <v>10</v>
      </c>
      <c r="J863" s="18" t="s">
        <v>4017</v>
      </c>
      <c r="K863" s="20"/>
    </row>
    <row r="864" spans="1:11" ht="72.75" thickBot="1">
      <c r="A864" s="18" t="s">
        <v>5350</v>
      </c>
      <c r="B864" s="18">
        <v>20003432604</v>
      </c>
      <c r="C864" s="18" t="s">
        <v>5351</v>
      </c>
      <c r="D864" s="19">
        <v>45367.439583333333</v>
      </c>
      <c r="E864" s="19">
        <v>45617.421527777777</v>
      </c>
      <c r="F864" s="18">
        <v>450</v>
      </c>
      <c r="G864" s="19">
        <v>45649.607638888891</v>
      </c>
      <c r="H864" s="18" t="s">
        <v>2688</v>
      </c>
      <c r="I864" s="18" t="s">
        <v>10</v>
      </c>
      <c r="J864" s="18" t="s">
        <v>4017</v>
      </c>
      <c r="K864" s="20"/>
    </row>
    <row r="865" spans="1:11" ht="36.75" thickBot="1">
      <c r="A865" s="18" t="s">
        <v>5352</v>
      </c>
      <c r="B865" s="18">
        <v>20002776982</v>
      </c>
      <c r="C865" s="18" t="s">
        <v>4384</v>
      </c>
      <c r="D865" s="19">
        <v>45617.574305555558</v>
      </c>
      <c r="E865" s="18" t="s">
        <v>10</v>
      </c>
      <c r="F865" s="18">
        <v>100</v>
      </c>
      <c r="G865" s="18" t="s">
        <v>10</v>
      </c>
      <c r="H865" s="18" t="s">
        <v>178</v>
      </c>
      <c r="I865" s="18" t="s">
        <v>10</v>
      </c>
      <c r="J865" s="18" t="s">
        <v>4017</v>
      </c>
      <c r="K865" s="20"/>
    </row>
    <row r="866" spans="1:11" ht="72.75" thickBot="1">
      <c r="A866" s="18" t="s">
        <v>5353</v>
      </c>
      <c r="B866" s="18">
        <v>20003477634</v>
      </c>
      <c r="C866" s="18" t="s">
        <v>4288</v>
      </c>
      <c r="D866" s="19">
        <v>45509.680555555555</v>
      </c>
      <c r="E866" s="19">
        <v>45617.597222222219</v>
      </c>
      <c r="F866" s="18">
        <v>800</v>
      </c>
      <c r="G866" s="19">
        <v>45632.55972222222</v>
      </c>
      <c r="H866" s="18" t="s">
        <v>2688</v>
      </c>
      <c r="I866" s="18" t="s">
        <v>10</v>
      </c>
      <c r="J866" s="18" t="s">
        <v>4017</v>
      </c>
      <c r="K866" s="20"/>
    </row>
    <row r="867" spans="1:11" ht="36.75" thickBot="1">
      <c r="A867" s="18" t="s">
        <v>5354</v>
      </c>
      <c r="B867" s="18">
        <v>20027931858</v>
      </c>
      <c r="C867" s="18" t="s">
        <v>5313</v>
      </c>
      <c r="D867" s="19">
        <v>45617.631249999999</v>
      </c>
      <c r="E867" s="18" t="s">
        <v>10</v>
      </c>
      <c r="F867" s="18">
        <v>60</v>
      </c>
      <c r="G867" s="18" t="s">
        <v>10</v>
      </c>
      <c r="H867" s="18" t="s">
        <v>178</v>
      </c>
      <c r="I867" s="18" t="s">
        <v>10</v>
      </c>
      <c r="J867" s="18" t="s">
        <v>4017</v>
      </c>
      <c r="K867" s="20"/>
    </row>
    <row r="868" spans="1:11" ht="36.75" thickBot="1">
      <c r="A868" s="18" t="s">
        <v>5355</v>
      </c>
      <c r="B868" s="18">
        <v>20019592157</v>
      </c>
      <c r="C868" s="18" t="s">
        <v>5356</v>
      </c>
      <c r="D868" s="19">
        <v>45433.436805555553</v>
      </c>
      <c r="E868" s="19">
        <v>45617.656944444447</v>
      </c>
      <c r="F868" s="18">
        <v>425</v>
      </c>
      <c r="G868" s="19">
        <v>45642.536111111112</v>
      </c>
      <c r="H868" s="18" t="s">
        <v>236</v>
      </c>
      <c r="I868" s="18" t="s">
        <v>10</v>
      </c>
      <c r="J868" s="18" t="s">
        <v>4017</v>
      </c>
      <c r="K868" s="20"/>
    </row>
    <row r="869" spans="1:11" ht="36.75" thickBot="1">
      <c r="A869" s="18" t="s">
        <v>5357</v>
      </c>
      <c r="B869" s="18">
        <v>20003289392</v>
      </c>
      <c r="C869" s="18" t="s">
        <v>5358</v>
      </c>
      <c r="D869" s="19">
        <v>45530.501388888886</v>
      </c>
      <c r="E869" s="19">
        <v>45617.658333333333</v>
      </c>
      <c r="F869" s="18">
        <v>30</v>
      </c>
      <c r="G869" s="19">
        <v>45623.586111111108</v>
      </c>
      <c r="H869" s="18" t="s">
        <v>236</v>
      </c>
      <c r="I869" s="18" t="s">
        <v>10</v>
      </c>
      <c r="J869" s="18" t="s">
        <v>4017</v>
      </c>
      <c r="K869" s="20"/>
    </row>
    <row r="870" spans="1:11" ht="36.75" thickBot="1">
      <c r="A870" s="18" t="s">
        <v>5359</v>
      </c>
      <c r="B870" s="18">
        <v>20023030687</v>
      </c>
      <c r="C870" s="18" t="s">
        <v>5360</v>
      </c>
      <c r="D870" s="19">
        <v>45617.665277777778</v>
      </c>
      <c r="E870" s="18" t="s">
        <v>10</v>
      </c>
      <c r="F870" s="18">
        <v>125</v>
      </c>
      <c r="G870" s="18" t="s">
        <v>10</v>
      </c>
      <c r="H870" s="18" t="s">
        <v>178</v>
      </c>
      <c r="I870" s="18" t="s">
        <v>10</v>
      </c>
      <c r="J870" s="18" t="s">
        <v>4017</v>
      </c>
      <c r="K870" s="20"/>
    </row>
    <row r="871" spans="1:11" ht="36.75" thickBot="1">
      <c r="A871" s="18" t="s">
        <v>5361</v>
      </c>
      <c r="B871" s="18">
        <v>20023194743</v>
      </c>
      <c r="C871" s="18" t="s">
        <v>4184</v>
      </c>
      <c r="D871" s="19">
        <v>45527.636805555558</v>
      </c>
      <c r="E871" s="19">
        <v>45617.745833333334</v>
      </c>
      <c r="F871" s="18">
        <v>250</v>
      </c>
      <c r="G871" s="19">
        <v>45625.433333333334</v>
      </c>
      <c r="H871" s="18" t="s">
        <v>236</v>
      </c>
      <c r="I871" s="18" t="s">
        <v>10</v>
      </c>
      <c r="J871" s="18" t="s">
        <v>4017</v>
      </c>
      <c r="K871" s="20"/>
    </row>
    <row r="872" spans="1:11" ht="36.75" thickBot="1">
      <c r="A872" s="18" t="s">
        <v>5362</v>
      </c>
      <c r="B872" s="18">
        <v>20026429812</v>
      </c>
      <c r="C872" s="18" t="s">
        <v>4476</v>
      </c>
      <c r="D872" s="19">
        <v>45617.883333333331</v>
      </c>
      <c r="E872" s="18" t="s">
        <v>10</v>
      </c>
      <c r="F872" s="18">
        <v>125</v>
      </c>
      <c r="G872" s="18" t="s">
        <v>10</v>
      </c>
      <c r="H872" s="18" t="s">
        <v>178</v>
      </c>
      <c r="I872" s="18" t="s">
        <v>10</v>
      </c>
      <c r="J872" s="18" t="s">
        <v>4017</v>
      </c>
      <c r="K872" s="20"/>
    </row>
    <row r="873" spans="1:11" ht="36.75" thickBot="1">
      <c r="A873" s="18" t="s">
        <v>5363</v>
      </c>
      <c r="B873" s="18">
        <v>20022459079</v>
      </c>
      <c r="C873" s="18" t="s">
        <v>4251</v>
      </c>
      <c r="D873" s="19">
        <v>45617.958333333336</v>
      </c>
      <c r="E873" s="18" t="s">
        <v>10</v>
      </c>
      <c r="F873" s="18">
        <v>110</v>
      </c>
      <c r="G873" s="18" t="s">
        <v>10</v>
      </c>
      <c r="H873" s="18" t="s">
        <v>178</v>
      </c>
      <c r="I873" s="18" t="s">
        <v>10</v>
      </c>
      <c r="J873" s="18" t="s">
        <v>4017</v>
      </c>
      <c r="K873" s="20"/>
    </row>
    <row r="874" spans="1:11" ht="36.75" thickBot="1">
      <c r="A874" s="18" t="s">
        <v>5364</v>
      </c>
      <c r="B874" s="18">
        <v>20023202164</v>
      </c>
      <c r="C874" s="18" t="s">
        <v>4960</v>
      </c>
      <c r="D874" s="19">
        <v>45618.382638888892</v>
      </c>
      <c r="E874" s="18" t="s">
        <v>10</v>
      </c>
      <c r="F874" s="18">
        <v>50</v>
      </c>
      <c r="G874" s="18" t="s">
        <v>10</v>
      </c>
      <c r="H874" s="18" t="s">
        <v>178</v>
      </c>
      <c r="I874" s="18" t="s">
        <v>10</v>
      </c>
      <c r="J874" s="18" t="s">
        <v>4017</v>
      </c>
      <c r="K874" s="20"/>
    </row>
    <row r="875" spans="1:11" ht="36.75" thickBot="1">
      <c r="A875" s="18" t="s">
        <v>5365</v>
      </c>
      <c r="B875" s="18">
        <v>20003126926</v>
      </c>
      <c r="C875" s="18" t="s">
        <v>4339</v>
      </c>
      <c r="D875" s="19">
        <v>45490.402083333334</v>
      </c>
      <c r="E875" s="19">
        <v>45618.612500000003</v>
      </c>
      <c r="F875" s="18">
        <v>950</v>
      </c>
      <c r="G875" s="19">
        <v>45684.396527777775</v>
      </c>
      <c r="H875" s="18" t="s">
        <v>236</v>
      </c>
      <c r="I875" s="18" t="s">
        <v>10</v>
      </c>
      <c r="J875" s="18" t="s">
        <v>4017</v>
      </c>
      <c r="K875" s="20"/>
    </row>
    <row r="876" spans="1:11" ht="36.75" thickBot="1">
      <c r="A876" s="18" t="s">
        <v>5366</v>
      </c>
      <c r="B876" s="18">
        <v>20019928347</v>
      </c>
      <c r="C876" s="18" t="s">
        <v>4241</v>
      </c>
      <c r="D876" s="19">
        <v>45379.479166666664</v>
      </c>
      <c r="E876" s="19">
        <v>45618.675000000003</v>
      </c>
      <c r="F876" s="18">
        <v>60</v>
      </c>
      <c r="G876" s="18" t="s">
        <v>10</v>
      </c>
      <c r="H876" s="18" t="s">
        <v>178</v>
      </c>
      <c r="I876" s="18" t="s">
        <v>10</v>
      </c>
      <c r="J876" s="18" t="s">
        <v>4017</v>
      </c>
      <c r="K876" s="20"/>
    </row>
    <row r="877" spans="1:11" ht="36.75" thickBot="1">
      <c r="A877" s="18" t="s">
        <v>5367</v>
      </c>
      <c r="B877" s="18">
        <v>20003006868</v>
      </c>
      <c r="C877" s="18" t="s">
        <v>4241</v>
      </c>
      <c r="D877" s="19">
        <v>45481.418749999997</v>
      </c>
      <c r="E877" s="19">
        <v>45618.675694444442</v>
      </c>
      <c r="F877" s="18">
        <v>30</v>
      </c>
      <c r="G877" s="18" t="s">
        <v>10</v>
      </c>
      <c r="H877" s="18" t="s">
        <v>178</v>
      </c>
      <c r="I877" s="18" t="s">
        <v>10</v>
      </c>
      <c r="J877" s="18" t="s">
        <v>4017</v>
      </c>
      <c r="K877" s="20"/>
    </row>
    <row r="878" spans="1:11" ht="36.75" thickBot="1">
      <c r="A878" s="18" t="s">
        <v>5368</v>
      </c>
      <c r="B878" s="18">
        <v>20002835010</v>
      </c>
      <c r="C878" s="18" t="s">
        <v>5369</v>
      </c>
      <c r="D878" s="19">
        <v>45618.890277777777</v>
      </c>
      <c r="E878" s="18" t="s">
        <v>10</v>
      </c>
      <c r="F878" s="18">
        <v>30</v>
      </c>
      <c r="G878" s="18" t="s">
        <v>10</v>
      </c>
      <c r="H878" s="18" t="s">
        <v>178</v>
      </c>
      <c r="I878" s="18" t="s">
        <v>10</v>
      </c>
      <c r="J878" s="18" t="s">
        <v>4017</v>
      </c>
      <c r="K878" s="20"/>
    </row>
    <row r="879" spans="1:11" ht="54.75" thickBot="1">
      <c r="A879" s="18" t="s">
        <v>5370</v>
      </c>
      <c r="B879" s="18">
        <v>20026617101</v>
      </c>
      <c r="C879" s="18" t="s">
        <v>5371</v>
      </c>
      <c r="D879" s="19">
        <v>45373.578472222223</v>
      </c>
      <c r="E879" s="19">
        <v>45619.40902777778</v>
      </c>
      <c r="F879" s="18">
        <v>400</v>
      </c>
      <c r="G879" s="19">
        <v>45699.524305555555</v>
      </c>
      <c r="H879" s="18" t="s">
        <v>2654</v>
      </c>
      <c r="I879" s="18" t="s">
        <v>10</v>
      </c>
      <c r="J879" s="18" t="s">
        <v>4017</v>
      </c>
      <c r="K879" s="20"/>
    </row>
    <row r="880" spans="1:11" ht="36.75" thickBot="1">
      <c r="A880" s="18" t="s">
        <v>5372</v>
      </c>
      <c r="B880" s="18">
        <v>20026032349</v>
      </c>
      <c r="C880" s="18" t="s">
        <v>216</v>
      </c>
      <c r="D880" s="19">
        <v>45619.529166666667</v>
      </c>
      <c r="E880" s="18" t="s">
        <v>10</v>
      </c>
      <c r="F880" s="18">
        <v>27</v>
      </c>
      <c r="G880" s="18" t="s">
        <v>10</v>
      </c>
      <c r="H880" s="18" t="s">
        <v>178</v>
      </c>
      <c r="I880" s="18" t="s">
        <v>10</v>
      </c>
      <c r="J880" s="18" t="s">
        <v>4017</v>
      </c>
      <c r="K880" s="20"/>
    </row>
    <row r="881" spans="1:11" ht="36.75" thickBot="1">
      <c r="A881" s="18" t="s">
        <v>5373</v>
      </c>
      <c r="B881" s="18">
        <v>20025912302</v>
      </c>
      <c r="C881" s="18" t="s">
        <v>4239</v>
      </c>
      <c r="D881" s="19">
        <v>45494.951388888891</v>
      </c>
      <c r="E881" s="19">
        <v>45620.724305555559</v>
      </c>
      <c r="F881" s="18">
        <v>30</v>
      </c>
      <c r="G881" s="18" t="s">
        <v>10</v>
      </c>
      <c r="H881" s="18" t="s">
        <v>178</v>
      </c>
      <c r="I881" s="18" t="s">
        <v>10</v>
      </c>
      <c r="J881" s="18" t="s">
        <v>4017</v>
      </c>
      <c r="K881" s="20"/>
    </row>
    <row r="882" spans="1:11" ht="36.75" thickBot="1">
      <c r="A882" s="18" t="s">
        <v>5374</v>
      </c>
      <c r="B882" s="18">
        <v>20019967609</v>
      </c>
      <c r="C882" s="18" t="s">
        <v>216</v>
      </c>
      <c r="D882" s="19">
        <v>45620.944444444445</v>
      </c>
      <c r="E882" s="18" t="s">
        <v>10</v>
      </c>
      <c r="F882" s="18">
        <v>54</v>
      </c>
      <c r="G882" s="18" t="s">
        <v>10</v>
      </c>
      <c r="H882" s="18" t="s">
        <v>178</v>
      </c>
      <c r="I882" s="18" t="s">
        <v>10</v>
      </c>
      <c r="J882" s="18" t="s">
        <v>4017</v>
      </c>
      <c r="K882" s="20"/>
    </row>
    <row r="883" spans="1:11" ht="36.75" thickBot="1">
      <c r="A883" s="18" t="s">
        <v>5375</v>
      </c>
      <c r="B883" s="18">
        <v>20021362294</v>
      </c>
      <c r="C883" s="18" t="s">
        <v>4380</v>
      </c>
      <c r="D883" s="19">
        <v>45506.369444444441</v>
      </c>
      <c r="E883" s="19">
        <v>45621.463888888888</v>
      </c>
      <c r="F883" s="18">
        <v>250</v>
      </c>
      <c r="G883" s="19">
        <v>45698.504166666666</v>
      </c>
      <c r="H883" s="18" t="s">
        <v>236</v>
      </c>
      <c r="I883" s="18" t="s">
        <v>10</v>
      </c>
      <c r="J883" s="18" t="s">
        <v>4017</v>
      </c>
      <c r="K883" s="20"/>
    </row>
    <row r="884" spans="1:11" ht="36.75" thickBot="1">
      <c r="A884" s="18" t="s">
        <v>5376</v>
      </c>
      <c r="B884" s="18">
        <v>20001666739</v>
      </c>
      <c r="C884" s="18" t="s">
        <v>4066</v>
      </c>
      <c r="D884" s="19">
        <v>45621.579861111109</v>
      </c>
      <c r="E884" s="18" t="s">
        <v>10</v>
      </c>
      <c r="F884" s="18">
        <v>500</v>
      </c>
      <c r="G884" s="18" t="s">
        <v>10</v>
      </c>
      <c r="H884" s="18" t="s">
        <v>178</v>
      </c>
      <c r="I884" s="18" t="s">
        <v>10</v>
      </c>
      <c r="J884" s="18" t="s">
        <v>4017</v>
      </c>
      <c r="K884" s="20"/>
    </row>
    <row r="885" spans="1:11" ht="54.75" thickBot="1">
      <c r="A885" s="18" t="s">
        <v>5377</v>
      </c>
      <c r="B885" s="18">
        <v>20003101965</v>
      </c>
      <c r="C885" s="18" t="s">
        <v>5378</v>
      </c>
      <c r="D885" s="19">
        <v>45541.425694444442</v>
      </c>
      <c r="E885" s="19">
        <v>45621.621527777781</v>
      </c>
      <c r="F885" s="18">
        <v>150</v>
      </c>
      <c r="G885" s="18" t="s">
        <v>10</v>
      </c>
      <c r="H885" s="18" t="s">
        <v>178</v>
      </c>
      <c r="I885" s="18" t="s">
        <v>10</v>
      </c>
      <c r="J885" s="18" t="s">
        <v>4017</v>
      </c>
      <c r="K885" s="20"/>
    </row>
    <row r="886" spans="1:11" ht="36.75" thickBot="1">
      <c r="A886" s="18" t="s">
        <v>5379</v>
      </c>
      <c r="B886" s="18">
        <v>20003286438</v>
      </c>
      <c r="C886" s="18" t="s">
        <v>4035</v>
      </c>
      <c r="D886" s="19">
        <v>45621.711805555555</v>
      </c>
      <c r="E886" s="18" t="s">
        <v>10</v>
      </c>
      <c r="F886" s="18">
        <v>320</v>
      </c>
      <c r="G886" s="18" t="s">
        <v>10</v>
      </c>
      <c r="H886" s="18" t="s">
        <v>178</v>
      </c>
      <c r="I886" s="18" t="s">
        <v>10</v>
      </c>
      <c r="J886" s="18" t="s">
        <v>4017</v>
      </c>
      <c r="K886" s="20"/>
    </row>
    <row r="887" spans="1:11" ht="36.75" thickBot="1">
      <c r="A887" s="18" t="s">
        <v>5380</v>
      </c>
      <c r="B887" s="18">
        <v>20027430721</v>
      </c>
      <c r="C887" s="18" t="s">
        <v>5381</v>
      </c>
      <c r="D887" s="19">
        <v>45621.740277777775</v>
      </c>
      <c r="E887" s="18" t="s">
        <v>10</v>
      </c>
      <c r="F887" s="18">
        <v>250</v>
      </c>
      <c r="G887" s="18" t="s">
        <v>10</v>
      </c>
      <c r="H887" s="18" t="s">
        <v>178</v>
      </c>
      <c r="I887" s="18" t="s">
        <v>10</v>
      </c>
      <c r="J887" s="18" t="s">
        <v>4017</v>
      </c>
      <c r="K887" s="20"/>
    </row>
    <row r="888" spans="1:11" ht="36.75" thickBot="1">
      <c r="A888" s="18" t="s">
        <v>5382</v>
      </c>
      <c r="B888" s="18">
        <v>20026811289</v>
      </c>
      <c r="C888" s="18" t="s">
        <v>1062</v>
      </c>
      <c r="D888" s="19">
        <v>45622.692361111112</v>
      </c>
      <c r="E888" s="18" t="s">
        <v>10</v>
      </c>
      <c r="F888" s="18">
        <v>100</v>
      </c>
      <c r="G888" s="18" t="s">
        <v>10</v>
      </c>
      <c r="H888" s="18" t="s">
        <v>178</v>
      </c>
      <c r="I888" s="18" t="s">
        <v>10</v>
      </c>
      <c r="J888" s="18" t="s">
        <v>4017</v>
      </c>
      <c r="K888" s="20"/>
    </row>
    <row r="889" spans="1:11" ht="36.75" thickBot="1">
      <c r="A889" s="18" t="s">
        <v>5383</v>
      </c>
      <c r="B889" s="18">
        <v>20025764642</v>
      </c>
      <c r="C889" s="18" t="s">
        <v>2582</v>
      </c>
      <c r="D889" s="19">
        <v>45518.404166666667</v>
      </c>
      <c r="E889" s="19">
        <v>45622.694444444445</v>
      </c>
      <c r="F889" s="18">
        <v>36</v>
      </c>
      <c r="G889" s="19">
        <v>45708.45416666667</v>
      </c>
      <c r="H889" s="18" t="s">
        <v>236</v>
      </c>
      <c r="I889" s="18" t="s">
        <v>10</v>
      </c>
      <c r="J889" s="18" t="s">
        <v>4017</v>
      </c>
      <c r="K889" s="20"/>
    </row>
    <row r="890" spans="1:11" ht="36.75" thickBot="1">
      <c r="A890" s="18" t="s">
        <v>5384</v>
      </c>
      <c r="B890" s="18">
        <v>20024271389</v>
      </c>
      <c r="C890" s="18" t="s">
        <v>4709</v>
      </c>
      <c r="D890" s="19">
        <v>45622.71875</v>
      </c>
      <c r="E890" s="18" t="s">
        <v>10</v>
      </c>
      <c r="F890" s="18">
        <v>100</v>
      </c>
      <c r="G890" s="18" t="s">
        <v>10</v>
      </c>
      <c r="H890" s="18" t="s">
        <v>178</v>
      </c>
      <c r="I890" s="18" t="s">
        <v>10</v>
      </c>
      <c r="J890" s="18" t="s">
        <v>4017</v>
      </c>
      <c r="K890" s="20"/>
    </row>
    <row r="891" spans="1:11" ht="36.75" thickBot="1">
      <c r="A891" s="18" t="s">
        <v>5385</v>
      </c>
      <c r="B891" s="18">
        <v>20024919951</v>
      </c>
      <c r="C891" s="18" t="s">
        <v>4911</v>
      </c>
      <c r="D891" s="19">
        <v>45622.748611111114</v>
      </c>
      <c r="E891" s="18" t="s">
        <v>10</v>
      </c>
      <c r="F891" s="18">
        <v>70</v>
      </c>
      <c r="G891" s="18" t="s">
        <v>10</v>
      </c>
      <c r="H891" s="18" t="s">
        <v>178</v>
      </c>
      <c r="I891" s="18" t="s">
        <v>10</v>
      </c>
      <c r="J891" s="18" t="s">
        <v>4017</v>
      </c>
      <c r="K891" s="20"/>
    </row>
    <row r="892" spans="1:11" ht="72.75" thickBot="1">
      <c r="A892" s="18" t="s">
        <v>5386</v>
      </c>
      <c r="B892" s="18">
        <v>20020720216</v>
      </c>
      <c r="C892" s="18" t="s">
        <v>5014</v>
      </c>
      <c r="D892" s="19">
        <v>45623.429861111108</v>
      </c>
      <c r="E892" s="18" t="s">
        <v>10</v>
      </c>
      <c r="F892" s="18">
        <v>550</v>
      </c>
      <c r="G892" s="19">
        <v>45695.447916666664</v>
      </c>
      <c r="H892" s="18" t="s">
        <v>2657</v>
      </c>
      <c r="I892" s="18" t="s">
        <v>10</v>
      </c>
      <c r="J892" s="18" t="s">
        <v>4017</v>
      </c>
      <c r="K892" s="20"/>
    </row>
    <row r="893" spans="1:11" ht="36.75" thickBot="1">
      <c r="A893" s="18" t="s">
        <v>5387</v>
      </c>
      <c r="B893" s="18">
        <v>20003108483</v>
      </c>
      <c r="C893" s="18" t="s">
        <v>4256</v>
      </c>
      <c r="D893" s="19">
        <v>45624.383333333331</v>
      </c>
      <c r="E893" s="18" t="s">
        <v>10</v>
      </c>
      <c r="F893" s="18">
        <v>100</v>
      </c>
      <c r="G893" s="18" t="s">
        <v>10</v>
      </c>
      <c r="H893" s="18" t="s">
        <v>178</v>
      </c>
      <c r="I893" s="18" t="s">
        <v>10</v>
      </c>
      <c r="J893" s="18" t="s">
        <v>4017</v>
      </c>
      <c r="K893" s="20"/>
    </row>
    <row r="894" spans="1:11" ht="36.75" thickBot="1">
      <c r="A894" s="18" t="s">
        <v>5388</v>
      </c>
      <c r="B894" s="18">
        <v>20019055247</v>
      </c>
      <c r="C894" s="18" t="s">
        <v>5389</v>
      </c>
      <c r="D894" s="19">
        <v>45624.477083333331</v>
      </c>
      <c r="E894" s="18" t="s">
        <v>10</v>
      </c>
      <c r="F894" s="18">
        <v>40</v>
      </c>
      <c r="G894" s="18" t="s">
        <v>10</v>
      </c>
      <c r="H894" s="18" t="s">
        <v>178</v>
      </c>
      <c r="I894" s="18" t="s">
        <v>10</v>
      </c>
      <c r="J894" s="18" t="s">
        <v>4017</v>
      </c>
      <c r="K894" s="20"/>
    </row>
    <row r="895" spans="1:11" ht="36.75" thickBot="1">
      <c r="A895" s="18" t="s">
        <v>5390</v>
      </c>
      <c r="B895" s="18">
        <v>20021344201</v>
      </c>
      <c r="C895" s="18" t="s">
        <v>4453</v>
      </c>
      <c r="D895" s="19">
        <v>45469.69027777778</v>
      </c>
      <c r="E895" s="19">
        <v>45624.481249999997</v>
      </c>
      <c r="F895" s="18">
        <v>250</v>
      </c>
      <c r="G895" s="19">
        <v>45708.649305555555</v>
      </c>
      <c r="H895" s="18" t="s">
        <v>2654</v>
      </c>
      <c r="I895" s="18" t="s">
        <v>10</v>
      </c>
      <c r="J895" s="18" t="s">
        <v>4017</v>
      </c>
      <c r="K895" s="20"/>
    </row>
    <row r="896" spans="1:11" ht="36.75" thickBot="1">
      <c r="A896" s="18" t="s">
        <v>5391</v>
      </c>
      <c r="B896" s="18">
        <v>20021684117</v>
      </c>
      <c r="C896" s="18" t="s">
        <v>5392</v>
      </c>
      <c r="D896" s="19">
        <v>45624.50277777778</v>
      </c>
      <c r="E896" s="18" t="s">
        <v>10</v>
      </c>
      <c r="F896" s="18">
        <v>22</v>
      </c>
      <c r="G896" s="18" t="s">
        <v>10</v>
      </c>
      <c r="H896" s="18" t="s">
        <v>178</v>
      </c>
      <c r="I896" s="18" t="s">
        <v>10</v>
      </c>
      <c r="J896" s="18" t="s">
        <v>4017</v>
      </c>
      <c r="K896" s="20"/>
    </row>
    <row r="897" spans="1:11" ht="36.75" thickBot="1">
      <c r="A897" s="18" t="s">
        <v>5393</v>
      </c>
      <c r="B897" s="18">
        <v>20020092367</v>
      </c>
      <c r="C897" s="18" t="s">
        <v>4356</v>
      </c>
      <c r="D897" s="19">
        <v>45539.57708333333</v>
      </c>
      <c r="E897" s="19">
        <v>45624.620138888888</v>
      </c>
      <c r="F897" s="18">
        <v>750</v>
      </c>
      <c r="G897" s="19">
        <v>45677.518055555556</v>
      </c>
      <c r="H897" s="18" t="s">
        <v>236</v>
      </c>
      <c r="I897" s="18" t="s">
        <v>10</v>
      </c>
      <c r="J897" s="18" t="s">
        <v>4017</v>
      </c>
      <c r="K897" s="20"/>
    </row>
    <row r="898" spans="1:11" ht="36.75" thickBot="1">
      <c r="A898" s="18" t="s">
        <v>5394</v>
      </c>
      <c r="B898" s="18">
        <v>20003491461</v>
      </c>
      <c r="C898" s="18" t="s">
        <v>5395</v>
      </c>
      <c r="D898" s="19">
        <v>45624.701388888891</v>
      </c>
      <c r="E898" s="18" t="s">
        <v>10</v>
      </c>
      <c r="F898" s="18">
        <v>800</v>
      </c>
      <c r="G898" s="18" t="s">
        <v>10</v>
      </c>
      <c r="H898" s="18" t="s">
        <v>178</v>
      </c>
      <c r="I898" s="18" t="s">
        <v>10</v>
      </c>
      <c r="J898" s="18" t="s">
        <v>4017</v>
      </c>
      <c r="K898" s="20"/>
    </row>
    <row r="899" spans="1:11" ht="36.75" thickBot="1">
      <c r="A899" s="18" t="s">
        <v>5396</v>
      </c>
      <c r="B899" s="18">
        <v>20003405317</v>
      </c>
      <c r="C899" s="18" t="s">
        <v>5397</v>
      </c>
      <c r="D899" s="19">
        <v>45624.736805555556</v>
      </c>
      <c r="E899" s="18" t="s">
        <v>10</v>
      </c>
      <c r="F899" s="18">
        <v>800</v>
      </c>
      <c r="G899" s="18" t="s">
        <v>10</v>
      </c>
      <c r="H899" s="18" t="s">
        <v>178</v>
      </c>
      <c r="I899" s="18" t="s">
        <v>10</v>
      </c>
      <c r="J899" s="18" t="s">
        <v>4017</v>
      </c>
      <c r="K899" s="20"/>
    </row>
    <row r="900" spans="1:11" ht="36.75" thickBot="1">
      <c r="A900" s="18" t="s">
        <v>5398</v>
      </c>
      <c r="B900" s="18">
        <v>20003519458</v>
      </c>
      <c r="C900" s="18" t="s">
        <v>5399</v>
      </c>
      <c r="D900" s="19">
        <v>45624.775000000001</v>
      </c>
      <c r="E900" s="18" t="s">
        <v>10</v>
      </c>
      <c r="F900" s="18">
        <v>85</v>
      </c>
      <c r="G900" s="18" t="s">
        <v>10</v>
      </c>
      <c r="H900" s="18" t="s">
        <v>178</v>
      </c>
      <c r="I900" s="18" t="s">
        <v>10</v>
      </c>
      <c r="J900" s="18" t="s">
        <v>4017</v>
      </c>
      <c r="K900" s="20"/>
    </row>
    <row r="901" spans="1:11" ht="36.75" thickBot="1">
      <c r="A901" s="18" t="s">
        <v>5400</v>
      </c>
      <c r="B901" s="18">
        <v>20003481144</v>
      </c>
      <c r="C901" s="18" t="s">
        <v>4188</v>
      </c>
      <c r="D901" s="19">
        <v>45624.947916666664</v>
      </c>
      <c r="E901" s="18" t="s">
        <v>10</v>
      </c>
      <c r="F901" s="18">
        <v>180</v>
      </c>
      <c r="G901" s="18" t="s">
        <v>10</v>
      </c>
      <c r="H901" s="18" t="s">
        <v>178</v>
      </c>
      <c r="I901" s="18" t="s">
        <v>10</v>
      </c>
      <c r="J901" s="18" t="s">
        <v>4017</v>
      </c>
      <c r="K901" s="1"/>
    </row>
    <row r="902" spans="1:11" ht="36.75" thickBot="1">
      <c r="A902" s="18" t="s">
        <v>5401</v>
      </c>
      <c r="B902" s="18">
        <v>20017515702</v>
      </c>
      <c r="C902" s="18" t="s">
        <v>4188</v>
      </c>
      <c r="D902" s="19">
        <v>45624.993055555555</v>
      </c>
      <c r="E902" s="18" t="s">
        <v>10</v>
      </c>
      <c r="F902" s="18">
        <v>170</v>
      </c>
      <c r="G902" s="18" t="s">
        <v>10</v>
      </c>
      <c r="H902" s="18" t="s">
        <v>178</v>
      </c>
      <c r="I902" s="18" t="s">
        <v>10</v>
      </c>
      <c r="J902" s="18" t="s">
        <v>4017</v>
      </c>
      <c r="K902" s="20"/>
    </row>
    <row r="903" spans="1:11" ht="54.75" thickBot="1">
      <c r="A903" s="18" t="s">
        <v>5402</v>
      </c>
      <c r="B903" s="18">
        <v>20025497992</v>
      </c>
      <c r="C903" s="18" t="s">
        <v>4655</v>
      </c>
      <c r="D903" s="19">
        <v>45625.333333333336</v>
      </c>
      <c r="E903" s="18" t="s">
        <v>10</v>
      </c>
      <c r="F903" s="18">
        <v>36</v>
      </c>
      <c r="G903" s="18" t="s">
        <v>10</v>
      </c>
      <c r="H903" s="18" t="s">
        <v>178</v>
      </c>
      <c r="I903" s="18" t="s">
        <v>10</v>
      </c>
      <c r="J903" s="18" t="s">
        <v>4017</v>
      </c>
      <c r="K903" s="20"/>
    </row>
    <row r="904" spans="1:11" ht="36.75" thickBot="1">
      <c r="A904" s="18" t="s">
        <v>5403</v>
      </c>
      <c r="B904" s="18">
        <v>20003469856</v>
      </c>
      <c r="C904" s="18" t="s">
        <v>4483</v>
      </c>
      <c r="D904" s="19">
        <v>45625.405555555553</v>
      </c>
      <c r="E904" s="18" t="s">
        <v>10</v>
      </c>
      <c r="F904" s="18">
        <v>150</v>
      </c>
      <c r="G904" s="18" t="s">
        <v>10</v>
      </c>
      <c r="H904" s="18" t="s">
        <v>178</v>
      </c>
      <c r="I904" s="18" t="s">
        <v>10</v>
      </c>
      <c r="J904" s="18" t="s">
        <v>4017</v>
      </c>
      <c r="K904" s="20"/>
    </row>
    <row r="905" spans="1:11" ht="36.75" thickBot="1">
      <c r="A905" s="18" t="s">
        <v>5404</v>
      </c>
      <c r="B905" s="18">
        <v>20003489829</v>
      </c>
      <c r="C905" s="18" t="s">
        <v>4045</v>
      </c>
      <c r="D905" s="19">
        <v>45471.79791666667</v>
      </c>
      <c r="E905" s="19">
        <v>45625.680555555555</v>
      </c>
      <c r="F905" s="18">
        <v>900</v>
      </c>
      <c r="G905" s="19">
        <v>45687.577777777777</v>
      </c>
      <c r="H905" s="18" t="s">
        <v>2654</v>
      </c>
      <c r="I905" s="18" t="s">
        <v>10</v>
      </c>
      <c r="J905" s="18" t="s">
        <v>4017</v>
      </c>
      <c r="K905" s="20"/>
    </row>
    <row r="906" spans="1:11" ht="36.75" thickBot="1">
      <c r="A906" s="18" t="s">
        <v>5405</v>
      </c>
      <c r="B906" s="18">
        <v>20021986711</v>
      </c>
      <c r="C906" s="18" t="s">
        <v>4481</v>
      </c>
      <c r="D906" s="19">
        <v>45626.560416666667</v>
      </c>
      <c r="E906" s="18" t="s">
        <v>10</v>
      </c>
      <c r="F906" s="18">
        <v>200</v>
      </c>
      <c r="G906" s="18" t="s">
        <v>10</v>
      </c>
      <c r="H906" s="18" t="s">
        <v>178</v>
      </c>
      <c r="I906" s="18" t="s">
        <v>10</v>
      </c>
      <c r="J906" s="18" t="s">
        <v>4017</v>
      </c>
      <c r="K906" s="20"/>
    </row>
    <row r="907" spans="1:11" ht="36.75" thickBot="1">
      <c r="A907" s="18" t="s">
        <v>5406</v>
      </c>
      <c r="B907" s="18">
        <v>20003058742</v>
      </c>
      <c r="C907" s="18" t="s">
        <v>4514</v>
      </c>
      <c r="D907" s="19">
        <v>45521.418055555558</v>
      </c>
      <c r="E907" s="19">
        <v>45628.405555555553</v>
      </c>
      <c r="F907" s="18">
        <v>480</v>
      </c>
      <c r="G907" s="18" t="s">
        <v>10</v>
      </c>
      <c r="H907" s="18" t="s">
        <v>189</v>
      </c>
      <c r="I907" s="18" t="s">
        <v>10</v>
      </c>
      <c r="J907" s="18" t="s">
        <v>4017</v>
      </c>
      <c r="K907" s="20"/>
    </row>
    <row r="908" spans="1:11" ht="36.75" thickBot="1">
      <c r="A908" s="18" t="s">
        <v>5407</v>
      </c>
      <c r="B908" s="18">
        <v>20003251342</v>
      </c>
      <c r="C908" s="18" t="s">
        <v>5408</v>
      </c>
      <c r="D908" s="19">
        <v>45628.601388888892</v>
      </c>
      <c r="E908" s="18" t="s">
        <v>10</v>
      </c>
      <c r="F908" s="18">
        <v>50</v>
      </c>
      <c r="G908" s="18" t="s">
        <v>10</v>
      </c>
      <c r="H908" s="18" t="s">
        <v>178</v>
      </c>
      <c r="I908" s="18" t="s">
        <v>10</v>
      </c>
      <c r="J908" s="18" t="s">
        <v>4017</v>
      </c>
      <c r="K908" s="20"/>
    </row>
    <row r="909" spans="1:11" ht="36.75" thickBot="1">
      <c r="A909" s="18" t="s">
        <v>5409</v>
      </c>
      <c r="B909" s="18">
        <v>20017179510</v>
      </c>
      <c r="C909" s="18" t="s">
        <v>5410</v>
      </c>
      <c r="D909" s="19">
        <v>45628.628472222219</v>
      </c>
      <c r="E909" s="18" t="s">
        <v>10</v>
      </c>
      <c r="F909" s="18">
        <v>150</v>
      </c>
      <c r="G909" s="18" t="s">
        <v>10</v>
      </c>
      <c r="H909" s="18" t="s">
        <v>178</v>
      </c>
      <c r="I909" s="18" t="s">
        <v>10</v>
      </c>
      <c r="J909" s="18" t="s">
        <v>4017</v>
      </c>
      <c r="K909" s="20"/>
    </row>
    <row r="910" spans="1:11" ht="36.75" thickBot="1">
      <c r="A910" s="18" t="s">
        <v>5411</v>
      </c>
      <c r="B910" s="18">
        <v>20022042542</v>
      </c>
      <c r="C910" s="18" t="s">
        <v>5397</v>
      </c>
      <c r="D910" s="19">
        <v>45628.643055555556</v>
      </c>
      <c r="E910" s="18" t="s">
        <v>10</v>
      </c>
      <c r="F910" s="18">
        <v>850</v>
      </c>
      <c r="G910" s="18" t="s">
        <v>10</v>
      </c>
      <c r="H910" s="18" t="s">
        <v>178</v>
      </c>
      <c r="I910" s="18" t="s">
        <v>10</v>
      </c>
      <c r="J910" s="18" t="s">
        <v>4017</v>
      </c>
      <c r="K910" s="20"/>
    </row>
    <row r="911" spans="1:11" ht="54.75" thickBot="1">
      <c r="A911" s="18" t="s">
        <v>5412</v>
      </c>
      <c r="B911" s="18">
        <v>20016548259</v>
      </c>
      <c r="C911" s="18" t="s">
        <v>5413</v>
      </c>
      <c r="D911" s="19">
        <v>45628.668055555558</v>
      </c>
      <c r="E911" s="18" t="s">
        <v>10</v>
      </c>
      <c r="F911" s="18">
        <v>100</v>
      </c>
      <c r="G911" s="18" t="s">
        <v>10</v>
      </c>
      <c r="H911" s="18" t="s">
        <v>178</v>
      </c>
      <c r="I911" s="18" t="s">
        <v>10</v>
      </c>
      <c r="J911" s="18" t="s">
        <v>4017</v>
      </c>
      <c r="K911" s="20"/>
    </row>
    <row r="912" spans="1:11" ht="36.75" thickBot="1">
      <c r="A912" s="18" t="s">
        <v>5414</v>
      </c>
      <c r="B912" s="18">
        <v>20016498989</v>
      </c>
      <c r="C912" s="18" t="s">
        <v>5415</v>
      </c>
      <c r="D912" s="19">
        <v>45629.421527777777</v>
      </c>
      <c r="E912" s="18" t="s">
        <v>10</v>
      </c>
      <c r="F912" s="18">
        <v>100</v>
      </c>
      <c r="G912" s="18" t="s">
        <v>10</v>
      </c>
      <c r="H912" s="18" t="s">
        <v>178</v>
      </c>
      <c r="I912" s="18" t="s">
        <v>10</v>
      </c>
      <c r="J912" s="18" t="s">
        <v>4017</v>
      </c>
      <c r="K912" s="20"/>
    </row>
    <row r="913" spans="1:11" ht="36.75" thickBot="1">
      <c r="A913" s="18" t="s">
        <v>5416</v>
      </c>
      <c r="B913" s="18">
        <v>20024423894</v>
      </c>
      <c r="C913" s="18" t="s">
        <v>5417</v>
      </c>
      <c r="D913" s="19">
        <v>45629.45</v>
      </c>
      <c r="E913" s="18" t="s">
        <v>10</v>
      </c>
      <c r="F913" s="18">
        <v>150</v>
      </c>
      <c r="G913" s="18" t="s">
        <v>10</v>
      </c>
      <c r="H913" s="18" t="s">
        <v>178</v>
      </c>
      <c r="I913" s="18" t="s">
        <v>10</v>
      </c>
      <c r="J913" s="18" t="s">
        <v>4017</v>
      </c>
      <c r="K913" s="20"/>
    </row>
    <row r="914" spans="1:11" ht="36.75" thickBot="1">
      <c r="A914" s="18" t="s">
        <v>5418</v>
      </c>
      <c r="B914" s="18">
        <v>20003228500</v>
      </c>
      <c r="C914" s="18" t="s">
        <v>5419</v>
      </c>
      <c r="D914" s="19">
        <v>45509.76458333333</v>
      </c>
      <c r="E914" s="19">
        <v>45629.602083333331</v>
      </c>
      <c r="F914" s="18">
        <v>540</v>
      </c>
      <c r="G914" s="18" t="s">
        <v>10</v>
      </c>
      <c r="H914" s="18" t="s">
        <v>178</v>
      </c>
      <c r="I914" s="18" t="s">
        <v>10</v>
      </c>
      <c r="J914" s="18" t="s">
        <v>4017</v>
      </c>
      <c r="K914" s="20"/>
    </row>
    <row r="915" spans="1:11" ht="36.75" thickBot="1">
      <c r="A915" s="18" t="s">
        <v>5420</v>
      </c>
      <c r="B915" s="18">
        <v>20003203963</v>
      </c>
      <c r="C915" s="18" t="s">
        <v>4624</v>
      </c>
      <c r="D915" s="19">
        <v>45629.65625</v>
      </c>
      <c r="E915" s="18" t="s">
        <v>10</v>
      </c>
      <c r="F915" s="18">
        <v>390</v>
      </c>
      <c r="G915" s="18" t="s">
        <v>10</v>
      </c>
      <c r="H915" s="18" t="s">
        <v>178</v>
      </c>
      <c r="I915" s="18" t="s">
        <v>10</v>
      </c>
      <c r="J915" s="18" t="s">
        <v>4017</v>
      </c>
      <c r="K915" s="20"/>
    </row>
    <row r="916" spans="1:11" ht="36.75" thickBot="1">
      <c r="A916" s="18" t="s">
        <v>5421</v>
      </c>
      <c r="B916" s="18">
        <v>20017018491</v>
      </c>
      <c r="C916" s="18" t="s">
        <v>4635</v>
      </c>
      <c r="D916" s="19">
        <v>45485.688194444447</v>
      </c>
      <c r="E916" s="19">
        <v>45630.481249999997</v>
      </c>
      <c r="F916" s="18">
        <v>50</v>
      </c>
      <c r="G916" s="19">
        <v>45709.370833333334</v>
      </c>
      <c r="H916" s="18" t="s">
        <v>236</v>
      </c>
      <c r="I916" s="18" t="s">
        <v>10</v>
      </c>
      <c r="J916" s="18" t="s">
        <v>4017</v>
      </c>
      <c r="K916" s="20"/>
    </row>
    <row r="917" spans="1:11" ht="36.75" thickBot="1">
      <c r="A917" s="18" t="s">
        <v>5422</v>
      </c>
      <c r="B917" s="18">
        <v>20025634624</v>
      </c>
      <c r="C917" s="18" t="s">
        <v>5423</v>
      </c>
      <c r="D917" s="19">
        <v>45344.695138888892</v>
      </c>
      <c r="E917" s="19">
        <v>45630.582638888889</v>
      </c>
      <c r="F917" s="18">
        <v>900</v>
      </c>
      <c r="G917" s="19">
        <v>45698.504166666666</v>
      </c>
      <c r="H917" s="18" t="s">
        <v>236</v>
      </c>
      <c r="I917" s="18" t="s">
        <v>10</v>
      </c>
      <c r="J917" s="18" t="s">
        <v>4017</v>
      </c>
      <c r="K917" s="20"/>
    </row>
    <row r="918" spans="1:11" ht="36.75" thickBot="1">
      <c r="A918" s="18" t="s">
        <v>5424</v>
      </c>
      <c r="B918" s="18">
        <v>20002879475</v>
      </c>
      <c r="C918" s="18" t="s">
        <v>5425</v>
      </c>
      <c r="D918" s="19">
        <v>45630.61041666667</v>
      </c>
      <c r="E918" s="18" t="s">
        <v>10</v>
      </c>
      <c r="F918" s="18">
        <v>425</v>
      </c>
      <c r="G918" s="18" t="s">
        <v>10</v>
      </c>
      <c r="H918" s="18" t="s">
        <v>178</v>
      </c>
      <c r="I918" s="18" t="s">
        <v>10</v>
      </c>
      <c r="J918" s="18" t="s">
        <v>4017</v>
      </c>
      <c r="K918" s="20"/>
    </row>
    <row r="919" spans="1:11" ht="36.75" thickBot="1">
      <c r="A919" s="18" t="s">
        <v>5426</v>
      </c>
      <c r="B919" s="18">
        <v>20002939222</v>
      </c>
      <c r="C919" s="18" t="s">
        <v>4465</v>
      </c>
      <c r="D919" s="19">
        <v>45630.686111111114</v>
      </c>
      <c r="E919" s="18" t="s">
        <v>10</v>
      </c>
      <c r="F919" s="18">
        <v>200</v>
      </c>
      <c r="G919" s="18" t="s">
        <v>10</v>
      </c>
      <c r="H919" s="18" t="s">
        <v>178</v>
      </c>
      <c r="I919" s="18" t="s">
        <v>10</v>
      </c>
      <c r="J919" s="18" t="s">
        <v>4017</v>
      </c>
      <c r="K919" s="20"/>
    </row>
    <row r="920" spans="1:11" ht="36.75" thickBot="1">
      <c r="A920" s="18" t="s">
        <v>5427</v>
      </c>
      <c r="B920" s="18">
        <v>20018538199</v>
      </c>
      <c r="C920" s="18" t="s">
        <v>5428</v>
      </c>
      <c r="D920" s="19">
        <v>45631.890972222223</v>
      </c>
      <c r="E920" s="18" t="s">
        <v>10</v>
      </c>
      <c r="F920" s="18">
        <v>160</v>
      </c>
      <c r="G920" s="18" t="s">
        <v>10</v>
      </c>
      <c r="H920" s="18" t="s">
        <v>178</v>
      </c>
      <c r="I920" s="18" t="s">
        <v>10</v>
      </c>
      <c r="J920" s="18" t="s">
        <v>4017</v>
      </c>
      <c r="K920" s="20"/>
    </row>
    <row r="921" spans="1:11" ht="36.75" thickBot="1">
      <c r="A921" s="18" t="s">
        <v>5429</v>
      </c>
      <c r="B921" s="18">
        <v>20022576781</v>
      </c>
      <c r="C921" s="18" t="s">
        <v>5080</v>
      </c>
      <c r="D921" s="19">
        <v>45632.46875</v>
      </c>
      <c r="E921" s="18" t="s">
        <v>10</v>
      </c>
      <c r="F921" s="18">
        <v>300</v>
      </c>
      <c r="G921" s="19">
        <v>45692.65</v>
      </c>
      <c r="H921" s="18" t="s">
        <v>236</v>
      </c>
      <c r="I921" s="18" t="s">
        <v>10</v>
      </c>
      <c r="J921" s="18" t="s">
        <v>4017</v>
      </c>
      <c r="K921" s="20"/>
    </row>
    <row r="922" spans="1:11" ht="36.75" thickBot="1">
      <c r="A922" s="18" t="s">
        <v>5430</v>
      </c>
      <c r="B922" s="18">
        <v>20002880104</v>
      </c>
      <c r="C922" s="18" t="s">
        <v>4319</v>
      </c>
      <c r="D922" s="19">
        <v>45632.493750000001</v>
      </c>
      <c r="E922" s="18" t="s">
        <v>10</v>
      </c>
      <c r="F922" s="18">
        <v>375</v>
      </c>
      <c r="G922" s="18" t="s">
        <v>10</v>
      </c>
      <c r="H922" s="18" t="s">
        <v>178</v>
      </c>
      <c r="I922" s="18" t="s">
        <v>10</v>
      </c>
      <c r="J922" s="18" t="s">
        <v>4017</v>
      </c>
      <c r="K922" s="20"/>
    </row>
    <row r="923" spans="1:11" ht="36.75" thickBot="1">
      <c r="A923" s="18" t="s">
        <v>5431</v>
      </c>
      <c r="B923" s="18">
        <v>20026062627</v>
      </c>
      <c r="C923" s="18" t="s">
        <v>5077</v>
      </c>
      <c r="D923" s="19">
        <v>45632.615277777775</v>
      </c>
      <c r="E923" s="18" t="s">
        <v>10</v>
      </c>
      <c r="F923" s="18">
        <v>60</v>
      </c>
      <c r="G923" s="18" t="s">
        <v>10</v>
      </c>
      <c r="H923" s="18" t="s">
        <v>178</v>
      </c>
      <c r="I923" s="18" t="s">
        <v>10</v>
      </c>
      <c r="J923" s="18" t="s">
        <v>4017</v>
      </c>
      <c r="K923" s="20"/>
    </row>
    <row r="924" spans="1:11" ht="36.75" thickBot="1">
      <c r="A924" s="18" t="s">
        <v>5432</v>
      </c>
      <c r="B924" s="18">
        <v>20023922007</v>
      </c>
      <c r="C924" s="18" t="s">
        <v>4531</v>
      </c>
      <c r="D924" s="19">
        <v>45632.68472222222</v>
      </c>
      <c r="E924" s="18" t="s">
        <v>10</v>
      </c>
      <c r="F924" s="18">
        <v>125</v>
      </c>
      <c r="G924" s="18" t="s">
        <v>10</v>
      </c>
      <c r="H924" s="18" t="s">
        <v>178</v>
      </c>
      <c r="I924" s="18" t="s">
        <v>10</v>
      </c>
      <c r="J924" s="18" t="s">
        <v>4017</v>
      </c>
      <c r="K924" s="20"/>
    </row>
    <row r="925" spans="1:11" ht="36.75" thickBot="1">
      <c r="A925" s="18" t="s">
        <v>5433</v>
      </c>
      <c r="B925" s="18">
        <v>20024008034</v>
      </c>
      <c r="C925" s="18" t="s">
        <v>5434</v>
      </c>
      <c r="D925" s="19">
        <v>45632.753472222219</v>
      </c>
      <c r="E925" s="18" t="s">
        <v>10</v>
      </c>
      <c r="F925" s="18">
        <v>150</v>
      </c>
      <c r="G925" s="18" t="s">
        <v>10</v>
      </c>
      <c r="H925" s="18" t="s">
        <v>178</v>
      </c>
      <c r="I925" s="18" t="s">
        <v>10</v>
      </c>
      <c r="J925" s="18" t="s">
        <v>4017</v>
      </c>
      <c r="K925" s="20"/>
    </row>
    <row r="926" spans="1:11" ht="36.75" thickBot="1">
      <c r="A926" s="18" t="s">
        <v>5435</v>
      </c>
      <c r="B926" s="18">
        <v>20018155106</v>
      </c>
      <c r="C926" s="18" t="s">
        <v>5436</v>
      </c>
      <c r="D926" s="19">
        <v>45632.775000000001</v>
      </c>
      <c r="E926" s="18" t="s">
        <v>10</v>
      </c>
      <c r="F926" s="18">
        <v>250</v>
      </c>
      <c r="G926" s="18" t="s">
        <v>10</v>
      </c>
      <c r="H926" s="18" t="s">
        <v>178</v>
      </c>
      <c r="I926" s="18" t="s">
        <v>10</v>
      </c>
      <c r="J926" s="18" t="s">
        <v>4017</v>
      </c>
      <c r="K926" s="20"/>
    </row>
    <row r="927" spans="1:11" ht="36.75" thickBot="1">
      <c r="A927" s="18" t="s">
        <v>5437</v>
      </c>
      <c r="B927" s="18">
        <v>20024896918</v>
      </c>
      <c r="C927" s="18" t="s">
        <v>5438</v>
      </c>
      <c r="D927" s="19">
        <v>45633.022222222222</v>
      </c>
      <c r="E927" s="18" t="s">
        <v>10</v>
      </c>
      <c r="F927" s="18">
        <v>50</v>
      </c>
      <c r="G927" s="19">
        <v>45685.474999999999</v>
      </c>
      <c r="H927" s="18" t="s">
        <v>236</v>
      </c>
      <c r="I927" s="18" t="s">
        <v>10</v>
      </c>
      <c r="J927" s="18" t="s">
        <v>4017</v>
      </c>
      <c r="K927" s="20"/>
    </row>
    <row r="928" spans="1:11" ht="36.75" thickBot="1">
      <c r="A928" s="18" t="s">
        <v>5439</v>
      </c>
      <c r="B928" s="18">
        <v>20019451419</v>
      </c>
      <c r="C928" s="18" t="s">
        <v>5052</v>
      </c>
      <c r="D928" s="19">
        <v>45633.573611111111</v>
      </c>
      <c r="E928" s="18" t="s">
        <v>10</v>
      </c>
      <c r="F928" s="18">
        <v>450</v>
      </c>
      <c r="G928" s="19">
        <v>45688.602777777778</v>
      </c>
      <c r="H928" s="18" t="s">
        <v>236</v>
      </c>
      <c r="I928" s="18" t="s">
        <v>10</v>
      </c>
      <c r="J928" s="18" t="s">
        <v>4017</v>
      </c>
      <c r="K928" s="20"/>
    </row>
    <row r="929" spans="1:11" ht="36.75" thickBot="1">
      <c r="A929" s="18" t="s">
        <v>5440</v>
      </c>
      <c r="B929" s="18">
        <v>20020934644</v>
      </c>
      <c r="C929" s="18" t="s">
        <v>216</v>
      </c>
      <c r="D929" s="19">
        <v>45634.826388888891</v>
      </c>
      <c r="E929" s="18" t="s">
        <v>10</v>
      </c>
      <c r="F929" s="18">
        <v>27</v>
      </c>
      <c r="G929" s="18" t="s">
        <v>10</v>
      </c>
      <c r="H929" s="18" t="s">
        <v>178</v>
      </c>
      <c r="I929" s="18" t="s">
        <v>10</v>
      </c>
      <c r="J929" s="18" t="s">
        <v>4017</v>
      </c>
      <c r="K929" s="20"/>
    </row>
    <row r="930" spans="1:11" ht="36.75" thickBot="1">
      <c r="A930" s="18" t="s">
        <v>5441</v>
      </c>
      <c r="B930" s="18">
        <v>20020924519</v>
      </c>
      <c r="C930" s="18" t="s">
        <v>216</v>
      </c>
      <c r="D930" s="19">
        <v>45634.848611111112</v>
      </c>
      <c r="E930" s="18" t="s">
        <v>10</v>
      </c>
      <c r="F930" s="18">
        <v>27</v>
      </c>
      <c r="G930" s="18" t="s">
        <v>10</v>
      </c>
      <c r="H930" s="18" t="s">
        <v>178</v>
      </c>
      <c r="I930" s="18" t="s">
        <v>10</v>
      </c>
      <c r="J930" s="18" t="s">
        <v>4017</v>
      </c>
      <c r="K930" s="20"/>
    </row>
    <row r="931" spans="1:11" ht="36.75" thickBot="1">
      <c r="A931" s="18" t="s">
        <v>5442</v>
      </c>
      <c r="B931" s="18">
        <v>20022282266</v>
      </c>
      <c r="C931" s="18" t="s">
        <v>5443</v>
      </c>
      <c r="D931" s="19">
        <v>45635.566666666666</v>
      </c>
      <c r="E931" s="18" t="s">
        <v>10</v>
      </c>
      <c r="F931" s="18">
        <v>30</v>
      </c>
      <c r="G931" s="18" t="s">
        <v>10</v>
      </c>
      <c r="H931" s="18" t="s">
        <v>178</v>
      </c>
      <c r="I931" s="18" t="s">
        <v>10</v>
      </c>
      <c r="J931" s="18" t="s">
        <v>4017</v>
      </c>
      <c r="K931" s="20"/>
    </row>
    <row r="932" spans="1:11" ht="36.75" thickBot="1">
      <c r="A932" s="18" t="s">
        <v>5444</v>
      </c>
      <c r="B932" s="18">
        <v>20019703563</v>
      </c>
      <c r="C932" s="18" t="s">
        <v>5067</v>
      </c>
      <c r="D932" s="19">
        <v>45635.703472222223</v>
      </c>
      <c r="E932" s="18" t="s">
        <v>10</v>
      </c>
      <c r="F932" s="18">
        <v>110</v>
      </c>
      <c r="G932" s="19">
        <v>45712.554166666669</v>
      </c>
      <c r="H932" s="18" t="s">
        <v>236</v>
      </c>
      <c r="I932" s="18" t="s">
        <v>10</v>
      </c>
      <c r="J932" s="18" t="s">
        <v>4017</v>
      </c>
      <c r="K932" s="20"/>
    </row>
    <row r="933" spans="1:11" ht="36.75" thickBot="1">
      <c r="A933" s="18" t="s">
        <v>5445</v>
      </c>
      <c r="B933" s="18">
        <v>20024052409</v>
      </c>
      <c r="C933" s="18" t="s">
        <v>5074</v>
      </c>
      <c r="D933" s="19">
        <v>45635.713194444441</v>
      </c>
      <c r="E933" s="18" t="s">
        <v>10</v>
      </c>
      <c r="F933" s="18">
        <v>30</v>
      </c>
      <c r="G933" s="18" t="s">
        <v>10</v>
      </c>
      <c r="H933" s="18" t="s">
        <v>178</v>
      </c>
      <c r="I933" s="18" t="s">
        <v>10</v>
      </c>
      <c r="J933" s="18" t="s">
        <v>4017</v>
      </c>
      <c r="K933" s="20"/>
    </row>
    <row r="934" spans="1:11" ht="36.75" thickBot="1">
      <c r="A934" s="18" t="s">
        <v>5446</v>
      </c>
      <c r="B934" s="18">
        <v>20024149586</v>
      </c>
      <c r="C934" s="18" t="s">
        <v>5058</v>
      </c>
      <c r="D934" s="19">
        <v>45636.445833333331</v>
      </c>
      <c r="E934" s="18" t="s">
        <v>10</v>
      </c>
      <c r="F934" s="18">
        <v>200</v>
      </c>
      <c r="G934" s="19">
        <v>45707.63958333333</v>
      </c>
      <c r="H934" s="18" t="s">
        <v>236</v>
      </c>
      <c r="I934" s="18" t="s">
        <v>10</v>
      </c>
      <c r="J934" s="18" t="s">
        <v>4017</v>
      </c>
      <c r="K934" s="20"/>
    </row>
    <row r="935" spans="1:11" ht="36.75" thickBot="1">
      <c r="A935" s="18" t="s">
        <v>5447</v>
      </c>
      <c r="B935" s="18">
        <v>20003127065</v>
      </c>
      <c r="C935" s="18" t="s">
        <v>5448</v>
      </c>
      <c r="D935" s="19">
        <v>45637.590277777781</v>
      </c>
      <c r="E935" s="18" t="s">
        <v>10</v>
      </c>
      <c r="F935" s="18">
        <v>710</v>
      </c>
      <c r="G935" s="18" t="s">
        <v>10</v>
      </c>
      <c r="H935" s="18" t="s">
        <v>178</v>
      </c>
      <c r="I935" s="18" t="s">
        <v>10</v>
      </c>
      <c r="J935" s="18" t="s">
        <v>4017</v>
      </c>
      <c r="K935" s="20"/>
    </row>
    <row r="936" spans="1:11" ht="36.75" thickBot="1">
      <c r="A936" s="18" t="s">
        <v>5449</v>
      </c>
      <c r="B936" s="18">
        <v>20022421938</v>
      </c>
      <c r="C936" s="18" t="s">
        <v>4411</v>
      </c>
      <c r="D936" s="19">
        <v>45637.697222222225</v>
      </c>
      <c r="E936" s="18" t="s">
        <v>10</v>
      </c>
      <c r="F936" s="18">
        <v>800</v>
      </c>
      <c r="G936" s="18" t="s">
        <v>10</v>
      </c>
      <c r="H936" s="18" t="s">
        <v>178</v>
      </c>
      <c r="I936" s="18" t="s">
        <v>10</v>
      </c>
      <c r="J936" s="18" t="s">
        <v>4017</v>
      </c>
      <c r="K936" s="20"/>
    </row>
    <row r="937" spans="1:11" ht="36.75" thickBot="1">
      <c r="A937" s="18" t="s">
        <v>5450</v>
      </c>
      <c r="B937" s="18">
        <v>20016531975</v>
      </c>
      <c r="C937" s="18" t="s">
        <v>5095</v>
      </c>
      <c r="D937" s="19">
        <v>45637.736805555556</v>
      </c>
      <c r="E937" s="18" t="s">
        <v>10</v>
      </c>
      <c r="F937" s="18">
        <v>30</v>
      </c>
      <c r="G937" s="19">
        <v>45720.481944444444</v>
      </c>
      <c r="H937" s="18" t="s">
        <v>236</v>
      </c>
      <c r="I937" s="18" t="s">
        <v>10</v>
      </c>
      <c r="J937" s="18" t="s">
        <v>4017</v>
      </c>
      <c r="K937" s="20"/>
    </row>
    <row r="938" spans="1:11" ht="36.75" thickBot="1">
      <c r="A938" s="18" t="s">
        <v>5451</v>
      </c>
      <c r="B938" s="18">
        <v>20003129575</v>
      </c>
      <c r="C938" s="18" t="s">
        <v>4856</v>
      </c>
      <c r="D938" s="19">
        <v>45638.382638888892</v>
      </c>
      <c r="E938" s="18" t="s">
        <v>10</v>
      </c>
      <c r="F938" s="18">
        <v>725</v>
      </c>
      <c r="G938" s="18" t="s">
        <v>10</v>
      </c>
      <c r="H938" s="18" t="s">
        <v>178</v>
      </c>
      <c r="I938" s="18" t="s">
        <v>10</v>
      </c>
      <c r="J938" s="18" t="s">
        <v>4017</v>
      </c>
      <c r="K938" s="20"/>
    </row>
    <row r="939" spans="1:11" ht="36.75" thickBot="1">
      <c r="A939" s="18" t="s">
        <v>5452</v>
      </c>
      <c r="B939" s="18">
        <v>20023010670</v>
      </c>
      <c r="C939" s="18" t="s">
        <v>5453</v>
      </c>
      <c r="D939" s="19">
        <v>45638.651388888888</v>
      </c>
      <c r="E939" s="18" t="s">
        <v>10</v>
      </c>
      <c r="F939" s="18">
        <v>200</v>
      </c>
      <c r="G939" s="19">
        <v>45688.604166666664</v>
      </c>
      <c r="H939" s="18" t="s">
        <v>236</v>
      </c>
      <c r="I939" s="18" t="s">
        <v>10</v>
      </c>
      <c r="J939" s="18" t="s">
        <v>4017</v>
      </c>
      <c r="K939" s="20"/>
    </row>
    <row r="940" spans="1:11" ht="36.75" thickBot="1">
      <c r="A940" s="18" t="s">
        <v>5454</v>
      </c>
      <c r="B940" s="18">
        <v>20028094878</v>
      </c>
      <c r="C940" s="18" t="s">
        <v>5455</v>
      </c>
      <c r="D940" s="19">
        <v>45638.693749999999</v>
      </c>
      <c r="E940" s="18" t="s">
        <v>10</v>
      </c>
      <c r="F940" s="18">
        <v>30</v>
      </c>
      <c r="G940" s="18" t="s">
        <v>10</v>
      </c>
      <c r="H940" s="18" t="s">
        <v>178</v>
      </c>
      <c r="I940" s="18" t="s">
        <v>10</v>
      </c>
      <c r="J940" s="18" t="s">
        <v>4017</v>
      </c>
      <c r="K940" s="20"/>
    </row>
    <row r="941" spans="1:11" ht="36.75" thickBot="1">
      <c r="A941" s="18" t="s">
        <v>5456</v>
      </c>
      <c r="B941" s="18">
        <v>20021259344</v>
      </c>
      <c r="C941" s="18" t="s">
        <v>5457</v>
      </c>
      <c r="D941" s="19">
        <v>45639.395138888889</v>
      </c>
      <c r="E941" s="18" t="s">
        <v>10</v>
      </c>
      <c r="F941" s="18">
        <v>100</v>
      </c>
      <c r="G941" s="18" t="s">
        <v>10</v>
      </c>
      <c r="H941" s="18" t="s">
        <v>178</v>
      </c>
      <c r="I941" s="18" t="s">
        <v>10</v>
      </c>
      <c r="J941" s="18" t="s">
        <v>4017</v>
      </c>
      <c r="K941" s="20"/>
    </row>
    <row r="942" spans="1:11" ht="36.75" thickBot="1">
      <c r="A942" s="18" t="s">
        <v>5458</v>
      </c>
      <c r="B942" s="18">
        <v>20026166147</v>
      </c>
      <c r="C942" s="18" t="s">
        <v>5457</v>
      </c>
      <c r="D942" s="19">
        <v>45639.40902777778</v>
      </c>
      <c r="E942" s="18" t="s">
        <v>10</v>
      </c>
      <c r="F942" s="18">
        <v>195</v>
      </c>
      <c r="G942" s="18" t="s">
        <v>10</v>
      </c>
      <c r="H942" s="18" t="s">
        <v>178</v>
      </c>
      <c r="I942" s="18" t="s">
        <v>10</v>
      </c>
      <c r="J942" s="18" t="s">
        <v>4017</v>
      </c>
      <c r="K942" s="20"/>
    </row>
    <row r="943" spans="1:11" ht="36.75" thickBot="1">
      <c r="A943" s="18" t="s">
        <v>5459</v>
      </c>
      <c r="B943" s="18">
        <v>20003548286</v>
      </c>
      <c r="C943" s="18" t="s">
        <v>5460</v>
      </c>
      <c r="D943" s="19">
        <v>45639.429861111108</v>
      </c>
      <c r="E943" s="18" t="s">
        <v>10</v>
      </c>
      <c r="F943" s="18">
        <v>50</v>
      </c>
      <c r="G943" s="18" t="s">
        <v>10</v>
      </c>
      <c r="H943" s="18" t="s">
        <v>178</v>
      </c>
      <c r="I943" s="18" t="s">
        <v>10</v>
      </c>
      <c r="J943" s="18" t="s">
        <v>4017</v>
      </c>
      <c r="K943" s="20"/>
    </row>
    <row r="944" spans="1:11" ht="36.75" thickBot="1">
      <c r="A944" s="18" t="s">
        <v>5461</v>
      </c>
      <c r="B944" s="18">
        <v>20026739668</v>
      </c>
      <c r="C944" s="18">
        <v>735535000985</v>
      </c>
      <c r="D944" s="19">
        <v>45639.456944444442</v>
      </c>
      <c r="E944" s="18" t="s">
        <v>10</v>
      </c>
      <c r="F944" s="18">
        <v>200</v>
      </c>
      <c r="G944" s="18" t="s">
        <v>10</v>
      </c>
      <c r="H944" s="18" t="s">
        <v>178</v>
      </c>
      <c r="I944" s="18" t="s">
        <v>10</v>
      </c>
      <c r="J944" s="18" t="s">
        <v>4017</v>
      </c>
      <c r="K944" s="20"/>
    </row>
    <row r="945" spans="1:11" ht="36.75" thickBot="1">
      <c r="A945" s="18" t="s">
        <v>5462</v>
      </c>
      <c r="B945" s="18">
        <v>20003357862</v>
      </c>
      <c r="C945" s="18" t="s">
        <v>4260</v>
      </c>
      <c r="D945" s="19">
        <v>45639.46597222222</v>
      </c>
      <c r="E945" s="18" t="s">
        <v>10</v>
      </c>
      <c r="F945" s="18">
        <v>50</v>
      </c>
      <c r="G945" s="18" t="s">
        <v>10</v>
      </c>
      <c r="H945" s="18" t="s">
        <v>178</v>
      </c>
      <c r="I945" s="18" t="s">
        <v>10</v>
      </c>
      <c r="J945" s="18" t="s">
        <v>4017</v>
      </c>
      <c r="K945" s="20"/>
    </row>
    <row r="946" spans="1:11" ht="36.75" thickBot="1">
      <c r="A946" s="18" t="s">
        <v>5463</v>
      </c>
      <c r="B946" s="18">
        <v>20019554269</v>
      </c>
      <c r="C946" s="18" t="s">
        <v>4258</v>
      </c>
      <c r="D946" s="19">
        <v>45639.475694444445</v>
      </c>
      <c r="E946" s="18" t="s">
        <v>10</v>
      </c>
      <c r="F946" s="18">
        <v>150</v>
      </c>
      <c r="G946" s="18" t="s">
        <v>10</v>
      </c>
      <c r="H946" s="18" t="s">
        <v>178</v>
      </c>
      <c r="I946" s="18" t="s">
        <v>10</v>
      </c>
      <c r="J946" s="18" t="s">
        <v>4017</v>
      </c>
      <c r="K946" s="20"/>
    </row>
    <row r="947" spans="1:11" ht="36.75" thickBot="1">
      <c r="A947" s="18" t="s">
        <v>5464</v>
      </c>
      <c r="B947" s="18">
        <v>20022421938</v>
      </c>
      <c r="C947" s="18" t="s">
        <v>4411</v>
      </c>
      <c r="D947" s="19">
        <v>45639.676388888889</v>
      </c>
      <c r="E947" s="18" t="s">
        <v>10</v>
      </c>
      <c r="F947" s="18">
        <v>800</v>
      </c>
      <c r="G947" s="18" t="s">
        <v>10</v>
      </c>
      <c r="H947" s="18" t="s">
        <v>178</v>
      </c>
      <c r="I947" s="18" t="s">
        <v>10</v>
      </c>
      <c r="J947" s="18" t="s">
        <v>4017</v>
      </c>
      <c r="K947" s="20"/>
    </row>
    <row r="948" spans="1:11" ht="36.75" thickBot="1">
      <c r="A948" s="18" t="s">
        <v>5465</v>
      </c>
      <c r="B948" s="18">
        <v>20017586710</v>
      </c>
      <c r="C948" s="18" t="s">
        <v>5466</v>
      </c>
      <c r="D948" s="19">
        <v>45639.97152777778</v>
      </c>
      <c r="E948" s="18" t="s">
        <v>10</v>
      </c>
      <c r="F948" s="18">
        <v>120</v>
      </c>
      <c r="G948" s="18" t="s">
        <v>10</v>
      </c>
      <c r="H948" s="18" t="s">
        <v>178</v>
      </c>
      <c r="I948" s="18" t="s">
        <v>10</v>
      </c>
      <c r="J948" s="18" t="s">
        <v>4017</v>
      </c>
      <c r="K948" s="20"/>
    </row>
    <row r="949" spans="1:11" ht="36.75" thickBot="1">
      <c r="A949" s="18" t="s">
        <v>5467</v>
      </c>
      <c r="B949" s="18">
        <v>20025068590</v>
      </c>
      <c r="C949" s="18" t="s">
        <v>5468</v>
      </c>
      <c r="D949" s="19">
        <v>45640.479166666664</v>
      </c>
      <c r="E949" s="18" t="s">
        <v>10</v>
      </c>
      <c r="F949" s="18">
        <v>40</v>
      </c>
      <c r="G949" s="18" t="s">
        <v>10</v>
      </c>
      <c r="H949" s="18" t="s">
        <v>178</v>
      </c>
      <c r="I949" s="18" t="s">
        <v>10</v>
      </c>
      <c r="J949" s="18" t="s">
        <v>4017</v>
      </c>
      <c r="K949" s="20"/>
    </row>
    <row r="950" spans="1:11" ht="36.75" thickBot="1">
      <c r="A950" s="18" t="s">
        <v>5469</v>
      </c>
      <c r="B950" s="18">
        <v>20003000058</v>
      </c>
      <c r="C950" s="18" t="s">
        <v>4559</v>
      </c>
      <c r="D950" s="19">
        <v>45642.374305555553</v>
      </c>
      <c r="E950" s="18" t="s">
        <v>10</v>
      </c>
      <c r="F950" s="18">
        <v>800</v>
      </c>
      <c r="G950" s="18" t="s">
        <v>10</v>
      </c>
      <c r="H950" s="18" t="s">
        <v>178</v>
      </c>
      <c r="I950" s="18" t="s">
        <v>10</v>
      </c>
      <c r="J950" s="18" t="s">
        <v>4017</v>
      </c>
      <c r="K950" s="20"/>
    </row>
    <row r="951" spans="1:11" ht="36.75" thickBot="1">
      <c r="A951" s="18" t="s">
        <v>5470</v>
      </c>
      <c r="B951" s="18">
        <v>20027840423</v>
      </c>
      <c r="C951" s="18" t="s">
        <v>5122</v>
      </c>
      <c r="D951" s="19">
        <v>45642.624305555553</v>
      </c>
      <c r="E951" s="18" t="s">
        <v>10</v>
      </c>
      <c r="F951" s="18">
        <v>50</v>
      </c>
      <c r="G951" s="18" t="s">
        <v>10</v>
      </c>
      <c r="H951" s="18" t="s">
        <v>178</v>
      </c>
      <c r="I951" s="18" t="s">
        <v>10</v>
      </c>
      <c r="J951" s="18" t="s">
        <v>4017</v>
      </c>
      <c r="K951" s="20"/>
    </row>
    <row r="952" spans="1:11" ht="36.75" thickBot="1">
      <c r="A952" s="18" t="s">
        <v>5471</v>
      </c>
      <c r="B952" s="18">
        <v>20003338223</v>
      </c>
      <c r="C952" s="18" t="s">
        <v>4051</v>
      </c>
      <c r="D952" s="19">
        <v>45625.987500000003</v>
      </c>
      <c r="E952" s="19">
        <v>45642.69027777778</v>
      </c>
      <c r="F952" s="18">
        <v>800</v>
      </c>
      <c r="G952" s="18" t="s">
        <v>10</v>
      </c>
      <c r="H952" s="18" t="s">
        <v>178</v>
      </c>
      <c r="I952" s="18" t="s">
        <v>10</v>
      </c>
      <c r="J952" s="18" t="s">
        <v>4017</v>
      </c>
      <c r="K952" s="20"/>
    </row>
    <row r="953" spans="1:11" ht="36.75" thickBot="1">
      <c r="A953" s="18" t="s">
        <v>5472</v>
      </c>
      <c r="B953" s="18">
        <v>20017128247</v>
      </c>
      <c r="C953" s="18" t="s">
        <v>4954</v>
      </c>
      <c r="D953" s="19">
        <v>45642.719444444447</v>
      </c>
      <c r="E953" s="18" t="s">
        <v>10</v>
      </c>
      <c r="F953" s="18">
        <v>33.299999999999997</v>
      </c>
      <c r="G953" s="18" t="s">
        <v>10</v>
      </c>
      <c r="H953" s="18" t="s">
        <v>178</v>
      </c>
      <c r="I953" s="18" t="s">
        <v>10</v>
      </c>
      <c r="J953" s="18" t="s">
        <v>4017</v>
      </c>
      <c r="K953" s="20"/>
    </row>
    <row r="954" spans="1:11" ht="36.75" thickBot="1">
      <c r="A954" s="18" t="s">
        <v>5473</v>
      </c>
      <c r="B954" s="18">
        <v>20003093504</v>
      </c>
      <c r="C954" s="18" t="s">
        <v>5474</v>
      </c>
      <c r="D954" s="19">
        <v>45643.448611111111</v>
      </c>
      <c r="E954" s="18" t="s">
        <v>10</v>
      </c>
      <c r="F954" s="18">
        <v>200</v>
      </c>
      <c r="G954" s="18" t="s">
        <v>10</v>
      </c>
      <c r="H954" s="18" t="s">
        <v>178</v>
      </c>
      <c r="I954" s="18" t="s">
        <v>10</v>
      </c>
      <c r="J954" s="18" t="s">
        <v>4017</v>
      </c>
      <c r="K954" s="20"/>
    </row>
    <row r="955" spans="1:11" ht="36.75" thickBot="1">
      <c r="A955" s="18" t="s">
        <v>5475</v>
      </c>
      <c r="B955" s="18">
        <v>20002954020</v>
      </c>
      <c r="C955" s="18" t="s">
        <v>4963</v>
      </c>
      <c r="D955" s="19">
        <v>45643.685416666667</v>
      </c>
      <c r="E955" s="18" t="s">
        <v>10</v>
      </c>
      <c r="F955" s="18">
        <v>300</v>
      </c>
      <c r="G955" s="18" t="s">
        <v>10</v>
      </c>
      <c r="H955" s="18" t="s">
        <v>178</v>
      </c>
      <c r="I955" s="18" t="s">
        <v>10</v>
      </c>
      <c r="J955" s="18" t="s">
        <v>4017</v>
      </c>
      <c r="K955" s="20"/>
    </row>
    <row r="956" spans="1:11" ht="36.75" thickBot="1">
      <c r="A956" s="18" t="s">
        <v>5476</v>
      </c>
      <c r="B956" s="18">
        <v>20003500622</v>
      </c>
      <c r="C956" s="18" t="s">
        <v>5083</v>
      </c>
      <c r="D956" s="19">
        <v>45636.400694444441</v>
      </c>
      <c r="E956" s="19">
        <v>45644.398611111108</v>
      </c>
      <c r="F956" s="18">
        <v>800</v>
      </c>
      <c r="G956" s="19">
        <v>45667.592361111114</v>
      </c>
      <c r="H956" s="18" t="s">
        <v>236</v>
      </c>
      <c r="I956" s="18" t="s">
        <v>10</v>
      </c>
      <c r="J956" s="18" t="s">
        <v>4017</v>
      </c>
      <c r="K956" s="20"/>
    </row>
    <row r="957" spans="1:11" ht="54.75" thickBot="1">
      <c r="A957" s="18" t="s">
        <v>5477</v>
      </c>
      <c r="B957" s="18">
        <v>20003287266</v>
      </c>
      <c r="C957" s="18" t="s">
        <v>5126</v>
      </c>
      <c r="D957" s="19">
        <v>45644.415277777778</v>
      </c>
      <c r="E957" s="18" t="s">
        <v>10</v>
      </c>
      <c r="F957" s="18">
        <v>200</v>
      </c>
      <c r="G957" s="18" t="s">
        <v>10</v>
      </c>
      <c r="H957" s="18" t="s">
        <v>178</v>
      </c>
      <c r="I957" s="18" t="s">
        <v>10</v>
      </c>
      <c r="J957" s="18" t="s">
        <v>4017</v>
      </c>
      <c r="K957" s="20"/>
    </row>
    <row r="958" spans="1:11" ht="36.75" thickBot="1">
      <c r="A958" s="18" t="s">
        <v>5478</v>
      </c>
      <c r="B958" s="18">
        <v>20020672844</v>
      </c>
      <c r="C958" s="18" t="s">
        <v>5128</v>
      </c>
      <c r="D958" s="19">
        <v>45644.42291666667</v>
      </c>
      <c r="E958" s="18" t="s">
        <v>10</v>
      </c>
      <c r="F958" s="18">
        <v>100</v>
      </c>
      <c r="G958" s="18" t="s">
        <v>10</v>
      </c>
      <c r="H958" s="18" t="s">
        <v>178</v>
      </c>
      <c r="I958" s="18" t="s">
        <v>10</v>
      </c>
      <c r="J958" s="18" t="s">
        <v>4017</v>
      </c>
      <c r="K958" s="20"/>
    </row>
    <row r="959" spans="1:11" ht="36.75" thickBot="1">
      <c r="A959" s="18" t="s">
        <v>5479</v>
      </c>
      <c r="B959" s="18">
        <v>20025752888</v>
      </c>
      <c r="C959" s="18" t="s">
        <v>5114</v>
      </c>
      <c r="D959" s="19">
        <v>45644.4375</v>
      </c>
      <c r="E959" s="18" t="s">
        <v>10</v>
      </c>
      <c r="F959" s="18">
        <v>130</v>
      </c>
      <c r="G959" s="19">
        <v>45716.49722222222</v>
      </c>
      <c r="H959" s="18" t="s">
        <v>2654</v>
      </c>
      <c r="I959" s="18" t="s">
        <v>10</v>
      </c>
      <c r="J959" s="18" t="s">
        <v>4017</v>
      </c>
      <c r="K959" s="20"/>
    </row>
    <row r="960" spans="1:11" ht="36.75" thickBot="1">
      <c r="A960" s="18" t="s">
        <v>5480</v>
      </c>
      <c r="B960" s="18">
        <v>20028111010</v>
      </c>
      <c r="C960" s="18" t="s">
        <v>5481</v>
      </c>
      <c r="D960" s="19">
        <v>45644.635416666664</v>
      </c>
      <c r="E960" s="18" t="s">
        <v>10</v>
      </c>
      <c r="F960" s="18">
        <v>110</v>
      </c>
      <c r="G960" s="19">
        <v>45701.45416666667</v>
      </c>
      <c r="H960" s="18" t="s">
        <v>236</v>
      </c>
      <c r="I960" s="18" t="s">
        <v>10</v>
      </c>
      <c r="J960" s="18" t="s">
        <v>4017</v>
      </c>
      <c r="K960" s="20"/>
    </row>
    <row r="961" spans="1:11" ht="36.75" thickBot="1">
      <c r="A961" s="18" t="s">
        <v>5482</v>
      </c>
      <c r="B961" s="18">
        <v>20018471705</v>
      </c>
      <c r="C961" s="18" t="s">
        <v>5162</v>
      </c>
      <c r="D961" s="19">
        <v>45644.638888888891</v>
      </c>
      <c r="E961" s="18" t="s">
        <v>10</v>
      </c>
      <c r="F961" s="18">
        <v>190</v>
      </c>
      <c r="G961" s="19">
        <v>45721.476388888892</v>
      </c>
      <c r="H961" s="18" t="s">
        <v>2654</v>
      </c>
      <c r="I961" s="18" t="s">
        <v>10</v>
      </c>
      <c r="J961" s="18" t="s">
        <v>4017</v>
      </c>
      <c r="K961" s="20"/>
    </row>
    <row r="962" spans="1:11" ht="36.75" thickBot="1">
      <c r="A962" s="18" t="s">
        <v>5483</v>
      </c>
      <c r="B962" s="18">
        <v>20019638372</v>
      </c>
      <c r="C962" s="18" t="s">
        <v>4572</v>
      </c>
      <c r="D962" s="19">
        <v>45644.640972222223</v>
      </c>
      <c r="E962" s="18" t="s">
        <v>10</v>
      </c>
      <c r="F962" s="18">
        <v>250</v>
      </c>
      <c r="G962" s="18" t="s">
        <v>10</v>
      </c>
      <c r="H962" s="18" t="s">
        <v>178</v>
      </c>
      <c r="I962" s="18" t="s">
        <v>10</v>
      </c>
      <c r="J962" s="18" t="s">
        <v>4017</v>
      </c>
      <c r="K962" s="20"/>
    </row>
    <row r="963" spans="1:11" ht="36.75" thickBot="1">
      <c r="A963" s="18" t="s">
        <v>5484</v>
      </c>
      <c r="B963" s="18">
        <v>20021903959</v>
      </c>
      <c r="C963" s="18" t="s">
        <v>5485</v>
      </c>
      <c r="D963" s="19">
        <v>45644.650694444441</v>
      </c>
      <c r="E963" s="18" t="s">
        <v>10</v>
      </c>
      <c r="F963" s="18">
        <v>260</v>
      </c>
      <c r="G963" s="18" t="s">
        <v>10</v>
      </c>
      <c r="H963" s="18" t="s">
        <v>178</v>
      </c>
      <c r="I963" s="18" t="s">
        <v>10</v>
      </c>
      <c r="J963" s="18" t="s">
        <v>4017</v>
      </c>
      <c r="K963" s="20"/>
    </row>
    <row r="964" spans="1:11" ht="36.75" thickBot="1">
      <c r="A964" s="18" t="s">
        <v>5486</v>
      </c>
      <c r="B964" s="18">
        <v>20003118712</v>
      </c>
      <c r="C964" s="18" t="s">
        <v>5487</v>
      </c>
      <c r="D964" s="19">
        <v>45644.709722222222</v>
      </c>
      <c r="E964" s="18" t="s">
        <v>10</v>
      </c>
      <c r="F964" s="18">
        <v>875</v>
      </c>
      <c r="G964" s="18" t="s">
        <v>10</v>
      </c>
      <c r="H964" s="18" t="s">
        <v>178</v>
      </c>
      <c r="I964" s="18" t="s">
        <v>10</v>
      </c>
      <c r="J964" s="18" t="s">
        <v>4017</v>
      </c>
      <c r="K964" s="20"/>
    </row>
    <row r="965" spans="1:11" ht="36.75" thickBot="1">
      <c r="A965" s="18" t="s">
        <v>5488</v>
      </c>
      <c r="B965" s="18">
        <v>20024087534</v>
      </c>
      <c r="C965" s="18" t="s">
        <v>5489</v>
      </c>
      <c r="D965" s="19">
        <v>45565.72152777778</v>
      </c>
      <c r="E965" s="19">
        <v>45644.713194444441</v>
      </c>
      <c r="F965" s="18">
        <v>80</v>
      </c>
      <c r="G965" s="19">
        <v>45699.503472222219</v>
      </c>
      <c r="H965" s="18" t="s">
        <v>236</v>
      </c>
      <c r="I965" s="18" t="s">
        <v>10</v>
      </c>
      <c r="J965" s="18" t="s">
        <v>4017</v>
      </c>
      <c r="K965" s="20"/>
    </row>
    <row r="966" spans="1:11" ht="36.75" thickBot="1">
      <c r="A966" s="18" t="s">
        <v>5490</v>
      </c>
      <c r="B966" s="18">
        <v>20002928139</v>
      </c>
      <c r="C966" s="18" t="s">
        <v>5491</v>
      </c>
      <c r="D966" s="19">
        <v>45575.820138888892</v>
      </c>
      <c r="E966" s="19">
        <v>45645.394444444442</v>
      </c>
      <c r="F966" s="18">
        <v>60</v>
      </c>
      <c r="G966" s="19">
        <v>45688.670138888891</v>
      </c>
      <c r="H966" s="18" t="s">
        <v>236</v>
      </c>
      <c r="I966" s="18" t="s">
        <v>10</v>
      </c>
      <c r="J966" s="18" t="s">
        <v>4017</v>
      </c>
      <c r="K966" s="20"/>
    </row>
    <row r="967" spans="1:11" ht="36.75" thickBot="1">
      <c r="A967" s="18" t="s">
        <v>5492</v>
      </c>
      <c r="B967" s="18">
        <v>20003464955</v>
      </c>
      <c r="C967" s="18" t="s">
        <v>4804</v>
      </c>
      <c r="D967" s="19">
        <v>45575.841666666667</v>
      </c>
      <c r="E967" s="19">
        <v>45645.394444444442</v>
      </c>
      <c r="F967" s="18">
        <v>60</v>
      </c>
      <c r="G967" s="19">
        <v>45688.670138888891</v>
      </c>
      <c r="H967" s="18" t="s">
        <v>236</v>
      </c>
      <c r="I967" s="18" t="s">
        <v>10</v>
      </c>
      <c r="J967" s="18" t="s">
        <v>4017</v>
      </c>
      <c r="K967" s="20"/>
    </row>
    <row r="968" spans="1:11" ht="36.75" thickBot="1">
      <c r="A968" s="18" t="s">
        <v>5493</v>
      </c>
      <c r="B968" s="18">
        <v>20023398193</v>
      </c>
      <c r="C968" s="18" t="s">
        <v>215</v>
      </c>
      <c r="D968" s="19">
        <v>45645.404861111114</v>
      </c>
      <c r="E968" s="18" t="s">
        <v>10</v>
      </c>
      <c r="F968" s="18">
        <v>36</v>
      </c>
      <c r="G968" s="18" t="s">
        <v>10</v>
      </c>
      <c r="H968" s="18" t="s">
        <v>178</v>
      </c>
      <c r="I968" s="18" t="s">
        <v>10</v>
      </c>
      <c r="J968" s="18" t="s">
        <v>4017</v>
      </c>
      <c r="K968" s="20"/>
    </row>
    <row r="969" spans="1:11" ht="54.75" thickBot="1">
      <c r="A969" s="18" t="s">
        <v>5494</v>
      </c>
      <c r="B969" s="18">
        <v>20002919511</v>
      </c>
      <c r="C969" s="18" t="s">
        <v>4702</v>
      </c>
      <c r="D969" s="19">
        <v>45645.609027777777</v>
      </c>
      <c r="E969" s="18" t="s">
        <v>10</v>
      </c>
      <c r="F969" s="18">
        <v>5</v>
      </c>
      <c r="G969" s="18" t="s">
        <v>10</v>
      </c>
      <c r="H969" s="18" t="s">
        <v>178</v>
      </c>
      <c r="I969" s="18" t="s">
        <v>10</v>
      </c>
      <c r="J969" s="18" t="s">
        <v>4017</v>
      </c>
      <c r="K969" s="20"/>
    </row>
    <row r="970" spans="1:11" ht="36.75" thickBot="1">
      <c r="A970" s="18" t="s">
        <v>5495</v>
      </c>
      <c r="B970" s="18">
        <v>20003290098</v>
      </c>
      <c r="C970" s="18" t="s">
        <v>5085</v>
      </c>
      <c r="D970" s="19">
        <v>45646.387499999997</v>
      </c>
      <c r="E970" s="18" t="s">
        <v>10</v>
      </c>
      <c r="F970" s="18">
        <v>540</v>
      </c>
      <c r="G970" s="18" t="s">
        <v>10</v>
      </c>
      <c r="H970" s="18" t="s">
        <v>178</v>
      </c>
      <c r="I970" s="18" t="s">
        <v>10</v>
      </c>
      <c r="J970" s="18" t="s">
        <v>4017</v>
      </c>
      <c r="K970" s="20"/>
    </row>
    <row r="971" spans="1:11" ht="54.75" thickBot="1">
      <c r="A971" s="18" t="s">
        <v>5496</v>
      </c>
      <c r="B971" s="18">
        <v>20018379108</v>
      </c>
      <c r="C971" s="18" t="s">
        <v>5497</v>
      </c>
      <c r="D971" s="19">
        <v>45646.506944444445</v>
      </c>
      <c r="E971" s="18" t="s">
        <v>10</v>
      </c>
      <c r="F971" s="18">
        <v>625</v>
      </c>
      <c r="G971" s="18" t="s">
        <v>10</v>
      </c>
      <c r="H971" s="18" t="s">
        <v>178</v>
      </c>
      <c r="I971" s="18" t="s">
        <v>10</v>
      </c>
      <c r="J971" s="18" t="s">
        <v>4017</v>
      </c>
      <c r="K971" s="20"/>
    </row>
    <row r="972" spans="1:11" ht="36.75" thickBot="1">
      <c r="A972" s="18" t="s">
        <v>5498</v>
      </c>
      <c r="B972" s="18">
        <v>20003005738</v>
      </c>
      <c r="C972" s="18" t="s">
        <v>5093</v>
      </c>
      <c r="D972" s="19">
        <v>45646.752083333333</v>
      </c>
      <c r="E972" s="18" t="s">
        <v>10</v>
      </c>
      <c r="F972" s="18">
        <v>100</v>
      </c>
      <c r="G972" s="18" t="s">
        <v>10</v>
      </c>
      <c r="H972" s="18" t="s">
        <v>178</v>
      </c>
      <c r="I972" s="18" t="s">
        <v>10</v>
      </c>
      <c r="J972" s="18" t="s">
        <v>4017</v>
      </c>
      <c r="K972" s="20"/>
    </row>
    <row r="973" spans="1:11" ht="36.75" thickBot="1">
      <c r="A973" s="18" t="s">
        <v>5499</v>
      </c>
      <c r="B973" s="18">
        <v>20003162571</v>
      </c>
      <c r="C973" s="18" t="s">
        <v>4733</v>
      </c>
      <c r="D973" s="19">
        <v>45646.777777777781</v>
      </c>
      <c r="E973" s="18" t="s">
        <v>10</v>
      </c>
      <c r="F973" s="18">
        <v>120</v>
      </c>
      <c r="G973" s="18" t="s">
        <v>10</v>
      </c>
      <c r="H973" s="18" t="s">
        <v>178</v>
      </c>
      <c r="I973" s="18" t="s">
        <v>10</v>
      </c>
      <c r="J973" s="18" t="s">
        <v>4017</v>
      </c>
      <c r="K973" s="20"/>
    </row>
    <row r="974" spans="1:11" ht="36.75" thickBot="1">
      <c r="A974" s="18" t="s">
        <v>5500</v>
      </c>
      <c r="B974" s="18">
        <v>20024051848</v>
      </c>
      <c r="C974" s="18" t="s">
        <v>5501</v>
      </c>
      <c r="D974" s="19">
        <v>45565.612500000003</v>
      </c>
      <c r="E974" s="19">
        <v>45646.866666666669</v>
      </c>
      <c r="F974" s="18">
        <v>225</v>
      </c>
      <c r="G974" s="19">
        <v>45679.511805555558</v>
      </c>
      <c r="H974" s="18" t="s">
        <v>236</v>
      </c>
      <c r="I974" s="18" t="s">
        <v>10</v>
      </c>
      <c r="J974" s="18" t="s">
        <v>4017</v>
      </c>
      <c r="K974" s="20"/>
    </row>
    <row r="975" spans="1:11" ht="36.75" thickBot="1">
      <c r="A975" s="18" t="s">
        <v>5502</v>
      </c>
      <c r="B975" s="18">
        <v>20026327562</v>
      </c>
      <c r="C975" s="18" t="s">
        <v>5503</v>
      </c>
      <c r="D975" s="19">
        <v>45649.45416666667</v>
      </c>
      <c r="E975" s="18" t="s">
        <v>10</v>
      </c>
      <c r="F975" s="18">
        <v>125</v>
      </c>
      <c r="G975" s="18" t="s">
        <v>10</v>
      </c>
      <c r="H975" s="18" t="s">
        <v>178</v>
      </c>
      <c r="I975" s="18" t="s">
        <v>10</v>
      </c>
      <c r="J975" s="18" t="s">
        <v>4017</v>
      </c>
      <c r="K975" s="20"/>
    </row>
    <row r="976" spans="1:11" ht="36.75" thickBot="1">
      <c r="A976" s="18" t="s">
        <v>5504</v>
      </c>
      <c r="B976" s="18">
        <v>89302002346</v>
      </c>
      <c r="C976" s="18" t="s">
        <v>5505</v>
      </c>
      <c r="D976" s="19">
        <v>45649.615972222222</v>
      </c>
      <c r="E976" s="18" t="s">
        <v>10</v>
      </c>
      <c r="F976" s="18">
        <v>300</v>
      </c>
      <c r="G976" s="18" t="s">
        <v>10</v>
      </c>
      <c r="H976" s="18" t="s">
        <v>178</v>
      </c>
      <c r="I976" s="18" t="s">
        <v>10</v>
      </c>
      <c r="J976" s="18" t="s">
        <v>4017</v>
      </c>
      <c r="K976" s="20"/>
    </row>
    <row r="977" spans="1:11" ht="36.75" thickBot="1">
      <c r="A977" s="18" t="s">
        <v>5506</v>
      </c>
      <c r="B977" s="18">
        <v>20006615138</v>
      </c>
      <c r="C977" s="18" t="s">
        <v>5507</v>
      </c>
      <c r="D977" s="19">
        <v>45649.686805555553</v>
      </c>
      <c r="E977" s="18" t="s">
        <v>10</v>
      </c>
      <c r="F977" s="18">
        <v>40</v>
      </c>
      <c r="G977" s="18" t="s">
        <v>10</v>
      </c>
      <c r="H977" s="18" t="s">
        <v>178</v>
      </c>
      <c r="I977" s="18" t="s">
        <v>10</v>
      </c>
      <c r="J977" s="18" t="s">
        <v>4017</v>
      </c>
      <c r="K977" s="20"/>
    </row>
    <row r="978" spans="1:11" ht="36.75" thickBot="1">
      <c r="A978" s="18" t="s">
        <v>5508</v>
      </c>
      <c r="B978" s="18">
        <v>20003432629</v>
      </c>
      <c r="C978" s="18" t="s">
        <v>5164</v>
      </c>
      <c r="D978" s="19">
        <v>45649.689583333333</v>
      </c>
      <c r="E978" s="18" t="s">
        <v>10</v>
      </c>
      <c r="F978" s="18">
        <v>40</v>
      </c>
      <c r="G978" s="18" t="s">
        <v>10</v>
      </c>
      <c r="H978" s="18" t="s">
        <v>178</v>
      </c>
      <c r="I978" s="18" t="s">
        <v>10</v>
      </c>
      <c r="J978" s="18" t="s">
        <v>4017</v>
      </c>
      <c r="K978" s="20"/>
    </row>
    <row r="979" spans="1:11" ht="36.75" thickBot="1">
      <c r="A979" s="18" t="s">
        <v>5509</v>
      </c>
      <c r="B979" s="18">
        <v>20002921036</v>
      </c>
      <c r="C979" s="18" t="s">
        <v>4360</v>
      </c>
      <c r="D979" s="19">
        <v>45650.427083333336</v>
      </c>
      <c r="E979" s="18" t="s">
        <v>10</v>
      </c>
      <c r="F979" s="18">
        <v>50</v>
      </c>
      <c r="G979" s="19">
        <v>45702.580555555556</v>
      </c>
      <c r="H979" s="18" t="s">
        <v>236</v>
      </c>
      <c r="I979" s="18" t="s">
        <v>10</v>
      </c>
      <c r="J979" s="18" t="s">
        <v>4017</v>
      </c>
      <c r="K979" s="20"/>
    </row>
    <row r="980" spans="1:11" ht="36.75" thickBot="1">
      <c r="A980" s="18" t="s">
        <v>5510</v>
      </c>
      <c r="B980" s="18">
        <v>20025911938</v>
      </c>
      <c r="C980" s="18" t="s">
        <v>5511</v>
      </c>
      <c r="D980" s="19">
        <v>45650.456250000003</v>
      </c>
      <c r="E980" s="18" t="s">
        <v>10</v>
      </c>
      <c r="F980" s="18">
        <v>100</v>
      </c>
      <c r="G980" s="18" t="s">
        <v>10</v>
      </c>
      <c r="H980" s="18" t="s">
        <v>178</v>
      </c>
      <c r="I980" s="18" t="s">
        <v>10</v>
      </c>
      <c r="J980" s="18" t="s">
        <v>4017</v>
      </c>
      <c r="K980" s="20"/>
    </row>
    <row r="981" spans="1:11" ht="36.75" thickBot="1">
      <c r="A981" s="18" t="s">
        <v>5512</v>
      </c>
      <c r="B981" s="18">
        <v>20024423894</v>
      </c>
      <c r="C981" s="18" t="s">
        <v>5417</v>
      </c>
      <c r="D981" s="19">
        <v>45643.689583333333</v>
      </c>
      <c r="E981" s="19">
        <v>45650.465277777781</v>
      </c>
      <c r="F981" s="18">
        <v>150</v>
      </c>
      <c r="G981" s="19">
        <v>45674.59652777778</v>
      </c>
      <c r="H981" s="18" t="s">
        <v>236</v>
      </c>
      <c r="I981" s="18" t="s">
        <v>10</v>
      </c>
      <c r="J981" s="18" t="s">
        <v>4017</v>
      </c>
      <c r="K981" s="20"/>
    </row>
    <row r="982" spans="1:11" ht="36.75" thickBot="1">
      <c r="A982" s="18" t="s">
        <v>5513</v>
      </c>
      <c r="B982" s="18">
        <v>20002932562</v>
      </c>
      <c r="C982" s="18" t="s">
        <v>5514</v>
      </c>
      <c r="D982" s="19">
        <v>45650.520138888889</v>
      </c>
      <c r="E982" s="18" t="s">
        <v>10</v>
      </c>
      <c r="F982" s="18">
        <v>50</v>
      </c>
      <c r="G982" s="18" t="s">
        <v>10</v>
      </c>
      <c r="H982" s="18" t="s">
        <v>178</v>
      </c>
      <c r="I982" s="18" t="s">
        <v>10</v>
      </c>
      <c r="J982" s="18" t="s">
        <v>4017</v>
      </c>
      <c r="K982" s="20"/>
    </row>
    <row r="983" spans="1:11" ht="36.75" thickBot="1">
      <c r="A983" s="18" t="s">
        <v>5515</v>
      </c>
      <c r="B983" s="18">
        <v>20021103516</v>
      </c>
      <c r="C983" s="18" t="s">
        <v>4601</v>
      </c>
      <c r="D983" s="19">
        <v>45561.662499999999</v>
      </c>
      <c r="E983" s="19">
        <v>45650.63958333333</v>
      </c>
      <c r="F983" s="18">
        <v>70</v>
      </c>
      <c r="G983" s="19">
        <v>45709.46875</v>
      </c>
      <c r="H983" s="18" t="s">
        <v>236</v>
      </c>
      <c r="I983" s="18" t="s">
        <v>10</v>
      </c>
      <c r="J983" s="18" t="s">
        <v>4017</v>
      </c>
      <c r="K983" s="20"/>
    </row>
    <row r="984" spans="1:11" ht="36.75" thickBot="1">
      <c r="A984" s="18" t="s">
        <v>5516</v>
      </c>
      <c r="B984" s="18">
        <v>20022714603</v>
      </c>
      <c r="C984" s="18" t="s">
        <v>5106</v>
      </c>
      <c r="D984" s="19">
        <v>45650.6875</v>
      </c>
      <c r="E984" s="18" t="s">
        <v>10</v>
      </c>
      <c r="F984" s="18">
        <v>130</v>
      </c>
      <c r="G984" s="18" t="s">
        <v>10</v>
      </c>
      <c r="H984" s="18" t="s">
        <v>178</v>
      </c>
      <c r="I984" s="18" t="s">
        <v>10</v>
      </c>
      <c r="J984" s="18" t="s">
        <v>4017</v>
      </c>
      <c r="K984" s="20"/>
    </row>
    <row r="985" spans="1:11" ht="36.75" thickBot="1">
      <c r="A985" s="18" t="s">
        <v>5517</v>
      </c>
      <c r="B985" s="18">
        <v>20002759114</v>
      </c>
      <c r="C985" s="18" t="s">
        <v>5518</v>
      </c>
      <c r="D985" s="19">
        <v>45566.425000000003</v>
      </c>
      <c r="E985" s="19">
        <v>45651.412499999999</v>
      </c>
      <c r="F985" s="18">
        <v>100</v>
      </c>
      <c r="G985" s="18" t="s">
        <v>10</v>
      </c>
      <c r="H985" s="18" t="s">
        <v>178</v>
      </c>
      <c r="I985" s="18" t="s">
        <v>10</v>
      </c>
      <c r="J985" s="18" t="s">
        <v>4017</v>
      </c>
      <c r="K985" s="20"/>
    </row>
    <row r="986" spans="1:11" ht="36.75" thickBot="1">
      <c r="A986" s="18" t="s">
        <v>5519</v>
      </c>
      <c r="B986" s="18">
        <v>20003127733</v>
      </c>
      <c r="C986" s="18" t="s">
        <v>5111</v>
      </c>
      <c r="D986" s="19">
        <v>45651.413194444445</v>
      </c>
      <c r="E986" s="18" t="s">
        <v>10</v>
      </c>
      <c r="F986" s="18">
        <v>400</v>
      </c>
      <c r="G986" s="18" t="s">
        <v>10</v>
      </c>
      <c r="H986" s="18" t="s">
        <v>178</v>
      </c>
      <c r="I986" s="18" t="s">
        <v>10</v>
      </c>
      <c r="J986" s="18" t="s">
        <v>4017</v>
      </c>
      <c r="K986" s="20"/>
    </row>
    <row r="987" spans="1:11" ht="36.75" thickBot="1">
      <c r="A987" s="18" t="s">
        <v>5520</v>
      </c>
      <c r="B987" s="18">
        <v>20002945860</v>
      </c>
      <c r="C987" s="18" t="s">
        <v>5106</v>
      </c>
      <c r="D987" s="19">
        <v>45652.385416666664</v>
      </c>
      <c r="E987" s="18" t="s">
        <v>10</v>
      </c>
      <c r="F987" s="18">
        <v>140</v>
      </c>
      <c r="G987" s="18" t="s">
        <v>10</v>
      </c>
      <c r="H987" s="18" t="s">
        <v>178</v>
      </c>
      <c r="I987" s="18" t="s">
        <v>10</v>
      </c>
      <c r="J987" s="18" t="s">
        <v>4017</v>
      </c>
      <c r="K987" s="20"/>
    </row>
    <row r="988" spans="1:11" ht="36.75" thickBot="1">
      <c r="A988" s="18" t="s">
        <v>5521</v>
      </c>
      <c r="B988" s="18">
        <v>20002881801</v>
      </c>
      <c r="C988" s="18" t="s">
        <v>5522</v>
      </c>
      <c r="D988" s="19">
        <v>45652.40347222222</v>
      </c>
      <c r="E988" s="18" t="s">
        <v>10</v>
      </c>
      <c r="F988" s="18">
        <v>100</v>
      </c>
      <c r="G988" s="18" t="s">
        <v>10</v>
      </c>
      <c r="H988" s="18" t="s">
        <v>178</v>
      </c>
      <c r="I988" s="18" t="s">
        <v>10</v>
      </c>
      <c r="J988" s="18" t="s">
        <v>4017</v>
      </c>
      <c r="K988" s="20"/>
    </row>
    <row r="989" spans="1:11" ht="36.75" thickBot="1">
      <c r="A989" s="18" t="s">
        <v>5523</v>
      </c>
      <c r="B989" s="18">
        <v>20003197029</v>
      </c>
      <c r="C989" s="18" t="s">
        <v>5524</v>
      </c>
      <c r="D989" s="19">
        <v>45652.435416666667</v>
      </c>
      <c r="E989" s="18" t="s">
        <v>10</v>
      </c>
      <c r="F989" s="18">
        <v>120</v>
      </c>
      <c r="G989" s="18" t="s">
        <v>10</v>
      </c>
      <c r="H989" s="18" t="s">
        <v>178</v>
      </c>
      <c r="I989" s="18" t="s">
        <v>10</v>
      </c>
      <c r="J989" s="18" t="s">
        <v>4017</v>
      </c>
      <c r="K989" s="20"/>
    </row>
    <row r="990" spans="1:11" ht="36.75" thickBot="1">
      <c r="A990" s="18" t="s">
        <v>5525</v>
      </c>
      <c r="B990" s="18">
        <v>20020389269</v>
      </c>
      <c r="C990" s="18" t="s">
        <v>5526</v>
      </c>
      <c r="D990" s="19">
        <v>45652.715277777781</v>
      </c>
      <c r="E990" s="18" t="s">
        <v>10</v>
      </c>
      <c r="F990" s="18">
        <v>40</v>
      </c>
      <c r="G990" s="18" t="s">
        <v>10</v>
      </c>
      <c r="H990" s="18" t="s">
        <v>178</v>
      </c>
      <c r="I990" s="18" t="s">
        <v>10</v>
      </c>
      <c r="J990" s="18" t="s">
        <v>4017</v>
      </c>
      <c r="K990" s="20"/>
    </row>
    <row r="991" spans="1:11" ht="36.75" thickBot="1">
      <c r="A991" s="18" t="s">
        <v>5527</v>
      </c>
      <c r="B991" s="18">
        <v>20003523117</v>
      </c>
      <c r="C991" s="18" t="s">
        <v>5528</v>
      </c>
      <c r="D991" s="19">
        <v>45653.68472222222</v>
      </c>
      <c r="E991" s="18" t="s">
        <v>10</v>
      </c>
      <c r="F991" s="18">
        <v>125</v>
      </c>
      <c r="G991" s="18" t="s">
        <v>10</v>
      </c>
      <c r="H991" s="18" t="s">
        <v>178</v>
      </c>
      <c r="I991" s="18" t="s">
        <v>10</v>
      </c>
      <c r="J991" s="18" t="s">
        <v>4017</v>
      </c>
      <c r="K991" s="20"/>
    </row>
    <row r="992" spans="1:11" ht="36.75" thickBot="1">
      <c r="A992" s="18" t="s">
        <v>5529</v>
      </c>
      <c r="B992" s="18">
        <v>20027026142</v>
      </c>
      <c r="C992" s="18" t="s">
        <v>5530</v>
      </c>
      <c r="D992" s="19">
        <v>45653.788194444445</v>
      </c>
      <c r="E992" s="18" t="s">
        <v>10</v>
      </c>
      <c r="F992" s="18">
        <v>50</v>
      </c>
      <c r="G992" s="18" t="s">
        <v>10</v>
      </c>
      <c r="H992" s="18" t="s">
        <v>178</v>
      </c>
      <c r="I992" s="18" t="s">
        <v>10</v>
      </c>
      <c r="J992" s="18" t="s">
        <v>4017</v>
      </c>
      <c r="K992" s="20"/>
    </row>
    <row r="993" spans="1:11" ht="36.75" thickBot="1">
      <c r="A993" s="18" t="s">
        <v>5531</v>
      </c>
      <c r="B993" s="18">
        <v>20021252332</v>
      </c>
      <c r="C993" s="18" t="s">
        <v>5532</v>
      </c>
      <c r="D993" s="19">
        <v>45582.4375</v>
      </c>
      <c r="E993" s="19">
        <v>45654.568055555559</v>
      </c>
      <c r="F993" s="18">
        <v>50</v>
      </c>
      <c r="G993" s="18" t="s">
        <v>10</v>
      </c>
      <c r="H993" s="18" t="s">
        <v>178</v>
      </c>
      <c r="I993" s="18" t="s">
        <v>10</v>
      </c>
      <c r="J993" s="18" t="s">
        <v>4017</v>
      </c>
      <c r="K993" s="20"/>
    </row>
    <row r="994" spans="1:11" ht="54.75" thickBot="1">
      <c r="A994" s="18" t="s">
        <v>5533</v>
      </c>
      <c r="B994" s="18">
        <v>20010796993</v>
      </c>
      <c r="C994" s="18" t="s">
        <v>5534</v>
      </c>
      <c r="D994" s="19">
        <v>45569.850694444445</v>
      </c>
      <c r="E994" s="19">
        <v>45655.030555555553</v>
      </c>
      <c r="F994" s="18">
        <v>300</v>
      </c>
      <c r="G994" s="18" t="s">
        <v>10</v>
      </c>
      <c r="H994" s="18" t="s">
        <v>178</v>
      </c>
      <c r="I994" s="18" t="s">
        <v>10</v>
      </c>
      <c r="J994" s="18" t="s">
        <v>4017</v>
      </c>
      <c r="K994" s="20"/>
    </row>
    <row r="995" spans="1:11" ht="36.75" thickBot="1">
      <c r="A995" s="18" t="s">
        <v>5535</v>
      </c>
      <c r="B995" s="18">
        <v>20003487588</v>
      </c>
      <c r="C995" s="18" t="s">
        <v>5536</v>
      </c>
      <c r="D995" s="19">
        <v>45569.801388888889</v>
      </c>
      <c r="E995" s="19">
        <v>45655.03402777778</v>
      </c>
      <c r="F995" s="18">
        <v>300</v>
      </c>
      <c r="G995" s="18" t="s">
        <v>10</v>
      </c>
      <c r="H995" s="18" t="s">
        <v>178</v>
      </c>
      <c r="I995" s="18" t="s">
        <v>10</v>
      </c>
      <c r="J995" s="18" t="s">
        <v>4017</v>
      </c>
      <c r="K995" s="20"/>
    </row>
    <row r="996" spans="1:11" ht="72.75" thickBot="1">
      <c r="A996" s="18" t="s">
        <v>5537</v>
      </c>
      <c r="B996" s="18">
        <v>20020193302</v>
      </c>
      <c r="C996" s="18" t="s">
        <v>5538</v>
      </c>
      <c r="D996" s="19">
        <v>45574.002083333333</v>
      </c>
      <c r="E996" s="19">
        <v>45656.01458333333</v>
      </c>
      <c r="F996" s="18">
        <v>50</v>
      </c>
      <c r="G996" s="19">
        <v>45666.63958333333</v>
      </c>
      <c r="H996" s="18" t="s">
        <v>2657</v>
      </c>
      <c r="I996" s="18" t="s">
        <v>10</v>
      </c>
      <c r="J996" s="18" t="s">
        <v>4017</v>
      </c>
      <c r="K996" s="20"/>
    </row>
    <row r="997" spans="1:11" ht="36.75" thickBot="1">
      <c r="A997" s="18" t="s">
        <v>5539</v>
      </c>
      <c r="B997" s="18">
        <v>20026742859</v>
      </c>
      <c r="C997" s="18" t="s">
        <v>5530</v>
      </c>
      <c r="D997" s="19">
        <v>45659.607638888891</v>
      </c>
      <c r="E997" s="18" t="s">
        <v>10</v>
      </c>
      <c r="F997" s="18">
        <v>50</v>
      </c>
      <c r="G997" s="18" t="s">
        <v>10</v>
      </c>
      <c r="H997" s="18" t="s">
        <v>178</v>
      </c>
      <c r="I997" s="18" t="s">
        <v>10</v>
      </c>
      <c r="J997" s="18" t="s">
        <v>4017</v>
      </c>
      <c r="K997" s="20"/>
    </row>
    <row r="998" spans="1:11" ht="36.75" thickBot="1">
      <c r="A998" s="18" t="s">
        <v>5540</v>
      </c>
      <c r="B998" s="18">
        <v>20020972689</v>
      </c>
      <c r="C998" s="18" t="s">
        <v>4457</v>
      </c>
      <c r="D998" s="19">
        <v>45580.427083333336</v>
      </c>
      <c r="E998" s="19">
        <v>45660.385416666664</v>
      </c>
      <c r="F998" s="18">
        <v>400</v>
      </c>
      <c r="G998" s="19">
        <v>45693.535416666666</v>
      </c>
      <c r="H998" s="18" t="s">
        <v>236</v>
      </c>
      <c r="I998" s="18" t="s">
        <v>10</v>
      </c>
      <c r="J998" s="18" t="s">
        <v>4017</v>
      </c>
      <c r="K998" s="20"/>
    </row>
    <row r="999" spans="1:11" ht="36.75" thickBot="1">
      <c r="A999" s="18" t="s">
        <v>5541</v>
      </c>
      <c r="B999" s="18">
        <v>20003497850</v>
      </c>
      <c r="C999" s="18" t="s">
        <v>4422</v>
      </c>
      <c r="D999" s="19">
        <v>45586.556250000001</v>
      </c>
      <c r="E999" s="19">
        <v>45660.49722222222</v>
      </c>
      <c r="F999" s="18">
        <v>36</v>
      </c>
      <c r="G999" s="19">
        <v>45699.404861111114</v>
      </c>
      <c r="H999" s="18" t="s">
        <v>236</v>
      </c>
      <c r="I999" s="18" t="s">
        <v>10</v>
      </c>
      <c r="J999" s="18" t="s">
        <v>4017</v>
      </c>
      <c r="K999" s="20"/>
    </row>
    <row r="1000" spans="1:11" ht="36.75" thickBot="1">
      <c r="A1000" s="18" t="s">
        <v>5542</v>
      </c>
      <c r="B1000" s="18">
        <v>20027766901</v>
      </c>
      <c r="C1000" s="18" t="s">
        <v>863</v>
      </c>
      <c r="D1000" s="19">
        <v>45662.318055555559</v>
      </c>
      <c r="E1000" s="18" t="s">
        <v>10</v>
      </c>
      <c r="F1000" s="18">
        <v>50</v>
      </c>
      <c r="G1000" s="18" t="s">
        <v>10</v>
      </c>
      <c r="H1000" s="18" t="s">
        <v>178</v>
      </c>
      <c r="I1000" s="18" t="s">
        <v>10</v>
      </c>
      <c r="J1000" s="18" t="s">
        <v>4017</v>
      </c>
      <c r="K1000" s="20"/>
    </row>
    <row r="1001" spans="1:11" ht="36.75" thickBot="1">
      <c r="A1001" s="18" t="s">
        <v>5543</v>
      </c>
      <c r="B1001" s="18">
        <v>20020009169</v>
      </c>
      <c r="C1001" s="18" t="s">
        <v>5544</v>
      </c>
      <c r="D1001" s="19">
        <v>45663.415277777778</v>
      </c>
      <c r="E1001" s="18" t="s">
        <v>10</v>
      </c>
      <c r="F1001" s="18">
        <v>200</v>
      </c>
      <c r="G1001" s="18" t="s">
        <v>10</v>
      </c>
      <c r="H1001" s="18" t="s">
        <v>178</v>
      </c>
      <c r="I1001" s="18" t="s">
        <v>10</v>
      </c>
      <c r="J1001" s="18" t="s">
        <v>4017</v>
      </c>
      <c r="K1001" s="1"/>
    </row>
    <row r="1002" spans="1:11" ht="36.75" thickBot="1">
      <c r="A1002" s="18" t="s">
        <v>5545</v>
      </c>
      <c r="B1002" s="18">
        <v>20017639155</v>
      </c>
      <c r="C1002" s="18" t="s">
        <v>5198</v>
      </c>
      <c r="D1002" s="19">
        <v>45663.548611111109</v>
      </c>
      <c r="E1002" s="18" t="s">
        <v>10</v>
      </c>
      <c r="F1002" s="18">
        <v>50</v>
      </c>
      <c r="G1002" s="18" t="s">
        <v>10</v>
      </c>
      <c r="H1002" s="18" t="s">
        <v>178</v>
      </c>
      <c r="I1002" s="18" t="s">
        <v>10</v>
      </c>
      <c r="J1002" s="18" t="s">
        <v>4017</v>
      </c>
      <c r="K1002" s="20"/>
    </row>
    <row r="1003" spans="1:11" ht="36.75" thickBot="1">
      <c r="A1003" s="18" t="s">
        <v>5546</v>
      </c>
      <c r="B1003" s="18">
        <v>20024877583</v>
      </c>
      <c r="C1003" s="18" t="s">
        <v>5206</v>
      </c>
      <c r="D1003" s="19">
        <v>45663.65625</v>
      </c>
      <c r="E1003" s="18" t="s">
        <v>10</v>
      </c>
      <c r="F1003" s="18">
        <v>100</v>
      </c>
      <c r="G1003" s="18" t="s">
        <v>10</v>
      </c>
      <c r="H1003" s="18" t="s">
        <v>178</v>
      </c>
      <c r="I1003" s="18" t="s">
        <v>10</v>
      </c>
      <c r="J1003" s="18" t="s">
        <v>4017</v>
      </c>
      <c r="K1003" s="20"/>
    </row>
    <row r="1004" spans="1:11" ht="36.75" thickBot="1">
      <c r="A1004" s="18" t="s">
        <v>5547</v>
      </c>
      <c r="B1004" s="18">
        <v>20021874798</v>
      </c>
      <c r="C1004" s="18" t="s">
        <v>5208</v>
      </c>
      <c r="D1004" s="19">
        <v>45663.668055555558</v>
      </c>
      <c r="E1004" s="18" t="s">
        <v>10</v>
      </c>
      <c r="F1004" s="18">
        <v>100</v>
      </c>
      <c r="G1004" s="18" t="s">
        <v>10</v>
      </c>
      <c r="H1004" s="18" t="s">
        <v>178</v>
      </c>
      <c r="I1004" s="18" t="s">
        <v>10</v>
      </c>
      <c r="J1004" s="18" t="s">
        <v>4017</v>
      </c>
      <c r="K1004" s="20"/>
    </row>
    <row r="1005" spans="1:11" ht="36.75" thickBot="1">
      <c r="A1005" s="18" t="s">
        <v>5548</v>
      </c>
      <c r="B1005" s="18">
        <v>20003133136</v>
      </c>
      <c r="C1005" s="18" t="s">
        <v>4924</v>
      </c>
      <c r="D1005" s="19">
        <v>45663.697222222225</v>
      </c>
      <c r="E1005" s="18" t="s">
        <v>10</v>
      </c>
      <c r="F1005" s="18">
        <v>150</v>
      </c>
      <c r="G1005" s="18" t="s">
        <v>10</v>
      </c>
      <c r="H1005" s="18" t="s">
        <v>178</v>
      </c>
      <c r="I1005" s="18" t="s">
        <v>10</v>
      </c>
      <c r="J1005" s="18" t="s">
        <v>4017</v>
      </c>
      <c r="K1005" s="20"/>
    </row>
    <row r="1006" spans="1:11" ht="36.75" thickBot="1">
      <c r="A1006" s="18" t="s">
        <v>5549</v>
      </c>
      <c r="B1006" s="18">
        <v>20003126379</v>
      </c>
      <c r="C1006" s="18" t="s">
        <v>4030</v>
      </c>
      <c r="D1006" s="19">
        <v>45664.4</v>
      </c>
      <c r="E1006" s="19">
        <v>45664.463194444441</v>
      </c>
      <c r="F1006" s="18">
        <v>625</v>
      </c>
      <c r="G1006" s="19">
        <v>45691.384027777778</v>
      </c>
      <c r="H1006" s="18" t="s">
        <v>236</v>
      </c>
      <c r="I1006" s="18" t="s">
        <v>10</v>
      </c>
      <c r="J1006" s="18" t="s">
        <v>4017</v>
      </c>
      <c r="K1006" s="20"/>
    </row>
    <row r="1007" spans="1:11" ht="36.75" thickBot="1">
      <c r="A1007" s="18" t="s">
        <v>5550</v>
      </c>
      <c r="B1007" s="18">
        <v>20025731137</v>
      </c>
      <c r="C1007" s="18" t="s">
        <v>5551</v>
      </c>
      <c r="D1007" s="19">
        <v>45664.464583333334</v>
      </c>
      <c r="E1007" s="18" t="s">
        <v>10</v>
      </c>
      <c r="F1007" s="18">
        <v>100</v>
      </c>
      <c r="G1007" s="18" t="s">
        <v>10</v>
      </c>
      <c r="H1007" s="18" t="s">
        <v>178</v>
      </c>
      <c r="I1007" s="18" t="s">
        <v>10</v>
      </c>
      <c r="J1007" s="18" t="s">
        <v>4017</v>
      </c>
      <c r="K1007" s="20"/>
    </row>
    <row r="1008" spans="1:11" ht="36.75" thickBot="1">
      <c r="A1008" s="18" t="s">
        <v>5552</v>
      </c>
      <c r="B1008" s="18">
        <v>20027167730</v>
      </c>
      <c r="C1008" s="18" t="s">
        <v>5246</v>
      </c>
      <c r="D1008" s="19">
        <v>45664.381249999999</v>
      </c>
      <c r="E1008" s="19">
        <v>45664.495138888888</v>
      </c>
      <c r="F1008" s="18">
        <v>850</v>
      </c>
      <c r="G1008" s="19">
        <v>45685.408333333333</v>
      </c>
      <c r="H1008" s="18" t="s">
        <v>2654</v>
      </c>
      <c r="I1008" s="18" t="s">
        <v>10</v>
      </c>
      <c r="J1008" s="18" t="s">
        <v>4017</v>
      </c>
      <c r="K1008" s="20"/>
    </row>
    <row r="1009" spans="1:11" ht="54.75" thickBot="1">
      <c r="A1009" s="18" t="s">
        <v>5553</v>
      </c>
      <c r="B1009" s="18">
        <v>20020786217</v>
      </c>
      <c r="C1009" s="18" t="s">
        <v>4785</v>
      </c>
      <c r="D1009" s="19">
        <v>45664.631249999999</v>
      </c>
      <c r="E1009" s="18" t="s">
        <v>10</v>
      </c>
      <c r="F1009" s="18">
        <v>720</v>
      </c>
      <c r="G1009" s="18" t="s">
        <v>10</v>
      </c>
      <c r="H1009" s="18" t="s">
        <v>178</v>
      </c>
      <c r="I1009" s="18" t="s">
        <v>10</v>
      </c>
      <c r="J1009" s="18" t="s">
        <v>4017</v>
      </c>
      <c r="K1009" s="20"/>
    </row>
    <row r="1010" spans="1:11" ht="36.75" thickBot="1">
      <c r="A1010" s="18" t="s">
        <v>5554</v>
      </c>
      <c r="B1010" s="18">
        <v>20017079828</v>
      </c>
      <c r="C1010" s="18" t="s">
        <v>5555</v>
      </c>
      <c r="D1010" s="19">
        <v>45664.745138888888</v>
      </c>
      <c r="E1010" s="18" t="s">
        <v>10</v>
      </c>
      <c r="F1010" s="18">
        <v>700</v>
      </c>
      <c r="G1010" s="18" t="s">
        <v>10</v>
      </c>
      <c r="H1010" s="18" t="s">
        <v>178</v>
      </c>
      <c r="I1010" s="18" t="s">
        <v>10</v>
      </c>
      <c r="J1010" s="18" t="s">
        <v>4017</v>
      </c>
      <c r="K1010" s="20"/>
    </row>
    <row r="1011" spans="1:11" ht="54.75" thickBot="1">
      <c r="A1011" s="18" t="s">
        <v>5556</v>
      </c>
      <c r="B1011" s="18">
        <v>20003478296</v>
      </c>
      <c r="C1011" s="18" t="s">
        <v>4523</v>
      </c>
      <c r="D1011" s="19">
        <v>45590.39166666667</v>
      </c>
      <c r="E1011" s="19">
        <v>45665.353472222225</v>
      </c>
      <c r="F1011" s="18">
        <v>450</v>
      </c>
      <c r="G1011" s="19">
        <v>45699.46597222222</v>
      </c>
      <c r="H1011" s="18" t="s">
        <v>2654</v>
      </c>
      <c r="I1011" s="18" t="s">
        <v>10</v>
      </c>
      <c r="J1011" s="18" t="s">
        <v>4017</v>
      </c>
      <c r="K1011" s="20"/>
    </row>
    <row r="1012" spans="1:11" ht="36.75" thickBot="1">
      <c r="A1012" s="18" t="s">
        <v>5557</v>
      </c>
      <c r="B1012" s="18">
        <v>20003477517</v>
      </c>
      <c r="C1012" s="18" t="s">
        <v>4800</v>
      </c>
      <c r="D1012" s="19">
        <v>45595.57708333333</v>
      </c>
      <c r="E1012" s="19">
        <v>45665.40902777778</v>
      </c>
      <c r="F1012" s="18">
        <v>30</v>
      </c>
      <c r="G1012" s="18" t="s">
        <v>10</v>
      </c>
      <c r="H1012" s="18" t="s">
        <v>178</v>
      </c>
      <c r="I1012" s="18" t="s">
        <v>10</v>
      </c>
      <c r="J1012" s="18" t="s">
        <v>4017</v>
      </c>
      <c r="K1012" s="20"/>
    </row>
    <row r="1013" spans="1:11" ht="36.75" thickBot="1">
      <c r="A1013" s="18" t="s">
        <v>5558</v>
      </c>
      <c r="B1013" s="18">
        <v>20003287196</v>
      </c>
      <c r="C1013" s="18" t="s">
        <v>5559</v>
      </c>
      <c r="D1013" s="19">
        <v>45581.379166666666</v>
      </c>
      <c r="E1013" s="19">
        <v>45665.459027777775</v>
      </c>
      <c r="F1013" s="18">
        <v>340</v>
      </c>
      <c r="G1013" s="18" t="s">
        <v>10</v>
      </c>
      <c r="H1013" s="18" t="s">
        <v>178</v>
      </c>
      <c r="I1013" s="18" t="s">
        <v>10</v>
      </c>
      <c r="J1013" s="18" t="s">
        <v>4017</v>
      </c>
      <c r="K1013" s="20"/>
    </row>
    <row r="1014" spans="1:11" ht="54.75" thickBot="1">
      <c r="A1014" s="18" t="s">
        <v>5560</v>
      </c>
      <c r="B1014" s="18">
        <v>20003426397</v>
      </c>
      <c r="C1014" s="18" t="s">
        <v>5561</v>
      </c>
      <c r="D1014" s="19">
        <v>45665.623611111114</v>
      </c>
      <c r="E1014" s="18" t="s">
        <v>10</v>
      </c>
      <c r="F1014" s="18">
        <v>30</v>
      </c>
      <c r="G1014" s="18" t="s">
        <v>10</v>
      </c>
      <c r="H1014" s="18" t="s">
        <v>178</v>
      </c>
      <c r="I1014" s="18" t="s">
        <v>10</v>
      </c>
      <c r="J1014" s="18" t="s">
        <v>4017</v>
      </c>
      <c r="K1014" s="20"/>
    </row>
    <row r="1015" spans="1:11" ht="36.75" thickBot="1">
      <c r="A1015" s="18" t="s">
        <v>5562</v>
      </c>
      <c r="B1015" s="18">
        <v>20003403529</v>
      </c>
      <c r="C1015" s="18" t="s">
        <v>5151</v>
      </c>
      <c r="D1015" s="19">
        <v>45665.664583333331</v>
      </c>
      <c r="E1015" s="18" t="s">
        <v>10</v>
      </c>
      <c r="F1015" s="18">
        <v>800</v>
      </c>
      <c r="G1015" s="18" t="s">
        <v>10</v>
      </c>
      <c r="H1015" s="18" t="s">
        <v>178</v>
      </c>
      <c r="I1015" s="18" t="s">
        <v>10</v>
      </c>
      <c r="J1015" s="18" t="s">
        <v>4017</v>
      </c>
      <c r="K1015" s="20"/>
    </row>
    <row r="1016" spans="1:11" ht="36.75" thickBot="1">
      <c r="A1016" s="18" t="s">
        <v>5563</v>
      </c>
      <c r="B1016" s="18">
        <v>20020592540</v>
      </c>
      <c r="C1016" s="18" t="s">
        <v>4428</v>
      </c>
      <c r="D1016" s="19">
        <v>45583.593055555553</v>
      </c>
      <c r="E1016" s="19">
        <v>45665.706250000003</v>
      </c>
      <c r="F1016" s="18">
        <v>80</v>
      </c>
      <c r="G1016" s="18" t="s">
        <v>10</v>
      </c>
      <c r="H1016" s="18" t="s">
        <v>178</v>
      </c>
      <c r="I1016" s="18" t="s">
        <v>10</v>
      </c>
      <c r="J1016" s="18" t="s">
        <v>4017</v>
      </c>
      <c r="K1016" s="20"/>
    </row>
    <row r="1017" spans="1:11" ht="36.75" thickBot="1">
      <c r="A1017" s="18" t="s">
        <v>5564</v>
      </c>
      <c r="B1017" s="18">
        <v>20020948494</v>
      </c>
      <c r="C1017" s="18" t="s">
        <v>5565</v>
      </c>
      <c r="D1017" s="19">
        <v>45665.720138888886</v>
      </c>
      <c r="E1017" s="18" t="s">
        <v>10</v>
      </c>
      <c r="F1017" s="18">
        <v>160</v>
      </c>
      <c r="G1017" s="18" t="s">
        <v>10</v>
      </c>
      <c r="H1017" s="18" t="s">
        <v>178</v>
      </c>
      <c r="I1017" s="18" t="s">
        <v>10</v>
      </c>
      <c r="J1017" s="18" t="s">
        <v>4017</v>
      </c>
      <c r="K1017" s="20"/>
    </row>
    <row r="1018" spans="1:11" ht="36.75" thickBot="1">
      <c r="A1018" s="18" t="s">
        <v>5566</v>
      </c>
      <c r="B1018" s="18">
        <v>20003493003</v>
      </c>
      <c r="C1018" s="18" t="s">
        <v>5130</v>
      </c>
      <c r="D1018" s="19">
        <v>45665.92083333333</v>
      </c>
      <c r="E1018" s="18" t="s">
        <v>10</v>
      </c>
      <c r="F1018" s="18">
        <v>210</v>
      </c>
      <c r="G1018" s="18" t="s">
        <v>10</v>
      </c>
      <c r="H1018" s="18" t="s">
        <v>178</v>
      </c>
      <c r="I1018" s="18" t="s">
        <v>10</v>
      </c>
      <c r="J1018" s="18" t="s">
        <v>4017</v>
      </c>
      <c r="K1018" s="20"/>
    </row>
    <row r="1019" spans="1:11" ht="36.75" thickBot="1">
      <c r="A1019" s="18" t="s">
        <v>5567</v>
      </c>
      <c r="B1019" s="18">
        <v>20003058742</v>
      </c>
      <c r="C1019" s="18" t="s">
        <v>4514</v>
      </c>
      <c r="D1019" s="19">
        <v>45666.387499999997</v>
      </c>
      <c r="E1019" s="18" t="s">
        <v>10</v>
      </c>
      <c r="F1019" s="18">
        <v>360</v>
      </c>
      <c r="G1019" s="18" t="s">
        <v>10</v>
      </c>
      <c r="H1019" s="18" t="s">
        <v>178</v>
      </c>
      <c r="I1019" s="18" t="s">
        <v>10</v>
      </c>
      <c r="J1019" s="18" t="s">
        <v>4017</v>
      </c>
      <c r="K1019" s="20"/>
    </row>
    <row r="1020" spans="1:11" ht="36.75" thickBot="1">
      <c r="A1020" s="18" t="s">
        <v>5568</v>
      </c>
      <c r="B1020" s="18">
        <v>20003423783</v>
      </c>
      <c r="C1020" s="18" t="s">
        <v>5262</v>
      </c>
      <c r="D1020" s="19">
        <v>45666.429861111108</v>
      </c>
      <c r="E1020" s="18" t="s">
        <v>10</v>
      </c>
      <c r="F1020" s="18">
        <v>100</v>
      </c>
      <c r="G1020" s="18" t="s">
        <v>10</v>
      </c>
      <c r="H1020" s="18" t="s">
        <v>178</v>
      </c>
      <c r="I1020" s="18" t="s">
        <v>10</v>
      </c>
      <c r="J1020" s="18" t="s">
        <v>4017</v>
      </c>
      <c r="K1020" s="20"/>
    </row>
    <row r="1021" spans="1:11" ht="36.75" thickBot="1">
      <c r="A1021" s="18" t="s">
        <v>5569</v>
      </c>
      <c r="B1021" s="18">
        <v>20002875223</v>
      </c>
      <c r="C1021" s="18" t="s">
        <v>5570</v>
      </c>
      <c r="D1021" s="19">
        <v>45666.45416666667</v>
      </c>
      <c r="E1021" s="18" t="s">
        <v>10</v>
      </c>
      <c r="F1021" s="18">
        <v>50</v>
      </c>
      <c r="G1021" s="18" t="s">
        <v>10</v>
      </c>
      <c r="H1021" s="18" t="s">
        <v>178</v>
      </c>
      <c r="I1021" s="18" t="s">
        <v>10</v>
      </c>
      <c r="J1021" s="18" t="s">
        <v>4017</v>
      </c>
      <c r="K1021" s="20"/>
    </row>
    <row r="1022" spans="1:11" ht="36.75" thickBot="1">
      <c r="A1022" s="18" t="s">
        <v>5571</v>
      </c>
      <c r="B1022" s="18">
        <v>20003196481</v>
      </c>
      <c r="C1022" s="18" t="s">
        <v>5271</v>
      </c>
      <c r="D1022" s="19">
        <v>45666.470833333333</v>
      </c>
      <c r="E1022" s="18" t="s">
        <v>10</v>
      </c>
      <c r="F1022" s="18">
        <v>200</v>
      </c>
      <c r="G1022" s="18" t="s">
        <v>10</v>
      </c>
      <c r="H1022" s="18" t="s">
        <v>178</v>
      </c>
      <c r="I1022" s="18" t="s">
        <v>10</v>
      </c>
      <c r="J1022" s="18" t="s">
        <v>4017</v>
      </c>
      <c r="K1022" s="20"/>
    </row>
    <row r="1023" spans="1:11" ht="36.75" thickBot="1">
      <c r="A1023" s="18" t="s">
        <v>5572</v>
      </c>
      <c r="B1023" s="18">
        <v>20021490173</v>
      </c>
      <c r="C1023" s="18" t="s">
        <v>4810</v>
      </c>
      <c r="D1023" s="19">
        <v>45666.598611111112</v>
      </c>
      <c r="E1023" s="18" t="s">
        <v>10</v>
      </c>
      <c r="F1023" s="18">
        <v>90</v>
      </c>
      <c r="G1023" s="18" t="s">
        <v>10</v>
      </c>
      <c r="H1023" s="18" t="s">
        <v>178</v>
      </c>
      <c r="I1023" s="18" t="s">
        <v>10</v>
      </c>
      <c r="J1023" s="18" t="s">
        <v>4017</v>
      </c>
      <c r="K1023" s="20"/>
    </row>
    <row r="1024" spans="1:11" ht="36.75" thickBot="1">
      <c r="A1024" s="18" t="s">
        <v>5573</v>
      </c>
      <c r="B1024" s="18">
        <v>20023195125</v>
      </c>
      <c r="C1024" s="18" t="s">
        <v>4993</v>
      </c>
      <c r="D1024" s="19">
        <v>45604.512499999997</v>
      </c>
      <c r="E1024" s="19">
        <v>45667.804861111108</v>
      </c>
      <c r="F1024" s="18">
        <v>30</v>
      </c>
      <c r="G1024" s="19">
        <v>45691.549305555556</v>
      </c>
      <c r="H1024" s="18" t="s">
        <v>236</v>
      </c>
      <c r="I1024" s="18" t="s">
        <v>10</v>
      </c>
      <c r="J1024" s="18" t="s">
        <v>4017</v>
      </c>
      <c r="K1024" s="20"/>
    </row>
    <row r="1025" spans="1:11" ht="36.75" thickBot="1">
      <c r="A1025" s="18" t="s">
        <v>5574</v>
      </c>
      <c r="B1025" s="18">
        <v>20028074456</v>
      </c>
      <c r="C1025" s="18" t="s">
        <v>5141</v>
      </c>
      <c r="D1025" s="19">
        <v>45668.409722222219</v>
      </c>
      <c r="E1025" s="18" t="s">
        <v>10</v>
      </c>
      <c r="F1025" s="18">
        <v>900</v>
      </c>
      <c r="G1025" s="18" t="s">
        <v>10</v>
      </c>
      <c r="H1025" s="18" t="s">
        <v>178</v>
      </c>
      <c r="I1025" s="18" t="s">
        <v>10</v>
      </c>
      <c r="J1025" s="18" t="s">
        <v>4017</v>
      </c>
      <c r="K1025" s="20"/>
    </row>
    <row r="1026" spans="1:11" ht="36.75" thickBot="1">
      <c r="A1026" s="18" t="s">
        <v>5575</v>
      </c>
      <c r="B1026" s="18">
        <v>20025021774</v>
      </c>
      <c r="C1026" s="18" t="s">
        <v>5576</v>
      </c>
      <c r="D1026" s="19">
        <v>45669.662499999999</v>
      </c>
      <c r="E1026" s="18" t="s">
        <v>10</v>
      </c>
      <c r="F1026" s="18">
        <v>60</v>
      </c>
      <c r="G1026" s="18" t="s">
        <v>10</v>
      </c>
      <c r="H1026" s="18" t="s">
        <v>178</v>
      </c>
      <c r="I1026" s="18" t="s">
        <v>10</v>
      </c>
      <c r="J1026" s="18" t="s">
        <v>4017</v>
      </c>
      <c r="K1026" s="20"/>
    </row>
    <row r="1027" spans="1:11" ht="54.75" thickBot="1">
      <c r="A1027" s="18" t="s">
        <v>5577</v>
      </c>
      <c r="B1027" s="18">
        <v>20017461953</v>
      </c>
      <c r="C1027" s="18" t="s">
        <v>5249</v>
      </c>
      <c r="D1027" s="19">
        <v>45670.625694444447</v>
      </c>
      <c r="E1027" s="18" t="s">
        <v>10</v>
      </c>
      <c r="F1027" s="18">
        <v>250</v>
      </c>
      <c r="G1027" s="18" t="s">
        <v>10</v>
      </c>
      <c r="H1027" s="18" t="s">
        <v>178</v>
      </c>
      <c r="I1027" s="18" t="s">
        <v>10</v>
      </c>
      <c r="J1027" s="18" t="s">
        <v>4017</v>
      </c>
      <c r="K1027" s="20"/>
    </row>
    <row r="1028" spans="1:11" ht="36.75" thickBot="1">
      <c r="A1028" s="18" t="s">
        <v>5578</v>
      </c>
      <c r="B1028" s="18">
        <v>20003477724</v>
      </c>
      <c r="C1028" s="18" t="s">
        <v>4288</v>
      </c>
      <c r="D1028" s="19">
        <v>45505.688194444447</v>
      </c>
      <c r="E1028" s="19">
        <v>45670.64166666667</v>
      </c>
      <c r="F1028" s="18">
        <v>175</v>
      </c>
      <c r="G1028" s="19">
        <v>45698.597916666666</v>
      </c>
      <c r="H1028" s="18" t="s">
        <v>236</v>
      </c>
      <c r="I1028" s="18" t="s">
        <v>10</v>
      </c>
      <c r="J1028" s="18" t="s">
        <v>4017</v>
      </c>
      <c r="K1028" s="20"/>
    </row>
    <row r="1029" spans="1:11" ht="36.75" thickBot="1">
      <c r="A1029" s="18" t="s">
        <v>5579</v>
      </c>
      <c r="B1029" s="18">
        <v>20003537116</v>
      </c>
      <c r="C1029" s="18" t="s">
        <v>4520</v>
      </c>
      <c r="D1029" s="19">
        <v>45597.36041666667</v>
      </c>
      <c r="E1029" s="19">
        <v>45671.527083333334</v>
      </c>
      <c r="F1029" s="18">
        <v>30</v>
      </c>
      <c r="G1029" s="19">
        <v>45852.529166666667</v>
      </c>
      <c r="H1029" s="18" t="s">
        <v>236</v>
      </c>
      <c r="I1029" s="18" t="s">
        <v>10</v>
      </c>
      <c r="J1029" s="18" t="s">
        <v>4017</v>
      </c>
      <c r="K1029" s="20"/>
    </row>
    <row r="1030" spans="1:11" ht="36.75" thickBot="1">
      <c r="A1030" s="18" t="s">
        <v>5580</v>
      </c>
      <c r="B1030" s="18">
        <v>20026195503</v>
      </c>
      <c r="C1030" s="18" t="s">
        <v>5275</v>
      </c>
      <c r="D1030" s="19">
        <v>45671.620833333334</v>
      </c>
      <c r="E1030" s="18" t="s">
        <v>10</v>
      </c>
      <c r="F1030" s="18">
        <v>50</v>
      </c>
      <c r="G1030" s="18" t="s">
        <v>10</v>
      </c>
      <c r="H1030" s="18" t="s">
        <v>178</v>
      </c>
      <c r="I1030" s="18" t="s">
        <v>10</v>
      </c>
      <c r="J1030" s="18" t="s">
        <v>4017</v>
      </c>
      <c r="K1030" s="20"/>
    </row>
    <row r="1031" spans="1:11" ht="36.75" thickBot="1">
      <c r="A1031" s="18" t="s">
        <v>5581</v>
      </c>
      <c r="B1031" s="18">
        <v>20023863682</v>
      </c>
      <c r="C1031" s="18" t="s">
        <v>5582</v>
      </c>
      <c r="D1031" s="19">
        <v>45671.647222222222</v>
      </c>
      <c r="E1031" s="18" t="s">
        <v>10</v>
      </c>
      <c r="F1031" s="18">
        <v>500</v>
      </c>
      <c r="G1031" s="18" t="s">
        <v>10</v>
      </c>
      <c r="H1031" s="18" t="s">
        <v>178</v>
      </c>
      <c r="I1031" s="18" t="s">
        <v>10</v>
      </c>
      <c r="J1031" s="18" t="s">
        <v>4017</v>
      </c>
      <c r="K1031" s="20"/>
    </row>
    <row r="1032" spans="1:11" ht="36.75" thickBot="1">
      <c r="A1032" s="18" t="s">
        <v>5583</v>
      </c>
      <c r="B1032" s="18">
        <v>20016364341</v>
      </c>
      <c r="C1032" s="18" t="s">
        <v>5584</v>
      </c>
      <c r="D1032" s="19">
        <v>45671.681250000001</v>
      </c>
      <c r="E1032" s="18" t="s">
        <v>10</v>
      </c>
      <c r="F1032" s="18">
        <v>150</v>
      </c>
      <c r="G1032" s="18" t="s">
        <v>10</v>
      </c>
      <c r="H1032" s="18" t="s">
        <v>178</v>
      </c>
      <c r="I1032" s="18" t="s">
        <v>10</v>
      </c>
      <c r="J1032" s="18" t="s">
        <v>4017</v>
      </c>
      <c r="K1032" s="20"/>
    </row>
    <row r="1033" spans="1:11" ht="72.75" thickBot="1">
      <c r="A1033" s="18" t="s">
        <v>5585</v>
      </c>
      <c r="B1033" s="18">
        <v>20003518349</v>
      </c>
      <c r="C1033" s="18" t="s">
        <v>5586</v>
      </c>
      <c r="D1033" s="19">
        <v>45583.621527777781</v>
      </c>
      <c r="E1033" s="19">
        <v>45671.683333333334</v>
      </c>
      <c r="F1033" s="18">
        <v>136</v>
      </c>
      <c r="G1033" s="19">
        <v>45692.461111111108</v>
      </c>
      <c r="H1033" s="18" t="s">
        <v>2688</v>
      </c>
      <c r="I1033" s="18" t="s">
        <v>10</v>
      </c>
      <c r="J1033" s="18" t="s">
        <v>4017</v>
      </c>
      <c r="K1033" s="20"/>
    </row>
    <row r="1034" spans="1:11" ht="36.75" thickBot="1">
      <c r="A1034" s="18" t="s">
        <v>5587</v>
      </c>
      <c r="B1034" s="18">
        <v>20024008034</v>
      </c>
      <c r="C1034" s="18" t="s">
        <v>4506</v>
      </c>
      <c r="D1034" s="19">
        <v>45671.779861111114</v>
      </c>
      <c r="E1034" s="18" t="s">
        <v>10</v>
      </c>
      <c r="F1034" s="18">
        <v>150</v>
      </c>
      <c r="G1034" s="18" t="s">
        <v>10</v>
      </c>
      <c r="H1034" s="18" t="s">
        <v>178</v>
      </c>
      <c r="I1034" s="18" t="s">
        <v>10</v>
      </c>
      <c r="J1034" s="18" t="s">
        <v>4017</v>
      </c>
      <c r="K1034" s="20"/>
    </row>
    <row r="1035" spans="1:11" ht="36.75" thickBot="1">
      <c r="A1035" s="18" t="s">
        <v>5588</v>
      </c>
      <c r="B1035" s="18">
        <v>20027234836</v>
      </c>
      <c r="C1035" s="18" t="s">
        <v>5288</v>
      </c>
      <c r="D1035" s="19">
        <v>45672.439583333333</v>
      </c>
      <c r="E1035" s="18" t="s">
        <v>10</v>
      </c>
      <c r="F1035" s="18">
        <v>100</v>
      </c>
      <c r="G1035" s="18" t="s">
        <v>10</v>
      </c>
      <c r="H1035" s="18" t="s">
        <v>178</v>
      </c>
      <c r="I1035" s="18" t="s">
        <v>10</v>
      </c>
      <c r="J1035" s="18" t="s">
        <v>4017</v>
      </c>
      <c r="K1035" s="20"/>
    </row>
    <row r="1036" spans="1:11" ht="36.75" thickBot="1">
      <c r="A1036" s="18" t="s">
        <v>5589</v>
      </c>
      <c r="B1036" s="18">
        <v>20018681684</v>
      </c>
      <c r="C1036" s="18" t="s">
        <v>4878</v>
      </c>
      <c r="D1036" s="19">
        <v>45672.453472222223</v>
      </c>
      <c r="E1036" s="18" t="s">
        <v>10</v>
      </c>
      <c r="F1036" s="18">
        <v>200</v>
      </c>
      <c r="G1036" s="18" t="s">
        <v>10</v>
      </c>
      <c r="H1036" s="18" t="s">
        <v>178</v>
      </c>
      <c r="I1036" s="18" t="s">
        <v>10</v>
      </c>
      <c r="J1036" s="18" t="s">
        <v>4017</v>
      </c>
      <c r="K1036" s="20"/>
    </row>
    <row r="1037" spans="1:11" ht="36.75" thickBot="1">
      <c r="A1037" s="18" t="s">
        <v>5590</v>
      </c>
      <c r="B1037" s="18">
        <v>20018330639</v>
      </c>
      <c r="C1037" s="18" t="s">
        <v>5591</v>
      </c>
      <c r="D1037" s="19">
        <v>45672.510416666664</v>
      </c>
      <c r="E1037" s="18" t="s">
        <v>10</v>
      </c>
      <c r="F1037" s="18">
        <v>220</v>
      </c>
      <c r="G1037" s="18" t="s">
        <v>10</v>
      </c>
      <c r="H1037" s="18" t="s">
        <v>178</v>
      </c>
      <c r="I1037" s="18" t="s">
        <v>10</v>
      </c>
      <c r="J1037" s="18" t="s">
        <v>4017</v>
      </c>
      <c r="K1037" s="20"/>
    </row>
    <row r="1038" spans="1:11" ht="54.75" thickBot="1">
      <c r="A1038" s="18" t="s">
        <v>5592</v>
      </c>
      <c r="B1038" s="18">
        <v>20027127200</v>
      </c>
      <c r="C1038" s="18" t="s">
        <v>257</v>
      </c>
      <c r="D1038" s="19">
        <v>45672.609722222223</v>
      </c>
      <c r="E1038" s="18" t="s">
        <v>10</v>
      </c>
      <c r="F1038" s="18">
        <v>50</v>
      </c>
      <c r="G1038" s="18" t="s">
        <v>10</v>
      </c>
      <c r="H1038" s="18" t="s">
        <v>178</v>
      </c>
      <c r="I1038" s="18" t="s">
        <v>10</v>
      </c>
      <c r="J1038" s="18" t="s">
        <v>4017</v>
      </c>
      <c r="K1038" s="20"/>
    </row>
    <row r="1039" spans="1:11" ht="36.75" thickBot="1">
      <c r="A1039" s="18" t="s">
        <v>5593</v>
      </c>
      <c r="B1039" s="18">
        <v>20026409097</v>
      </c>
      <c r="C1039" s="18" t="s">
        <v>5283</v>
      </c>
      <c r="D1039" s="19">
        <v>45672.680555555555</v>
      </c>
      <c r="E1039" s="18" t="s">
        <v>10</v>
      </c>
      <c r="F1039" s="18">
        <v>50</v>
      </c>
      <c r="G1039" s="18" t="s">
        <v>10</v>
      </c>
      <c r="H1039" s="18" t="s">
        <v>178</v>
      </c>
      <c r="I1039" s="18" t="s">
        <v>10</v>
      </c>
      <c r="J1039" s="18" t="s">
        <v>4017</v>
      </c>
      <c r="K1039" s="20"/>
    </row>
    <row r="1040" spans="1:11" ht="36.75" thickBot="1">
      <c r="A1040" s="18" t="s">
        <v>5594</v>
      </c>
      <c r="B1040" s="18">
        <v>20025366052</v>
      </c>
      <c r="C1040" s="18" t="s">
        <v>5595</v>
      </c>
      <c r="D1040" s="19">
        <v>45415.693055555559</v>
      </c>
      <c r="E1040" s="19">
        <v>45672.693055555559</v>
      </c>
      <c r="F1040" s="18">
        <v>200</v>
      </c>
      <c r="G1040" s="19">
        <v>45695.548611111109</v>
      </c>
      <c r="H1040" s="18" t="s">
        <v>236</v>
      </c>
      <c r="I1040" s="18" t="s">
        <v>10</v>
      </c>
      <c r="J1040" s="18" t="s">
        <v>4017</v>
      </c>
      <c r="K1040" s="20"/>
    </row>
    <row r="1041" spans="1:11" ht="36.75" thickBot="1">
      <c r="A1041" s="18" t="s">
        <v>5596</v>
      </c>
      <c r="B1041" s="18">
        <v>20003417712</v>
      </c>
      <c r="C1041" s="18" t="s">
        <v>5597</v>
      </c>
      <c r="D1041" s="19">
        <v>45668.040972222225</v>
      </c>
      <c r="E1041" s="19">
        <v>45672.730555555558</v>
      </c>
      <c r="F1041" s="18">
        <v>150</v>
      </c>
      <c r="G1041" s="19">
        <v>45688.649305555555</v>
      </c>
      <c r="H1041" s="18" t="s">
        <v>236</v>
      </c>
      <c r="I1041" s="18" t="s">
        <v>10</v>
      </c>
      <c r="J1041" s="18" t="s">
        <v>4017</v>
      </c>
      <c r="K1041" s="20"/>
    </row>
    <row r="1042" spans="1:11" ht="54.75" thickBot="1">
      <c r="A1042" s="18" t="s">
        <v>5598</v>
      </c>
      <c r="B1042" s="18">
        <v>20003469109</v>
      </c>
      <c r="C1042" s="18" t="s">
        <v>5599</v>
      </c>
      <c r="D1042" s="19">
        <v>45672.754861111112</v>
      </c>
      <c r="E1042" s="18" t="s">
        <v>10</v>
      </c>
      <c r="F1042" s="18">
        <v>100</v>
      </c>
      <c r="G1042" s="18" t="s">
        <v>10</v>
      </c>
      <c r="H1042" s="18" t="s">
        <v>178</v>
      </c>
      <c r="I1042" s="18" t="s">
        <v>10</v>
      </c>
      <c r="J1042" s="18" t="s">
        <v>4017</v>
      </c>
      <c r="K1042" s="20"/>
    </row>
    <row r="1043" spans="1:11" ht="36.75" thickBot="1">
      <c r="A1043" s="18" t="s">
        <v>5600</v>
      </c>
      <c r="B1043" s="18">
        <v>20025484343</v>
      </c>
      <c r="C1043" s="18" t="s">
        <v>5601</v>
      </c>
      <c r="D1043" s="19">
        <v>45604.606944444444</v>
      </c>
      <c r="E1043" s="19">
        <v>45673.520138888889</v>
      </c>
      <c r="F1043" s="18">
        <v>50</v>
      </c>
      <c r="G1043" s="19">
        <v>45702.593055555553</v>
      </c>
      <c r="H1043" s="18" t="s">
        <v>236</v>
      </c>
      <c r="I1043" s="18" t="s">
        <v>10</v>
      </c>
      <c r="J1043" s="18" t="s">
        <v>4017</v>
      </c>
      <c r="K1043" s="20"/>
    </row>
    <row r="1044" spans="1:11" ht="36.75" thickBot="1">
      <c r="A1044" s="18" t="s">
        <v>5602</v>
      </c>
      <c r="B1044" s="18">
        <v>20002969751</v>
      </c>
      <c r="C1044" s="18" t="s">
        <v>5603</v>
      </c>
      <c r="D1044" s="19">
        <v>45615.693055555559</v>
      </c>
      <c r="E1044" s="19">
        <v>45673.574999999997</v>
      </c>
      <c r="F1044" s="18">
        <v>90</v>
      </c>
      <c r="G1044" s="19">
        <v>45702.629861111112</v>
      </c>
      <c r="H1044" s="18" t="s">
        <v>236</v>
      </c>
      <c r="I1044" s="18" t="s">
        <v>10</v>
      </c>
      <c r="J1044" s="18" t="s">
        <v>4017</v>
      </c>
      <c r="K1044" s="20"/>
    </row>
    <row r="1045" spans="1:11" ht="36.75" thickBot="1">
      <c r="A1045" s="18" t="s">
        <v>5604</v>
      </c>
      <c r="B1045" s="18">
        <v>20002854035</v>
      </c>
      <c r="C1045" s="18" t="s">
        <v>5603</v>
      </c>
      <c r="D1045" s="19">
        <v>45615.724305555559</v>
      </c>
      <c r="E1045" s="19">
        <v>45673.580555555556</v>
      </c>
      <c r="F1045" s="18">
        <v>80</v>
      </c>
      <c r="G1045" s="18" t="s">
        <v>10</v>
      </c>
      <c r="H1045" s="18" t="s">
        <v>178</v>
      </c>
      <c r="I1045" s="18" t="s">
        <v>10</v>
      </c>
      <c r="J1045" s="18" t="s">
        <v>4017</v>
      </c>
      <c r="K1045" s="20"/>
    </row>
    <row r="1046" spans="1:11" ht="36.75" thickBot="1">
      <c r="A1046" s="18" t="s">
        <v>5605</v>
      </c>
      <c r="B1046" s="18">
        <v>20027963365</v>
      </c>
      <c r="C1046" s="18" t="s">
        <v>5241</v>
      </c>
      <c r="D1046" s="19">
        <v>45673.652083333334</v>
      </c>
      <c r="E1046" s="18" t="s">
        <v>10</v>
      </c>
      <c r="F1046" s="18">
        <v>60</v>
      </c>
      <c r="G1046" s="18" t="s">
        <v>10</v>
      </c>
      <c r="H1046" s="18" t="s">
        <v>178</v>
      </c>
      <c r="I1046" s="18" t="s">
        <v>10</v>
      </c>
      <c r="J1046" s="18" t="s">
        <v>4017</v>
      </c>
      <c r="K1046" s="20"/>
    </row>
    <row r="1047" spans="1:11" ht="36.75" thickBot="1">
      <c r="A1047" s="18" t="s">
        <v>5606</v>
      </c>
      <c r="B1047" s="18">
        <v>20003276525</v>
      </c>
      <c r="C1047" s="18" t="s">
        <v>5607</v>
      </c>
      <c r="D1047" s="19">
        <v>45673.699305555558</v>
      </c>
      <c r="E1047" s="18" t="s">
        <v>10</v>
      </c>
      <c r="F1047" s="18">
        <v>350</v>
      </c>
      <c r="G1047" s="18" t="s">
        <v>10</v>
      </c>
      <c r="H1047" s="18" t="s">
        <v>178</v>
      </c>
      <c r="I1047" s="18" t="s">
        <v>10</v>
      </c>
      <c r="J1047" s="18" t="s">
        <v>4017</v>
      </c>
      <c r="K1047" s="20"/>
    </row>
    <row r="1048" spans="1:11" ht="36.75" thickBot="1">
      <c r="A1048" s="18" t="s">
        <v>5608</v>
      </c>
      <c r="B1048" s="18">
        <v>20003464540</v>
      </c>
      <c r="C1048" s="18" t="s">
        <v>5311</v>
      </c>
      <c r="D1048" s="19">
        <v>45673.72152777778</v>
      </c>
      <c r="E1048" s="18" t="s">
        <v>10</v>
      </c>
      <c r="F1048" s="18">
        <v>100</v>
      </c>
      <c r="G1048" s="18" t="s">
        <v>10</v>
      </c>
      <c r="H1048" s="18" t="s">
        <v>178</v>
      </c>
      <c r="I1048" s="18" t="s">
        <v>10</v>
      </c>
      <c r="J1048" s="18" t="s">
        <v>4017</v>
      </c>
      <c r="K1048" s="20"/>
    </row>
    <row r="1049" spans="1:11" ht="36.75" thickBot="1">
      <c r="A1049" s="18" t="s">
        <v>5609</v>
      </c>
      <c r="B1049" s="18">
        <v>20003276627</v>
      </c>
      <c r="C1049" s="18" t="s">
        <v>5610</v>
      </c>
      <c r="D1049" s="19">
        <v>45674.236805555556</v>
      </c>
      <c r="E1049" s="18" t="s">
        <v>10</v>
      </c>
      <c r="F1049" s="18">
        <v>250</v>
      </c>
      <c r="G1049" s="18" t="s">
        <v>10</v>
      </c>
      <c r="H1049" s="18" t="s">
        <v>178</v>
      </c>
      <c r="I1049" s="18" t="s">
        <v>10</v>
      </c>
      <c r="J1049" s="18" t="s">
        <v>4017</v>
      </c>
      <c r="K1049" s="20"/>
    </row>
    <row r="1050" spans="1:11" ht="36.75" thickBot="1">
      <c r="A1050" s="18" t="s">
        <v>5611</v>
      </c>
      <c r="B1050" s="18">
        <v>20003276681</v>
      </c>
      <c r="C1050" s="18" t="s">
        <v>5612</v>
      </c>
      <c r="D1050" s="19">
        <v>45674.25</v>
      </c>
      <c r="E1050" s="18" t="s">
        <v>10</v>
      </c>
      <c r="F1050" s="18">
        <v>350</v>
      </c>
      <c r="G1050" s="18" t="s">
        <v>10</v>
      </c>
      <c r="H1050" s="18" t="s">
        <v>178</v>
      </c>
      <c r="I1050" s="18" t="s">
        <v>10</v>
      </c>
      <c r="J1050" s="18" t="s">
        <v>4017</v>
      </c>
      <c r="K1050" s="20"/>
    </row>
    <row r="1051" spans="1:11" ht="36.75" thickBot="1">
      <c r="A1051" s="18" t="s">
        <v>5613</v>
      </c>
      <c r="B1051" s="18">
        <v>20003276525</v>
      </c>
      <c r="C1051" s="18" t="s">
        <v>5607</v>
      </c>
      <c r="D1051" s="19">
        <v>45674.259027777778</v>
      </c>
      <c r="E1051" s="18" t="s">
        <v>10</v>
      </c>
      <c r="F1051" s="18">
        <v>350</v>
      </c>
      <c r="G1051" s="18" t="s">
        <v>10</v>
      </c>
      <c r="H1051" s="18" t="s">
        <v>178</v>
      </c>
      <c r="I1051" s="18" t="s">
        <v>10</v>
      </c>
      <c r="J1051" s="18" t="s">
        <v>4017</v>
      </c>
      <c r="K1051" s="20"/>
    </row>
    <row r="1052" spans="1:11" ht="36.75" thickBot="1">
      <c r="A1052" s="18" t="s">
        <v>5614</v>
      </c>
      <c r="B1052" s="18">
        <v>20002717285</v>
      </c>
      <c r="C1052" s="18" t="s">
        <v>5265</v>
      </c>
      <c r="D1052" s="19">
        <v>45597.637499999997</v>
      </c>
      <c r="E1052" s="19">
        <v>45674.673611111109</v>
      </c>
      <c r="F1052" s="18">
        <v>100</v>
      </c>
      <c r="G1052" s="19">
        <v>45716.656944444447</v>
      </c>
      <c r="H1052" s="18" t="s">
        <v>236</v>
      </c>
      <c r="I1052" s="18" t="s">
        <v>10</v>
      </c>
      <c r="J1052" s="18" t="s">
        <v>4017</v>
      </c>
      <c r="K1052" s="20"/>
    </row>
    <row r="1053" spans="1:11" ht="36.75" thickBot="1">
      <c r="A1053" s="18" t="s">
        <v>5615</v>
      </c>
      <c r="B1053" s="18">
        <v>20020313201</v>
      </c>
      <c r="C1053" s="18" t="s">
        <v>5616</v>
      </c>
      <c r="D1053" s="19">
        <v>45544.572916666664</v>
      </c>
      <c r="E1053" s="19">
        <v>45674.724305555559</v>
      </c>
      <c r="F1053" s="18">
        <v>30</v>
      </c>
      <c r="G1053" s="18" t="s">
        <v>10</v>
      </c>
      <c r="H1053" s="18" t="s">
        <v>178</v>
      </c>
      <c r="I1053" s="18" t="s">
        <v>10</v>
      </c>
      <c r="J1053" s="18" t="s">
        <v>4017</v>
      </c>
      <c r="K1053" s="20"/>
    </row>
    <row r="1054" spans="1:11" ht="72.75" thickBot="1">
      <c r="A1054" s="18" t="s">
        <v>5617</v>
      </c>
      <c r="B1054" s="18">
        <v>20003116758</v>
      </c>
      <c r="C1054" s="18" t="s">
        <v>4070</v>
      </c>
      <c r="D1054" s="19">
        <v>45570.549305555556</v>
      </c>
      <c r="E1054" s="19">
        <v>45674.897916666669</v>
      </c>
      <c r="F1054" s="18">
        <v>150</v>
      </c>
      <c r="G1054" s="19">
        <v>45709.409722222219</v>
      </c>
      <c r="H1054" s="18" t="s">
        <v>2657</v>
      </c>
      <c r="I1054" s="18" t="s">
        <v>10</v>
      </c>
      <c r="J1054" s="18" t="s">
        <v>4017</v>
      </c>
      <c r="K1054" s="20"/>
    </row>
    <row r="1055" spans="1:11" ht="36.75" thickBot="1">
      <c r="A1055" s="18" t="s">
        <v>5618</v>
      </c>
      <c r="B1055" s="18">
        <v>20003276525</v>
      </c>
      <c r="C1055" s="18" t="s">
        <v>5607</v>
      </c>
      <c r="D1055" s="19">
        <v>45674.947222222225</v>
      </c>
      <c r="E1055" s="18" t="s">
        <v>10</v>
      </c>
      <c r="F1055" s="18">
        <v>350</v>
      </c>
      <c r="G1055" s="18" t="s">
        <v>10</v>
      </c>
      <c r="H1055" s="18" t="s">
        <v>178</v>
      </c>
      <c r="I1055" s="18" t="s">
        <v>10</v>
      </c>
      <c r="J1055" s="18" t="s">
        <v>4017</v>
      </c>
      <c r="K1055" s="20"/>
    </row>
    <row r="1056" spans="1:11" ht="36.75" thickBot="1">
      <c r="A1056" s="18" t="s">
        <v>5619</v>
      </c>
      <c r="B1056" s="18">
        <v>20003276627</v>
      </c>
      <c r="C1056" s="18" t="s">
        <v>5610</v>
      </c>
      <c r="D1056" s="19">
        <v>45674.962500000001</v>
      </c>
      <c r="E1056" s="18" t="s">
        <v>10</v>
      </c>
      <c r="F1056" s="18">
        <v>250</v>
      </c>
      <c r="G1056" s="18" t="s">
        <v>10</v>
      </c>
      <c r="H1056" s="18" t="s">
        <v>178</v>
      </c>
      <c r="I1056" s="18" t="s">
        <v>10</v>
      </c>
      <c r="J1056" s="18" t="s">
        <v>4017</v>
      </c>
      <c r="K1056" s="20"/>
    </row>
    <row r="1057" spans="1:11" ht="36.75" thickBot="1">
      <c r="A1057" s="18" t="s">
        <v>5620</v>
      </c>
      <c r="B1057" s="18">
        <v>20003276681</v>
      </c>
      <c r="C1057" s="18" t="s">
        <v>5612</v>
      </c>
      <c r="D1057" s="19">
        <v>45674.977777777778</v>
      </c>
      <c r="E1057" s="18" t="s">
        <v>10</v>
      </c>
      <c r="F1057" s="18">
        <v>350</v>
      </c>
      <c r="G1057" s="18" t="s">
        <v>10</v>
      </c>
      <c r="H1057" s="18" t="s">
        <v>178</v>
      </c>
      <c r="I1057" s="18" t="s">
        <v>10</v>
      </c>
      <c r="J1057" s="18" t="s">
        <v>4017</v>
      </c>
      <c r="K1057" s="20"/>
    </row>
    <row r="1058" spans="1:11" ht="36.75" thickBot="1">
      <c r="A1058" s="18" t="s">
        <v>5621</v>
      </c>
      <c r="B1058" s="18">
        <v>20025068299</v>
      </c>
      <c r="C1058" s="18" t="s">
        <v>5622</v>
      </c>
      <c r="D1058" s="19">
        <v>45556.450694444444</v>
      </c>
      <c r="E1058" s="19">
        <v>45675.4375</v>
      </c>
      <c r="F1058" s="18">
        <v>30</v>
      </c>
      <c r="G1058" s="18" t="s">
        <v>10</v>
      </c>
      <c r="H1058" s="18" t="s">
        <v>189</v>
      </c>
      <c r="I1058" s="18" t="s">
        <v>10</v>
      </c>
      <c r="J1058" s="18" t="s">
        <v>4017</v>
      </c>
      <c r="K1058" s="20"/>
    </row>
    <row r="1059" spans="1:11" ht="36.75" thickBot="1">
      <c r="A1059" s="18" t="s">
        <v>5623</v>
      </c>
      <c r="B1059" s="18">
        <v>20003058464</v>
      </c>
      <c r="C1059" s="18" t="s">
        <v>4685</v>
      </c>
      <c r="D1059" s="19">
        <v>45610.415277777778</v>
      </c>
      <c r="E1059" s="19">
        <v>45675.574999999997</v>
      </c>
      <c r="F1059" s="18">
        <v>200</v>
      </c>
      <c r="G1059" s="19">
        <v>45726.543055555558</v>
      </c>
      <c r="H1059" s="18" t="s">
        <v>236</v>
      </c>
      <c r="I1059" s="18" t="s">
        <v>10</v>
      </c>
      <c r="J1059" s="18" t="s">
        <v>4017</v>
      </c>
      <c r="K1059" s="20"/>
    </row>
    <row r="1060" spans="1:11" ht="72.75" thickBot="1">
      <c r="A1060" s="18" t="s">
        <v>5624</v>
      </c>
      <c r="B1060" s="18">
        <v>20021625988</v>
      </c>
      <c r="C1060" s="18" t="s">
        <v>5625</v>
      </c>
      <c r="D1060" s="19">
        <v>45620.727083333331</v>
      </c>
      <c r="E1060" s="19">
        <v>45676.427083333336</v>
      </c>
      <c r="F1060" s="18">
        <v>100</v>
      </c>
      <c r="G1060" s="19">
        <v>45695.643750000003</v>
      </c>
      <c r="H1060" s="18" t="s">
        <v>2657</v>
      </c>
      <c r="I1060" s="18" t="s">
        <v>10</v>
      </c>
      <c r="J1060" s="18" t="s">
        <v>4017</v>
      </c>
      <c r="K1060" s="20"/>
    </row>
    <row r="1061" spans="1:11" ht="72.75" thickBot="1">
      <c r="A1061" s="18" t="s">
        <v>5626</v>
      </c>
      <c r="B1061" s="18">
        <v>20017082351</v>
      </c>
      <c r="C1061" s="18" t="s">
        <v>5625</v>
      </c>
      <c r="D1061" s="19">
        <v>45619.647222222222</v>
      </c>
      <c r="E1061" s="19">
        <v>45676.465277777781</v>
      </c>
      <c r="F1061" s="18">
        <v>100</v>
      </c>
      <c r="G1061" s="19">
        <v>45695.643750000003</v>
      </c>
      <c r="H1061" s="18" t="s">
        <v>2657</v>
      </c>
      <c r="I1061" s="18" t="s">
        <v>10</v>
      </c>
      <c r="J1061" s="18" t="s">
        <v>4017</v>
      </c>
      <c r="K1061" s="20"/>
    </row>
    <row r="1062" spans="1:11" ht="72.75" thickBot="1">
      <c r="A1062" s="18" t="s">
        <v>5627</v>
      </c>
      <c r="B1062" s="18">
        <v>20003085850</v>
      </c>
      <c r="C1062" s="18" t="s">
        <v>5625</v>
      </c>
      <c r="D1062" s="19">
        <v>45617.539583333331</v>
      </c>
      <c r="E1062" s="19">
        <v>45676.5</v>
      </c>
      <c r="F1062" s="18">
        <v>100</v>
      </c>
      <c r="G1062" s="19">
        <v>45695.643750000003</v>
      </c>
      <c r="H1062" s="18" t="s">
        <v>2657</v>
      </c>
      <c r="I1062" s="18" t="s">
        <v>10</v>
      </c>
      <c r="J1062" s="18" t="s">
        <v>4017</v>
      </c>
      <c r="K1062" s="20"/>
    </row>
    <row r="1063" spans="1:11" ht="72.75" thickBot="1">
      <c r="A1063" s="18" t="s">
        <v>5628</v>
      </c>
      <c r="B1063" s="18">
        <v>20021821517</v>
      </c>
      <c r="C1063" s="18" t="s">
        <v>5625</v>
      </c>
      <c r="D1063" s="19">
        <v>45620.90347222222</v>
      </c>
      <c r="E1063" s="19">
        <v>45676.517361111109</v>
      </c>
      <c r="F1063" s="18">
        <v>100</v>
      </c>
      <c r="G1063" s="19">
        <v>45695.643750000003</v>
      </c>
      <c r="H1063" s="18" t="s">
        <v>2688</v>
      </c>
      <c r="I1063" s="18" t="s">
        <v>10</v>
      </c>
      <c r="J1063" s="18" t="s">
        <v>4017</v>
      </c>
      <c r="K1063" s="20"/>
    </row>
    <row r="1064" spans="1:11" ht="36.75" thickBot="1">
      <c r="A1064" s="18" t="s">
        <v>5629</v>
      </c>
      <c r="B1064" s="18">
        <v>20023869937</v>
      </c>
      <c r="C1064" s="18" t="s">
        <v>4264</v>
      </c>
      <c r="D1064" s="19">
        <v>45676.881249999999</v>
      </c>
      <c r="E1064" s="18" t="s">
        <v>10</v>
      </c>
      <c r="F1064" s="18">
        <v>50</v>
      </c>
      <c r="G1064" s="18" t="s">
        <v>10</v>
      </c>
      <c r="H1064" s="18" t="s">
        <v>178</v>
      </c>
      <c r="I1064" s="18" t="s">
        <v>10</v>
      </c>
      <c r="J1064" s="18" t="s">
        <v>4017</v>
      </c>
      <c r="K1064" s="20"/>
    </row>
    <row r="1065" spans="1:11" ht="36.75" thickBot="1">
      <c r="A1065" s="18" t="s">
        <v>5630</v>
      </c>
      <c r="B1065" s="18">
        <v>20023030687</v>
      </c>
      <c r="C1065" s="18" t="s">
        <v>5360</v>
      </c>
      <c r="D1065" s="19">
        <v>45677.380555555559</v>
      </c>
      <c r="E1065" s="18" t="s">
        <v>10</v>
      </c>
      <c r="F1065" s="18">
        <v>125</v>
      </c>
      <c r="G1065" s="19">
        <v>45716.586805555555</v>
      </c>
      <c r="H1065" s="18" t="s">
        <v>236</v>
      </c>
      <c r="I1065" s="18" t="s">
        <v>10</v>
      </c>
      <c r="J1065" s="18" t="s">
        <v>4017</v>
      </c>
      <c r="K1065" s="20"/>
    </row>
    <row r="1066" spans="1:11" ht="36.75" thickBot="1">
      <c r="A1066" s="18" t="s">
        <v>5631</v>
      </c>
      <c r="B1066" s="18">
        <v>20018276802</v>
      </c>
      <c r="C1066" s="18" t="s">
        <v>4396</v>
      </c>
      <c r="D1066" s="19">
        <v>45533.598611111112</v>
      </c>
      <c r="E1066" s="19">
        <v>45677.697222222225</v>
      </c>
      <c r="F1066" s="18">
        <v>50</v>
      </c>
      <c r="G1066" s="18" t="s">
        <v>10</v>
      </c>
      <c r="H1066" s="18" t="s">
        <v>189</v>
      </c>
      <c r="I1066" s="18" t="s">
        <v>10</v>
      </c>
      <c r="J1066" s="18" t="s">
        <v>4017</v>
      </c>
      <c r="K1066" s="20"/>
    </row>
    <row r="1067" spans="1:11" ht="36.75" thickBot="1">
      <c r="A1067" s="18" t="s">
        <v>5632</v>
      </c>
      <c r="B1067" s="18">
        <v>20028194349</v>
      </c>
      <c r="C1067" s="18" t="s">
        <v>5633</v>
      </c>
      <c r="D1067" s="19">
        <v>45677.711111111108</v>
      </c>
      <c r="E1067" s="18" t="s">
        <v>10</v>
      </c>
      <c r="F1067" s="18">
        <v>600</v>
      </c>
      <c r="G1067" s="18" t="s">
        <v>10</v>
      </c>
      <c r="H1067" s="18" t="s">
        <v>178</v>
      </c>
      <c r="I1067" s="18" t="s">
        <v>10</v>
      </c>
      <c r="J1067" s="18" t="s">
        <v>4017</v>
      </c>
      <c r="K1067" s="20"/>
    </row>
    <row r="1068" spans="1:11" ht="36.75" thickBot="1">
      <c r="A1068" s="18" t="s">
        <v>5634</v>
      </c>
      <c r="B1068" s="18">
        <v>20027866853</v>
      </c>
      <c r="C1068" s="18" t="s">
        <v>5635</v>
      </c>
      <c r="D1068" s="19">
        <v>45677.718055555553</v>
      </c>
      <c r="E1068" s="18" t="s">
        <v>10</v>
      </c>
      <c r="F1068" s="18">
        <v>250</v>
      </c>
      <c r="G1068" s="18" t="s">
        <v>10</v>
      </c>
      <c r="H1068" s="18" t="s">
        <v>178</v>
      </c>
      <c r="I1068" s="18" t="s">
        <v>10</v>
      </c>
      <c r="J1068" s="18" t="s">
        <v>4017</v>
      </c>
      <c r="K1068" s="20"/>
    </row>
    <row r="1069" spans="1:11" ht="36.75" thickBot="1">
      <c r="A1069" s="18" t="s">
        <v>5636</v>
      </c>
      <c r="B1069" s="18">
        <v>20027045958</v>
      </c>
      <c r="C1069" s="18" t="s">
        <v>1836</v>
      </c>
      <c r="D1069" s="19">
        <v>45677.760416666664</v>
      </c>
      <c r="E1069" s="18" t="s">
        <v>10</v>
      </c>
      <c r="F1069" s="18">
        <v>30</v>
      </c>
      <c r="G1069" s="18" t="s">
        <v>10</v>
      </c>
      <c r="H1069" s="18" t="s">
        <v>178</v>
      </c>
      <c r="I1069" s="18" t="s">
        <v>10</v>
      </c>
      <c r="J1069" s="18" t="s">
        <v>4017</v>
      </c>
      <c r="K1069" s="20"/>
    </row>
    <row r="1070" spans="1:11" ht="36.75" thickBot="1">
      <c r="A1070" s="18" t="s">
        <v>5637</v>
      </c>
      <c r="B1070" s="18">
        <v>20003518340</v>
      </c>
      <c r="C1070" s="18" t="s">
        <v>5638</v>
      </c>
      <c r="D1070" s="19">
        <v>45677.761111111111</v>
      </c>
      <c r="E1070" s="18" t="s">
        <v>10</v>
      </c>
      <c r="F1070" s="18">
        <v>40</v>
      </c>
      <c r="G1070" s="18" t="s">
        <v>10</v>
      </c>
      <c r="H1070" s="18" t="s">
        <v>178</v>
      </c>
      <c r="I1070" s="18" t="s">
        <v>10</v>
      </c>
      <c r="J1070" s="18" t="s">
        <v>4017</v>
      </c>
      <c r="K1070" s="20"/>
    </row>
    <row r="1071" spans="1:11" ht="36.75" thickBot="1">
      <c r="A1071" s="18" t="s">
        <v>5639</v>
      </c>
      <c r="B1071" s="18">
        <v>20003425819</v>
      </c>
      <c r="C1071" s="18" t="s">
        <v>5640</v>
      </c>
      <c r="D1071" s="19">
        <v>45677.930555555555</v>
      </c>
      <c r="E1071" s="18" t="s">
        <v>10</v>
      </c>
      <c r="F1071" s="18">
        <v>375</v>
      </c>
      <c r="G1071" s="18" t="s">
        <v>10</v>
      </c>
      <c r="H1071" s="18" t="s">
        <v>178</v>
      </c>
      <c r="I1071" s="18" t="s">
        <v>10</v>
      </c>
      <c r="J1071" s="18" t="s">
        <v>4017</v>
      </c>
      <c r="K1071" s="20"/>
    </row>
    <row r="1072" spans="1:11" ht="54.75" thickBot="1">
      <c r="A1072" s="18" t="s">
        <v>5641</v>
      </c>
      <c r="B1072" s="18">
        <v>20002834790</v>
      </c>
      <c r="C1072" s="18" t="s">
        <v>5223</v>
      </c>
      <c r="D1072" s="19">
        <v>45677.943055555559</v>
      </c>
      <c r="E1072" s="18" t="s">
        <v>10</v>
      </c>
      <c r="F1072" s="18">
        <v>50</v>
      </c>
      <c r="G1072" s="18" t="s">
        <v>10</v>
      </c>
      <c r="H1072" s="18" t="s">
        <v>178</v>
      </c>
      <c r="I1072" s="18" t="s">
        <v>10</v>
      </c>
      <c r="J1072" s="18" t="s">
        <v>4017</v>
      </c>
      <c r="K1072" s="20"/>
    </row>
    <row r="1073" spans="1:11" ht="36.75" thickBot="1">
      <c r="A1073" s="18" t="s">
        <v>5642</v>
      </c>
      <c r="B1073" s="18">
        <v>20003009403</v>
      </c>
      <c r="C1073" s="18" t="s">
        <v>5340</v>
      </c>
      <c r="D1073" s="19">
        <v>45678.398611111108</v>
      </c>
      <c r="E1073" s="18" t="s">
        <v>10</v>
      </c>
      <c r="F1073" s="18">
        <v>30</v>
      </c>
      <c r="G1073" s="18" t="s">
        <v>10</v>
      </c>
      <c r="H1073" s="18" t="s">
        <v>178</v>
      </c>
      <c r="I1073" s="18" t="s">
        <v>10</v>
      </c>
      <c r="J1073" s="18" t="s">
        <v>4017</v>
      </c>
      <c r="K1073" s="20"/>
    </row>
    <row r="1074" spans="1:11" ht="36.75" thickBot="1">
      <c r="A1074" s="18" t="s">
        <v>5643</v>
      </c>
      <c r="B1074" s="18">
        <v>20022269044</v>
      </c>
      <c r="C1074" s="18" t="s">
        <v>4019</v>
      </c>
      <c r="D1074" s="19">
        <v>45566.701388888891</v>
      </c>
      <c r="E1074" s="19">
        <v>45678.486805555556</v>
      </c>
      <c r="F1074" s="18">
        <v>30</v>
      </c>
      <c r="G1074" s="19">
        <v>45708.496527777781</v>
      </c>
      <c r="H1074" s="18" t="s">
        <v>2654</v>
      </c>
      <c r="I1074" s="18" t="s">
        <v>10</v>
      </c>
      <c r="J1074" s="18" t="s">
        <v>4017</v>
      </c>
      <c r="K1074" s="20"/>
    </row>
    <row r="1075" spans="1:11" ht="36.75" thickBot="1">
      <c r="A1075" s="18" t="s">
        <v>5644</v>
      </c>
      <c r="B1075" s="18">
        <v>20027144060</v>
      </c>
      <c r="C1075" s="18" t="s">
        <v>1836</v>
      </c>
      <c r="D1075" s="19">
        <v>45678.495138888888</v>
      </c>
      <c r="E1075" s="18" t="s">
        <v>10</v>
      </c>
      <c r="F1075" s="18">
        <v>30</v>
      </c>
      <c r="G1075" s="18" t="s">
        <v>10</v>
      </c>
      <c r="H1075" s="18" t="s">
        <v>178</v>
      </c>
      <c r="I1075" s="18" t="s">
        <v>10</v>
      </c>
      <c r="J1075" s="18" t="s">
        <v>4017</v>
      </c>
      <c r="K1075" s="20"/>
    </row>
    <row r="1076" spans="1:11" ht="36.75" thickBot="1">
      <c r="A1076" s="18" t="s">
        <v>5645</v>
      </c>
      <c r="B1076" s="18">
        <v>20027235039</v>
      </c>
      <c r="C1076" s="18" t="s">
        <v>5646</v>
      </c>
      <c r="D1076" s="19">
        <v>45678.595833333333</v>
      </c>
      <c r="E1076" s="18" t="s">
        <v>10</v>
      </c>
      <c r="F1076" s="18">
        <v>30</v>
      </c>
      <c r="G1076" s="18" t="s">
        <v>10</v>
      </c>
      <c r="H1076" s="18" t="s">
        <v>178</v>
      </c>
      <c r="I1076" s="18" t="s">
        <v>10</v>
      </c>
      <c r="J1076" s="18" t="s">
        <v>4017</v>
      </c>
      <c r="K1076" s="20"/>
    </row>
    <row r="1077" spans="1:11" ht="36.75" thickBot="1">
      <c r="A1077" s="18" t="s">
        <v>5647</v>
      </c>
      <c r="B1077" s="18">
        <v>20003500555</v>
      </c>
      <c r="C1077" s="18" t="s">
        <v>5210</v>
      </c>
      <c r="D1077" s="19">
        <v>45678.679861111108</v>
      </c>
      <c r="E1077" s="18" t="s">
        <v>10</v>
      </c>
      <c r="F1077" s="18">
        <v>500</v>
      </c>
      <c r="G1077" s="18" t="s">
        <v>10</v>
      </c>
      <c r="H1077" s="18" t="s">
        <v>178</v>
      </c>
      <c r="I1077" s="18" t="s">
        <v>10</v>
      </c>
      <c r="J1077" s="18" t="s">
        <v>4017</v>
      </c>
      <c r="K1077" s="20"/>
    </row>
    <row r="1078" spans="1:11" ht="36.75" thickBot="1">
      <c r="A1078" s="18" t="s">
        <v>5648</v>
      </c>
      <c r="B1078" s="18">
        <v>20003442270</v>
      </c>
      <c r="C1078" s="18" t="s">
        <v>4630</v>
      </c>
      <c r="D1078" s="19">
        <v>45678.697222222225</v>
      </c>
      <c r="E1078" s="18" t="s">
        <v>10</v>
      </c>
      <c r="F1078" s="18">
        <v>100</v>
      </c>
      <c r="G1078" s="18" t="s">
        <v>10</v>
      </c>
      <c r="H1078" s="18" t="s">
        <v>178</v>
      </c>
      <c r="I1078" s="18" t="s">
        <v>10</v>
      </c>
      <c r="J1078" s="18" t="s">
        <v>4017</v>
      </c>
      <c r="K1078" s="20"/>
    </row>
    <row r="1079" spans="1:11" ht="36.75" thickBot="1">
      <c r="A1079" s="18" t="s">
        <v>5649</v>
      </c>
      <c r="B1079" s="18">
        <v>20019647602</v>
      </c>
      <c r="C1079" s="18" t="s">
        <v>5650</v>
      </c>
      <c r="D1079" s="19">
        <v>45678.875694444447</v>
      </c>
      <c r="E1079" s="18" t="s">
        <v>10</v>
      </c>
      <c r="F1079" s="18">
        <v>190</v>
      </c>
      <c r="G1079" s="18" t="s">
        <v>10</v>
      </c>
      <c r="H1079" s="18" t="s">
        <v>178</v>
      </c>
      <c r="I1079" s="18" t="s">
        <v>10</v>
      </c>
      <c r="J1079" s="18" t="s">
        <v>4017</v>
      </c>
      <c r="K1079" s="20"/>
    </row>
    <row r="1080" spans="1:11" ht="36.75" thickBot="1">
      <c r="A1080" s="18" t="s">
        <v>5651</v>
      </c>
      <c r="B1080" s="18">
        <v>20003489371</v>
      </c>
      <c r="C1080" s="18" t="s">
        <v>5120</v>
      </c>
      <c r="D1080" s="19">
        <v>45678.9375</v>
      </c>
      <c r="E1080" s="18" t="s">
        <v>10</v>
      </c>
      <c r="F1080" s="18">
        <v>375</v>
      </c>
      <c r="G1080" s="18" t="s">
        <v>10</v>
      </c>
      <c r="H1080" s="18" t="s">
        <v>178</v>
      </c>
      <c r="I1080" s="18" t="s">
        <v>10</v>
      </c>
      <c r="J1080" s="18" t="s">
        <v>4017</v>
      </c>
      <c r="K1080" s="20"/>
    </row>
    <row r="1081" spans="1:11" ht="36.75" thickBot="1">
      <c r="A1081" s="18" t="s">
        <v>5652</v>
      </c>
      <c r="B1081" s="18">
        <v>20025223213</v>
      </c>
      <c r="C1081" s="18" t="s">
        <v>5653</v>
      </c>
      <c r="D1081" s="19">
        <v>45679.418749999997</v>
      </c>
      <c r="E1081" s="18" t="s">
        <v>10</v>
      </c>
      <c r="F1081" s="18">
        <v>45</v>
      </c>
      <c r="G1081" s="18" t="s">
        <v>10</v>
      </c>
      <c r="H1081" s="18" t="s">
        <v>178</v>
      </c>
      <c r="I1081" s="18" t="s">
        <v>10</v>
      </c>
      <c r="J1081" s="18" t="s">
        <v>4017</v>
      </c>
      <c r="K1081" s="20"/>
    </row>
    <row r="1082" spans="1:11" ht="36.75" thickBot="1">
      <c r="A1082" s="18" t="s">
        <v>5654</v>
      </c>
      <c r="B1082" s="18">
        <v>20003136876</v>
      </c>
      <c r="C1082" s="18" t="s">
        <v>5655</v>
      </c>
      <c r="D1082" s="19">
        <v>45679.474305555559</v>
      </c>
      <c r="E1082" s="18" t="s">
        <v>10</v>
      </c>
      <c r="F1082" s="18">
        <v>60</v>
      </c>
      <c r="G1082" s="18" t="s">
        <v>10</v>
      </c>
      <c r="H1082" s="18" t="s">
        <v>178</v>
      </c>
      <c r="I1082" s="18" t="s">
        <v>10</v>
      </c>
      <c r="J1082" s="18" t="s">
        <v>4017</v>
      </c>
      <c r="K1082" s="20"/>
    </row>
    <row r="1083" spans="1:11" ht="36.75" thickBot="1">
      <c r="A1083" s="18" t="s">
        <v>5656</v>
      </c>
      <c r="B1083" s="18">
        <v>20003042988</v>
      </c>
      <c r="C1083" s="18" t="s">
        <v>5657</v>
      </c>
      <c r="D1083" s="19">
        <v>45679.603472222225</v>
      </c>
      <c r="E1083" s="18" t="s">
        <v>10</v>
      </c>
      <c r="F1083" s="18">
        <v>350</v>
      </c>
      <c r="G1083" s="18" t="s">
        <v>10</v>
      </c>
      <c r="H1083" s="18" t="s">
        <v>178</v>
      </c>
      <c r="I1083" s="18" t="s">
        <v>10</v>
      </c>
      <c r="J1083" s="18" t="s">
        <v>4017</v>
      </c>
      <c r="K1083" s="20"/>
    </row>
    <row r="1084" spans="1:11" ht="36.75" thickBot="1">
      <c r="A1084" s="18" t="s">
        <v>5658</v>
      </c>
      <c r="B1084" s="18">
        <v>20003284170</v>
      </c>
      <c r="C1084" s="18" t="s">
        <v>218</v>
      </c>
      <c r="D1084" s="19">
        <v>45679.663888888892</v>
      </c>
      <c r="E1084" s="18" t="s">
        <v>10</v>
      </c>
      <c r="F1084" s="18">
        <v>500</v>
      </c>
      <c r="G1084" s="18" t="s">
        <v>10</v>
      </c>
      <c r="H1084" s="18" t="s">
        <v>178</v>
      </c>
      <c r="I1084" s="18" t="s">
        <v>10</v>
      </c>
      <c r="J1084" s="18" t="s">
        <v>4017</v>
      </c>
      <c r="K1084" s="20"/>
    </row>
    <row r="1085" spans="1:11" ht="36.75" thickBot="1">
      <c r="A1085" s="18" t="s">
        <v>5659</v>
      </c>
      <c r="B1085" s="18">
        <v>20017179510</v>
      </c>
      <c r="C1085" s="18" t="s">
        <v>5410</v>
      </c>
      <c r="D1085" s="19">
        <v>45679.700694444444</v>
      </c>
      <c r="E1085" s="18" t="s">
        <v>10</v>
      </c>
      <c r="F1085" s="18">
        <v>150</v>
      </c>
      <c r="G1085" s="18" t="s">
        <v>10</v>
      </c>
      <c r="H1085" s="18" t="s">
        <v>178</v>
      </c>
      <c r="I1085" s="18" t="s">
        <v>10</v>
      </c>
      <c r="J1085" s="18" t="s">
        <v>4017</v>
      </c>
      <c r="K1085" s="20"/>
    </row>
    <row r="1086" spans="1:11" ht="54.75" thickBot="1">
      <c r="A1086" s="18" t="s">
        <v>5660</v>
      </c>
      <c r="B1086" s="18">
        <v>20027410308</v>
      </c>
      <c r="C1086" s="18" t="s">
        <v>5661</v>
      </c>
      <c r="D1086" s="19">
        <v>45679.706250000003</v>
      </c>
      <c r="E1086" s="18" t="s">
        <v>10</v>
      </c>
      <c r="F1086" s="18">
        <v>30</v>
      </c>
      <c r="G1086" s="18" t="s">
        <v>10</v>
      </c>
      <c r="H1086" s="18" t="s">
        <v>178</v>
      </c>
      <c r="I1086" s="18" t="s">
        <v>10</v>
      </c>
      <c r="J1086" s="18" t="s">
        <v>4017</v>
      </c>
      <c r="K1086" s="20"/>
    </row>
    <row r="1087" spans="1:11" ht="36.75" thickBot="1">
      <c r="A1087" s="18" t="s">
        <v>5662</v>
      </c>
      <c r="B1087" s="18">
        <v>20016806790</v>
      </c>
      <c r="C1087" s="18" t="s">
        <v>4200</v>
      </c>
      <c r="D1087" s="19">
        <v>45679.706250000003</v>
      </c>
      <c r="E1087" s="18" t="s">
        <v>10</v>
      </c>
      <c r="F1087" s="18">
        <v>375</v>
      </c>
      <c r="G1087" s="18" t="s">
        <v>10</v>
      </c>
      <c r="H1087" s="18" t="s">
        <v>178</v>
      </c>
      <c r="I1087" s="18" t="s">
        <v>10</v>
      </c>
      <c r="J1087" s="18" t="s">
        <v>4017</v>
      </c>
      <c r="K1087" s="20"/>
    </row>
    <row r="1088" spans="1:11" ht="36.75" thickBot="1">
      <c r="A1088" s="18" t="s">
        <v>5663</v>
      </c>
      <c r="B1088" s="18">
        <v>20027155775</v>
      </c>
      <c r="C1088" s="18" t="s">
        <v>5048</v>
      </c>
      <c r="D1088" s="19">
        <v>45628.368750000001</v>
      </c>
      <c r="E1088" s="19">
        <v>45680.445833333331</v>
      </c>
      <c r="F1088" s="18">
        <v>30</v>
      </c>
      <c r="G1088" s="18" t="s">
        <v>10</v>
      </c>
      <c r="H1088" s="18" t="s">
        <v>178</v>
      </c>
      <c r="I1088" s="18" t="s">
        <v>10</v>
      </c>
      <c r="J1088" s="18" t="s">
        <v>4017</v>
      </c>
      <c r="K1088" s="20"/>
    </row>
    <row r="1089" spans="1:11" ht="36.75" thickBot="1">
      <c r="A1089" s="18" t="s">
        <v>5664</v>
      </c>
      <c r="B1089" s="18">
        <v>20003033848</v>
      </c>
      <c r="C1089" s="18" t="s">
        <v>4125</v>
      </c>
      <c r="D1089" s="19">
        <v>45624.470833333333</v>
      </c>
      <c r="E1089" s="19">
        <v>45680.571527777778</v>
      </c>
      <c r="F1089" s="18">
        <v>200</v>
      </c>
      <c r="G1089" s="19">
        <v>45709.418055555558</v>
      </c>
      <c r="H1089" s="18" t="s">
        <v>236</v>
      </c>
      <c r="I1089" s="18" t="s">
        <v>10</v>
      </c>
      <c r="J1089" s="18" t="s">
        <v>4017</v>
      </c>
      <c r="K1089" s="20"/>
    </row>
    <row r="1090" spans="1:11" ht="36.75" thickBot="1">
      <c r="A1090" s="18" t="s">
        <v>5665</v>
      </c>
      <c r="B1090" s="18">
        <v>20022437329</v>
      </c>
      <c r="C1090" s="18" t="s">
        <v>4544</v>
      </c>
      <c r="D1090" s="19">
        <v>45680.611805555556</v>
      </c>
      <c r="E1090" s="18" t="s">
        <v>10</v>
      </c>
      <c r="F1090" s="18">
        <v>300</v>
      </c>
      <c r="G1090" s="18" t="s">
        <v>10</v>
      </c>
      <c r="H1090" s="18" t="s">
        <v>178</v>
      </c>
      <c r="I1090" s="18" t="s">
        <v>10</v>
      </c>
      <c r="J1090" s="18" t="s">
        <v>4017</v>
      </c>
      <c r="K1090" s="20"/>
    </row>
    <row r="1091" spans="1:11" ht="36.75" thickBot="1">
      <c r="A1091" s="18" t="s">
        <v>5666</v>
      </c>
      <c r="B1091" s="18">
        <v>20017843273</v>
      </c>
      <c r="C1091" s="18" t="s">
        <v>5667</v>
      </c>
      <c r="D1091" s="19">
        <v>45680.625694444447</v>
      </c>
      <c r="E1091" s="18" t="s">
        <v>10</v>
      </c>
      <c r="F1091" s="18">
        <v>425</v>
      </c>
      <c r="G1091" s="18" t="s">
        <v>10</v>
      </c>
      <c r="H1091" s="18" t="s">
        <v>178</v>
      </c>
      <c r="I1091" s="18" t="s">
        <v>10</v>
      </c>
      <c r="J1091" s="18" t="s">
        <v>4017</v>
      </c>
      <c r="K1091" s="20"/>
    </row>
    <row r="1092" spans="1:11" ht="36.75" thickBot="1">
      <c r="A1092" s="18" t="s">
        <v>5668</v>
      </c>
      <c r="B1092" s="18">
        <v>20019972948</v>
      </c>
      <c r="C1092" s="18" t="s">
        <v>5669</v>
      </c>
      <c r="D1092" s="19">
        <v>45680.652083333334</v>
      </c>
      <c r="E1092" s="18" t="s">
        <v>10</v>
      </c>
      <c r="F1092" s="18">
        <v>42</v>
      </c>
      <c r="G1092" s="18" t="s">
        <v>10</v>
      </c>
      <c r="H1092" s="18" t="s">
        <v>178</v>
      </c>
      <c r="I1092" s="18" t="s">
        <v>10</v>
      </c>
      <c r="J1092" s="18" t="s">
        <v>4017</v>
      </c>
      <c r="K1092" s="20"/>
    </row>
    <row r="1093" spans="1:11" ht="36.75" thickBot="1">
      <c r="A1093" s="18" t="s">
        <v>5670</v>
      </c>
      <c r="B1093" s="18">
        <v>20003334418</v>
      </c>
      <c r="C1093" s="18" t="s">
        <v>5343</v>
      </c>
      <c r="D1093" s="19">
        <v>45660.36041666667</v>
      </c>
      <c r="E1093" s="19">
        <v>45681.554861111108</v>
      </c>
      <c r="F1093" s="18">
        <v>30</v>
      </c>
      <c r="G1093" s="19">
        <v>45693.616666666669</v>
      </c>
      <c r="H1093" s="18" t="s">
        <v>236</v>
      </c>
      <c r="I1093" s="18" t="s">
        <v>10</v>
      </c>
      <c r="J1093" s="18" t="s">
        <v>4017</v>
      </c>
      <c r="K1093" s="20"/>
    </row>
    <row r="1094" spans="1:11" ht="36.75" thickBot="1">
      <c r="A1094" s="18" t="s">
        <v>5671</v>
      </c>
      <c r="B1094" s="18">
        <v>20003529679</v>
      </c>
      <c r="C1094" s="18" t="s">
        <v>5672</v>
      </c>
      <c r="D1094" s="19">
        <v>45562.473611111112</v>
      </c>
      <c r="E1094" s="19">
        <v>45684.370138888888</v>
      </c>
      <c r="F1094" s="18">
        <v>50</v>
      </c>
      <c r="G1094" s="18" t="s">
        <v>10</v>
      </c>
      <c r="H1094" s="18" t="s">
        <v>178</v>
      </c>
      <c r="I1094" s="18" t="s">
        <v>10</v>
      </c>
      <c r="J1094" s="18" t="s">
        <v>4017</v>
      </c>
      <c r="K1094" s="20"/>
    </row>
    <row r="1095" spans="1:11" ht="36.75" thickBot="1">
      <c r="A1095" s="18" t="s">
        <v>5673</v>
      </c>
      <c r="B1095" s="18">
        <v>20003291655</v>
      </c>
      <c r="C1095" s="18" t="s">
        <v>4897</v>
      </c>
      <c r="D1095" s="19">
        <v>45684.45416666667</v>
      </c>
      <c r="E1095" s="18" t="s">
        <v>10</v>
      </c>
      <c r="F1095" s="18">
        <v>90</v>
      </c>
      <c r="G1095" s="18" t="s">
        <v>10</v>
      </c>
      <c r="H1095" s="18" t="s">
        <v>178</v>
      </c>
      <c r="I1095" s="18" t="s">
        <v>10</v>
      </c>
      <c r="J1095" s="18" t="s">
        <v>4017</v>
      </c>
      <c r="K1095" s="20"/>
    </row>
    <row r="1096" spans="1:11" ht="36.75" thickBot="1">
      <c r="A1096" s="18" t="s">
        <v>5674</v>
      </c>
      <c r="B1096" s="18">
        <v>20003481144</v>
      </c>
      <c r="C1096" s="18" t="s">
        <v>4188</v>
      </c>
      <c r="D1096" s="19">
        <v>45684.500694444447</v>
      </c>
      <c r="E1096" s="18" t="s">
        <v>10</v>
      </c>
      <c r="F1096" s="18">
        <v>180</v>
      </c>
      <c r="G1096" s="18" t="s">
        <v>10</v>
      </c>
      <c r="H1096" s="18" t="s">
        <v>178</v>
      </c>
      <c r="I1096" s="18" t="s">
        <v>10</v>
      </c>
      <c r="J1096" s="18" t="s">
        <v>4017</v>
      </c>
      <c r="K1096" s="20"/>
    </row>
    <row r="1097" spans="1:11" ht="36.75" thickBot="1">
      <c r="A1097" s="18" t="s">
        <v>5675</v>
      </c>
      <c r="B1097" s="18">
        <v>20003481144</v>
      </c>
      <c r="C1097" s="18" t="s">
        <v>4188</v>
      </c>
      <c r="D1097" s="19">
        <v>45684.588194444441</v>
      </c>
      <c r="E1097" s="18" t="s">
        <v>10</v>
      </c>
      <c r="F1097" s="18">
        <v>180</v>
      </c>
      <c r="G1097" s="19">
        <v>45709.458333333336</v>
      </c>
      <c r="H1097" s="18" t="s">
        <v>236</v>
      </c>
      <c r="I1097" s="18" t="s">
        <v>10</v>
      </c>
      <c r="J1097" s="18" t="s">
        <v>4017</v>
      </c>
      <c r="K1097" s="20"/>
    </row>
    <row r="1098" spans="1:11" ht="36.75" thickBot="1">
      <c r="A1098" s="18" t="s">
        <v>5676</v>
      </c>
      <c r="B1098" s="18">
        <v>20003264433</v>
      </c>
      <c r="C1098" s="18" t="s">
        <v>5677</v>
      </c>
      <c r="D1098" s="19">
        <v>45618.395833333336</v>
      </c>
      <c r="E1098" s="19">
        <v>45684.631249999999</v>
      </c>
      <c r="F1098" s="18">
        <v>300</v>
      </c>
      <c r="G1098" s="19">
        <v>45721.400694444441</v>
      </c>
      <c r="H1098" s="18" t="s">
        <v>2654</v>
      </c>
      <c r="I1098" s="18" t="s">
        <v>10</v>
      </c>
      <c r="J1098" s="18" t="s">
        <v>4017</v>
      </c>
      <c r="K1098" s="20"/>
    </row>
    <row r="1099" spans="1:11" ht="72.75" thickBot="1">
      <c r="A1099" s="18" t="s">
        <v>5678</v>
      </c>
      <c r="B1099" s="18">
        <v>20003034076</v>
      </c>
      <c r="C1099" s="18" t="s">
        <v>5679</v>
      </c>
      <c r="D1099" s="19">
        <v>45574.681944444441</v>
      </c>
      <c r="E1099" s="19">
        <v>45684.652083333334</v>
      </c>
      <c r="F1099" s="18">
        <v>50</v>
      </c>
      <c r="G1099" s="19">
        <v>45722.470833333333</v>
      </c>
      <c r="H1099" s="18" t="s">
        <v>2688</v>
      </c>
      <c r="I1099" s="18" t="s">
        <v>10</v>
      </c>
      <c r="J1099" s="18" t="s">
        <v>4017</v>
      </c>
      <c r="K1099" s="20"/>
    </row>
    <row r="1100" spans="1:11" ht="54.75" thickBot="1">
      <c r="A1100" s="18" t="s">
        <v>5680</v>
      </c>
      <c r="B1100" s="18">
        <v>20028194282</v>
      </c>
      <c r="C1100" s="18" t="s">
        <v>5681</v>
      </c>
      <c r="D1100" s="19">
        <v>45685.456944444442</v>
      </c>
      <c r="E1100" s="18" t="s">
        <v>10</v>
      </c>
      <c r="F1100" s="18">
        <v>15</v>
      </c>
      <c r="G1100" s="18" t="s">
        <v>10</v>
      </c>
      <c r="H1100" s="18" t="s">
        <v>178</v>
      </c>
      <c r="I1100" s="18" t="s">
        <v>10</v>
      </c>
      <c r="J1100" s="18" t="s">
        <v>4017</v>
      </c>
      <c r="K1100" s="20"/>
    </row>
    <row r="1101" spans="1:11" ht="36.75" thickBot="1">
      <c r="A1101" s="18" t="s">
        <v>5682</v>
      </c>
      <c r="B1101" s="18">
        <v>20003284093</v>
      </c>
      <c r="C1101" s="18" t="s">
        <v>5683</v>
      </c>
      <c r="D1101" s="19">
        <v>45685.584027777775</v>
      </c>
      <c r="E1101" s="18" t="s">
        <v>10</v>
      </c>
      <c r="F1101" s="18">
        <v>800</v>
      </c>
      <c r="G1101" s="18" t="s">
        <v>10</v>
      </c>
      <c r="H1101" s="18" t="s">
        <v>178</v>
      </c>
      <c r="I1101" s="18" t="s">
        <v>10</v>
      </c>
      <c r="J1101" s="18" t="s">
        <v>4017</v>
      </c>
      <c r="K1101" s="1"/>
    </row>
    <row r="1102" spans="1:11" ht="36.75" thickBot="1">
      <c r="A1102" s="18" t="s">
        <v>5684</v>
      </c>
      <c r="B1102" s="18">
        <v>20002825560</v>
      </c>
      <c r="C1102" s="18" t="s">
        <v>5685</v>
      </c>
      <c r="D1102" s="19">
        <v>45685.729166666664</v>
      </c>
      <c r="E1102" s="18" t="s">
        <v>10</v>
      </c>
      <c r="F1102" s="18">
        <v>900</v>
      </c>
      <c r="G1102" s="18" t="s">
        <v>10</v>
      </c>
      <c r="H1102" s="18" t="s">
        <v>178</v>
      </c>
      <c r="I1102" s="18" t="s">
        <v>10</v>
      </c>
      <c r="J1102" s="18" t="s">
        <v>4017</v>
      </c>
      <c r="K1102" s="20"/>
    </row>
    <row r="1103" spans="1:11" ht="36.75" thickBot="1">
      <c r="A1103" s="18" t="s">
        <v>5686</v>
      </c>
      <c r="B1103" s="18">
        <v>20028039533</v>
      </c>
      <c r="C1103" s="18" t="s">
        <v>5156</v>
      </c>
      <c r="D1103" s="19">
        <v>45644.620138888888</v>
      </c>
      <c r="E1103" s="19">
        <v>45685.775694444441</v>
      </c>
      <c r="F1103" s="18">
        <v>50</v>
      </c>
      <c r="G1103" s="19">
        <v>45701.490972222222</v>
      </c>
      <c r="H1103" s="18" t="s">
        <v>236</v>
      </c>
      <c r="I1103" s="18" t="s">
        <v>10</v>
      </c>
      <c r="J1103" s="18" t="s">
        <v>4017</v>
      </c>
      <c r="K1103" s="20"/>
    </row>
    <row r="1104" spans="1:11" ht="36.75" thickBot="1">
      <c r="A1104" s="18" t="s">
        <v>5687</v>
      </c>
      <c r="B1104" s="18">
        <v>20002939222</v>
      </c>
      <c r="C1104" s="18" t="s">
        <v>5688</v>
      </c>
      <c r="D1104" s="19">
        <v>45686.448611111111</v>
      </c>
      <c r="E1104" s="18" t="s">
        <v>10</v>
      </c>
      <c r="F1104" s="18">
        <v>200</v>
      </c>
      <c r="G1104" s="18" t="s">
        <v>10</v>
      </c>
      <c r="H1104" s="18" t="s">
        <v>178</v>
      </c>
      <c r="I1104" s="18" t="s">
        <v>10</v>
      </c>
      <c r="J1104" s="18" t="s">
        <v>4017</v>
      </c>
      <c r="K1104" s="20"/>
    </row>
    <row r="1105" spans="1:11" ht="36.75" thickBot="1">
      <c r="A1105" s="21" t="s">
        <v>5689</v>
      </c>
      <c r="B1105" s="21">
        <v>20023010675</v>
      </c>
      <c r="C1105" s="21" t="s">
        <v>5453</v>
      </c>
      <c r="D1105" s="22">
        <v>45638.618055555555</v>
      </c>
      <c r="E1105" s="22">
        <v>45686.59375</v>
      </c>
      <c r="F1105" s="21">
        <v>200</v>
      </c>
      <c r="G1105" s="22">
        <v>45709.418749999997</v>
      </c>
      <c r="H1105" s="21" t="s">
        <v>236</v>
      </c>
      <c r="I1105" s="21" t="s">
        <v>10</v>
      </c>
      <c r="J1105" s="21" t="s">
        <v>4017</v>
      </c>
      <c r="K1105" s="20"/>
    </row>
    <row r="1106" spans="1:11" ht="36.75" thickBot="1">
      <c r="A1106" s="18" t="s">
        <v>5690</v>
      </c>
      <c r="B1106" s="18">
        <v>20003197029</v>
      </c>
      <c r="C1106" s="18" t="s">
        <v>5524</v>
      </c>
      <c r="D1106" s="19">
        <v>45686.626388888886</v>
      </c>
      <c r="E1106" s="18" t="s">
        <v>10</v>
      </c>
      <c r="F1106" s="18">
        <v>120</v>
      </c>
      <c r="G1106" s="18" t="s">
        <v>10</v>
      </c>
      <c r="H1106" s="18" t="s">
        <v>178</v>
      </c>
      <c r="I1106" s="18" t="s">
        <v>10</v>
      </c>
      <c r="J1106" s="18" t="s">
        <v>4017</v>
      </c>
      <c r="K1106" s="20"/>
    </row>
    <row r="1107" spans="1:11" ht="36.75" thickBot="1">
      <c r="A1107" s="18" t="s">
        <v>5691</v>
      </c>
      <c r="B1107" s="18">
        <v>20003432629</v>
      </c>
      <c r="C1107" s="18" t="s">
        <v>5164</v>
      </c>
      <c r="D1107" s="19">
        <v>45686.671527777777</v>
      </c>
      <c r="E1107" s="18" t="s">
        <v>10</v>
      </c>
      <c r="F1107" s="18">
        <v>40</v>
      </c>
      <c r="G1107" s="19">
        <v>45716.586805555555</v>
      </c>
      <c r="H1107" s="18" t="s">
        <v>236</v>
      </c>
      <c r="I1107" s="18" t="s">
        <v>10</v>
      </c>
      <c r="J1107" s="18" t="s">
        <v>4017</v>
      </c>
      <c r="K1107" s="20"/>
    </row>
    <row r="1108" spans="1:11" ht="36.75" thickBot="1">
      <c r="A1108" s="18" t="s">
        <v>5692</v>
      </c>
      <c r="B1108" s="18">
        <v>20002893602</v>
      </c>
      <c r="C1108" s="18" t="s">
        <v>4389</v>
      </c>
      <c r="D1108" s="19">
        <v>45671.428472222222</v>
      </c>
      <c r="E1108" s="19">
        <v>45687.439583333333</v>
      </c>
      <c r="F1108" s="18">
        <v>60</v>
      </c>
      <c r="G1108" s="19">
        <v>45705.489583333336</v>
      </c>
      <c r="H1108" s="18" t="s">
        <v>2654</v>
      </c>
      <c r="I1108" s="18" t="s">
        <v>10</v>
      </c>
      <c r="J1108" s="18" t="s">
        <v>4017</v>
      </c>
      <c r="K1108" s="20"/>
    </row>
    <row r="1109" spans="1:11" ht="36.75" thickBot="1">
      <c r="A1109" s="18" t="s">
        <v>5693</v>
      </c>
      <c r="B1109" s="18">
        <v>20022459079</v>
      </c>
      <c r="C1109" s="18" t="s">
        <v>5694</v>
      </c>
      <c r="D1109" s="19">
        <v>45646.647916666669</v>
      </c>
      <c r="E1109" s="19">
        <v>45687.447222222225</v>
      </c>
      <c r="F1109" s="18">
        <v>110</v>
      </c>
      <c r="G1109" s="18" t="s">
        <v>10</v>
      </c>
      <c r="H1109" s="18" t="s">
        <v>178</v>
      </c>
      <c r="I1109" s="18" t="s">
        <v>10</v>
      </c>
      <c r="J1109" s="18" t="s">
        <v>4017</v>
      </c>
      <c r="K1109" s="20"/>
    </row>
    <row r="1110" spans="1:11" ht="36.75" thickBot="1">
      <c r="A1110" s="18" t="s">
        <v>5695</v>
      </c>
      <c r="B1110" s="18">
        <v>20021684117</v>
      </c>
      <c r="C1110" s="18" t="s">
        <v>5392</v>
      </c>
      <c r="D1110" s="19">
        <v>45684.470833333333</v>
      </c>
      <c r="E1110" s="19">
        <v>45687.470138888886</v>
      </c>
      <c r="F1110" s="18">
        <v>42.48</v>
      </c>
      <c r="G1110" s="19">
        <v>45699.67291666667</v>
      </c>
      <c r="H1110" s="18" t="s">
        <v>236</v>
      </c>
      <c r="I1110" s="18" t="s">
        <v>10</v>
      </c>
      <c r="J1110" s="18" t="s">
        <v>4017</v>
      </c>
      <c r="K1110" s="20"/>
    </row>
    <row r="1111" spans="1:11" ht="36.75" thickBot="1">
      <c r="A1111" s="18" t="s">
        <v>5696</v>
      </c>
      <c r="B1111" s="18">
        <v>20019460971</v>
      </c>
      <c r="C1111" s="18" t="s">
        <v>4942</v>
      </c>
      <c r="D1111" s="19">
        <v>45591.484722222223</v>
      </c>
      <c r="E1111" s="19">
        <v>45687.475694444445</v>
      </c>
      <c r="F1111" s="18">
        <v>150</v>
      </c>
      <c r="G1111" s="19">
        <v>45708.45416666667</v>
      </c>
      <c r="H1111" s="18" t="s">
        <v>236</v>
      </c>
      <c r="I1111" s="18" t="s">
        <v>10</v>
      </c>
      <c r="J1111" s="18" t="s">
        <v>4017</v>
      </c>
      <c r="K1111" s="20"/>
    </row>
    <row r="1112" spans="1:11" ht="36.75" thickBot="1">
      <c r="A1112" s="18" t="s">
        <v>5697</v>
      </c>
      <c r="B1112" s="18">
        <v>20017430549</v>
      </c>
      <c r="C1112" s="18" t="s">
        <v>5698</v>
      </c>
      <c r="D1112" s="19">
        <v>45687.571527777778</v>
      </c>
      <c r="E1112" s="18" t="s">
        <v>10</v>
      </c>
      <c r="F1112" s="18">
        <v>50</v>
      </c>
      <c r="G1112" s="18" t="s">
        <v>10</v>
      </c>
      <c r="H1112" s="18" t="s">
        <v>178</v>
      </c>
      <c r="I1112" s="18" t="s">
        <v>10</v>
      </c>
      <c r="J1112" s="18" t="s">
        <v>4017</v>
      </c>
      <c r="K1112" s="20"/>
    </row>
    <row r="1113" spans="1:11" ht="36.75" thickBot="1">
      <c r="A1113" s="18" t="s">
        <v>5699</v>
      </c>
      <c r="B1113" s="18">
        <v>20022606966</v>
      </c>
      <c r="C1113" s="18" t="s">
        <v>5275</v>
      </c>
      <c r="D1113" s="19">
        <v>45687.595833333333</v>
      </c>
      <c r="E1113" s="18" t="s">
        <v>10</v>
      </c>
      <c r="F1113" s="18">
        <v>100</v>
      </c>
      <c r="G1113" s="18" t="s">
        <v>10</v>
      </c>
      <c r="H1113" s="18" t="s">
        <v>178</v>
      </c>
      <c r="I1113" s="18" t="s">
        <v>10</v>
      </c>
      <c r="J1113" s="18" t="s">
        <v>4017</v>
      </c>
      <c r="K1113" s="20"/>
    </row>
    <row r="1114" spans="1:11" ht="36.75" thickBot="1">
      <c r="A1114" s="18" t="s">
        <v>5700</v>
      </c>
      <c r="B1114" s="18">
        <v>20003477517</v>
      </c>
      <c r="C1114" s="18" t="s">
        <v>4800</v>
      </c>
      <c r="D1114" s="19">
        <v>45687.632638888892</v>
      </c>
      <c r="E1114" s="18" t="s">
        <v>10</v>
      </c>
      <c r="F1114" s="18">
        <v>30</v>
      </c>
      <c r="G1114" s="18" t="s">
        <v>10</v>
      </c>
      <c r="H1114" s="18" t="s">
        <v>178</v>
      </c>
      <c r="I1114" s="18" t="s">
        <v>10</v>
      </c>
      <c r="J1114" s="18" t="s">
        <v>4017</v>
      </c>
      <c r="K1114" s="20"/>
    </row>
    <row r="1115" spans="1:11" ht="36.75" thickBot="1">
      <c r="A1115" s="18" t="s">
        <v>5701</v>
      </c>
      <c r="B1115" s="18">
        <v>20022282266</v>
      </c>
      <c r="C1115" s="18" t="s">
        <v>5702</v>
      </c>
      <c r="D1115" s="19">
        <v>45687.713194444441</v>
      </c>
      <c r="E1115" s="18" t="s">
        <v>10</v>
      </c>
      <c r="F1115" s="18">
        <v>30</v>
      </c>
      <c r="G1115" s="18" t="s">
        <v>10</v>
      </c>
      <c r="H1115" s="18" t="s">
        <v>178</v>
      </c>
      <c r="I1115" s="18" t="s">
        <v>10</v>
      </c>
      <c r="J1115" s="18" t="s">
        <v>4017</v>
      </c>
      <c r="K1115" s="20"/>
    </row>
    <row r="1116" spans="1:11" ht="36.75" thickBot="1">
      <c r="A1116" s="18" t="s">
        <v>5703</v>
      </c>
      <c r="B1116" s="18">
        <v>20021466131</v>
      </c>
      <c r="C1116" s="18" t="s">
        <v>5704</v>
      </c>
      <c r="D1116" s="19">
        <v>45666.826388888891</v>
      </c>
      <c r="E1116" s="19">
        <v>45687.911805555559</v>
      </c>
      <c r="F1116" s="18">
        <v>50</v>
      </c>
      <c r="G1116" s="19">
        <v>45705.472222222219</v>
      </c>
      <c r="H1116" s="18" t="s">
        <v>236</v>
      </c>
      <c r="I1116" s="18" t="s">
        <v>10</v>
      </c>
      <c r="J1116" s="18" t="s">
        <v>4017</v>
      </c>
      <c r="K1116" s="20"/>
    </row>
    <row r="1117" spans="1:11" ht="36.75" thickBot="1">
      <c r="A1117" s="18" t="s">
        <v>5705</v>
      </c>
      <c r="B1117" s="18">
        <v>20003498137</v>
      </c>
      <c r="C1117" s="18" t="s">
        <v>5706</v>
      </c>
      <c r="D1117" s="19">
        <v>45688.40347222222</v>
      </c>
      <c r="E1117" s="18" t="s">
        <v>10</v>
      </c>
      <c r="F1117" s="18">
        <v>800</v>
      </c>
      <c r="G1117" s="18" t="s">
        <v>10</v>
      </c>
      <c r="H1117" s="18" t="s">
        <v>178</v>
      </c>
      <c r="I1117" s="18" t="s">
        <v>10</v>
      </c>
      <c r="J1117" s="18" t="s">
        <v>4017</v>
      </c>
      <c r="K1117" s="20"/>
    </row>
    <row r="1118" spans="1:11" ht="36.75" thickBot="1">
      <c r="A1118" s="18" t="s">
        <v>5707</v>
      </c>
      <c r="B1118" s="18">
        <v>20003626447</v>
      </c>
      <c r="C1118" s="18" t="s">
        <v>5708</v>
      </c>
      <c r="D1118" s="19">
        <v>45652.868750000001</v>
      </c>
      <c r="E1118" s="19">
        <v>45688.494444444441</v>
      </c>
      <c r="F1118" s="18">
        <v>100</v>
      </c>
      <c r="G1118" s="19">
        <v>45705.470833333333</v>
      </c>
      <c r="H1118" s="18" t="s">
        <v>236</v>
      </c>
      <c r="I1118" s="18" t="s">
        <v>10</v>
      </c>
      <c r="J1118" s="18" t="s">
        <v>4017</v>
      </c>
      <c r="K1118" s="20"/>
    </row>
    <row r="1119" spans="1:11" ht="36.75" thickBot="1">
      <c r="A1119" s="18" t="s">
        <v>5709</v>
      </c>
      <c r="B1119" s="18">
        <v>20019425383</v>
      </c>
      <c r="C1119" s="18" t="s">
        <v>5710</v>
      </c>
      <c r="D1119" s="19">
        <v>45610.479166666664</v>
      </c>
      <c r="E1119" s="19">
        <v>45688.611111111109</v>
      </c>
      <c r="F1119" s="18">
        <v>50</v>
      </c>
      <c r="G1119" s="19">
        <v>45706.530555555553</v>
      </c>
      <c r="H1119" s="18" t="s">
        <v>236</v>
      </c>
      <c r="I1119" s="18" t="s">
        <v>10</v>
      </c>
      <c r="J1119" s="18" t="s">
        <v>4017</v>
      </c>
      <c r="K1119" s="20"/>
    </row>
    <row r="1120" spans="1:11" ht="36.75" thickBot="1">
      <c r="A1120" s="18" t="s">
        <v>5711</v>
      </c>
      <c r="B1120" s="18">
        <v>20003449607</v>
      </c>
      <c r="C1120" s="18" t="s">
        <v>4972</v>
      </c>
      <c r="D1120" s="19">
        <v>45609.617361111108</v>
      </c>
      <c r="E1120" s="19">
        <v>45688.613194444442</v>
      </c>
      <c r="F1120" s="18">
        <v>175</v>
      </c>
      <c r="G1120" s="19">
        <v>45706.467361111114</v>
      </c>
      <c r="H1120" s="18" t="s">
        <v>236</v>
      </c>
      <c r="I1120" s="18" t="s">
        <v>10</v>
      </c>
      <c r="J1120" s="18" t="s">
        <v>4017</v>
      </c>
      <c r="K1120" s="20"/>
    </row>
    <row r="1121" spans="1:11" ht="36.75" thickBot="1">
      <c r="A1121" s="18" t="s">
        <v>5712</v>
      </c>
      <c r="B1121" s="18">
        <v>20027026142</v>
      </c>
      <c r="C1121" s="18" t="s">
        <v>5713</v>
      </c>
      <c r="D1121" s="19">
        <v>45688.618750000001</v>
      </c>
      <c r="E1121" s="18" t="s">
        <v>10</v>
      </c>
      <c r="F1121" s="18">
        <v>50</v>
      </c>
      <c r="G1121" s="18" t="s">
        <v>10</v>
      </c>
      <c r="H1121" s="18" t="s">
        <v>178</v>
      </c>
      <c r="I1121" s="18" t="s">
        <v>10</v>
      </c>
      <c r="J1121" s="18" t="s">
        <v>4017</v>
      </c>
      <c r="K1121" s="20"/>
    </row>
    <row r="1122" spans="1:11" ht="36.75" thickBot="1">
      <c r="A1122" s="18" t="s">
        <v>5714</v>
      </c>
      <c r="B1122" s="18">
        <v>20002902558</v>
      </c>
      <c r="C1122" s="18" t="s">
        <v>4804</v>
      </c>
      <c r="D1122" s="19">
        <v>45608.450694444444</v>
      </c>
      <c r="E1122" s="19">
        <v>45688.620138888888</v>
      </c>
      <c r="F1122" s="18">
        <v>60</v>
      </c>
      <c r="G1122" s="19">
        <v>45705.600694444445</v>
      </c>
      <c r="H1122" s="18" t="s">
        <v>236</v>
      </c>
      <c r="I1122" s="18" t="s">
        <v>10</v>
      </c>
      <c r="J1122" s="18" t="s">
        <v>4017</v>
      </c>
      <c r="K1122" s="20"/>
    </row>
    <row r="1123" spans="1:11" ht="36.75" thickBot="1">
      <c r="A1123" s="18" t="s">
        <v>5715</v>
      </c>
      <c r="B1123" s="18">
        <v>20016703735</v>
      </c>
      <c r="C1123" s="18" t="s">
        <v>4802</v>
      </c>
      <c r="D1123" s="19">
        <v>45688.667361111111</v>
      </c>
      <c r="E1123" s="18" t="s">
        <v>10</v>
      </c>
      <c r="F1123" s="18">
        <v>30</v>
      </c>
      <c r="G1123" s="18" t="s">
        <v>10</v>
      </c>
      <c r="H1123" s="18" t="s">
        <v>178</v>
      </c>
      <c r="I1123" s="18" t="s">
        <v>10</v>
      </c>
      <c r="J1123" s="18" t="s">
        <v>4017</v>
      </c>
      <c r="K1123" s="20"/>
    </row>
    <row r="1124" spans="1:11" ht="72.75" thickBot="1">
      <c r="A1124" s="18" t="s">
        <v>5716</v>
      </c>
      <c r="B1124" s="18">
        <v>20020291231</v>
      </c>
      <c r="C1124" s="18" t="s">
        <v>4919</v>
      </c>
      <c r="D1124" s="19">
        <v>45624.670138888891</v>
      </c>
      <c r="E1124" s="19">
        <v>45688.697222222225</v>
      </c>
      <c r="F1124" s="18">
        <v>810</v>
      </c>
      <c r="G1124" s="19">
        <v>45807.631249999999</v>
      </c>
      <c r="H1124" s="18" t="s">
        <v>2688</v>
      </c>
      <c r="I1124" s="18" t="s">
        <v>10</v>
      </c>
      <c r="J1124" s="18" t="s">
        <v>4017</v>
      </c>
      <c r="K1124" s="20"/>
    </row>
    <row r="1125" spans="1:11" ht="36.75" thickBot="1">
      <c r="A1125" s="18" t="s">
        <v>5717</v>
      </c>
      <c r="B1125" s="18">
        <v>20021252332</v>
      </c>
      <c r="C1125" s="18" t="s">
        <v>5532</v>
      </c>
      <c r="D1125" s="19">
        <v>45688.740277777775</v>
      </c>
      <c r="E1125" s="18" t="s">
        <v>10</v>
      </c>
      <c r="F1125" s="18">
        <v>50</v>
      </c>
      <c r="G1125" s="19">
        <v>45714.429861111108</v>
      </c>
      <c r="H1125" s="18" t="s">
        <v>236</v>
      </c>
      <c r="I1125" s="18" t="s">
        <v>10</v>
      </c>
      <c r="J1125" s="18" t="s">
        <v>4017</v>
      </c>
      <c r="K1125" s="20"/>
    </row>
    <row r="1126" spans="1:11" ht="36.75" thickBot="1">
      <c r="A1126" s="18" t="s">
        <v>5718</v>
      </c>
      <c r="B1126" s="18">
        <v>20018538199</v>
      </c>
      <c r="C1126" s="18" t="s">
        <v>5428</v>
      </c>
      <c r="D1126" s="19">
        <v>45690.682638888888</v>
      </c>
      <c r="E1126" s="18" t="s">
        <v>10</v>
      </c>
      <c r="F1126" s="18">
        <v>160</v>
      </c>
      <c r="G1126" s="18" t="s">
        <v>10</v>
      </c>
      <c r="H1126" s="18" t="s">
        <v>178</v>
      </c>
      <c r="I1126" s="18" t="s">
        <v>10</v>
      </c>
      <c r="J1126" s="18" t="s">
        <v>4017</v>
      </c>
      <c r="K1126" s="20"/>
    </row>
    <row r="1127" spans="1:11" ht="36.75" thickBot="1">
      <c r="A1127" s="18" t="s">
        <v>5719</v>
      </c>
      <c r="B1127" s="18">
        <v>20019647602</v>
      </c>
      <c r="C1127" s="18" t="s">
        <v>5650</v>
      </c>
      <c r="D1127" s="19">
        <v>45690.71597222222</v>
      </c>
      <c r="E1127" s="18" t="s">
        <v>10</v>
      </c>
      <c r="F1127" s="18">
        <v>190</v>
      </c>
      <c r="G1127" s="18" t="s">
        <v>10</v>
      </c>
      <c r="H1127" s="18" t="s">
        <v>178</v>
      </c>
      <c r="I1127" s="18" t="s">
        <v>10</v>
      </c>
      <c r="J1127" s="18" t="s">
        <v>4017</v>
      </c>
      <c r="K1127" s="20"/>
    </row>
    <row r="1128" spans="1:11" ht="36.75" thickBot="1">
      <c r="A1128" s="18" t="s">
        <v>5720</v>
      </c>
      <c r="B1128" s="18">
        <v>20020948494</v>
      </c>
      <c r="C1128" s="18" t="s">
        <v>5565</v>
      </c>
      <c r="D1128" s="19">
        <v>45690.745138888888</v>
      </c>
      <c r="E1128" s="18" t="s">
        <v>10</v>
      </c>
      <c r="F1128" s="18">
        <v>160</v>
      </c>
      <c r="G1128" s="18" t="s">
        <v>10</v>
      </c>
      <c r="H1128" s="18" t="s">
        <v>178</v>
      </c>
      <c r="I1128" s="18" t="s">
        <v>10</v>
      </c>
      <c r="J1128" s="18" t="s">
        <v>4017</v>
      </c>
      <c r="K1128" s="20"/>
    </row>
    <row r="1129" spans="1:11" ht="36.75" thickBot="1">
      <c r="A1129" s="18" t="s">
        <v>5721</v>
      </c>
      <c r="B1129" s="18">
        <v>20027136189</v>
      </c>
      <c r="C1129" s="18" t="s">
        <v>4603</v>
      </c>
      <c r="D1129" s="19">
        <v>45690.882638888892</v>
      </c>
      <c r="E1129" s="18" t="s">
        <v>10</v>
      </c>
      <c r="F1129" s="18">
        <v>600</v>
      </c>
      <c r="G1129" s="18" t="s">
        <v>10</v>
      </c>
      <c r="H1129" s="18" t="s">
        <v>178</v>
      </c>
      <c r="I1129" s="18" t="s">
        <v>10</v>
      </c>
      <c r="J1129" s="18" t="s">
        <v>4017</v>
      </c>
      <c r="K1129" s="20"/>
    </row>
    <row r="1130" spans="1:11" ht="36.75" thickBot="1">
      <c r="A1130" s="18" t="s">
        <v>5722</v>
      </c>
      <c r="B1130" s="18">
        <v>20025965725</v>
      </c>
      <c r="C1130" s="18" t="s">
        <v>5723</v>
      </c>
      <c r="D1130" s="19">
        <v>45593.95</v>
      </c>
      <c r="E1130" s="19">
        <v>45690.930555555555</v>
      </c>
      <c r="F1130" s="18">
        <v>50</v>
      </c>
      <c r="G1130" s="19">
        <v>45748.676388888889</v>
      </c>
      <c r="H1130" s="18" t="s">
        <v>236</v>
      </c>
      <c r="I1130" s="18" t="s">
        <v>10</v>
      </c>
      <c r="J1130" s="18" t="s">
        <v>4017</v>
      </c>
      <c r="K1130" s="20"/>
    </row>
    <row r="1131" spans="1:11" ht="54.75" thickBot="1">
      <c r="A1131" s="18" t="s">
        <v>5724</v>
      </c>
      <c r="B1131" s="18">
        <v>20003287266</v>
      </c>
      <c r="C1131" s="18" t="s">
        <v>5126</v>
      </c>
      <c r="D1131" s="19">
        <v>45691.428472222222</v>
      </c>
      <c r="E1131" s="18" t="s">
        <v>10</v>
      </c>
      <c r="F1131" s="18">
        <v>200</v>
      </c>
      <c r="G1131" s="18" t="s">
        <v>10</v>
      </c>
      <c r="H1131" s="18" t="s">
        <v>178</v>
      </c>
      <c r="I1131" s="18" t="s">
        <v>10</v>
      </c>
      <c r="J1131" s="18" t="s">
        <v>4017</v>
      </c>
      <c r="K1131" s="20"/>
    </row>
    <row r="1132" spans="1:11" ht="36.75" thickBot="1">
      <c r="A1132" s="18" t="s">
        <v>5725</v>
      </c>
      <c r="B1132" s="18">
        <v>20020879469</v>
      </c>
      <c r="C1132" s="18" t="s">
        <v>5726</v>
      </c>
      <c r="D1132" s="19">
        <v>45691.436805555553</v>
      </c>
      <c r="E1132" s="18" t="s">
        <v>10</v>
      </c>
      <c r="F1132" s="18">
        <v>48</v>
      </c>
      <c r="G1132" s="18" t="s">
        <v>10</v>
      </c>
      <c r="H1132" s="18" t="s">
        <v>178</v>
      </c>
      <c r="I1132" s="18" t="s">
        <v>10</v>
      </c>
      <c r="J1132" s="18" t="s">
        <v>4017</v>
      </c>
      <c r="K1132" s="20"/>
    </row>
    <row r="1133" spans="1:11" ht="36.75" thickBot="1">
      <c r="A1133" s="18" t="s">
        <v>5727</v>
      </c>
      <c r="B1133" s="18">
        <v>20020396003</v>
      </c>
      <c r="C1133" s="18" t="s">
        <v>4536</v>
      </c>
      <c r="D1133" s="19">
        <v>45636.722222222219</v>
      </c>
      <c r="E1133" s="19">
        <v>45691.449305555558</v>
      </c>
      <c r="F1133" s="18">
        <v>170</v>
      </c>
      <c r="G1133" s="19">
        <v>45726.62222222222</v>
      </c>
      <c r="H1133" s="18" t="s">
        <v>236</v>
      </c>
      <c r="I1133" s="18" t="s">
        <v>10</v>
      </c>
      <c r="J1133" s="18" t="s">
        <v>4017</v>
      </c>
      <c r="K1133" s="20"/>
    </row>
    <row r="1134" spans="1:11" ht="72.75" thickBot="1">
      <c r="A1134" s="18" t="s">
        <v>5728</v>
      </c>
      <c r="B1134" s="18">
        <v>20025741348</v>
      </c>
      <c r="C1134" s="18" t="s">
        <v>5321</v>
      </c>
      <c r="D1134" s="19">
        <v>45672.59097222222</v>
      </c>
      <c r="E1134" s="19">
        <v>45691.521527777775</v>
      </c>
      <c r="F1134" s="18">
        <v>40</v>
      </c>
      <c r="G1134" s="18" t="s">
        <v>10</v>
      </c>
      <c r="H1134" s="18" t="s">
        <v>178</v>
      </c>
      <c r="I1134" s="18" t="s">
        <v>10</v>
      </c>
      <c r="J1134" s="18" t="s">
        <v>4017</v>
      </c>
      <c r="K1134" s="20"/>
    </row>
    <row r="1135" spans="1:11" ht="36.75" thickBot="1">
      <c r="A1135" s="18" t="s">
        <v>5729</v>
      </c>
      <c r="B1135" s="18">
        <v>20016498989</v>
      </c>
      <c r="C1135" s="18" t="s">
        <v>5415</v>
      </c>
      <c r="D1135" s="19">
        <v>45691.586111111108</v>
      </c>
      <c r="E1135" s="18" t="s">
        <v>10</v>
      </c>
      <c r="F1135" s="18">
        <v>100</v>
      </c>
      <c r="G1135" s="19">
        <v>45699.470833333333</v>
      </c>
      <c r="H1135" s="18" t="s">
        <v>236</v>
      </c>
      <c r="I1135" s="18" t="s">
        <v>10</v>
      </c>
      <c r="J1135" s="18" t="s">
        <v>4017</v>
      </c>
      <c r="K1135" s="20"/>
    </row>
    <row r="1136" spans="1:11" ht="36.75" thickBot="1">
      <c r="A1136" s="18" t="s">
        <v>5730</v>
      </c>
      <c r="B1136" s="18">
        <v>20003319169</v>
      </c>
      <c r="C1136" s="18" t="s">
        <v>5731</v>
      </c>
      <c r="D1136" s="19">
        <v>45642.623611111114</v>
      </c>
      <c r="E1136" s="19">
        <v>45691.616666666669</v>
      </c>
      <c r="F1136" s="18">
        <v>123.3</v>
      </c>
      <c r="G1136" s="19">
        <v>45706.594444444447</v>
      </c>
      <c r="H1136" s="18" t="s">
        <v>236</v>
      </c>
      <c r="I1136" s="18" t="s">
        <v>10</v>
      </c>
      <c r="J1136" s="18" t="s">
        <v>4017</v>
      </c>
      <c r="K1136" s="20"/>
    </row>
    <row r="1137" spans="1:11" ht="36.75" thickBot="1">
      <c r="A1137" s="18" t="s">
        <v>5732</v>
      </c>
      <c r="B1137" s="18">
        <v>20026742859</v>
      </c>
      <c r="C1137" s="18" t="s">
        <v>5713</v>
      </c>
      <c r="D1137" s="19">
        <v>45691.689583333333</v>
      </c>
      <c r="E1137" s="18" t="s">
        <v>10</v>
      </c>
      <c r="F1137" s="18">
        <v>50</v>
      </c>
      <c r="G1137" s="18" t="s">
        <v>10</v>
      </c>
      <c r="H1137" s="18" t="s">
        <v>178</v>
      </c>
      <c r="I1137" s="18" t="s">
        <v>10</v>
      </c>
      <c r="J1137" s="18" t="s">
        <v>4017</v>
      </c>
      <c r="K1137" s="20"/>
    </row>
    <row r="1138" spans="1:11" ht="36.75" thickBot="1">
      <c r="A1138" s="18" t="s">
        <v>5733</v>
      </c>
      <c r="B1138" s="18">
        <v>20021598303</v>
      </c>
      <c r="C1138" s="18" t="s">
        <v>5734</v>
      </c>
      <c r="D1138" s="19">
        <v>45667.71597222222</v>
      </c>
      <c r="E1138" s="19">
        <v>45691.696527777778</v>
      </c>
      <c r="F1138" s="18">
        <v>30</v>
      </c>
      <c r="G1138" s="19">
        <v>45705.609027777777</v>
      </c>
      <c r="H1138" s="18" t="s">
        <v>236</v>
      </c>
      <c r="I1138" s="18" t="s">
        <v>10</v>
      </c>
      <c r="J1138" s="18" t="s">
        <v>4017</v>
      </c>
      <c r="K1138" s="20"/>
    </row>
    <row r="1139" spans="1:11" ht="36.75" thickBot="1">
      <c r="A1139" s="18" t="s">
        <v>5735</v>
      </c>
      <c r="B1139" s="18">
        <v>20003177570</v>
      </c>
      <c r="C1139" s="18" t="s">
        <v>4493</v>
      </c>
      <c r="D1139" s="19">
        <v>45691.737500000003</v>
      </c>
      <c r="E1139" s="18" t="s">
        <v>10</v>
      </c>
      <c r="F1139" s="18">
        <v>810</v>
      </c>
      <c r="G1139" s="18" t="s">
        <v>10</v>
      </c>
      <c r="H1139" s="18" t="s">
        <v>178</v>
      </c>
      <c r="I1139" s="18" t="s">
        <v>10</v>
      </c>
      <c r="J1139" s="18" t="s">
        <v>4017</v>
      </c>
      <c r="K1139" s="20"/>
    </row>
    <row r="1140" spans="1:11" ht="36.75" thickBot="1">
      <c r="A1140" s="18" t="s">
        <v>5736</v>
      </c>
      <c r="B1140" s="18">
        <v>20028228198</v>
      </c>
      <c r="C1140" s="18" t="s">
        <v>4080</v>
      </c>
      <c r="D1140" s="19">
        <v>45691.806250000001</v>
      </c>
      <c r="E1140" s="18" t="s">
        <v>10</v>
      </c>
      <c r="F1140" s="18">
        <v>800</v>
      </c>
      <c r="G1140" s="18" t="s">
        <v>10</v>
      </c>
      <c r="H1140" s="18" t="s">
        <v>178</v>
      </c>
      <c r="I1140" s="18" t="s">
        <v>10</v>
      </c>
      <c r="J1140" s="18" t="s">
        <v>4017</v>
      </c>
      <c r="K1140" s="20"/>
    </row>
    <row r="1141" spans="1:11" ht="36.75" thickBot="1">
      <c r="A1141" s="18" t="s">
        <v>5737</v>
      </c>
      <c r="B1141" s="18">
        <v>20003449877</v>
      </c>
      <c r="C1141" s="18" t="s">
        <v>5738</v>
      </c>
      <c r="D1141" s="19">
        <v>45603</v>
      </c>
      <c r="E1141" s="19">
        <v>45691.928472222222</v>
      </c>
      <c r="F1141" s="18">
        <v>100</v>
      </c>
      <c r="G1141" s="19">
        <v>45702.613194444442</v>
      </c>
      <c r="H1141" s="18" t="s">
        <v>236</v>
      </c>
      <c r="I1141" s="18" t="s">
        <v>10</v>
      </c>
      <c r="J1141" s="18" t="s">
        <v>4017</v>
      </c>
      <c r="K1141" s="20"/>
    </row>
    <row r="1142" spans="1:11" ht="36.75" thickBot="1">
      <c r="A1142" s="18" t="s">
        <v>5739</v>
      </c>
      <c r="B1142" s="18">
        <v>20022714603</v>
      </c>
      <c r="C1142" s="18" t="s">
        <v>5106</v>
      </c>
      <c r="D1142" s="19">
        <v>45692.356249999997</v>
      </c>
      <c r="E1142" s="18" t="s">
        <v>10</v>
      </c>
      <c r="F1142" s="18">
        <v>130</v>
      </c>
      <c r="G1142" s="18" t="s">
        <v>10</v>
      </c>
      <c r="H1142" s="18" t="s">
        <v>178</v>
      </c>
      <c r="I1142" s="18" t="s">
        <v>10</v>
      </c>
      <c r="J1142" s="18" t="s">
        <v>4017</v>
      </c>
      <c r="K1142" s="20"/>
    </row>
    <row r="1143" spans="1:11" ht="36.75" thickBot="1">
      <c r="A1143" s="18" t="s">
        <v>5740</v>
      </c>
      <c r="B1143" s="18">
        <v>20002945860</v>
      </c>
      <c r="C1143" s="18" t="s">
        <v>5106</v>
      </c>
      <c r="D1143" s="19">
        <v>45692.370138888888</v>
      </c>
      <c r="E1143" s="18" t="s">
        <v>10</v>
      </c>
      <c r="F1143" s="18">
        <v>140</v>
      </c>
      <c r="G1143" s="18" t="s">
        <v>10</v>
      </c>
      <c r="H1143" s="18" t="s">
        <v>178</v>
      </c>
      <c r="I1143" s="18" t="s">
        <v>10</v>
      </c>
      <c r="J1143" s="18" t="s">
        <v>4017</v>
      </c>
      <c r="K1143" s="20"/>
    </row>
    <row r="1144" spans="1:11" ht="36.75" thickBot="1">
      <c r="A1144" s="18" t="s">
        <v>5741</v>
      </c>
      <c r="B1144" s="18">
        <v>20002932562</v>
      </c>
      <c r="C1144" s="18" t="s">
        <v>5514</v>
      </c>
      <c r="D1144" s="19">
        <v>45692.428472222222</v>
      </c>
      <c r="E1144" s="18" t="s">
        <v>10</v>
      </c>
      <c r="F1144" s="18">
        <v>50</v>
      </c>
      <c r="G1144" s="18" t="s">
        <v>10</v>
      </c>
      <c r="H1144" s="18" t="s">
        <v>178</v>
      </c>
      <c r="I1144" s="18" t="s">
        <v>10</v>
      </c>
      <c r="J1144" s="18" t="s">
        <v>4017</v>
      </c>
      <c r="K1144" s="20"/>
    </row>
    <row r="1145" spans="1:11" ht="36.75" thickBot="1">
      <c r="A1145" s="18" t="s">
        <v>5742</v>
      </c>
      <c r="B1145" s="18">
        <v>20025731137</v>
      </c>
      <c r="C1145" s="18" t="s">
        <v>5220</v>
      </c>
      <c r="D1145" s="19">
        <v>45692.477083333331</v>
      </c>
      <c r="E1145" s="18" t="s">
        <v>10</v>
      </c>
      <c r="F1145" s="18">
        <v>100</v>
      </c>
      <c r="G1145" s="18" t="s">
        <v>10</v>
      </c>
      <c r="H1145" s="18" t="s">
        <v>178</v>
      </c>
      <c r="I1145" s="18" t="s">
        <v>10</v>
      </c>
      <c r="J1145" s="18" t="s">
        <v>4017</v>
      </c>
      <c r="K1145" s="20"/>
    </row>
    <row r="1146" spans="1:11" ht="36.75" thickBot="1">
      <c r="A1146" s="18" t="s">
        <v>5743</v>
      </c>
      <c r="B1146" s="18">
        <v>20003133136</v>
      </c>
      <c r="C1146" s="18" t="s">
        <v>4924</v>
      </c>
      <c r="D1146" s="19">
        <v>45692.526388888888</v>
      </c>
      <c r="E1146" s="18" t="s">
        <v>10</v>
      </c>
      <c r="F1146" s="18">
        <v>150</v>
      </c>
      <c r="G1146" s="19">
        <v>45708.506249999999</v>
      </c>
      <c r="H1146" s="18" t="s">
        <v>236</v>
      </c>
      <c r="I1146" s="18" t="s">
        <v>10</v>
      </c>
      <c r="J1146" s="18" t="s">
        <v>4017</v>
      </c>
      <c r="K1146" s="20"/>
    </row>
    <row r="1147" spans="1:11" ht="36.75" thickBot="1">
      <c r="A1147" s="18" t="s">
        <v>5744</v>
      </c>
      <c r="B1147" s="18">
        <v>20023944010</v>
      </c>
      <c r="C1147" s="18" t="s">
        <v>1334</v>
      </c>
      <c r="D1147" s="19">
        <v>45692.559027777781</v>
      </c>
      <c r="E1147" s="18" t="s">
        <v>10</v>
      </c>
      <c r="F1147" s="18">
        <v>40</v>
      </c>
      <c r="G1147" s="18" t="s">
        <v>10</v>
      </c>
      <c r="H1147" s="18" t="s">
        <v>178</v>
      </c>
      <c r="I1147" s="18" t="s">
        <v>10</v>
      </c>
      <c r="J1147" s="18" t="s">
        <v>4017</v>
      </c>
      <c r="K1147" s="20"/>
    </row>
    <row r="1148" spans="1:11" ht="36.75" thickBot="1">
      <c r="A1148" s="18" t="s">
        <v>5745</v>
      </c>
      <c r="B1148" s="18">
        <v>20021804194</v>
      </c>
      <c r="C1148" s="18" t="s">
        <v>1334</v>
      </c>
      <c r="D1148" s="19">
        <v>45692.584722222222</v>
      </c>
      <c r="E1148" s="18" t="s">
        <v>10</v>
      </c>
      <c r="F1148" s="18">
        <v>40</v>
      </c>
      <c r="G1148" s="18" t="s">
        <v>10</v>
      </c>
      <c r="H1148" s="18" t="s">
        <v>178</v>
      </c>
      <c r="I1148" s="18" t="s">
        <v>10</v>
      </c>
      <c r="J1148" s="18" t="s">
        <v>4017</v>
      </c>
      <c r="K1148" s="20"/>
    </row>
    <row r="1149" spans="1:11" ht="72.75" thickBot="1">
      <c r="A1149" s="18" t="s">
        <v>5746</v>
      </c>
      <c r="B1149" s="18">
        <v>20003459473</v>
      </c>
      <c r="C1149" s="18" t="s">
        <v>5147</v>
      </c>
      <c r="D1149" s="19">
        <v>45644.636805555558</v>
      </c>
      <c r="E1149" s="19">
        <v>45692.652083333334</v>
      </c>
      <c r="F1149" s="18">
        <v>30</v>
      </c>
      <c r="G1149" s="19">
        <v>45721.55</v>
      </c>
      <c r="H1149" s="18" t="s">
        <v>2657</v>
      </c>
      <c r="I1149" s="18" t="s">
        <v>10</v>
      </c>
      <c r="J1149" s="18" t="s">
        <v>4017</v>
      </c>
      <c r="K1149" s="20"/>
    </row>
    <row r="1150" spans="1:11" ht="36.75" thickBot="1">
      <c r="A1150" s="18" t="s">
        <v>5747</v>
      </c>
      <c r="B1150" s="18">
        <v>20026811289</v>
      </c>
      <c r="C1150" s="18" t="s">
        <v>1062</v>
      </c>
      <c r="D1150" s="19">
        <v>45692.65347222222</v>
      </c>
      <c r="E1150" s="18" t="s">
        <v>10</v>
      </c>
      <c r="F1150" s="18">
        <v>100</v>
      </c>
      <c r="G1150" s="18" t="s">
        <v>10</v>
      </c>
      <c r="H1150" s="18" t="s">
        <v>178</v>
      </c>
      <c r="I1150" s="18" t="s">
        <v>10</v>
      </c>
      <c r="J1150" s="18" t="s">
        <v>4017</v>
      </c>
      <c r="K1150" s="20"/>
    </row>
    <row r="1151" spans="1:11" ht="36.75" thickBot="1">
      <c r="A1151" s="18" t="s">
        <v>5748</v>
      </c>
      <c r="B1151" s="18">
        <v>20003511515</v>
      </c>
      <c r="C1151" s="18" t="s">
        <v>5749</v>
      </c>
      <c r="D1151" s="19">
        <v>45692.677083333336</v>
      </c>
      <c r="E1151" s="18" t="s">
        <v>10</v>
      </c>
      <c r="F1151" s="18">
        <v>150</v>
      </c>
      <c r="G1151" s="18" t="s">
        <v>10</v>
      </c>
      <c r="H1151" s="18" t="s">
        <v>178</v>
      </c>
      <c r="I1151" s="18" t="s">
        <v>10</v>
      </c>
      <c r="J1151" s="18" t="s">
        <v>4017</v>
      </c>
      <c r="K1151" s="20"/>
    </row>
    <row r="1152" spans="1:11" ht="36.75" thickBot="1">
      <c r="A1152" s="18" t="s">
        <v>5750</v>
      </c>
      <c r="B1152" s="18">
        <v>20003511444</v>
      </c>
      <c r="C1152" s="18" t="s">
        <v>5751</v>
      </c>
      <c r="D1152" s="19">
        <v>45692.70208333333</v>
      </c>
      <c r="E1152" s="18" t="s">
        <v>10</v>
      </c>
      <c r="F1152" s="18">
        <v>150</v>
      </c>
      <c r="G1152" s="18" t="s">
        <v>10</v>
      </c>
      <c r="H1152" s="18" t="s">
        <v>178</v>
      </c>
      <c r="I1152" s="18" t="s">
        <v>10</v>
      </c>
      <c r="J1152" s="18" t="s">
        <v>4017</v>
      </c>
      <c r="K1152" s="20"/>
    </row>
    <row r="1153" spans="1:11" ht="36.75" thickBot="1">
      <c r="A1153" s="18" t="s">
        <v>5752</v>
      </c>
      <c r="B1153" s="18">
        <v>20024376614</v>
      </c>
      <c r="C1153" s="18" t="s">
        <v>1334</v>
      </c>
      <c r="D1153" s="19">
        <v>45693.404861111114</v>
      </c>
      <c r="E1153" s="18" t="s">
        <v>10</v>
      </c>
      <c r="F1153" s="18">
        <v>40</v>
      </c>
      <c r="G1153" s="18" t="s">
        <v>10</v>
      </c>
      <c r="H1153" s="18" t="s">
        <v>178</v>
      </c>
      <c r="I1153" s="18" t="s">
        <v>10</v>
      </c>
      <c r="J1153" s="18" t="s">
        <v>4017</v>
      </c>
      <c r="K1153" s="20"/>
    </row>
    <row r="1154" spans="1:11" ht="54.75" thickBot="1">
      <c r="A1154" s="18" t="s">
        <v>5753</v>
      </c>
      <c r="B1154" s="18">
        <v>20021539421</v>
      </c>
      <c r="C1154" s="18" t="s">
        <v>4935</v>
      </c>
      <c r="D1154" s="19">
        <v>45672.643750000003</v>
      </c>
      <c r="E1154" s="19">
        <v>45693.439583333333</v>
      </c>
      <c r="F1154" s="18">
        <v>50</v>
      </c>
      <c r="G1154" s="19">
        <v>45709.46875</v>
      </c>
      <c r="H1154" s="18" t="s">
        <v>236</v>
      </c>
      <c r="I1154" s="18" t="s">
        <v>10</v>
      </c>
      <c r="J1154" s="18" t="s">
        <v>4017</v>
      </c>
      <c r="K1154" s="20"/>
    </row>
    <row r="1155" spans="1:11" ht="54.75" thickBot="1">
      <c r="A1155" s="18" t="s">
        <v>5754</v>
      </c>
      <c r="B1155" s="18">
        <v>20027127200</v>
      </c>
      <c r="C1155" s="18" t="s">
        <v>257</v>
      </c>
      <c r="D1155" s="19">
        <v>45693.48333333333</v>
      </c>
      <c r="E1155" s="18" t="s">
        <v>10</v>
      </c>
      <c r="F1155" s="18">
        <v>100</v>
      </c>
      <c r="G1155" s="18" t="s">
        <v>10</v>
      </c>
      <c r="H1155" s="18" t="s">
        <v>178</v>
      </c>
      <c r="I1155" s="18" t="s">
        <v>10</v>
      </c>
      <c r="J1155" s="18" t="s">
        <v>4017</v>
      </c>
      <c r="K1155" s="20"/>
    </row>
    <row r="1156" spans="1:11" ht="36.75" thickBot="1">
      <c r="A1156" s="18" t="s">
        <v>5755</v>
      </c>
      <c r="B1156" s="18">
        <v>20003321342</v>
      </c>
      <c r="C1156" s="18" t="s">
        <v>5731</v>
      </c>
      <c r="D1156" s="19">
        <v>45640.686805555553</v>
      </c>
      <c r="E1156" s="19">
        <v>45693.572916666664</v>
      </c>
      <c r="F1156" s="18">
        <v>426.6</v>
      </c>
      <c r="G1156" s="19">
        <v>45769.409722222219</v>
      </c>
      <c r="H1156" s="18" t="s">
        <v>2654</v>
      </c>
      <c r="I1156" s="18" t="s">
        <v>10</v>
      </c>
      <c r="J1156" s="18" t="s">
        <v>4017</v>
      </c>
      <c r="K1156" s="20"/>
    </row>
    <row r="1157" spans="1:11" ht="36.75" thickBot="1">
      <c r="A1157" s="18" t="s">
        <v>5756</v>
      </c>
      <c r="B1157" s="18">
        <v>20002974499</v>
      </c>
      <c r="C1157" s="18" t="s">
        <v>4673</v>
      </c>
      <c r="D1157" s="19">
        <v>45693.625694444447</v>
      </c>
      <c r="E1157" s="18" t="s">
        <v>10</v>
      </c>
      <c r="F1157" s="18">
        <v>350</v>
      </c>
      <c r="G1157" s="18" t="s">
        <v>10</v>
      </c>
      <c r="H1157" s="18" t="s">
        <v>178</v>
      </c>
      <c r="I1157" s="18" t="s">
        <v>10</v>
      </c>
      <c r="J1157" s="18" t="s">
        <v>4017</v>
      </c>
      <c r="K1157" s="20"/>
    </row>
    <row r="1158" spans="1:11" ht="36.75" thickBot="1">
      <c r="A1158" s="18" t="s">
        <v>5757</v>
      </c>
      <c r="B1158" s="18">
        <v>20017369757</v>
      </c>
      <c r="C1158" s="18" t="s">
        <v>4949</v>
      </c>
      <c r="D1158" s="19">
        <v>45674.461805555555</v>
      </c>
      <c r="E1158" s="19">
        <v>45693.670138888891</v>
      </c>
      <c r="F1158" s="18">
        <v>72</v>
      </c>
      <c r="G1158" s="18" t="s">
        <v>10</v>
      </c>
      <c r="H1158" s="18" t="s">
        <v>178</v>
      </c>
      <c r="I1158" s="18" t="s">
        <v>10</v>
      </c>
      <c r="J1158" s="18" t="s">
        <v>4017</v>
      </c>
      <c r="K1158" s="20"/>
    </row>
    <row r="1159" spans="1:11" ht="36.75" thickBot="1">
      <c r="A1159" s="18" t="s">
        <v>5758</v>
      </c>
      <c r="B1159" s="18">
        <v>20017449599</v>
      </c>
      <c r="C1159" s="18" t="s">
        <v>4949</v>
      </c>
      <c r="D1159" s="19">
        <v>45674.433333333334</v>
      </c>
      <c r="E1159" s="19">
        <v>45693.679861111108</v>
      </c>
      <c r="F1159" s="18">
        <v>50</v>
      </c>
      <c r="G1159" s="18" t="s">
        <v>10</v>
      </c>
      <c r="H1159" s="18" t="s">
        <v>178</v>
      </c>
      <c r="I1159" s="18" t="s">
        <v>10</v>
      </c>
      <c r="J1159" s="18" t="s">
        <v>4017</v>
      </c>
      <c r="K1159" s="20"/>
    </row>
    <row r="1160" spans="1:11" ht="36.75" thickBot="1">
      <c r="A1160" s="18" t="s">
        <v>5759</v>
      </c>
      <c r="B1160" s="18">
        <v>20002779629</v>
      </c>
      <c r="C1160" s="18" t="s">
        <v>4673</v>
      </c>
      <c r="D1160" s="19">
        <v>45693.70416666667</v>
      </c>
      <c r="E1160" s="18" t="s">
        <v>10</v>
      </c>
      <c r="F1160" s="18">
        <v>300</v>
      </c>
      <c r="G1160" s="18" t="s">
        <v>10</v>
      </c>
      <c r="H1160" s="18" t="s">
        <v>178</v>
      </c>
      <c r="I1160" s="18" t="s">
        <v>10</v>
      </c>
      <c r="J1160" s="18" t="s">
        <v>4017</v>
      </c>
      <c r="K1160" s="20"/>
    </row>
    <row r="1161" spans="1:11" ht="36.75" thickBot="1">
      <c r="A1161" s="18" t="s">
        <v>5760</v>
      </c>
      <c r="B1161" s="18">
        <v>20017896427</v>
      </c>
      <c r="C1161" s="18" t="s">
        <v>5761</v>
      </c>
      <c r="D1161" s="19">
        <v>45693.725694444445</v>
      </c>
      <c r="E1161" s="18" t="s">
        <v>10</v>
      </c>
      <c r="F1161" s="18">
        <v>180</v>
      </c>
      <c r="G1161" s="18" t="s">
        <v>10</v>
      </c>
      <c r="H1161" s="18" t="s">
        <v>178</v>
      </c>
      <c r="I1161" s="18" t="s">
        <v>10</v>
      </c>
      <c r="J1161" s="18" t="s">
        <v>4017</v>
      </c>
      <c r="K1161" s="20"/>
    </row>
    <row r="1162" spans="1:11" ht="36.75" thickBot="1">
      <c r="A1162" s="18" t="s">
        <v>5762</v>
      </c>
      <c r="B1162" s="18">
        <v>20019225959</v>
      </c>
      <c r="C1162" s="18" t="s">
        <v>4673</v>
      </c>
      <c r="D1162" s="19">
        <v>45693.761805555558</v>
      </c>
      <c r="E1162" s="18" t="s">
        <v>10</v>
      </c>
      <c r="F1162" s="18">
        <v>800</v>
      </c>
      <c r="G1162" s="18" t="s">
        <v>10</v>
      </c>
      <c r="H1162" s="18" t="s">
        <v>178</v>
      </c>
      <c r="I1162" s="18" t="s">
        <v>10</v>
      </c>
      <c r="J1162" s="18" t="s">
        <v>4017</v>
      </c>
      <c r="K1162" s="20"/>
    </row>
    <row r="1163" spans="1:11" ht="36.75" thickBot="1">
      <c r="A1163" s="18" t="s">
        <v>5763</v>
      </c>
      <c r="B1163" s="18">
        <v>20024704006</v>
      </c>
      <c r="C1163" s="18" t="s">
        <v>4574</v>
      </c>
      <c r="D1163" s="19">
        <v>45593.747916666667</v>
      </c>
      <c r="E1163" s="19">
        <v>45694.523611111108</v>
      </c>
      <c r="F1163" s="18">
        <v>250</v>
      </c>
      <c r="G1163" s="19">
        <v>45705.477777777778</v>
      </c>
      <c r="H1163" s="18" t="s">
        <v>2654</v>
      </c>
      <c r="I1163" s="18" t="s">
        <v>10</v>
      </c>
      <c r="J1163" s="18" t="s">
        <v>4017</v>
      </c>
      <c r="K1163" s="20"/>
    </row>
    <row r="1164" spans="1:11" ht="36.75" thickBot="1">
      <c r="A1164" s="18" t="s">
        <v>5764</v>
      </c>
      <c r="B1164" s="18">
        <v>20023922007</v>
      </c>
      <c r="C1164" s="18" t="s">
        <v>4531</v>
      </c>
      <c r="D1164" s="19">
        <v>45694.55972222222</v>
      </c>
      <c r="E1164" s="18" t="s">
        <v>10</v>
      </c>
      <c r="F1164" s="18">
        <v>125</v>
      </c>
      <c r="G1164" s="18" t="s">
        <v>10</v>
      </c>
      <c r="H1164" s="18" t="s">
        <v>178</v>
      </c>
      <c r="I1164" s="18" t="s">
        <v>10</v>
      </c>
      <c r="J1164" s="18" t="s">
        <v>4017</v>
      </c>
      <c r="K1164" s="20"/>
    </row>
    <row r="1165" spans="1:11" ht="36.75" thickBot="1">
      <c r="A1165" s="18" t="s">
        <v>5765</v>
      </c>
      <c r="B1165" s="18">
        <v>20003042770</v>
      </c>
      <c r="C1165" s="18" t="s">
        <v>4565</v>
      </c>
      <c r="D1165" s="19">
        <v>45643.77847222222</v>
      </c>
      <c r="E1165" s="19">
        <v>45694.63958333333</v>
      </c>
      <c r="F1165" s="18">
        <v>375</v>
      </c>
      <c r="G1165" s="19">
        <v>45740.372916666667</v>
      </c>
      <c r="H1165" s="18" t="s">
        <v>236</v>
      </c>
      <c r="I1165" s="18" t="s">
        <v>10</v>
      </c>
      <c r="J1165" s="18" t="s">
        <v>4017</v>
      </c>
      <c r="K1165" s="20"/>
    </row>
    <row r="1166" spans="1:11" ht="36.75" thickBot="1">
      <c r="A1166" s="18" t="s">
        <v>5766</v>
      </c>
      <c r="B1166" s="18">
        <v>20002939222</v>
      </c>
      <c r="C1166" s="18" t="s">
        <v>4465</v>
      </c>
      <c r="D1166" s="19">
        <v>45694.682638888888</v>
      </c>
      <c r="E1166" s="18" t="s">
        <v>10</v>
      </c>
      <c r="F1166" s="18">
        <v>200</v>
      </c>
      <c r="G1166" s="18" t="s">
        <v>10</v>
      </c>
      <c r="H1166" s="18" t="s">
        <v>178</v>
      </c>
      <c r="I1166" s="18" t="s">
        <v>10</v>
      </c>
      <c r="J1166" s="18" t="s">
        <v>4017</v>
      </c>
      <c r="K1166" s="20"/>
    </row>
    <row r="1167" spans="1:11" ht="36.75" thickBot="1">
      <c r="A1167" s="18" t="s">
        <v>5767</v>
      </c>
      <c r="B1167" s="18">
        <v>20025677326</v>
      </c>
      <c r="C1167" s="18" t="s">
        <v>5768</v>
      </c>
      <c r="D1167" s="19">
        <v>45637.587500000001</v>
      </c>
      <c r="E1167" s="19">
        <v>45694.686805555553</v>
      </c>
      <c r="F1167" s="18">
        <v>60</v>
      </c>
      <c r="G1167" s="18" t="s">
        <v>10</v>
      </c>
      <c r="H1167" s="18" t="s">
        <v>178</v>
      </c>
      <c r="I1167" s="18" t="s">
        <v>10</v>
      </c>
      <c r="J1167" s="18" t="s">
        <v>4017</v>
      </c>
      <c r="K1167" s="20"/>
    </row>
    <row r="1168" spans="1:11" ht="36.75" thickBot="1">
      <c r="A1168" s="18" t="s">
        <v>5769</v>
      </c>
      <c r="B1168" s="18">
        <v>20003005738</v>
      </c>
      <c r="C1168" s="18" t="s">
        <v>5093</v>
      </c>
      <c r="D1168" s="19">
        <v>45694.689583333333</v>
      </c>
      <c r="E1168" s="18" t="s">
        <v>10</v>
      </c>
      <c r="F1168" s="18">
        <v>100</v>
      </c>
      <c r="G1168" s="18" t="s">
        <v>10</v>
      </c>
      <c r="H1168" s="18" t="s">
        <v>178</v>
      </c>
      <c r="I1168" s="18" t="s">
        <v>10</v>
      </c>
      <c r="J1168" s="18" t="s">
        <v>4017</v>
      </c>
      <c r="K1168" s="20"/>
    </row>
    <row r="1169" spans="1:11" ht="36.75" thickBot="1">
      <c r="A1169" s="18" t="s">
        <v>5770</v>
      </c>
      <c r="B1169" s="18">
        <v>20019149236</v>
      </c>
      <c r="C1169" s="18" t="s">
        <v>5265</v>
      </c>
      <c r="D1169" s="19">
        <v>45674.671527777777</v>
      </c>
      <c r="E1169" s="19">
        <v>45694.695138888892</v>
      </c>
      <c r="F1169" s="18">
        <v>100</v>
      </c>
      <c r="G1169" s="19">
        <v>45716.656944444447</v>
      </c>
      <c r="H1169" s="18" t="s">
        <v>236</v>
      </c>
      <c r="I1169" s="18" t="s">
        <v>10</v>
      </c>
      <c r="J1169" s="18" t="s">
        <v>4017</v>
      </c>
      <c r="K1169" s="20"/>
    </row>
    <row r="1170" spans="1:11" ht="36.75" thickBot="1">
      <c r="A1170" s="18" t="s">
        <v>5771</v>
      </c>
      <c r="B1170" s="18">
        <v>20002861117</v>
      </c>
      <c r="C1170" s="18" t="s">
        <v>5265</v>
      </c>
      <c r="D1170" s="19">
        <v>45597.646527777775</v>
      </c>
      <c r="E1170" s="19">
        <v>45694.695833333331</v>
      </c>
      <c r="F1170" s="18">
        <v>100</v>
      </c>
      <c r="G1170" s="19">
        <v>45716.656944444447</v>
      </c>
      <c r="H1170" s="18" t="s">
        <v>236</v>
      </c>
      <c r="I1170" s="18" t="s">
        <v>10</v>
      </c>
      <c r="J1170" s="18" t="s">
        <v>4017</v>
      </c>
      <c r="K1170" s="20"/>
    </row>
    <row r="1171" spans="1:11" ht="36.75" thickBot="1">
      <c r="A1171" s="18" t="s">
        <v>5772</v>
      </c>
      <c r="B1171" s="18">
        <v>20019197623</v>
      </c>
      <c r="C1171" s="18" t="s">
        <v>5773</v>
      </c>
      <c r="D1171" s="19">
        <v>45567.70416666667</v>
      </c>
      <c r="E1171" s="19">
        <v>45694.707638888889</v>
      </c>
      <c r="F1171" s="18">
        <v>700</v>
      </c>
      <c r="G1171" s="19">
        <v>45741.446527777778</v>
      </c>
      <c r="H1171" s="18" t="s">
        <v>2654</v>
      </c>
      <c r="I1171" s="18" t="s">
        <v>10</v>
      </c>
      <c r="J1171" s="18" t="s">
        <v>4017</v>
      </c>
      <c r="K1171" s="20"/>
    </row>
    <row r="1172" spans="1:11" ht="54.75" thickBot="1">
      <c r="A1172" s="18" t="s">
        <v>5774</v>
      </c>
      <c r="B1172" s="18">
        <v>20003372781</v>
      </c>
      <c r="C1172" s="18" t="s">
        <v>5775</v>
      </c>
      <c r="D1172" s="19">
        <v>45694.711805555555</v>
      </c>
      <c r="E1172" s="18" t="s">
        <v>10</v>
      </c>
      <c r="F1172" s="18">
        <v>50</v>
      </c>
      <c r="G1172" s="18" t="s">
        <v>10</v>
      </c>
      <c r="H1172" s="18" t="s">
        <v>178</v>
      </c>
      <c r="I1172" s="18" t="s">
        <v>10</v>
      </c>
      <c r="J1172" s="18" t="s">
        <v>4017</v>
      </c>
      <c r="K1172" s="20"/>
    </row>
    <row r="1173" spans="1:11" ht="36.75" thickBot="1">
      <c r="A1173" s="18" t="s">
        <v>5776</v>
      </c>
      <c r="B1173" s="18">
        <v>20021967675</v>
      </c>
      <c r="C1173" s="18" t="s">
        <v>5777</v>
      </c>
      <c r="D1173" s="19">
        <v>45695.400694444441</v>
      </c>
      <c r="E1173" s="18" t="s">
        <v>10</v>
      </c>
      <c r="F1173" s="18">
        <v>200</v>
      </c>
      <c r="G1173" s="18" t="s">
        <v>10</v>
      </c>
      <c r="H1173" s="18" t="s">
        <v>178</v>
      </c>
      <c r="I1173" s="18" t="s">
        <v>10</v>
      </c>
      <c r="J1173" s="18" t="s">
        <v>4017</v>
      </c>
      <c r="K1173" s="20"/>
    </row>
    <row r="1174" spans="1:11" ht="54.75" thickBot="1">
      <c r="A1174" s="18" t="s">
        <v>5778</v>
      </c>
      <c r="B1174" s="18">
        <v>20002873664</v>
      </c>
      <c r="C1174" s="18" t="s">
        <v>5775</v>
      </c>
      <c r="D1174" s="19">
        <v>45695.418055555558</v>
      </c>
      <c r="E1174" s="18" t="s">
        <v>10</v>
      </c>
      <c r="F1174" s="18">
        <v>150</v>
      </c>
      <c r="G1174" s="18" t="s">
        <v>10</v>
      </c>
      <c r="H1174" s="18" t="s">
        <v>178</v>
      </c>
      <c r="I1174" s="18" t="s">
        <v>10</v>
      </c>
      <c r="J1174" s="18" t="s">
        <v>4017</v>
      </c>
      <c r="K1174" s="20"/>
    </row>
    <row r="1175" spans="1:11" ht="36.75" thickBot="1">
      <c r="A1175" s="18" t="s">
        <v>5779</v>
      </c>
      <c r="B1175" s="18">
        <v>20020386329</v>
      </c>
      <c r="C1175" s="18" t="s">
        <v>5780</v>
      </c>
      <c r="D1175" s="19">
        <v>45677.700694444444</v>
      </c>
      <c r="E1175" s="19">
        <v>45695.418055555558</v>
      </c>
      <c r="F1175" s="18">
        <v>150</v>
      </c>
      <c r="G1175" s="19">
        <v>45702.529861111114</v>
      </c>
      <c r="H1175" s="18" t="s">
        <v>236</v>
      </c>
      <c r="I1175" s="18" t="s">
        <v>10</v>
      </c>
      <c r="J1175" s="18" t="s">
        <v>4017</v>
      </c>
      <c r="K1175" s="20"/>
    </row>
    <row r="1176" spans="1:11" ht="36.75" thickBot="1">
      <c r="A1176" s="18" t="s">
        <v>5781</v>
      </c>
      <c r="B1176" s="18">
        <v>20018128165</v>
      </c>
      <c r="C1176" s="18" t="s">
        <v>4158</v>
      </c>
      <c r="D1176" s="19">
        <v>45481.731944444444</v>
      </c>
      <c r="E1176" s="19">
        <v>45695.422222222223</v>
      </c>
      <c r="F1176" s="18">
        <v>810</v>
      </c>
      <c r="G1176" s="19">
        <v>45744.55</v>
      </c>
      <c r="H1176" s="18" t="s">
        <v>236</v>
      </c>
      <c r="I1176" s="18" t="s">
        <v>10</v>
      </c>
      <c r="J1176" s="18" t="s">
        <v>4017</v>
      </c>
      <c r="K1176" s="20"/>
    </row>
    <row r="1177" spans="1:11" ht="36.75" thickBot="1">
      <c r="A1177" s="18" t="s">
        <v>5782</v>
      </c>
      <c r="B1177" s="18">
        <v>20016364341</v>
      </c>
      <c r="C1177" s="18" t="s">
        <v>5584</v>
      </c>
      <c r="D1177" s="19">
        <v>45695.425000000003</v>
      </c>
      <c r="E1177" s="18" t="s">
        <v>10</v>
      </c>
      <c r="F1177" s="18">
        <v>150</v>
      </c>
      <c r="G1177" s="18" t="s">
        <v>10</v>
      </c>
      <c r="H1177" s="18" t="s">
        <v>178</v>
      </c>
      <c r="I1177" s="18" t="s">
        <v>10</v>
      </c>
      <c r="J1177" s="18" t="s">
        <v>4017</v>
      </c>
      <c r="K1177" s="20"/>
    </row>
    <row r="1178" spans="1:11" ht="36.75" thickBot="1">
      <c r="A1178" s="18" t="s">
        <v>5783</v>
      </c>
      <c r="B1178" s="18">
        <v>20022885728</v>
      </c>
      <c r="C1178" s="18" t="s">
        <v>4597</v>
      </c>
      <c r="D1178" s="19">
        <v>45695.451388888891</v>
      </c>
      <c r="E1178" s="18" t="s">
        <v>10</v>
      </c>
      <c r="F1178" s="18">
        <v>40</v>
      </c>
      <c r="G1178" s="18" t="s">
        <v>10</v>
      </c>
      <c r="H1178" s="18" t="s">
        <v>178</v>
      </c>
      <c r="I1178" s="18" t="s">
        <v>10</v>
      </c>
      <c r="J1178" s="18" t="s">
        <v>4017</v>
      </c>
      <c r="K1178" s="20"/>
    </row>
    <row r="1179" spans="1:11" ht="36.75" thickBot="1">
      <c r="A1179" s="18" t="s">
        <v>5784</v>
      </c>
      <c r="B1179" s="18">
        <v>20002981308</v>
      </c>
      <c r="C1179" s="18" t="s">
        <v>4628</v>
      </c>
      <c r="D1179" s="19">
        <v>45695.462500000001</v>
      </c>
      <c r="E1179" s="18" t="s">
        <v>10</v>
      </c>
      <c r="F1179" s="18">
        <v>30</v>
      </c>
      <c r="G1179" s="18" t="s">
        <v>10</v>
      </c>
      <c r="H1179" s="18" t="s">
        <v>178</v>
      </c>
      <c r="I1179" s="18" t="s">
        <v>10</v>
      </c>
      <c r="J1179" s="18" t="s">
        <v>4017</v>
      </c>
      <c r="K1179" s="20"/>
    </row>
    <row r="1180" spans="1:11" ht="36.75" thickBot="1">
      <c r="A1180" s="18" t="s">
        <v>5785</v>
      </c>
      <c r="B1180" s="18">
        <v>20003503334</v>
      </c>
      <c r="C1180" s="18" t="s">
        <v>5786</v>
      </c>
      <c r="D1180" s="19">
        <v>45630.837500000001</v>
      </c>
      <c r="E1180" s="19">
        <v>45695.491666666669</v>
      </c>
      <c r="F1180" s="18">
        <v>250</v>
      </c>
      <c r="G1180" s="18" t="s">
        <v>10</v>
      </c>
      <c r="H1180" s="18" t="s">
        <v>178</v>
      </c>
      <c r="I1180" s="18" t="s">
        <v>10</v>
      </c>
      <c r="J1180" s="18" t="s">
        <v>4017</v>
      </c>
      <c r="K1180" s="20"/>
    </row>
    <row r="1181" spans="1:11" ht="36.75" thickBot="1">
      <c r="A1181" s="18" t="s">
        <v>5787</v>
      </c>
      <c r="B1181" s="18">
        <v>20024121521</v>
      </c>
      <c r="C1181" s="18" t="s">
        <v>4369</v>
      </c>
      <c r="D1181" s="19">
        <v>45674.666666666664</v>
      </c>
      <c r="E1181" s="19">
        <v>45695.522916666669</v>
      </c>
      <c r="F1181" s="18">
        <v>130</v>
      </c>
      <c r="G1181" s="18" t="s">
        <v>10</v>
      </c>
      <c r="H1181" s="18" t="s">
        <v>178</v>
      </c>
      <c r="I1181" s="18" t="s">
        <v>10</v>
      </c>
      <c r="J1181" s="18" t="s">
        <v>4017</v>
      </c>
      <c r="K1181" s="20"/>
    </row>
    <row r="1182" spans="1:11" ht="36.75" thickBot="1">
      <c r="A1182" s="18" t="s">
        <v>5788</v>
      </c>
      <c r="B1182" s="18">
        <v>20019647602</v>
      </c>
      <c r="C1182" s="18" t="s">
        <v>5650</v>
      </c>
      <c r="D1182" s="19">
        <v>45695.754166666666</v>
      </c>
      <c r="E1182" s="18" t="s">
        <v>10</v>
      </c>
      <c r="F1182" s="18">
        <v>190</v>
      </c>
      <c r="G1182" s="18" t="s">
        <v>10</v>
      </c>
      <c r="H1182" s="18" t="s">
        <v>178</v>
      </c>
      <c r="I1182" s="18" t="s">
        <v>10</v>
      </c>
      <c r="J1182" s="18" t="s">
        <v>4017</v>
      </c>
      <c r="K1182" s="20"/>
    </row>
    <row r="1183" spans="1:11" ht="72.75" thickBot="1">
      <c r="A1183" s="18" t="s">
        <v>5789</v>
      </c>
      <c r="B1183" s="18">
        <v>20003423738</v>
      </c>
      <c r="C1183" s="18" t="s">
        <v>5262</v>
      </c>
      <c r="D1183" s="19">
        <v>45686.736111111109</v>
      </c>
      <c r="E1183" s="19">
        <v>45695.767361111109</v>
      </c>
      <c r="F1183" s="18">
        <v>100</v>
      </c>
      <c r="G1183" s="19">
        <v>45743.606944444444</v>
      </c>
      <c r="H1183" s="18" t="s">
        <v>2688</v>
      </c>
      <c r="I1183" s="18" t="s">
        <v>10</v>
      </c>
      <c r="J1183" s="18" t="s">
        <v>4017</v>
      </c>
      <c r="K1183" s="20"/>
    </row>
    <row r="1184" spans="1:11" ht="36.75" thickBot="1">
      <c r="A1184" s="18" t="s">
        <v>5790</v>
      </c>
      <c r="B1184" s="18">
        <v>20022606966</v>
      </c>
      <c r="C1184" s="18" t="s">
        <v>5275</v>
      </c>
      <c r="D1184" s="19">
        <v>45695.779861111114</v>
      </c>
      <c r="E1184" s="18" t="s">
        <v>10</v>
      </c>
      <c r="F1184" s="18">
        <v>100</v>
      </c>
      <c r="G1184" s="19">
        <v>45750.552777777775</v>
      </c>
      <c r="H1184" s="18" t="s">
        <v>236</v>
      </c>
      <c r="I1184" s="18" t="s">
        <v>10</v>
      </c>
      <c r="J1184" s="18" t="s">
        <v>4017</v>
      </c>
      <c r="K1184" s="20"/>
    </row>
    <row r="1185" spans="1:11" ht="36.75" thickBot="1">
      <c r="A1185" s="18" t="s">
        <v>5791</v>
      </c>
      <c r="B1185" s="18">
        <v>20022282266</v>
      </c>
      <c r="C1185" s="18" t="s">
        <v>5443</v>
      </c>
      <c r="D1185" s="19">
        <v>45696.442361111112</v>
      </c>
      <c r="E1185" s="18" t="s">
        <v>10</v>
      </c>
      <c r="F1185" s="18">
        <v>30</v>
      </c>
      <c r="G1185" s="19">
        <v>45705.558333333334</v>
      </c>
      <c r="H1185" s="18" t="s">
        <v>236</v>
      </c>
      <c r="I1185" s="18" t="s">
        <v>10</v>
      </c>
      <c r="J1185" s="18" t="s">
        <v>4017</v>
      </c>
      <c r="K1185" s="20"/>
    </row>
    <row r="1186" spans="1:11" ht="36.75" thickBot="1">
      <c r="A1186" s="18" t="s">
        <v>5792</v>
      </c>
      <c r="B1186" s="18">
        <v>20025749527</v>
      </c>
      <c r="C1186" s="18" t="s">
        <v>5124</v>
      </c>
      <c r="D1186" s="19">
        <v>45696.63958333333</v>
      </c>
      <c r="E1186" s="18" t="s">
        <v>10</v>
      </c>
      <c r="F1186" s="18">
        <v>100</v>
      </c>
      <c r="G1186" s="18" t="s">
        <v>10</v>
      </c>
      <c r="H1186" s="18" t="s">
        <v>178</v>
      </c>
      <c r="I1186" s="18" t="s">
        <v>10</v>
      </c>
      <c r="J1186" s="18" t="s">
        <v>4017</v>
      </c>
      <c r="K1186" s="20"/>
    </row>
    <row r="1187" spans="1:11" ht="36.75" thickBot="1">
      <c r="A1187" s="18" t="s">
        <v>5793</v>
      </c>
      <c r="B1187" s="18">
        <v>20020672844</v>
      </c>
      <c r="C1187" s="18" t="s">
        <v>5128</v>
      </c>
      <c r="D1187" s="19">
        <v>45691.442361111112</v>
      </c>
      <c r="E1187" s="19">
        <v>45696.640972222223</v>
      </c>
      <c r="F1187" s="18">
        <v>100</v>
      </c>
      <c r="G1187" s="19">
        <v>45699.497916666667</v>
      </c>
      <c r="H1187" s="18" t="s">
        <v>236</v>
      </c>
      <c r="I1187" s="18" t="s">
        <v>10</v>
      </c>
      <c r="J1187" s="18" t="s">
        <v>4017</v>
      </c>
      <c r="K1187" s="20"/>
    </row>
    <row r="1188" spans="1:11" ht="36.75" thickBot="1">
      <c r="A1188" s="18" t="s">
        <v>5794</v>
      </c>
      <c r="B1188" s="18">
        <v>20002932562</v>
      </c>
      <c r="C1188" s="18">
        <v>3102101891992</v>
      </c>
      <c r="D1188" s="19">
        <v>45696.677083333336</v>
      </c>
      <c r="E1188" s="18" t="s">
        <v>10</v>
      </c>
      <c r="F1188" s="18">
        <v>50</v>
      </c>
      <c r="G1188" s="18" t="s">
        <v>10</v>
      </c>
      <c r="H1188" s="18" t="s">
        <v>178</v>
      </c>
      <c r="I1188" s="18" t="s">
        <v>10</v>
      </c>
      <c r="J1188" s="18" t="s">
        <v>4017</v>
      </c>
      <c r="K1188" s="20"/>
    </row>
    <row r="1189" spans="1:11" ht="36.75" thickBot="1">
      <c r="A1189" s="18" t="s">
        <v>5795</v>
      </c>
      <c r="B1189" s="18">
        <v>20017639155</v>
      </c>
      <c r="C1189" s="18" t="s">
        <v>5198</v>
      </c>
      <c r="D1189" s="19">
        <v>45693.536111111112</v>
      </c>
      <c r="E1189" s="19">
        <v>45696.678472222222</v>
      </c>
      <c r="F1189" s="18">
        <v>50</v>
      </c>
      <c r="G1189" s="19">
        <v>45705.477777777778</v>
      </c>
      <c r="H1189" s="18" t="s">
        <v>236</v>
      </c>
      <c r="I1189" s="18" t="s">
        <v>10</v>
      </c>
      <c r="J1189" s="18" t="s">
        <v>4017</v>
      </c>
      <c r="K1189" s="20"/>
    </row>
    <row r="1190" spans="1:11" ht="36.75" thickBot="1">
      <c r="A1190" s="18" t="s">
        <v>5796</v>
      </c>
      <c r="B1190" s="18">
        <v>20002932562</v>
      </c>
      <c r="C1190" s="18" t="s">
        <v>5514</v>
      </c>
      <c r="D1190" s="19">
        <v>45696.695138888892</v>
      </c>
      <c r="E1190" s="18" t="s">
        <v>10</v>
      </c>
      <c r="F1190" s="18">
        <v>50</v>
      </c>
      <c r="G1190" s="18" t="s">
        <v>10</v>
      </c>
      <c r="H1190" s="18" t="s">
        <v>178</v>
      </c>
      <c r="I1190" s="18" t="s">
        <v>10</v>
      </c>
      <c r="J1190" s="18" t="s">
        <v>4017</v>
      </c>
      <c r="K1190" s="20"/>
    </row>
    <row r="1191" spans="1:11" ht="36.75" thickBot="1">
      <c r="A1191" s="18" t="s">
        <v>5797</v>
      </c>
      <c r="B1191" s="18">
        <v>20024008034</v>
      </c>
      <c r="C1191" s="18" t="s">
        <v>4506</v>
      </c>
      <c r="D1191" s="19">
        <v>45687.890277777777</v>
      </c>
      <c r="E1191" s="19">
        <v>45696.820833333331</v>
      </c>
      <c r="F1191" s="18">
        <v>150</v>
      </c>
      <c r="G1191" s="19">
        <v>45705.55</v>
      </c>
      <c r="H1191" s="18" t="s">
        <v>236</v>
      </c>
      <c r="I1191" s="18" t="s">
        <v>10</v>
      </c>
      <c r="J1191" s="18" t="s">
        <v>4017</v>
      </c>
      <c r="K1191" s="20"/>
    </row>
    <row r="1192" spans="1:11" ht="36.75" thickBot="1">
      <c r="A1192" s="18" t="s">
        <v>5798</v>
      </c>
      <c r="B1192" s="18">
        <v>20018122147</v>
      </c>
      <c r="C1192" s="18" t="s">
        <v>4247</v>
      </c>
      <c r="D1192" s="19">
        <v>45696.875694444447</v>
      </c>
      <c r="E1192" s="18" t="s">
        <v>10</v>
      </c>
      <c r="F1192" s="18">
        <v>400</v>
      </c>
      <c r="G1192" s="18" t="s">
        <v>10</v>
      </c>
      <c r="H1192" s="18" t="s">
        <v>178</v>
      </c>
      <c r="I1192" s="18" t="s">
        <v>10</v>
      </c>
      <c r="J1192" s="18" t="s">
        <v>4017</v>
      </c>
      <c r="K1192" s="20"/>
    </row>
    <row r="1193" spans="1:11" ht="36.75" thickBot="1">
      <c r="A1193" s="18" t="s">
        <v>5799</v>
      </c>
      <c r="B1193" s="18">
        <v>20024723845</v>
      </c>
      <c r="C1193" s="18" t="s">
        <v>2257</v>
      </c>
      <c r="D1193" s="19">
        <v>45697.727083333331</v>
      </c>
      <c r="E1193" s="18" t="s">
        <v>10</v>
      </c>
      <c r="F1193" s="18">
        <v>17</v>
      </c>
      <c r="G1193" s="18" t="s">
        <v>10</v>
      </c>
      <c r="H1193" s="18" t="s">
        <v>178</v>
      </c>
      <c r="I1193" s="18" t="s">
        <v>10</v>
      </c>
      <c r="J1193" s="18" t="s">
        <v>4017</v>
      </c>
      <c r="K1193" s="20"/>
    </row>
    <row r="1194" spans="1:11" ht="36.75" thickBot="1">
      <c r="A1194" s="18" t="s">
        <v>5800</v>
      </c>
      <c r="B1194" s="18">
        <v>20025021774</v>
      </c>
      <c r="C1194" s="18" t="s">
        <v>5576</v>
      </c>
      <c r="D1194" s="19">
        <v>45687.573611111111</v>
      </c>
      <c r="E1194" s="19">
        <v>45697.765277777777</v>
      </c>
      <c r="F1194" s="18">
        <v>60</v>
      </c>
      <c r="G1194" s="18" t="s">
        <v>10</v>
      </c>
      <c r="H1194" s="18" t="s">
        <v>178</v>
      </c>
      <c r="I1194" s="18" t="s">
        <v>10</v>
      </c>
      <c r="J1194" s="18" t="s">
        <v>4017</v>
      </c>
      <c r="K1194" s="20"/>
    </row>
    <row r="1195" spans="1:11" ht="72.75" thickBot="1">
      <c r="A1195" s="18" t="s">
        <v>5801</v>
      </c>
      <c r="B1195" s="18">
        <v>20003162571</v>
      </c>
      <c r="C1195" s="18" t="s">
        <v>4733</v>
      </c>
      <c r="D1195" s="19">
        <v>45686.588888888888</v>
      </c>
      <c r="E1195" s="19">
        <v>45697.864583333336</v>
      </c>
      <c r="F1195" s="18">
        <v>120</v>
      </c>
      <c r="G1195" s="19">
        <v>45720.570833333331</v>
      </c>
      <c r="H1195" s="18" t="s">
        <v>2688</v>
      </c>
      <c r="I1195" s="18" t="s">
        <v>10</v>
      </c>
      <c r="J1195" s="18" t="s">
        <v>4017</v>
      </c>
      <c r="K1195" s="20"/>
    </row>
    <row r="1196" spans="1:11" ht="72.75" thickBot="1">
      <c r="A1196" s="18" t="s">
        <v>5802</v>
      </c>
      <c r="B1196" s="18">
        <v>20003410000</v>
      </c>
      <c r="C1196" s="18" t="s">
        <v>5254</v>
      </c>
      <c r="D1196" s="19">
        <v>45664.532638888886</v>
      </c>
      <c r="E1196" s="19">
        <v>45698.458333333336</v>
      </c>
      <c r="F1196" s="18">
        <v>30</v>
      </c>
      <c r="G1196" s="19">
        <v>45706.585416666669</v>
      </c>
      <c r="H1196" s="18" t="s">
        <v>2688</v>
      </c>
      <c r="I1196" s="18" t="s">
        <v>10</v>
      </c>
      <c r="J1196" s="18" t="s">
        <v>4017</v>
      </c>
      <c r="K1196" s="20"/>
    </row>
    <row r="1197" spans="1:11" ht="36.75" thickBot="1">
      <c r="A1197" s="18" t="s">
        <v>5803</v>
      </c>
      <c r="B1197" s="18">
        <v>20003127538</v>
      </c>
      <c r="C1197" s="18" t="s">
        <v>5804</v>
      </c>
      <c r="D1197" s="19">
        <v>45636.436111111114</v>
      </c>
      <c r="E1197" s="19">
        <v>45698.48541666667</v>
      </c>
      <c r="F1197" s="18">
        <v>100</v>
      </c>
      <c r="G1197" s="19">
        <v>45720.618750000001</v>
      </c>
      <c r="H1197" s="18" t="s">
        <v>236</v>
      </c>
      <c r="I1197" s="18" t="s">
        <v>10</v>
      </c>
      <c r="J1197" s="18" t="s">
        <v>4017</v>
      </c>
      <c r="K1197" s="20"/>
    </row>
    <row r="1198" spans="1:11" ht="36.75" thickBot="1">
      <c r="A1198" s="18" t="s">
        <v>5805</v>
      </c>
      <c r="B1198" s="18">
        <v>20010799734</v>
      </c>
      <c r="C1198" s="18" t="s">
        <v>5806</v>
      </c>
      <c r="D1198" s="19">
        <v>45635.638888888891</v>
      </c>
      <c r="E1198" s="19">
        <v>45698.489583333336</v>
      </c>
      <c r="F1198" s="18">
        <v>200</v>
      </c>
      <c r="G1198" s="18" t="s">
        <v>10</v>
      </c>
      <c r="H1198" s="18" t="s">
        <v>178</v>
      </c>
      <c r="I1198" s="18" t="s">
        <v>10</v>
      </c>
      <c r="J1198" s="18" t="s">
        <v>4017</v>
      </c>
      <c r="K1198" s="20"/>
    </row>
    <row r="1199" spans="1:11" ht="36.75" thickBot="1">
      <c r="A1199" s="18" t="s">
        <v>5807</v>
      </c>
      <c r="B1199" s="18">
        <v>20003215412</v>
      </c>
      <c r="C1199" s="18" t="s">
        <v>1078</v>
      </c>
      <c r="D1199" s="19">
        <v>45609.630555555559</v>
      </c>
      <c r="E1199" s="19">
        <v>45698.495138888888</v>
      </c>
      <c r="F1199" s="18">
        <v>175</v>
      </c>
      <c r="G1199" s="19">
        <v>45712.462500000001</v>
      </c>
      <c r="H1199" s="18" t="s">
        <v>236</v>
      </c>
      <c r="I1199" s="18" t="s">
        <v>10</v>
      </c>
      <c r="J1199" s="18" t="s">
        <v>4017</v>
      </c>
      <c r="K1199" s="20"/>
    </row>
    <row r="1200" spans="1:11" ht="36.75" thickBot="1">
      <c r="A1200" s="18" t="s">
        <v>5808</v>
      </c>
      <c r="B1200" s="18">
        <v>20003181352</v>
      </c>
      <c r="C1200" s="18" t="s">
        <v>5809</v>
      </c>
      <c r="D1200" s="19">
        <v>45671.661111111112</v>
      </c>
      <c r="E1200" s="19">
        <v>45698.557638888888</v>
      </c>
      <c r="F1200" s="18">
        <v>100</v>
      </c>
      <c r="G1200" s="19">
        <v>45722.577777777777</v>
      </c>
      <c r="H1200" s="18" t="s">
        <v>236</v>
      </c>
      <c r="I1200" s="18" t="s">
        <v>10</v>
      </c>
      <c r="J1200" s="18" t="s">
        <v>4017</v>
      </c>
      <c r="K1200" s="20"/>
    </row>
    <row r="1201" spans="1:11" ht="36.75" thickBot="1">
      <c r="A1201" s="18" t="s">
        <v>5810</v>
      </c>
      <c r="B1201" s="18">
        <v>20003511942</v>
      </c>
      <c r="C1201" s="18" t="s">
        <v>5292</v>
      </c>
      <c r="D1201" s="19">
        <v>45672.804166666669</v>
      </c>
      <c r="E1201" s="19">
        <v>45698.581250000003</v>
      </c>
      <c r="F1201" s="18">
        <v>125</v>
      </c>
      <c r="G1201" s="19">
        <v>45723.439583333333</v>
      </c>
      <c r="H1201" s="18" t="s">
        <v>236</v>
      </c>
      <c r="I1201" s="18" t="s">
        <v>10</v>
      </c>
      <c r="J1201" s="18" t="s">
        <v>4017</v>
      </c>
      <c r="K1201" s="1"/>
    </row>
    <row r="1202" spans="1:11" ht="36.75" thickBot="1">
      <c r="A1202" s="21" t="s">
        <v>5811</v>
      </c>
      <c r="B1202" s="21">
        <v>20001433628</v>
      </c>
      <c r="C1202" s="21" t="s">
        <v>5812</v>
      </c>
      <c r="D1202" s="22">
        <v>45698.648611111108</v>
      </c>
      <c r="E1202" s="21" t="s">
        <v>10</v>
      </c>
      <c r="F1202" s="21">
        <v>516</v>
      </c>
      <c r="G1202" s="21" t="s">
        <v>10</v>
      </c>
      <c r="H1202" s="21" t="s">
        <v>178</v>
      </c>
      <c r="I1202" s="21" t="s">
        <v>10</v>
      </c>
      <c r="J1202" s="21" t="s">
        <v>4017</v>
      </c>
      <c r="K1202" s="20"/>
    </row>
    <row r="1203" spans="1:11" ht="36.75" thickBot="1">
      <c r="A1203" s="18" t="s">
        <v>5813</v>
      </c>
      <c r="B1203" s="18">
        <v>20003127733</v>
      </c>
      <c r="C1203" s="18" t="s">
        <v>5111</v>
      </c>
      <c r="D1203" s="19">
        <v>45698.669444444444</v>
      </c>
      <c r="E1203" s="18" t="s">
        <v>10</v>
      </c>
      <c r="F1203" s="18">
        <v>400</v>
      </c>
      <c r="G1203" s="18" t="s">
        <v>10</v>
      </c>
      <c r="H1203" s="18" t="s">
        <v>178</v>
      </c>
      <c r="I1203" s="18" t="s">
        <v>10</v>
      </c>
      <c r="J1203" s="18" t="s">
        <v>4017</v>
      </c>
      <c r="K1203" s="20"/>
    </row>
    <row r="1204" spans="1:11" ht="36.75" thickBot="1">
      <c r="A1204" s="18" t="s">
        <v>5814</v>
      </c>
      <c r="B1204" s="18">
        <v>20003480861</v>
      </c>
      <c r="C1204" s="18" t="s">
        <v>4175</v>
      </c>
      <c r="D1204" s="19">
        <v>45698.726388888892</v>
      </c>
      <c r="E1204" s="18" t="s">
        <v>10</v>
      </c>
      <c r="F1204" s="18">
        <v>500</v>
      </c>
      <c r="G1204" s="18" t="s">
        <v>10</v>
      </c>
      <c r="H1204" s="18" t="s">
        <v>178</v>
      </c>
      <c r="I1204" s="18" t="s">
        <v>10</v>
      </c>
      <c r="J1204" s="18" t="s">
        <v>4017</v>
      </c>
      <c r="K1204" s="20"/>
    </row>
    <row r="1205" spans="1:11" ht="54.75" thickBot="1">
      <c r="A1205" s="18" t="s">
        <v>5815</v>
      </c>
      <c r="B1205" s="18">
        <v>20026425916</v>
      </c>
      <c r="C1205" s="18" t="s">
        <v>4664</v>
      </c>
      <c r="D1205" s="19">
        <v>45667.836111111108</v>
      </c>
      <c r="E1205" s="19">
        <v>45698.772222222222</v>
      </c>
      <c r="F1205" s="18">
        <v>150</v>
      </c>
      <c r="G1205" s="19">
        <v>45716.614583333336</v>
      </c>
      <c r="H1205" s="18" t="s">
        <v>236</v>
      </c>
      <c r="I1205" s="18" t="s">
        <v>10</v>
      </c>
      <c r="J1205" s="18" t="s">
        <v>4017</v>
      </c>
      <c r="K1205" s="20"/>
    </row>
    <row r="1206" spans="1:11" ht="36.75" thickBot="1">
      <c r="A1206" s="18" t="s">
        <v>5816</v>
      </c>
      <c r="B1206" s="18">
        <v>20026735962</v>
      </c>
      <c r="C1206" s="18" t="s">
        <v>5817</v>
      </c>
      <c r="D1206" s="19">
        <v>45698.894444444442</v>
      </c>
      <c r="E1206" s="18" t="s">
        <v>10</v>
      </c>
      <c r="F1206" s="18">
        <v>30</v>
      </c>
      <c r="G1206" s="18" t="s">
        <v>10</v>
      </c>
      <c r="H1206" s="18" t="s">
        <v>178</v>
      </c>
      <c r="I1206" s="18" t="s">
        <v>10</v>
      </c>
      <c r="J1206" s="18" t="s">
        <v>4017</v>
      </c>
      <c r="K1206" s="20"/>
    </row>
    <row r="1207" spans="1:11" ht="36.75" thickBot="1">
      <c r="A1207" s="18" t="s">
        <v>5818</v>
      </c>
      <c r="B1207" s="18">
        <v>20020872289</v>
      </c>
      <c r="C1207" s="18" t="s">
        <v>4358</v>
      </c>
      <c r="D1207" s="19">
        <v>45674.496527777781</v>
      </c>
      <c r="E1207" s="19">
        <v>45699.495138888888</v>
      </c>
      <c r="F1207" s="18">
        <v>180</v>
      </c>
      <c r="G1207" s="19">
        <v>45723.411111111112</v>
      </c>
      <c r="H1207" s="18" t="s">
        <v>236</v>
      </c>
      <c r="I1207" s="18" t="s">
        <v>10</v>
      </c>
      <c r="J1207" s="18" t="s">
        <v>4017</v>
      </c>
      <c r="K1207" s="20"/>
    </row>
    <row r="1208" spans="1:11" ht="36.75" thickBot="1">
      <c r="A1208" s="18" t="s">
        <v>5819</v>
      </c>
      <c r="B1208" s="18">
        <v>20023948364</v>
      </c>
      <c r="C1208" s="18" t="s">
        <v>5817</v>
      </c>
      <c r="D1208" s="19">
        <v>45699.506944444445</v>
      </c>
      <c r="E1208" s="18" t="s">
        <v>10</v>
      </c>
      <c r="F1208" s="18">
        <v>30</v>
      </c>
      <c r="G1208" s="18" t="s">
        <v>10</v>
      </c>
      <c r="H1208" s="18" t="s">
        <v>178</v>
      </c>
      <c r="I1208" s="18" t="s">
        <v>10</v>
      </c>
      <c r="J1208" s="18" t="s">
        <v>4017</v>
      </c>
      <c r="K1208" s="20"/>
    </row>
    <row r="1209" spans="1:11" ht="36.75" thickBot="1">
      <c r="A1209" s="18" t="s">
        <v>5820</v>
      </c>
      <c r="B1209" s="18">
        <v>20003396871</v>
      </c>
      <c r="C1209" s="18" t="s">
        <v>5821</v>
      </c>
      <c r="D1209" s="19">
        <v>45663.693749999999</v>
      </c>
      <c r="E1209" s="19">
        <v>45699.574999999997</v>
      </c>
      <c r="F1209" s="18">
        <v>30</v>
      </c>
      <c r="G1209" s="19">
        <v>45706.585416666669</v>
      </c>
      <c r="H1209" s="18" t="s">
        <v>2654</v>
      </c>
      <c r="I1209" s="18" t="s">
        <v>10</v>
      </c>
      <c r="J1209" s="18" t="s">
        <v>4017</v>
      </c>
      <c r="K1209" s="20"/>
    </row>
    <row r="1210" spans="1:11" ht="36.75" thickBot="1">
      <c r="A1210" s="18" t="s">
        <v>5822</v>
      </c>
      <c r="B1210" s="18">
        <v>20002897771</v>
      </c>
      <c r="C1210" s="18" t="s">
        <v>5823</v>
      </c>
      <c r="D1210" s="19">
        <v>45666.704861111109</v>
      </c>
      <c r="E1210" s="19">
        <v>45699.588194444441</v>
      </c>
      <c r="F1210" s="18">
        <v>50</v>
      </c>
      <c r="G1210" s="18" t="s">
        <v>10</v>
      </c>
      <c r="H1210" s="18" t="s">
        <v>178</v>
      </c>
      <c r="I1210" s="18" t="s">
        <v>10</v>
      </c>
      <c r="J1210" s="18" t="s">
        <v>4017</v>
      </c>
      <c r="K1210" s="20"/>
    </row>
    <row r="1211" spans="1:11" ht="72.75" thickBot="1">
      <c r="A1211" s="18" t="s">
        <v>5824</v>
      </c>
      <c r="B1211" s="18">
        <v>20003518957</v>
      </c>
      <c r="C1211" s="18" t="s">
        <v>5825</v>
      </c>
      <c r="D1211" s="19">
        <v>45699.588888888888</v>
      </c>
      <c r="E1211" s="18" t="s">
        <v>10</v>
      </c>
      <c r="F1211" s="18">
        <v>50</v>
      </c>
      <c r="G1211" s="19">
        <v>45748.593055555553</v>
      </c>
      <c r="H1211" s="18" t="s">
        <v>2688</v>
      </c>
      <c r="I1211" s="18" t="s">
        <v>10</v>
      </c>
      <c r="J1211" s="18" t="s">
        <v>4017</v>
      </c>
      <c r="K1211" s="20"/>
    </row>
    <row r="1212" spans="1:11" ht="36.75" thickBot="1">
      <c r="A1212" s="18" t="s">
        <v>5826</v>
      </c>
      <c r="B1212" s="18">
        <v>20003405317</v>
      </c>
      <c r="C1212" s="18" t="s">
        <v>5397</v>
      </c>
      <c r="D1212" s="19">
        <v>45699.59652777778</v>
      </c>
      <c r="E1212" s="18" t="s">
        <v>10</v>
      </c>
      <c r="F1212" s="18">
        <v>800</v>
      </c>
      <c r="G1212" s="18" t="s">
        <v>10</v>
      </c>
      <c r="H1212" s="18" t="s">
        <v>178</v>
      </c>
      <c r="I1212" s="18" t="s">
        <v>10</v>
      </c>
      <c r="J1212" s="18" t="s">
        <v>4017</v>
      </c>
      <c r="K1212" s="20"/>
    </row>
    <row r="1213" spans="1:11" ht="36.75" thickBot="1">
      <c r="A1213" s="18" t="s">
        <v>5827</v>
      </c>
      <c r="B1213" s="18">
        <v>20022042542</v>
      </c>
      <c r="C1213" s="18" t="s">
        <v>5397</v>
      </c>
      <c r="D1213" s="19">
        <v>45699.605555555558</v>
      </c>
      <c r="E1213" s="18" t="s">
        <v>10</v>
      </c>
      <c r="F1213" s="18">
        <v>850</v>
      </c>
      <c r="G1213" s="18" t="s">
        <v>10</v>
      </c>
      <c r="H1213" s="18" t="s">
        <v>178</v>
      </c>
      <c r="I1213" s="18" t="s">
        <v>10</v>
      </c>
      <c r="J1213" s="18" t="s">
        <v>4017</v>
      </c>
      <c r="K1213" s="20"/>
    </row>
    <row r="1214" spans="1:11" ht="36.75" thickBot="1">
      <c r="A1214" s="18" t="s">
        <v>5828</v>
      </c>
      <c r="B1214" s="18">
        <v>20003251342</v>
      </c>
      <c r="C1214" s="18" t="s">
        <v>5408</v>
      </c>
      <c r="D1214" s="19">
        <v>45684.427777777775</v>
      </c>
      <c r="E1214" s="19">
        <v>45699.65</v>
      </c>
      <c r="F1214" s="18">
        <v>50</v>
      </c>
      <c r="G1214" s="19">
        <v>45722.600694444445</v>
      </c>
      <c r="H1214" s="18" t="s">
        <v>236</v>
      </c>
      <c r="I1214" s="18" t="s">
        <v>10</v>
      </c>
      <c r="J1214" s="18" t="s">
        <v>4017</v>
      </c>
      <c r="K1214" s="20"/>
    </row>
    <row r="1215" spans="1:11" ht="36.75" thickBot="1">
      <c r="A1215" s="18" t="s">
        <v>5829</v>
      </c>
      <c r="B1215" s="18">
        <v>20002885516</v>
      </c>
      <c r="C1215" s="18" t="s">
        <v>4677</v>
      </c>
      <c r="D1215" s="19">
        <v>45595.454861111109</v>
      </c>
      <c r="E1215" s="19">
        <v>45699.693055555559</v>
      </c>
      <c r="F1215" s="18">
        <v>40</v>
      </c>
      <c r="G1215" s="19">
        <v>45730.611111111109</v>
      </c>
      <c r="H1215" s="18" t="s">
        <v>236</v>
      </c>
      <c r="I1215" s="18" t="s">
        <v>10</v>
      </c>
      <c r="J1215" s="18" t="s">
        <v>4017</v>
      </c>
      <c r="K1215" s="20"/>
    </row>
    <row r="1216" spans="1:11" ht="36.75" thickBot="1">
      <c r="A1216" s="18" t="s">
        <v>5830</v>
      </c>
      <c r="B1216" s="18">
        <v>20027234836</v>
      </c>
      <c r="C1216" s="18" t="s">
        <v>5288</v>
      </c>
      <c r="D1216" s="19">
        <v>45699.729861111111</v>
      </c>
      <c r="E1216" s="18" t="s">
        <v>10</v>
      </c>
      <c r="F1216" s="18">
        <v>100</v>
      </c>
      <c r="G1216" s="18" t="s">
        <v>10</v>
      </c>
      <c r="H1216" s="18" t="s">
        <v>178</v>
      </c>
      <c r="I1216" s="18" t="s">
        <v>10</v>
      </c>
      <c r="J1216" s="18" t="s">
        <v>4017</v>
      </c>
      <c r="K1216" s="20"/>
    </row>
    <row r="1217" spans="1:11" ht="36.75" thickBot="1">
      <c r="A1217" s="18" t="s">
        <v>5831</v>
      </c>
      <c r="B1217" s="18">
        <v>20027026142</v>
      </c>
      <c r="C1217" s="18" t="s">
        <v>5713</v>
      </c>
      <c r="D1217" s="19">
        <v>45699.782638888886</v>
      </c>
      <c r="E1217" s="18" t="s">
        <v>10</v>
      </c>
      <c r="F1217" s="18">
        <v>50</v>
      </c>
      <c r="G1217" s="18" t="s">
        <v>10</v>
      </c>
      <c r="H1217" s="18" t="s">
        <v>178</v>
      </c>
      <c r="I1217" s="18" t="s">
        <v>10</v>
      </c>
      <c r="J1217" s="18" t="s">
        <v>4017</v>
      </c>
      <c r="K1217" s="20"/>
    </row>
    <row r="1218" spans="1:11" ht="36.75" thickBot="1">
      <c r="A1218" s="18" t="s">
        <v>5832</v>
      </c>
      <c r="B1218" s="18">
        <v>20003228500</v>
      </c>
      <c r="C1218" s="18" t="s">
        <v>5419</v>
      </c>
      <c r="D1218" s="19">
        <v>45699.85</v>
      </c>
      <c r="E1218" s="18" t="s">
        <v>10</v>
      </c>
      <c r="F1218" s="18">
        <v>540</v>
      </c>
      <c r="G1218" s="18" t="s">
        <v>10</v>
      </c>
      <c r="H1218" s="18" t="s">
        <v>178</v>
      </c>
      <c r="I1218" s="18" t="s">
        <v>10</v>
      </c>
      <c r="J1218" s="18" t="s">
        <v>4017</v>
      </c>
      <c r="K1218" s="20"/>
    </row>
    <row r="1219" spans="1:11" ht="36.75" thickBot="1">
      <c r="A1219" s="18" t="s">
        <v>5833</v>
      </c>
      <c r="B1219" s="18">
        <v>20002939222</v>
      </c>
      <c r="C1219" s="18" t="s">
        <v>4465</v>
      </c>
      <c r="D1219" s="19">
        <v>45700.443749999999</v>
      </c>
      <c r="E1219" s="18" t="s">
        <v>10</v>
      </c>
      <c r="F1219" s="18">
        <v>200</v>
      </c>
      <c r="G1219" s="19">
        <v>45740.461805555555</v>
      </c>
      <c r="H1219" s="18" t="s">
        <v>2654</v>
      </c>
      <c r="I1219" s="18" t="s">
        <v>10</v>
      </c>
      <c r="J1219" s="18" t="s">
        <v>4017</v>
      </c>
      <c r="K1219" s="20"/>
    </row>
    <row r="1220" spans="1:11" ht="36.75" thickBot="1">
      <c r="A1220" s="18" t="s">
        <v>5834</v>
      </c>
      <c r="B1220" s="18">
        <v>20002939222</v>
      </c>
      <c r="C1220" s="18" t="s">
        <v>4465</v>
      </c>
      <c r="D1220" s="19">
        <v>45700.453472222223</v>
      </c>
      <c r="E1220" s="18" t="s">
        <v>10</v>
      </c>
      <c r="F1220" s="18">
        <v>200</v>
      </c>
      <c r="G1220" s="18" t="s">
        <v>10</v>
      </c>
      <c r="H1220" s="18" t="s">
        <v>178</v>
      </c>
      <c r="I1220" s="18" t="s">
        <v>10</v>
      </c>
      <c r="J1220" s="18" t="s">
        <v>4017</v>
      </c>
      <c r="K1220" s="20"/>
    </row>
    <row r="1221" spans="1:11" ht="36.75" thickBot="1">
      <c r="A1221" s="18" t="s">
        <v>5835</v>
      </c>
      <c r="B1221" s="18">
        <v>20027897419</v>
      </c>
      <c r="C1221" s="18" t="s">
        <v>1062</v>
      </c>
      <c r="D1221" s="19">
        <v>45700.494444444441</v>
      </c>
      <c r="E1221" s="18" t="s">
        <v>10</v>
      </c>
      <c r="F1221" s="18">
        <v>100</v>
      </c>
      <c r="G1221" s="18" t="s">
        <v>10</v>
      </c>
      <c r="H1221" s="18" t="s">
        <v>178</v>
      </c>
      <c r="I1221" s="18" t="s">
        <v>10</v>
      </c>
      <c r="J1221" s="18" t="s">
        <v>4017</v>
      </c>
      <c r="K1221" s="20"/>
    </row>
    <row r="1222" spans="1:11" ht="36.75" thickBot="1">
      <c r="A1222" s="18" t="s">
        <v>5836</v>
      </c>
      <c r="B1222" s="18">
        <v>20003221459</v>
      </c>
      <c r="C1222" s="18" t="s">
        <v>4204</v>
      </c>
      <c r="D1222" s="19">
        <v>45700.640972222223</v>
      </c>
      <c r="E1222" s="18" t="s">
        <v>10</v>
      </c>
      <c r="F1222" s="18">
        <v>250</v>
      </c>
      <c r="G1222" s="18" t="s">
        <v>10</v>
      </c>
      <c r="H1222" s="18" t="s">
        <v>178</v>
      </c>
      <c r="I1222" s="18" t="s">
        <v>10</v>
      </c>
      <c r="J1222" s="18" t="s">
        <v>4017</v>
      </c>
      <c r="K1222" s="20"/>
    </row>
    <row r="1223" spans="1:11" ht="36.75" thickBot="1">
      <c r="A1223" s="18" t="s">
        <v>5837</v>
      </c>
      <c r="B1223" s="18">
        <v>20022008913</v>
      </c>
      <c r="C1223" s="18" t="s">
        <v>4844</v>
      </c>
      <c r="D1223" s="19">
        <v>45630.583333333336</v>
      </c>
      <c r="E1223" s="19">
        <v>45700.666666666664</v>
      </c>
      <c r="F1223" s="18">
        <v>100</v>
      </c>
      <c r="G1223" s="19">
        <v>45707.532638888886</v>
      </c>
      <c r="H1223" s="18" t="s">
        <v>236</v>
      </c>
      <c r="I1223" s="18" t="s">
        <v>10</v>
      </c>
      <c r="J1223" s="18" t="s">
        <v>4017</v>
      </c>
      <c r="K1223" s="20"/>
    </row>
    <row r="1224" spans="1:11" ht="36.75" thickBot="1">
      <c r="A1224" s="18" t="s">
        <v>5838</v>
      </c>
      <c r="B1224" s="18">
        <v>20017949380</v>
      </c>
      <c r="C1224" s="18" t="s">
        <v>4133</v>
      </c>
      <c r="D1224" s="19">
        <v>45700.669444444444</v>
      </c>
      <c r="E1224" s="18" t="s">
        <v>10</v>
      </c>
      <c r="F1224" s="18">
        <v>200</v>
      </c>
      <c r="G1224" s="18" t="s">
        <v>10</v>
      </c>
      <c r="H1224" s="18" t="s">
        <v>178</v>
      </c>
      <c r="I1224" s="18" t="s">
        <v>10</v>
      </c>
      <c r="J1224" s="18" t="s">
        <v>4017</v>
      </c>
      <c r="K1224" s="20"/>
    </row>
    <row r="1225" spans="1:11" ht="36.75" thickBot="1">
      <c r="A1225" s="18" t="s">
        <v>5839</v>
      </c>
      <c r="B1225" s="18">
        <v>20017515702</v>
      </c>
      <c r="C1225" s="18" t="s">
        <v>4188</v>
      </c>
      <c r="D1225" s="19">
        <v>45684.511111111111</v>
      </c>
      <c r="E1225" s="19">
        <v>45700.797222222223</v>
      </c>
      <c r="F1225" s="18">
        <v>170</v>
      </c>
      <c r="G1225" s="19">
        <v>45709.458333333336</v>
      </c>
      <c r="H1225" s="18" t="s">
        <v>236</v>
      </c>
      <c r="I1225" s="18" t="s">
        <v>10</v>
      </c>
      <c r="J1225" s="18" t="s">
        <v>4017</v>
      </c>
      <c r="K1225" s="20"/>
    </row>
    <row r="1226" spans="1:11" ht="36.75" thickBot="1">
      <c r="A1226" s="18" t="s">
        <v>5840</v>
      </c>
      <c r="B1226" s="18">
        <v>20024121521</v>
      </c>
      <c r="C1226" s="18" t="s">
        <v>4369</v>
      </c>
      <c r="D1226" s="19">
        <v>45698.431944444441</v>
      </c>
      <c r="E1226" s="19">
        <v>45701.438194444447</v>
      </c>
      <c r="F1226" s="18">
        <v>130</v>
      </c>
      <c r="G1226" s="18" t="s">
        <v>10</v>
      </c>
      <c r="H1226" s="18" t="s">
        <v>189</v>
      </c>
      <c r="I1226" s="18" t="s">
        <v>10</v>
      </c>
      <c r="J1226" s="18" t="s">
        <v>4017</v>
      </c>
      <c r="K1226" s="20"/>
    </row>
    <row r="1227" spans="1:11" ht="36.75" thickBot="1">
      <c r="A1227" s="18" t="s">
        <v>5841</v>
      </c>
      <c r="B1227" s="18">
        <v>20017786125</v>
      </c>
      <c r="C1227" s="18" t="s">
        <v>4415</v>
      </c>
      <c r="D1227" s="19">
        <v>45568.675000000003</v>
      </c>
      <c r="E1227" s="19">
        <v>45701.451388888891</v>
      </c>
      <c r="F1227" s="18">
        <v>480</v>
      </c>
      <c r="G1227" s="19">
        <v>45740.477777777778</v>
      </c>
      <c r="H1227" s="18" t="s">
        <v>2654</v>
      </c>
      <c r="I1227" s="18" t="s">
        <v>10</v>
      </c>
      <c r="J1227" s="18" t="s">
        <v>4017</v>
      </c>
      <c r="K1227" s="20"/>
    </row>
    <row r="1228" spans="1:11" ht="36.75" thickBot="1">
      <c r="A1228" s="18" t="s">
        <v>5842</v>
      </c>
      <c r="B1228" s="18">
        <v>20027931858</v>
      </c>
      <c r="C1228" s="18" t="s">
        <v>5313</v>
      </c>
      <c r="D1228" s="19">
        <v>45681.369444444441</v>
      </c>
      <c r="E1228" s="19">
        <v>45701.490277777775</v>
      </c>
      <c r="F1228" s="18">
        <v>60</v>
      </c>
      <c r="G1228" s="19">
        <v>45716.45</v>
      </c>
      <c r="H1228" s="18" t="s">
        <v>236</v>
      </c>
      <c r="I1228" s="18" t="s">
        <v>10</v>
      </c>
      <c r="J1228" s="18" t="s">
        <v>4017</v>
      </c>
      <c r="K1228" s="20"/>
    </row>
    <row r="1229" spans="1:11" ht="72.75" thickBot="1">
      <c r="A1229" s="18" t="s">
        <v>5843</v>
      </c>
      <c r="B1229" s="18">
        <v>20023543126</v>
      </c>
      <c r="C1229" s="18" t="s">
        <v>4485</v>
      </c>
      <c r="D1229" s="19">
        <v>45635.390972222223</v>
      </c>
      <c r="E1229" s="19">
        <v>45701.579861111109</v>
      </c>
      <c r="F1229" s="18">
        <v>150</v>
      </c>
      <c r="G1229" s="19">
        <v>45713.47152777778</v>
      </c>
      <c r="H1229" s="18" t="s">
        <v>2688</v>
      </c>
      <c r="I1229" s="18" t="s">
        <v>10</v>
      </c>
      <c r="J1229" s="18" t="s">
        <v>4017</v>
      </c>
      <c r="K1229" s="20"/>
    </row>
    <row r="1230" spans="1:11" ht="36.75" thickBot="1">
      <c r="A1230" s="18" t="s">
        <v>5844</v>
      </c>
      <c r="B1230" s="18">
        <v>20003511106</v>
      </c>
      <c r="C1230" s="18" t="s">
        <v>5183</v>
      </c>
      <c r="D1230" s="19">
        <v>45701.606249999997</v>
      </c>
      <c r="E1230" s="18" t="s">
        <v>10</v>
      </c>
      <c r="F1230" s="18">
        <v>190</v>
      </c>
      <c r="G1230" s="18" t="s">
        <v>10</v>
      </c>
      <c r="H1230" s="18" t="s">
        <v>178</v>
      </c>
      <c r="I1230" s="18" t="s">
        <v>10</v>
      </c>
      <c r="J1230" s="18" t="s">
        <v>4017</v>
      </c>
      <c r="K1230" s="20"/>
    </row>
    <row r="1231" spans="1:11" ht="36.75" thickBot="1">
      <c r="A1231" s="18" t="s">
        <v>5845</v>
      </c>
      <c r="B1231" s="18">
        <v>20022885728</v>
      </c>
      <c r="C1231" s="18" t="s">
        <v>4597</v>
      </c>
      <c r="D1231" s="19">
        <v>45701.611805555556</v>
      </c>
      <c r="E1231" s="18" t="s">
        <v>10</v>
      </c>
      <c r="F1231" s="18">
        <v>40</v>
      </c>
      <c r="G1231" s="19">
        <v>45715.662499999999</v>
      </c>
      <c r="H1231" s="18" t="s">
        <v>236</v>
      </c>
      <c r="I1231" s="18" t="s">
        <v>10</v>
      </c>
      <c r="J1231" s="18" t="s">
        <v>4017</v>
      </c>
      <c r="K1231" s="20"/>
    </row>
    <row r="1232" spans="1:11" ht="72.75" thickBot="1">
      <c r="A1232" s="18" t="s">
        <v>5846</v>
      </c>
      <c r="B1232" s="18">
        <v>20021040167</v>
      </c>
      <c r="C1232" s="18" t="s">
        <v>5847</v>
      </c>
      <c r="D1232" s="19">
        <v>45552.406944444447</v>
      </c>
      <c r="E1232" s="19">
        <v>45701.619444444441</v>
      </c>
      <c r="F1232" s="18">
        <v>60</v>
      </c>
      <c r="G1232" s="19">
        <v>45730.660416666666</v>
      </c>
      <c r="H1232" s="18" t="s">
        <v>2688</v>
      </c>
      <c r="I1232" s="18" t="s">
        <v>10</v>
      </c>
      <c r="J1232" s="18" t="s">
        <v>4017</v>
      </c>
      <c r="K1232" s="20"/>
    </row>
    <row r="1233" spans="1:11" ht="72.75" thickBot="1">
      <c r="A1233" s="18" t="s">
        <v>5848</v>
      </c>
      <c r="B1233" s="18">
        <v>20010799734</v>
      </c>
      <c r="C1233" s="18" t="s">
        <v>5806</v>
      </c>
      <c r="D1233" s="19">
        <v>45701.645833333336</v>
      </c>
      <c r="E1233" s="18" t="s">
        <v>10</v>
      </c>
      <c r="F1233" s="18">
        <v>200</v>
      </c>
      <c r="G1233" s="19">
        <v>45716.658333333333</v>
      </c>
      <c r="H1233" s="18" t="s">
        <v>2688</v>
      </c>
      <c r="I1233" s="18" t="s">
        <v>10</v>
      </c>
      <c r="J1233" s="18" t="s">
        <v>4017</v>
      </c>
      <c r="K1233" s="20"/>
    </row>
    <row r="1234" spans="1:11" ht="54.75" thickBot="1">
      <c r="A1234" s="18" t="s">
        <v>5849</v>
      </c>
      <c r="B1234" s="18">
        <v>20003171610</v>
      </c>
      <c r="C1234" s="18" t="s">
        <v>5850</v>
      </c>
      <c r="D1234" s="19">
        <v>45701.645833333336</v>
      </c>
      <c r="E1234" s="18" t="s">
        <v>10</v>
      </c>
      <c r="F1234" s="18">
        <v>810</v>
      </c>
      <c r="G1234" s="18" t="s">
        <v>10</v>
      </c>
      <c r="H1234" s="18" t="s">
        <v>178</v>
      </c>
      <c r="I1234" s="18" t="s">
        <v>10</v>
      </c>
      <c r="J1234" s="18" t="s">
        <v>4017</v>
      </c>
      <c r="K1234" s="20"/>
    </row>
    <row r="1235" spans="1:11" ht="36.75" thickBot="1">
      <c r="A1235" s="18" t="s">
        <v>5851</v>
      </c>
      <c r="B1235" s="18">
        <v>20027456625</v>
      </c>
      <c r="C1235" s="18" t="s">
        <v>1836</v>
      </c>
      <c r="D1235" s="19">
        <v>45701.663888888892</v>
      </c>
      <c r="E1235" s="18" t="s">
        <v>10</v>
      </c>
      <c r="F1235" s="18">
        <v>30</v>
      </c>
      <c r="G1235" s="18" t="s">
        <v>10</v>
      </c>
      <c r="H1235" s="18" t="s">
        <v>178</v>
      </c>
      <c r="I1235" s="18" t="s">
        <v>10</v>
      </c>
      <c r="J1235" s="18" t="s">
        <v>4017</v>
      </c>
      <c r="K1235" s="20"/>
    </row>
    <row r="1236" spans="1:11" ht="36.75" thickBot="1">
      <c r="A1236" s="18" t="s">
        <v>5852</v>
      </c>
      <c r="B1236" s="18">
        <v>20018681684</v>
      </c>
      <c r="C1236" s="18" t="s">
        <v>4878</v>
      </c>
      <c r="D1236" s="19">
        <v>45699.681250000001</v>
      </c>
      <c r="E1236" s="19">
        <v>45701.682638888888</v>
      </c>
      <c r="F1236" s="18">
        <v>200</v>
      </c>
      <c r="G1236" s="19">
        <v>45716.570138888892</v>
      </c>
      <c r="H1236" s="18" t="s">
        <v>236</v>
      </c>
      <c r="I1236" s="18" t="s">
        <v>10</v>
      </c>
      <c r="J1236" s="18" t="s">
        <v>4017</v>
      </c>
      <c r="K1236" s="20"/>
    </row>
    <row r="1237" spans="1:11" ht="36.75" thickBot="1">
      <c r="A1237" s="18" t="s">
        <v>5853</v>
      </c>
      <c r="B1237" s="18">
        <v>20027653465</v>
      </c>
      <c r="C1237" s="18" t="s">
        <v>1836</v>
      </c>
      <c r="D1237" s="19">
        <v>45701.698611111111</v>
      </c>
      <c r="E1237" s="18" t="s">
        <v>10</v>
      </c>
      <c r="F1237" s="18">
        <v>30</v>
      </c>
      <c r="G1237" s="18" t="s">
        <v>10</v>
      </c>
      <c r="H1237" s="18" t="s">
        <v>178</v>
      </c>
      <c r="I1237" s="18" t="s">
        <v>10</v>
      </c>
      <c r="J1237" s="18" t="s">
        <v>4017</v>
      </c>
      <c r="K1237" s="20"/>
    </row>
    <row r="1238" spans="1:11" ht="36.75" thickBot="1">
      <c r="A1238" s="18" t="s">
        <v>5854</v>
      </c>
      <c r="B1238" s="18">
        <v>20026006847</v>
      </c>
      <c r="C1238" s="18" t="s">
        <v>5855</v>
      </c>
      <c r="D1238" s="19">
        <v>45701.70208333333</v>
      </c>
      <c r="E1238" s="18" t="s">
        <v>10</v>
      </c>
      <c r="F1238" s="18">
        <v>875</v>
      </c>
      <c r="G1238" s="18" t="s">
        <v>10</v>
      </c>
      <c r="H1238" s="18" t="s">
        <v>178</v>
      </c>
      <c r="I1238" s="18" t="s">
        <v>10</v>
      </c>
      <c r="J1238" s="18" t="s">
        <v>4017</v>
      </c>
      <c r="K1238" s="20"/>
    </row>
    <row r="1239" spans="1:11" ht="36.75" thickBot="1">
      <c r="A1239" s="18" t="s">
        <v>5856</v>
      </c>
      <c r="B1239" s="18">
        <v>20027469132</v>
      </c>
      <c r="C1239" s="18" t="s">
        <v>1836</v>
      </c>
      <c r="D1239" s="19">
        <v>45701.71875</v>
      </c>
      <c r="E1239" s="18" t="s">
        <v>10</v>
      </c>
      <c r="F1239" s="18">
        <v>30</v>
      </c>
      <c r="G1239" s="18" t="s">
        <v>10</v>
      </c>
      <c r="H1239" s="18" t="s">
        <v>178</v>
      </c>
      <c r="I1239" s="18" t="s">
        <v>10</v>
      </c>
      <c r="J1239" s="18" t="s">
        <v>4017</v>
      </c>
      <c r="K1239" s="20"/>
    </row>
    <row r="1240" spans="1:11" ht="36.75" thickBot="1">
      <c r="A1240" s="18" t="s">
        <v>5857</v>
      </c>
      <c r="B1240" s="18">
        <v>20027568760</v>
      </c>
      <c r="C1240" s="18" t="s">
        <v>1836</v>
      </c>
      <c r="D1240" s="19">
        <v>45701.730555555558</v>
      </c>
      <c r="E1240" s="18" t="s">
        <v>10</v>
      </c>
      <c r="F1240" s="18">
        <v>30</v>
      </c>
      <c r="G1240" s="18" t="s">
        <v>10</v>
      </c>
      <c r="H1240" s="18" t="s">
        <v>178</v>
      </c>
      <c r="I1240" s="18" t="s">
        <v>10</v>
      </c>
      <c r="J1240" s="18" t="s">
        <v>4017</v>
      </c>
      <c r="K1240" s="20"/>
    </row>
    <row r="1241" spans="1:11" ht="36.75" thickBot="1">
      <c r="A1241" s="18" t="s">
        <v>5858</v>
      </c>
      <c r="B1241" s="18">
        <v>20019065385</v>
      </c>
      <c r="C1241" s="18" t="s">
        <v>5859</v>
      </c>
      <c r="D1241" s="19">
        <v>45699.475694444445</v>
      </c>
      <c r="E1241" s="19">
        <v>45701.893055555556</v>
      </c>
      <c r="F1241" s="18">
        <v>100</v>
      </c>
      <c r="G1241" s="19">
        <v>45748.593055555553</v>
      </c>
      <c r="H1241" s="18" t="s">
        <v>236</v>
      </c>
      <c r="I1241" s="18" t="s">
        <v>10</v>
      </c>
      <c r="J1241" s="18" t="s">
        <v>4017</v>
      </c>
      <c r="K1241" s="20"/>
    </row>
    <row r="1242" spans="1:11" ht="36.75" thickBot="1">
      <c r="A1242" s="18" t="s">
        <v>5860</v>
      </c>
      <c r="B1242" s="18">
        <v>20026078771</v>
      </c>
      <c r="C1242" s="18" t="s">
        <v>5861</v>
      </c>
      <c r="D1242" s="19">
        <v>45701.90902777778</v>
      </c>
      <c r="E1242" s="18" t="s">
        <v>10</v>
      </c>
      <c r="F1242" s="18">
        <v>333.3</v>
      </c>
      <c r="G1242" s="18" t="s">
        <v>10</v>
      </c>
      <c r="H1242" s="18" t="s">
        <v>178</v>
      </c>
      <c r="I1242" s="18" t="s">
        <v>10</v>
      </c>
      <c r="J1242" s="18" t="s">
        <v>4017</v>
      </c>
      <c r="K1242" s="20"/>
    </row>
    <row r="1243" spans="1:11" ht="36.75" thickBot="1">
      <c r="A1243" s="18" t="s">
        <v>5862</v>
      </c>
      <c r="B1243" s="18">
        <v>20003547220</v>
      </c>
      <c r="C1243" s="18" t="s">
        <v>5731</v>
      </c>
      <c r="D1243" s="19">
        <v>45640.674305555556</v>
      </c>
      <c r="E1243" s="19">
        <v>45702.335416666669</v>
      </c>
      <c r="F1243" s="18">
        <v>66.599999999999994</v>
      </c>
      <c r="G1243" s="19">
        <v>45708.543055555558</v>
      </c>
      <c r="H1243" s="18" t="s">
        <v>236</v>
      </c>
      <c r="I1243" s="18" t="s">
        <v>10</v>
      </c>
      <c r="J1243" s="18" t="s">
        <v>4017</v>
      </c>
      <c r="K1243" s="20"/>
    </row>
    <row r="1244" spans="1:11" ht="36.75" thickBot="1">
      <c r="A1244" s="18" t="s">
        <v>5863</v>
      </c>
      <c r="B1244" s="18">
        <v>20025452895</v>
      </c>
      <c r="C1244" s="18" t="s">
        <v>4236</v>
      </c>
      <c r="D1244" s="19">
        <v>45609.397916666669</v>
      </c>
      <c r="E1244" s="19">
        <v>45702.413888888892</v>
      </c>
      <c r="F1244" s="18">
        <v>250</v>
      </c>
      <c r="G1244" s="19">
        <v>45713.620138888888</v>
      </c>
      <c r="H1244" s="18" t="s">
        <v>236</v>
      </c>
      <c r="I1244" s="18" t="s">
        <v>10</v>
      </c>
      <c r="J1244" s="18" t="s">
        <v>4017</v>
      </c>
      <c r="K1244" s="20"/>
    </row>
    <row r="1245" spans="1:11" ht="36.75" thickBot="1">
      <c r="A1245" s="18" t="s">
        <v>5864</v>
      </c>
      <c r="B1245" s="18">
        <v>20028229014</v>
      </c>
      <c r="C1245" s="18" t="s">
        <v>5865</v>
      </c>
      <c r="D1245" s="19">
        <v>45702.457638888889</v>
      </c>
      <c r="E1245" s="18" t="s">
        <v>10</v>
      </c>
      <c r="F1245" s="18">
        <v>50</v>
      </c>
      <c r="G1245" s="18" t="s">
        <v>10</v>
      </c>
      <c r="H1245" s="18" t="s">
        <v>178</v>
      </c>
      <c r="I1245" s="18" t="s">
        <v>10</v>
      </c>
      <c r="J1245" s="18" t="s">
        <v>4017</v>
      </c>
      <c r="K1245" s="20"/>
    </row>
    <row r="1246" spans="1:11" ht="36.75" thickBot="1">
      <c r="A1246" s="18" t="s">
        <v>5866</v>
      </c>
      <c r="B1246" s="18">
        <v>20022714603</v>
      </c>
      <c r="C1246" s="18" t="s">
        <v>5106</v>
      </c>
      <c r="D1246" s="19">
        <v>45702.472222222219</v>
      </c>
      <c r="E1246" s="18" t="s">
        <v>10</v>
      </c>
      <c r="F1246" s="18">
        <v>140</v>
      </c>
      <c r="G1246" s="18" t="s">
        <v>10</v>
      </c>
      <c r="H1246" s="18" t="s">
        <v>178</v>
      </c>
      <c r="I1246" s="18" t="s">
        <v>10</v>
      </c>
      <c r="J1246" s="18" t="s">
        <v>4017</v>
      </c>
      <c r="K1246" s="20"/>
    </row>
    <row r="1247" spans="1:11" ht="36.75" thickBot="1">
      <c r="A1247" s="18" t="s">
        <v>5867</v>
      </c>
      <c r="B1247" s="18">
        <v>20002945860</v>
      </c>
      <c r="C1247" s="18" t="s">
        <v>5106</v>
      </c>
      <c r="D1247" s="19">
        <v>45702.482638888891</v>
      </c>
      <c r="E1247" s="18" t="s">
        <v>10</v>
      </c>
      <c r="F1247" s="18">
        <v>130</v>
      </c>
      <c r="G1247" s="18" t="s">
        <v>10</v>
      </c>
      <c r="H1247" s="18" t="s">
        <v>178</v>
      </c>
      <c r="I1247" s="18" t="s">
        <v>10</v>
      </c>
      <c r="J1247" s="18" t="s">
        <v>4017</v>
      </c>
      <c r="K1247" s="20"/>
    </row>
    <row r="1248" spans="1:11" ht="36.75" thickBot="1">
      <c r="A1248" s="18" t="s">
        <v>5868</v>
      </c>
      <c r="B1248" s="18">
        <v>20028276666</v>
      </c>
      <c r="C1248" s="18" t="s">
        <v>5869</v>
      </c>
      <c r="D1248" s="19">
        <v>45702.489583333336</v>
      </c>
      <c r="E1248" s="18" t="s">
        <v>10</v>
      </c>
      <c r="F1248" s="18">
        <v>30</v>
      </c>
      <c r="G1248" s="18" t="s">
        <v>10</v>
      </c>
      <c r="H1248" s="18" t="s">
        <v>178</v>
      </c>
      <c r="I1248" s="18" t="s">
        <v>10</v>
      </c>
      <c r="J1248" s="18" t="s">
        <v>4017</v>
      </c>
      <c r="K1248" s="20"/>
    </row>
    <row r="1249" spans="1:11" ht="36.75" thickBot="1">
      <c r="A1249" s="18" t="s">
        <v>5870</v>
      </c>
      <c r="B1249" s="18">
        <v>20002879475</v>
      </c>
      <c r="C1249" s="18" t="s">
        <v>5425</v>
      </c>
      <c r="D1249" s="19">
        <v>45702.576388888891</v>
      </c>
      <c r="E1249" s="18" t="s">
        <v>10</v>
      </c>
      <c r="F1249" s="18">
        <v>425</v>
      </c>
      <c r="G1249" s="18" t="s">
        <v>10</v>
      </c>
      <c r="H1249" s="18" t="s">
        <v>178</v>
      </c>
      <c r="I1249" s="18" t="s">
        <v>10</v>
      </c>
      <c r="J1249" s="18" t="s">
        <v>4017</v>
      </c>
      <c r="K1249" s="20"/>
    </row>
    <row r="1250" spans="1:11" ht="36.75" thickBot="1">
      <c r="A1250" s="18" t="s">
        <v>5871</v>
      </c>
      <c r="B1250" s="18">
        <v>20024877583</v>
      </c>
      <c r="C1250" s="18" t="s">
        <v>5206</v>
      </c>
      <c r="D1250" s="19">
        <v>45702.579861111109</v>
      </c>
      <c r="E1250" s="18" t="s">
        <v>10</v>
      </c>
      <c r="F1250" s="18">
        <v>100</v>
      </c>
      <c r="G1250" s="18" t="s">
        <v>10</v>
      </c>
      <c r="H1250" s="18" t="s">
        <v>178</v>
      </c>
      <c r="I1250" s="18" t="s">
        <v>10</v>
      </c>
      <c r="J1250" s="18" t="s">
        <v>4017</v>
      </c>
      <c r="K1250" s="20"/>
    </row>
    <row r="1251" spans="1:11" ht="36.75" thickBot="1">
      <c r="A1251" s="18" t="s">
        <v>5872</v>
      </c>
      <c r="B1251" s="18">
        <v>20003485705</v>
      </c>
      <c r="C1251" s="18" t="s">
        <v>4715</v>
      </c>
      <c r="D1251" s="19">
        <v>45702.650694444441</v>
      </c>
      <c r="E1251" s="18" t="s">
        <v>10</v>
      </c>
      <c r="F1251" s="18">
        <v>180</v>
      </c>
      <c r="G1251" s="18" t="s">
        <v>10</v>
      </c>
      <c r="H1251" s="18" t="s">
        <v>178</v>
      </c>
      <c r="I1251" s="18" t="s">
        <v>10</v>
      </c>
      <c r="J1251" s="18" t="s">
        <v>4017</v>
      </c>
      <c r="K1251" s="20"/>
    </row>
    <row r="1252" spans="1:11" ht="36.75" thickBot="1">
      <c r="A1252" s="18" t="s">
        <v>5873</v>
      </c>
      <c r="B1252" s="18">
        <v>20003447346</v>
      </c>
      <c r="C1252" s="18" t="s">
        <v>5874</v>
      </c>
      <c r="D1252" s="19">
        <v>45702.685416666667</v>
      </c>
      <c r="E1252" s="18" t="s">
        <v>10</v>
      </c>
      <c r="F1252" s="18">
        <v>300</v>
      </c>
      <c r="G1252" s="18" t="s">
        <v>10</v>
      </c>
      <c r="H1252" s="18" t="s">
        <v>178</v>
      </c>
      <c r="I1252" s="18" t="s">
        <v>10</v>
      </c>
      <c r="J1252" s="18" t="s">
        <v>4017</v>
      </c>
      <c r="K1252" s="20"/>
    </row>
    <row r="1253" spans="1:11" ht="54.75" thickBot="1">
      <c r="A1253" s="18" t="s">
        <v>5875</v>
      </c>
      <c r="B1253" s="18">
        <v>20003474670</v>
      </c>
      <c r="C1253" s="18" t="s">
        <v>4882</v>
      </c>
      <c r="D1253" s="19">
        <v>45702.704861111109</v>
      </c>
      <c r="E1253" s="18" t="s">
        <v>10</v>
      </c>
      <c r="F1253" s="18">
        <v>360</v>
      </c>
      <c r="G1253" s="18" t="s">
        <v>10</v>
      </c>
      <c r="H1253" s="18" t="s">
        <v>178</v>
      </c>
      <c r="I1253" s="18" t="s">
        <v>10</v>
      </c>
      <c r="J1253" s="18" t="s">
        <v>4017</v>
      </c>
      <c r="K1253" s="20"/>
    </row>
    <row r="1254" spans="1:11" ht="36.75" thickBot="1">
      <c r="A1254" s="18" t="s">
        <v>5876</v>
      </c>
      <c r="B1254" s="18">
        <v>20003175266</v>
      </c>
      <c r="C1254" s="18" t="s">
        <v>4493</v>
      </c>
      <c r="D1254" s="19">
        <v>45702.808333333334</v>
      </c>
      <c r="E1254" s="18" t="s">
        <v>10</v>
      </c>
      <c r="F1254" s="18">
        <v>390</v>
      </c>
      <c r="G1254" s="18" t="s">
        <v>10</v>
      </c>
      <c r="H1254" s="18" t="s">
        <v>178</v>
      </c>
      <c r="I1254" s="18" t="s">
        <v>10</v>
      </c>
      <c r="J1254" s="18" t="s">
        <v>4017</v>
      </c>
      <c r="K1254" s="20"/>
    </row>
    <row r="1255" spans="1:11" ht="36.75" thickBot="1">
      <c r="A1255" s="18" t="s">
        <v>5877</v>
      </c>
      <c r="B1255" s="18">
        <v>20003428225</v>
      </c>
      <c r="C1255" s="18" t="s">
        <v>5878</v>
      </c>
      <c r="D1255" s="19">
        <v>45703.522222222222</v>
      </c>
      <c r="E1255" s="18" t="s">
        <v>10</v>
      </c>
      <c r="F1255" s="18">
        <v>90</v>
      </c>
      <c r="G1255" s="18" t="s">
        <v>10</v>
      </c>
      <c r="H1255" s="18" t="s">
        <v>178</v>
      </c>
      <c r="I1255" s="18" t="s">
        <v>10</v>
      </c>
      <c r="J1255" s="18" t="s">
        <v>4017</v>
      </c>
      <c r="K1255" s="20"/>
    </row>
    <row r="1256" spans="1:11" ht="36.75" thickBot="1">
      <c r="A1256" s="18" t="s">
        <v>5879</v>
      </c>
      <c r="B1256" s="18">
        <v>20002875223</v>
      </c>
      <c r="C1256" s="18" t="s">
        <v>5570</v>
      </c>
      <c r="D1256" s="19">
        <v>45703.55</v>
      </c>
      <c r="E1256" s="18" t="s">
        <v>10</v>
      </c>
      <c r="F1256" s="18">
        <v>50</v>
      </c>
      <c r="G1256" s="18" t="s">
        <v>10</v>
      </c>
      <c r="H1256" s="18" t="s">
        <v>178</v>
      </c>
      <c r="I1256" s="18" t="s">
        <v>10</v>
      </c>
      <c r="J1256" s="18" t="s">
        <v>4017</v>
      </c>
      <c r="K1256" s="20"/>
    </row>
    <row r="1257" spans="1:11" ht="54.75" thickBot="1">
      <c r="A1257" s="18" t="s">
        <v>5880</v>
      </c>
      <c r="B1257" s="18">
        <v>20027127200</v>
      </c>
      <c r="C1257" s="18" t="s">
        <v>257</v>
      </c>
      <c r="D1257" s="19">
        <v>45703.637499999997</v>
      </c>
      <c r="E1257" s="18" t="s">
        <v>10</v>
      </c>
      <c r="F1257" s="18">
        <v>100</v>
      </c>
      <c r="G1257" s="18" t="s">
        <v>10</v>
      </c>
      <c r="H1257" s="18" t="s">
        <v>178</v>
      </c>
      <c r="I1257" s="18" t="s">
        <v>10</v>
      </c>
      <c r="J1257" s="18" t="s">
        <v>4017</v>
      </c>
      <c r="K1257" s="20"/>
    </row>
    <row r="1258" spans="1:11" ht="54.75" thickBot="1">
      <c r="A1258" s="18" t="s">
        <v>5881</v>
      </c>
      <c r="B1258" s="18">
        <v>20025741348</v>
      </c>
      <c r="C1258" s="18" t="s">
        <v>1673</v>
      </c>
      <c r="D1258" s="19">
        <v>45703.649305555555</v>
      </c>
      <c r="E1258" s="18" t="s">
        <v>10</v>
      </c>
      <c r="F1258" s="18">
        <v>40</v>
      </c>
      <c r="G1258" s="19">
        <v>45715.568749999999</v>
      </c>
      <c r="H1258" s="18" t="s">
        <v>236</v>
      </c>
      <c r="I1258" s="18" t="s">
        <v>10</v>
      </c>
      <c r="J1258" s="18" t="s">
        <v>4017</v>
      </c>
      <c r="K1258" s="20"/>
    </row>
    <row r="1259" spans="1:11" ht="36.75" thickBot="1">
      <c r="A1259" s="18" t="s">
        <v>5882</v>
      </c>
      <c r="B1259" s="18">
        <v>20021443867</v>
      </c>
      <c r="C1259" s="18" t="s">
        <v>215</v>
      </c>
      <c r="D1259" s="19">
        <v>45703.679166666669</v>
      </c>
      <c r="E1259" s="18" t="s">
        <v>10</v>
      </c>
      <c r="F1259" s="18">
        <v>30</v>
      </c>
      <c r="G1259" s="18" t="s">
        <v>10</v>
      </c>
      <c r="H1259" s="18" t="s">
        <v>178</v>
      </c>
      <c r="I1259" s="18" t="s">
        <v>10</v>
      </c>
      <c r="J1259" s="18" t="s">
        <v>4017</v>
      </c>
      <c r="K1259" s="20"/>
    </row>
    <row r="1260" spans="1:11" ht="36.75" thickBot="1">
      <c r="A1260" s="18" t="s">
        <v>5883</v>
      </c>
      <c r="B1260" s="18">
        <v>20024052409</v>
      </c>
      <c r="C1260" s="18" t="s">
        <v>5074</v>
      </c>
      <c r="D1260" s="19">
        <v>45703.683333333334</v>
      </c>
      <c r="E1260" s="18" t="s">
        <v>10</v>
      </c>
      <c r="F1260" s="18">
        <v>30</v>
      </c>
      <c r="G1260" s="18" t="s">
        <v>10</v>
      </c>
      <c r="H1260" s="18" t="s">
        <v>178</v>
      </c>
      <c r="I1260" s="18" t="s">
        <v>10</v>
      </c>
      <c r="J1260" s="18" t="s">
        <v>4017</v>
      </c>
      <c r="K1260" s="20"/>
    </row>
    <row r="1261" spans="1:11" ht="36.75" thickBot="1">
      <c r="A1261" s="18" t="s">
        <v>5884</v>
      </c>
      <c r="B1261" s="18">
        <v>20016561343</v>
      </c>
      <c r="C1261" s="18" t="s">
        <v>2153</v>
      </c>
      <c r="D1261" s="19">
        <v>45703.761805555558</v>
      </c>
      <c r="E1261" s="18" t="s">
        <v>10</v>
      </c>
      <c r="F1261" s="18">
        <v>180</v>
      </c>
      <c r="G1261" s="18" t="s">
        <v>10</v>
      </c>
      <c r="H1261" s="18" t="s">
        <v>178</v>
      </c>
      <c r="I1261" s="18" t="s">
        <v>10</v>
      </c>
      <c r="J1261" s="18" t="s">
        <v>4017</v>
      </c>
      <c r="K1261" s="20"/>
    </row>
    <row r="1262" spans="1:11" ht="36.75" thickBot="1">
      <c r="A1262" s="18" t="s">
        <v>5885</v>
      </c>
      <c r="B1262" s="18">
        <v>20003477517</v>
      </c>
      <c r="C1262" s="18" t="s">
        <v>4800</v>
      </c>
      <c r="D1262" s="19">
        <v>45696.450694444444</v>
      </c>
      <c r="E1262" s="19">
        <v>45704.511111111111</v>
      </c>
      <c r="F1262" s="18">
        <v>30</v>
      </c>
      <c r="G1262" s="18" t="s">
        <v>10</v>
      </c>
      <c r="H1262" s="18" t="s">
        <v>178</v>
      </c>
      <c r="I1262" s="18" t="s">
        <v>10</v>
      </c>
      <c r="J1262" s="18" t="s">
        <v>4017</v>
      </c>
      <c r="K1262" s="20"/>
    </row>
    <row r="1263" spans="1:11" ht="36.75" thickBot="1">
      <c r="A1263" s="18" t="s">
        <v>5886</v>
      </c>
      <c r="B1263" s="18">
        <v>20021265312</v>
      </c>
      <c r="C1263" s="18" t="s">
        <v>5887</v>
      </c>
      <c r="D1263" s="19">
        <v>45699.70208333333</v>
      </c>
      <c r="E1263" s="19">
        <v>45705.397222222222</v>
      </c>
      <c r="F1263" s="18">
        <v>30</v>
      </c>
      <c r="G1263" s="18" t="s">
        <v>10</v>
      </c>
      <c r="H1263" s="18" t="s">
        <v>178</v>
      </c>
      <c r="I1263" s="18" t="s">
        <v>10</v>
      </c>
      <c r="J1263" s="18" t="s">
        <v>4017</v>
      </c>
      <c r="K1263" s="20"/>
    </row>
    <row r="1264" spans="1:11" ht="36.75" thickBot="1">
      <c r="A1264" s="18" t="s">
        <v>5888</v>
      </c>
      <c r="B1264" s="18">
        <v>20025634975</v>
      </c>
      <c r="C1264" s="18" t="s">
        <v>5889</v>
      </c>
      <c r="D1264" s="19">
        <v>45705.445138888892</v>
      </c>
      <c r="E1264" s="18" t="s">
        <v>10</v>
      </c>
      <c r="F1264" s="18">
        <v>27.6</v>
      </c>
      <c r="G1264" s="18" t="s">
        <v>10</v>
      </c>
      <c r="H1264" s="18" t="s">
        <v>178</v>
      </c>
      <c r="I1264" s="18" t="s">
        <v>10</v>
      </c>
      <c r="J1264" s="18" t="s">
        <v>4017</v>
      </c>
      <c r="K1264" s="20"/>
    </row>
    <row r="1265" spans="1:11" ht="36.75" thickBot="1">
      <c r="A1265" s="18" t="s">
        <v>5890</v>
      </c>
      <c r="B1265" s="18">
        <v>20021255400</v>
      </c>
      <c r="C1265" s="18" t="s">
        <v>5891</v>
      </c>
      <c r="D1265" s="19">
        <v>45705.561111111114</v>
      </c>
      <c r="E1265" s="18" t="s">
        <v>10</v>
      </c>
      <c r="F1265" s="18">
        <v>125</v>
      </c>
      <c r="G1265" s="18" t="s">
        <v>10</v>
      </c>
      <c r="H1265" s="18" t="s">
        <v>178</v>
      </c>
      <c r="I1265" s="18" t="s">
        <v>10</v>
      </c>
      <c r="J1265" s="18" t="s">
        <v>4017</v>
      </c>
      <c r="K1265" s="20"/>
    </row>
    <row r="1266" spans="1:11" ht="36.75" thickBot="1">
      <c r="A1266" s="18" t="s">
        <v>5892</v>
      </c>
      <c r="B1266" s="18">
        <v>20027850988</v>
      </c>
      <c r="C1266" s="18" t="s">
        <v>1836</v>
      </c>
      <c r="D1266" s="19">
        <v>45705.567361111112</v>
      </c>
      <c r="E1266" s="18" t="s">
        <v>10</v>
      </c>
      <c r="F1266" s="18">
        <v>30</v>
      </c>
      <c r="G1266" s="18" t="s">
        <v>10</v>
      </c>
      <c r="H1266" s="18" t="s">
        <v>178</v>
      </c>
      <c r="I1266" s="18" t="s">
        <v>10</v>
      </c>
      <c r="J1266" s="18" t="s">
        <v>4017</v>
      </c>
      <c r="K1266" s="20"/>
    </row>
    <row r="1267" spans="1:11" ht="36.75" thickBot="1">
      <c r="A1267" s="18" t="s">
        <v>5893</v>
      </c>
      <c r="B1267" s="18">
        <v>20025068590</v>
      </c>
      <c r="C1267" s="18" t="s">
        <v>5468</v>
      </c>
      <c r="D1267" s="19">
        <v>45686.479861111111</v>
      </c>
      <c r="E1267" s="19">
        <v>45705.577777777777</v>
      </c>
      <c r="F1267" s="18">
        <v>40</v>
      </c>
      <c r="G1267" s="18" t="s">
        <v>10</v>
      </c>
      <c r="H1267" s="18" t="s">
        <v>178</v>
      </c>
      <c r="I1267" s="18" t="s">
        <v>10</v>
      </c>
      <c r="J1267" s="18" t="s">
        <v>4017</v>
      </c>
      <c r="K1267" s="20"/>
    </row>
    <row r="1268" spans="1:11" ht="36.75" thickBot="1">
      <c r="A1268" s="18" t="s">
        <v>5894</v>
      </c>
      <c r="B1268" s="18">
        <v>20027109008</v>
      </c>
      <c r="C1268" s="18" t="s">
        <v>1836</v>
      </c>
      <c r="D1268" s="19">
        <v>45705.589583333334</v>
      </c>
      <c r="E1268" s="18" t="s">
        <v>10</v>
      </c>
      <c r="F1268" s="18">
        <v>30</v>
      </c>
      <c r="G1268" s="18" t="s">
        <v>10</v>
      </c>
      <c r="H1268" s="18" t="s">
        <v>178</v>
      </c>
      <c r="I1268" s="18" t="s">
        <v>10</v>
      </c>
      <c r="J1268" s="18" t="s">
        <v>4017</v>
      </c>
      <c r="K1268" s="20"/>
    </row>
    <row r="1269" spans="1:11" ht="36.75" thickBot="1">
      <c r="A1269" s="18" t="s">
        <v>5895</v>
      </c>
      <c r="B1269" s="18">
        <v>20027109008</v>
      </c>
      <c r="C1269" s="18" t="s">
        <v>1836</v>
      </c>
      <c r="D1269" s="19">
        <v>45705.606249999997</v>
      </c>
      <c r="E1269" s="18" t="s">
        <v>10</v>
      </c>
      <c r="F1269" s="18">
        <v>30</v>
      </c>
      <c r="G1269" s="18" t="s">
        <v>10</v>
      </c>
      <c r="H1269" s="18" t="s">
        <v>178</v>
      </c>
      <c r="I1269" s="18" t="s">
        <v>10</v>
      </c>
      <c r="J1269" s="18" t="s">
        <v>4017</v>
      </c>
      <c r="K1269" s="20"/>
    </row>
    <row r="1270" spans="1:11" ht="36.75" thickBot="1">
      <c r="A1270" s="18" t="s">
        <v>5896</v>
      </c>
      <c r="B1270" s="18">
        <v>20027551146</v>
      </c>
      <c r="C1270" s="18" t="s">
        <v>1836</v>
      </c>
      <c r="D1270" s="19">
        <v>45705.613888888889</v>
      </c>
      <c r="E1270" s="18" t="s">
        <v>10</v>
      </c>
      <c r="F1270" s="18">
        <v>30</v>
      </c>
      <c r="G1270" s="18" t="s">
        <v>10</v>
      </c>
      <c r="H1270" s="18" t="s">
        <v>178</v>
      </c>
      <c r="I1270" s="18" t="s">
        <v>10</v>
      </c>
      <c r="J1270" s="18" t="s">
        <v>4017</v>
      </c>
      <c r="K1270" s="20"/>
    </row>
    <row r="1271" spans="1:11" ht="36.75" thickBot="1">
      <c r="A1271" s="18" t="s">
        <v>5897</v>
      </c>
      <c r="B1271" s="18">
        <v>20026933290</v>
      </c>
      <c r="C1271" s="18" t="s">
        <v>1836</v>
      </c>
      <c r="D1271" s="19">
        <v>45705.618750000001</v>
      </c>
      <c r="E1271" s="18" t="s">
        <v>10</v>
      </c>
      <c r="F1271" s="18">
        <v>30</v>
      </c>
      <c r="G1271" s="18" t="s">
        <v>10</v>
      </c>
      <c r="H1271" s="18" t="s">
        <v>178</v>
      </c>
      <c r="I1271" s="18" t="s">
        <v>10</v>
      </c>
      <c r="J1271" s="18" t="s">
        <v>4017</v>
      </c>
      <c r="K1271" s="20"/>
    </row>
    <row r="1272" spans="1:11" ht="36.75" thickBot="1">
      <c r="A1272" s="18" t="s">
        <v>5898</v>
      </c>
      <c r="B1272" s="18">
        <v>20003029884</v>
      </c>
      <c r="C1272" s="18" t="s">
        <v>5899</v>
      </c>
      <c r="D1272" s="19">
        <v>45677.677777777775</v>
      </c>
      <c r="E1272" s="19">
        <v>45705.781944444447</v>
      </c>
      <c r="F1272" s="18">
        <v>30</v>
      </c>
      <c r="G1272" s="19">
        <v>45715.505555555559</v>
      </c>
      <c r="H1272" s="18" t="s">
        <v>236</v>
      </c>
      <c r="I1272" s="18" t="s">
        <v>10</v>
      </c>
      <c r="J1272" s="18" t="s">
        <v>4017</v>
      </c>
      <c r="K1272" s="20"/>
    </row>
    <row r="1273" spans="1:11" ht="36.75" thickBot="1">
      <c r="A1273" s="18" t="s">
        <v>5900</v>
      </c>
      <c r="B1273" s="18">
        <v>20027840423</v>
      </c>
      <c r="C1273" s="18" t="s">
        <v>5122</v>
      </c>
      <c r="D1273" s="19">
        <v>45692.543749999997</v>
      </c>
      <c r="E1273" s="19">
        <v>45705.790277777778</v>
      </c>
      <c r="F1273" s="18">
        <v>50</v>
      </c>
      <c r="G1273" s="19">
        <v>45715.505555555559</v>
      </c>
      <c r="H1273" s="18" t="s">
        <v>236</v>
      </c>
      <c r="I1273" s="18" t="s">
        <v>10</v>
      </c>
      <c r="J1273" s="18" t="s">
        <v>4017</v>
      </c>
      <c r="K1273" s="20"/>
    </row>
    <row r="1274" spans="1:11" ht="36.75" thickBot="1">
      <c r="A1274" s="18" t="s">
        <v>5901</v>
      </c>
      <c r="B1274" s="18">
        <v>20021115576</v>
      </c>
      <c r="C1274" s="18" t="s">
        <v>1820</v>
      </c>
      <c r="D1274" s="19">
        <v>45705.95208333333</v>
      </c>
      <c r="E1274" s="18" t="s">
        <v>10</v>
      </c>
      <c r="F1274" s="18">
        <v>30</v>
      </c>
      <c r="G1274" s="18" t="s">
        <v>10</v>
      </c>
      <c r="H1274" s="18" t="s">
        <v>178</v>
      </c>
      <c r="I1274" s="18" t="s">
        <v>10</v>
      </c>
      <c r="J1274" s="18" t="s">
        <v>4017</v>
      </c>
      <c r="K1274" s="20"/>
    </row>
    <row r="1275" spans="1:11" ht="36.75" thickBot="1">
      <c r="A1275" s="18" t="s">
        <v>5902</v>
      </c>
      <c r="B1275" s="18">
        <v>20003005738</v>
      </c>
      <c r="C1275" s="18" t="s">
        <v>5093</v>
      </c>
      <c r="D1275" s="19">
        <v>45706.47152777778</v>
      </c>
      <c r="E1275" s="18" t="s">
        <v>10</v>
      </c>
      <c r="F1275" s="18">
        <v>100</v>
      </c>
      <c r="G1275" s="18" t="s">
        <v>10</v>
      </c>
      <c r="H1275" s="18" t="s">
        <v>178</v>
      </c>
      <c r="I1275" s="18" t="s">
        <v>10</v>
      </c>
      <c r="J1275" s="18" t="s">
        <v>4017</v>
      </c>
      <c r="K1275" s="20"/>
    </row>
    <row r="1276" spans="1:11" ht="36.75" thickBot="1">
      <c r="A1276" s="18" t="s">
        <v>5903</v>
      </c>
      <c r="B1276" s="18">
        <v>20017430549</v>
      </c>
      <c r="C1276" s="18" t="s">
        <v>5904</v>
      </c>
      <c r="D1276" s="19">
        <v>45706.590277777781</v>
      </c>
      <c r="E1276" s="18" t="s">
        <v>10</v>
      </c>
      <c r="F1276" s="18">
        <v>50</v>
      </c>
      <c r="G1276" s="18" t="s">
        <v>10</v>
      </c>
      <c r="H1276" s="18" t="s">
        <v>178</v>
      </c>
      <c r="I1276" s="18" t="s">
        <v>10</v>
      </c>
      <c r="J1276" s="18" t="s">
        <v>4017</v>
      </c>
      <c r="K1276" s="20"/>
    </row>
    <row r="1277" spans="1:11" ht="36.75" thickBot="1">
      <c r="A1277" s="18" t="s">
        <v>5905</v>
      </c>
      <c r="B1277" s="18">
        <v>20003468480</v>
      </c>
      <c r="C1277" s="18" t="s">
        <v>5906</v>
      </c>
      <c r="D1277" s="19">
        <v>45706.638888888891</v>
      </c>
      <c r="E1277" s="18" t="s">
        <v>10</v>
      </c>
      <c r="F1277" s="18">
        <v>233.3</v>
      </c>
      <c r="G1277" s="18" t="s">
        <v>10</v>
      </c>
      <c r="H1277" s="18" t="s">
        <v>178</v>
      </c>
      <c r="I1277" s="18" t="s">
        <v>10</v>
      </c>
      <c r="J1277" s="18" t="s">
        <v>4017</v>
      </c>
      <c r="K1277" s="20"/>
    </row>
    <row r="1278" spans="1:11" ht="36.75" thickBot="1">
      <c r="A1278" s="18" t="s">
        <v>5907</v>
      </c>
      <c r="B1278" s="18">
        <v>20026742859</v>
      </c>
      <c r="C1278" s="18" t="s">
        <v>5713</v>
      </c>
      <c r="D1278" s="19">
        <v>45701.422222222223</v>
      </c>
      <c r="E1278" s="19">
        <v>45706.650694444441</v>
      </c>
      <c r="F1278" s="18">
        <v>50</v>
      </c>
      <c r="G1278" s="19">
        <v>45715.355555555558</v>
      </c>
      <c r="H1278" s="18" t="s">
        <v>2654</v>
      </c>
      <c r="I1278" s="18" t="s">
        <v>10</v>
      </c>
      <c r="J1278" s="18" t="s">
        <v>4017</v>
      </c>
      <c r="K1278" s="20"/>
    </row>
    <row r="1279" spans="1:11" ht="36.75" thickBot="1">
      <c r="A1279" s="18" t="s">
        <v>5908</v>
      </c>
      <c r="B1279" s="18">
        <v>20028229014</v>
      </c>
      <c r="C1279" s="18" t="s">
        <v>5865</v>
      </c>
      <c r="D1279" s="19">
        <v>45706.947222222225</v>
      </c>
      <c r="E1279" s="18" t="s">
        <v>10</v>
      </c>
      <c r="F1279" s="18">
        <v>150</v>
      </c>
      <c r="G1279" s="18" t="s">
        <v>10</v>
      </c>
      <c r="H1279" s="18" t="s">
        <v>178</v>
      </c>
      <c r="I1279" s="18" t="s">
        <v>10</v>
      </c>
      <c r="J1279" s="18" t="s">
        <v>4017</v>
      </c>
      <c r="K1279" s="20"/>
    </row>
    <row r="1280" spans="1:11" ht="36.75" thickBot="1">
      <c r="A1280" s="18" t="s">
        <v>5909</v>
      </c>
      <c r="B1280" s="18">
        <v>20024271389</v>
      </c>
      <c r="C1280" s="18" t="s">
        <v>4709</v>
      </c>
      <c r="D1280" s="19">
        <v>45678.654166666667</v>
      </c>
      <c r="E1280" s="19">
        <v>45706.959722222222</v>
      </c>
      <c r="F1280" s="18">
        <v>100</v>
      </c>
      <c r="G1280" s="19">
        <v>45736.477083333331</v>
      </c>
      <c r="H1280" s="18" t="s">
        <v>236</v>
      </c>
      <c r="I1280" s="18" t="s">
        <v>10</v>
      </c>
      <c r="J1280" s="18" t="s">
        <v>4017</v>
      </c>
      <c r="K1280" s="20"/>
    </row>
    <row r="1281" spans="1:11" ht="36.75" thickBot="1">
      <c r="A1281" s="18" t="s">
        <v>5910</v>
      </c>
      <c r="B1281" s="18">
        <v>20027026142</v>
      </c>
      <c r="C1281" s="18" t="s">
        <v>5713</v>
      </c>
      <c r="D1281" s="19">
        <v>45702.797222222223</v>
      </c>
      <c r="E1281" s="19">
        <v>45707.369444444441</v>
      </c>
      <c r="F1281" s="18">
        <v>50</v>
      </c>
      <c r="G1281" s="19">
        <v>45715.354861111111</v>
      </c>
      <c r="H1281" s="18" t="s">
        <v>2654</v>
      </c>
      <c r="I1281" s="18" t="s">
        <v>10</v>
      </c>
      <c r="J1281" s="18" t="s">
        <v>4017</v>
      </c>
      <c r="K1281" s="20"/>
    </row>
    <row r="1282" spans="1:11" ht="36.75" thickBot="1">
      <c r="A1282" s="18" t="s">
        <v>5911</v>
      </c>
      <c r="B1282" s="18">
        <v>20002880104</v>
      </c>
      <c r="C1282" s="18" t="s">
        <v>4319</v>
      </c>
      <c r="D1282" s="19">
        <v>45707.407638888886</v>
      </c>
      <c r="E1282" s="18" t="s">
        <v>10</v>
      </c>
      <c r="F1282" s="18">
        <v>425</v>
      </c>
      <c r="G1282" s="18" t="s">
        <v>10</v>
      </c>
      <c r="H1282" s="18" t="s">
        <v>178</v>
      </c>
      <c r="I1282" s="18" t="s">
        <v>10</v>
      </c>
      <c r="J1282" s="18" t="s">
        <v>4017</v>
      </c>
      <c r="K1282" s="20"/>
    </row>
    <row r="1283" spans="1:11" ht="36.75" thickBot="1">
      <c r="A1283" s="18" t="s">
        <v>5912</v>
      </c>
      <c r="B1283" s="18">
        <v>20020879469</v>
      </c>
      <c r="C1283" s="18" t="s">
        <v>5726</v>
      </c>
      <c r="D1283" s="19">
        <v>45699.598611111112</v>
      </c>
      <c r="E1283" s="19">
        <v>45707.411111111112</v>
      </c>
      <c r="F1283" s="18">
        <v>48</v>
      </c>
      <c r="G1283" s="18" t="s">
        <v>10</v>
      </c>
      <c r="H1283" s="18" t="s">
        <v>178</v>
      </c>
      <c r="I1283" s="18" t="s">
        <v>10</v>
      </c>
      <c r="J1283" s="18" t="s">
        <v>4017</v>
      </c>
      <c r="K1283" s="20"/>
    </row>
    <row r="1284" spans="1:11" ht="36.75" thickBot="1">
      <c r="A1284" s="18" t="s">
        <v>5913</v>
      </c>
      <c r="B1284" s="18">
        <v>20028276666</v>
      </c>
      <c r="C1284" s="18" t="s">
        <v>5869</v>
      </c>
      <c r="D1284" s="19">
        <v>45707.566666666666</v>
      </c>
      <c r="E1284" s="18" t="s">
        <v>10</v>
      </c>
      <c r="F1284" s="18">
        <v>30</v>
      </c>
      <c r="G1284" s="19">
        <v>45748.593055555553</v>
      </c>
      <c r="H1284" s="18" t="s">
        <v>236</v>
      </c>
      <c r="I1284" s="18" t="s">
        <v>10</v>
      </c>
      <c r="J1284" s="18" t="s">
        <v>4017</v>
      </c>
      <c r="K1284" s="20"/>
    </row>
    <row r="1285" spans="1:11" ht="36.75" thickBot="1">
      <c r="A1285" s="18" t="s">
        <v>5914</v>
      </c>
      <c r="B1285" s="18">
        <v>20022533840</v>
      </c>
      <c r="C1285" s="18" t="s">
        <v>5915</v>
      </c>
      <c r="D1285" s="19">
        <v>45708.091666666667</v>
      </c>
      <c r="E1285" s="18" t="s">
        <v>10</v>
      </c>
      <c r="F1285" s="18">
        <v>80</v>
      </c>
      <c r="G1285" s="18" t="s">
        <v>10</v>
      </c>
      <c r="H1285" s="18" t="s">
        <v>178</v>
      </c>
      <c r="I1285" s="18" t="s">
        <v>10</v>
      </c>
      <c r="J1285" s="18" t="s">
        <v>4017</v>
      </c>
      <c r="K1285" s="20"/>
    </row>
    <row r="1286" spans="1:11" ht="36.75" thickBot="1">
      <c r="A1286" s="18" t="s">
        <v>5916</v>
      </c>
      <c r="B1286" s="18">
        <v>0</v>
      </c>
      <c r="C1286" s="18">
        <v>0</v>
      </c>
      <c r="D1286" s="19">
        <v>45708.4375</v>
      </c>
      <c r="E1286" s="18" t="s">
        <v>10</v>
      </c>
      <c r="F1286" s="18">
        <v>100</v>
      </c>
      <c r="G1286" s="18" t="s">
        <v>10</v>
      </c>
      <c r="H1286" s="18" t="s">
        <v>178</v>
      </c>
      <c r="I1286" s="18" t="s">
        <v>10</v>
      </c>
      <c r="J1286" s="18" t="s">
        <v>4017</v>
      </c>
      <c r="K1286" s="20"/>
    </row>
    <row r="1287" spans="1:11" ht="36.75" thickBot="1">
      <c r="A1287" s="18" t="s">
        <v>5917</v>
      </c>
      <c r="B1287" s="18">
        <v>20002911936</v>
      </c>
      <c r="C1287" s="18" t="s">
        <v>5918</v>
      </c>
      <c r="D1287" s="19">
        <v>45427.615277777775</v>
      </c>
      <c r="E1287" s="19">
        <v>45708.45</v>
      </c>
      <c r="F1287" s="18">
        <v>50</v>
      </c>
      <c r="G1287" s="18" t="s">
        <v>10</v>
      </c>
      <c r="H1287" s="18" t="s">
        <v>189</v>
      </c>
      <c r="I1287" s="18" t="s">
        <v>10</v>
      </c>
      <c r="J1287" s="18" t="s">
        <v>4017</v>
      </c>
      <c r="K1287" s="20"/>
    </row>
    <row r="1288" spans="1:11" ht="54.75" thickBot="1">
      <c r="A1288" s="18" t="s">
        <v>5919</v>
      </c>
      <c r="B1288" s="18">
        <v>20027127200</v>
      </c>
      <c r="C1288" s="18" t="s">
        <v>257</v>
      </c>
      <c r="D1288" s="19">
        <v>45708.511805555558</v>
      </c>
      <c r="E1288" s="18" t="s">
        <v>10</v>
      </c>
      <c r="F1288" s="18">
        <v>100</v>
      </c>
      <c r="G1288" s="18" t="s">
        <v>10</v>
      </c>
      <c r="H1288" s="18" t="s">
        <v>178</v>
      </c>
      <c r="I1288" s="18" t="s">
        <v>10</v>
      </c>
      <c r="J1288" s="18" t="s">
        <v>4017</v>
      </c>
      <c r="K1288" s="20"/>
    </row>
    <row r="1289" spans="1:11" ht="36.75" thickBot="1">
      <c r="A1289" s="18" t="s">
        <v>5920</v>
      </c>
      <c r="B1289" s="18">
        <v>20002895417</v>
      </c>
      <c r="C1289" s="18" t="s">
        <v>5921</v>
      </c>
      <c r="D1289" s="19">
        <v>45646.645833333336</v>
      </c>
      <c r="E1289" s="19">
        <v>45708.539583333331</v>
      </c>
      <c r="F1289" s="18">
        <v>150</v>
      </c>
      <c r="G1289" s="18" t="s">
        <v>10</v>
      </c>
      <c r="H1289" s="18" t="s">
        <v>189</v>
      </c>
      <c r="I1289" s="18" t="s">
        <v>10</v>
      </c>
      <c r="J1289" s="18" t="s">
        <v>4017</v>
      </c>
      <c r="K1289" s="20"/>
    </row>
    <row r="1290" spans="1:11" ht="72.75" thickBot="1">
      <c r="A1290" s="18" t="s">
        <v>5922</v>
      </c>
      <c r="B1290" s="18">
        <v>20023114635</v>
      </c>
      <c r="C1290" s="18" t="s">
        <v>4367</v>
      </c>
      <c r="D1290" s="19">
        <v>45644.461805555555</v>
      </c>
      <c r="E1290" s="19">
        <v>45708.541666666664</v>
      </c>
      <c r="F1290" s="18">
        <v>60</v>
      </c>
      <c r="G1290" s="19">
        <v>45743.518055555556</v>
      </c>
      <c r="H1290" s="18" t="s">
        <v>2688</v>
      </c>
      <c r="I1290" s="18" t="s">
        <v>10</v>
      </c>
      <c r="J1290" s="18" t="s">
        <v>4017</v>
      </c>
      <c r="K1290" s="20"/>
    </row>
    <row r="1291" spans="1:11" ht="36.75" thickBot="1">
      <c r="A1291" s="18" t="s">
        <v>5923</v>
      </c>
      <c r="B1291" s="18">
        <v>20021255400</v>
      </c>
      <c r="C1291" s="18" t="s">
        <v>5891</v>
      </c>
      <c r="D1291" s="19">
        <v>45708.559027777781</v>
      </c>
      <c r="E1291" s="18" t="s">
        <v>10</v>
      </c>
      <c r="F1291" s="18">
        <v>125</v>
      </c>
      <c r="G1291" s="18" t="s">
        <v>10</v>
      </c>
      <c r="H1291" s="18" t="s">
        <v>178</v>
      </c>
      <c r="I1291" s="18" t="s">
        <v>10</v>
      </c>
      <c r="J1291" s="18" t="s">
        <v>4017</v>
      </c>
      <c r="K1291" s="20"/>
    </row>
    <row r="1292" spans="1:11" ht="36.75" thickBot="1">
      <c r="A1292" s="18" t="s">
        <v>5924</v>
      </c>
      <c r="B1292" s="18">
        <v>20003477517</v>
      </c>
      <c r="C1292" s="18" t="s">
        <v>4800</v>
      </c>
      <c r="D1292" s="19">
        <v>45708.670138888891</v>
      </c>
      <c r="E1292" s="18" t="s">
        <v>10</v>
      </c>
      <c r="F1292" s="18">
        <v>30</v>
      </c>
      <c r="G1292" s="18" t="s">
        <v>10</v>
      </c>
      <c r="H1292" s="18" t="s">
        <v>178</v>
      </c>
      <c r="I1292" s="18" t="s">
        <v>10</v>
      </c>
      <c r="J1292" s="18" t="s">
        <v>4017</v>
      </c>
      <c r="K1292" s="20"/>
    </row>
    <row r="1293" spans="1:11" ht="36.75" thickBot="1">
      <c r="A1293" s="18" t="s">
        <v>5925</v>
      </c>
      <c r="B1293" s="18">
        <v>20003005738</v>
      </c>
      <c r="C1293" s="18" t="s">
        <v>5093</v>
      </c>
      <c r="D1293" s="19">
        <v>45708.681944444441</v>
      </c>
      <c r="E1293" s="18" t="s">
        <v>10</v>
      </c>
      <c r="F1293" s="18">
        <v>100</v>
      </c>
      <c r="G1293" s="19">
        <v>45721.584027777775</v>
      </c>
      <c r="H1293" s="18" t="s">
        <v>236</v>
      </c>
      <c r="I1293" s="18" t="s">
        <v>10</v>
      </c>
      <c r="J1293" s="18" t="s">
        <v>4017</v>
      </c>
      <c r="K1293" s="20"/>
    </row>
    <row r="1294" spans="1:11" ht="36.75" thickBot="1">
      <c r="A1294" s="18" t="s">
        <v>5926</v>
      </c>
      <c r="B1294" s="18">
        <v>20021046666</v>
      </c>
      <c r="C1294" s="18" t="s">
        <v>5927</v>
      </c>
      <c r="D1294" s="19">
        <v>45708.697222222225</v>
      </c>
      <c r="E1294" s="18" t="s">
        <v>10</v>
      </c>
      <c r="F1294" s="18">
        <v>175</v>
      </c>
      <c r="G1294" s="18" t="s">
        <v>10</v>
      </c>
      <c r="H1294" s="18" t="s">
        <v>178</v>
      </c>
      <c r="I1294" s="18" t="s">
        <v>10</v>
      </c>
      <c r="J1294" s="18" t="s">
        <v>4017</v>
      </c>
      <c r="K1294" s="20"/>
    </row>
    <row r="1295" spans="1:11" ht="36.75" thickBot="1">
      <c r="A1295" s="18" t="s">
        <v>5928</v>
      </c>
      <c r="B1295" s="18">
        <v>20027866853</v>
      </c>
      <c r="C1295" s="18" t="s">
        <v>5635</v>
      </c>
      <c r="D1295" s="19">
        <v>45708.772916666669</v>
      </c>
      <c r="E1295" s="18" t="s">
        <v>10</v>
      </c>
      <c r="F1295" s="18">
        <v>250</v>
      </c>
      <c r="G1295" s="18" t="s">
        <v>10</v>
      </c>
      <c r="H1295" s="18" t="s">
        <v>178</v>
      </c>
      <c r="I1295" s="18" t="s">
        <v>10</v>
      </c>
      <c r="J1295" s="18" t="s">
        <v>4017</v>
      </c>
      <c r="K1295" s="20"/>
    </row>
    <row r="1296" spans="1:11" ht="36.75" thickBot="1">
      <c r="A1296" s="18" t="s">
        <v>5929</v>
      </c>
      <c r="B1296" s="18">
        <v>20023922007</v>
      </c>
      <c r="C1296" s="18" t="s">
        <v>4531</v>
      </c>
      <c r="D1296" s="19">
        <v>45699.697222222225</v>
      </c>
      <c r="E1296" s="19">
        <v>45709.464583333334</v>
      </c>
      <c r="F1296" s="18">
        <v>125</v>
      </c>
      <c r="G1296" s="19">
        <v>45722.411805555559</v>
      </c>
      <c r="H1296" s="18" t="s">
        <v>236</v>
      </c>
      <c r="I1296" s="18" t="s">
        <v>10</v>
      </c>
      <c r="J1296" s="18" t="s">
        <v>4017</v>
      </c>
      <c r="K1296" s="20"/>
    </row>
    <row r="1297" spans="1:11" ht="36.75" thickBot="1">
      <c r="A1297" s="18" t="s">
        <v>5930</v>
      </c>
      <c r="B1297" s="18">
        <v>20017430549</v>
      </c>
      <c r="C1297" s="18" t="s">
        <v>5904</v>
      </c>
      <c r="D1297" s="19">
        <v>45709.468055555553</v>
      </c>
      <c r="E1297" s="18" t="s">
        <v>10</v>
      </c>
      <c r="F1297" s="18">
        <v>50</v>
      </c>
      <c r="G1297" s="18" t="s">
        <v>10</v>
      </c>
      <c r="H1297" s="18" t="s">
        <v>178</v>
      </c>
      <c r="I1297" s="18" t="s">
        <v>10</v>
      </c>
      <c r="J1297" s="18" t="s">
        <v>4017</v>
      </c>
      <c r="K1297" s="20"/>
    </row>
    <row r="1298" spans="1:11" ht="36.75" thickBot="1">
      <c r="A1298" s="18" t="s">
        <v>5931</v>
      </c>
      <c r="B1298" s="18">
        <v>20018330639</v>
      </c>
      <c r="C1298" s="18" t="s">
        <v>5294</v>
      </c>
      <c r="D1298" s="19">
        <v>45702.698611111111</v>
      </c>
      <c r="E1298" s="19">
        <v>45709.495138888888</v>
      </c>
      <c r="F1298" s="18">
        <v>220</v>
      </c>
      <c r="G1298" s="19">
        <v>45719.387499999997</v>
      </c>
      <c r="H1298" s="18" t="s">
        <v>236</v>
      </c>
      <c r="I1298" s="18" t="s">
        <v>10</v>
      </c>
      <c r="J1298" s="18" t="s">
        <v>4017</v>
      </c>
      <c r="K1298" s="20"/>
    </row>
    <row r="1299" spans="1:11" ht="36.75" thickBot="1">
      <c r="A1299" s="18" t="s">
        <v>5932</v>
      </c>
      <c r="B1299" s="18">
        <v>20003401885</v>
      </c>
      <c r="C1299" s="18" t="s">
        <v>5933</v>
      </c>
      <c r="D1299" s="19">
        <v>45709.580555555556</v>
      </c>
      <c r="E1299" s="18" t="s">
        <v>10</v>
      </c>
      <c r="F1299" s="18">
        <v>40</v>
      </c>
      <c r="G1299" s="18" t="s">
        <v>10</v>
      </c>
      <c r="H1299" s="18" t="s">
        <v>178</v>
      </c>
      <c r="I1299" s="18" t="s">
        <v>10</v>
      </c>
      <c r="J1299" s="18" t="s">
        <v>4017</v>
      </c>
      <c r="K1299" s="20"/>
    </row>
    <row r="1300" spans="1:11" ht="36.75" thickBot="1">
      <c r="A1300" s="18" t="s">
        <v>5934</v>
      </c>
      <c r="B1300" s="18">
        <v>20022699429</v>
      </c>
      <c r="C1300" s="18" t="s">
        <v>5935</v>
      </c>
      <c r="D1300" s="19">
        <v>45701.94027777778</v>
      </c>
      <c r="E1300" s="19">
        <v>45709.631249999999</v>
      </c>
      <c r="F1300" s="18">
        <v>30</v>
      </c>
      <c r="G1300" s="19">
        <v>45720.609722222223</v>
      </c>
      <c r="H1300" s="18" t="s">
        <v>236</v>
      </c>
      <c r="I1300" s="18" t="s">
        <v>10</v>
      </c>
      <c r="J1300" s="18" t="s">
        <v>4017</v>
      </c>
      <c r="K1300" s="20"/>
    </row>
    <row r="1301" spans="1:11" ht="36.75" thickBot="1">
      <c r="A1301" s="18" t="s">
        <v>5936</v>
      </c>
      <c r="B1301" s="18">
        <v>20003519458</v>
      </c>
      <c r="C1301" s="18" t="s">
        <v>5399</v>
      </c>
      <c r="D1301" s="19">
        <v>45699.707638888889</v>
      </c>
      <c r="E1301" s="19">
        <v>45709.703472222223</v>
      </c>
      <c r="F1301" s="18">
        <v>85</v>
      </c>
      <c r="G1301" s="19">
        <v>45719.393055555556</v>
      </c>
      <c r="H1301" s="18" t="s">
        <v>236</v>
      </c>
      <c r="I1301" s="18" t="s">
        <v>10</v>
      </c>
      <c r="J1301" s="18" t="s">
        <v>4017</v>
      </c>
      <c r="K1301" s="1"/>
    </row>
    <row r="1302" spans="1:11" ht="36.75" thickBot="1">
      <c r="A1302" s="21" t="s">
        <v>5937</v>
      </c>
      <c r="B1302" s="21">
        <v>20016561343</v>
      </c>
      <c r="C1302" s="21" t="s">
        <v>2153</v>
      </c>
      <c r="D1302" s="22">
        <v>45709.710416666669</v>
      </c>
      <c r="E1302" s="21" t="s">
        <v>10</v>
      </c>
      <c r="F1302" s="21">
        <v>180</v>
      </c>
      <c r="G1302" s="22">
        <v>45715.55</v>
      </c>
      <c r="H1302" s="21" t="s">
        <v>236</v>
      </c>
      <c r="I1302" s="21" t="s">
        <v>10</v>
      </c>
      <c r="J1302" s="21" t="s">
        <v>4017</v>
      </c>
      <c r="K1302" s="20"/>
    </row>
    <row r="1303" spans="1:11" ht="36.75" thickBot="1">
      <c r="A1303" s="18" t="s">
        <v>5938</v>
      </c>
      <c r="B1303" s="18">
        <v>20002883974</v>
      </c>
      <c r="C1303" s="18" t="s">
        <v>4682</v>
      </c>
      <c r="D1303" s="19">
        <v>45709.740972222222</v>
      </c>
      <c r="E1303" s="18" t="s">
        <v>10</v>
      </c>
      <c r="F1303" s="18">
        <v>50</v>
      </c>
      <c r="G1303" s="19">
        <v>45748.468055555553</v>
      </c>
      <c r="H1303" s="18" t="s">
        <v>2654</v>
      </c>
      <c r="I1303" s="18" t="s">
        <v>10</v>
      </c>
      <c r="J1303" s="18" t="s">
        <v>4017</v>
      </c>
      <c r="K1303" s="20"/>
    </row>
    <row r="1304" spans="1:11" ht="36.75" thickBot="1">
      <c r="A1304" s="18" t="s">
        <v>5939</v>
      </c>
      <c r="B1304" s="18">
        <v>20025068590</v>
      </c>
      <c r="C1304" s="18" t="s">
        <v>5940</v>
      </c>
      <c r="D1304" s="19">
        <v>45712.445833333331</v>
      </c>
      <c r="E1304" s="18" t="s">
        <v>10</v>
      </c>
      <c r="F1304" s="18">
        <v>40</v>
      </c>
      <c r="G1304" s="18" t="s">
        <v>10</v>
      </c>
      <c r="H1304" s="18" t="s">
        <v>178</v>
      </c>
      <c r="I1304" s="18" t="s">
        <v>10</v>
      </c>
      <c r="J1304" s="18" t="s">
        <v>4017</v>
      </c>
      <c r="K1304" s="20"/>
    </row>
    <row r="1305" spans="1:11" ht="36.75" thickBot="1">
      <c r="A1305" s="18" t="s">
        <v>5941</v>
      </c>
      <c r="B1305" s="18">
        <v>20003523117</v>
      </c>
      <c r="C1305" s="18" t="s">
        <v>5528</v>
      </c>
      <c r="D1305" s="19">
        <v>45712.50277777778</v>
      </c>
      <c r="E1305" s="18" t="s">
        <v>10</v>
      </c>
      <c r="F1305" s="18">
        <v>125</v>
      </c>
      <c r="G1305" s="18" t="s">
        <v>10</v>
      </c>
      <c r="H1305" s="18" t="s">
        <v>178</v>
      </c>
      <c r="I1305" s="18" t="s">
        <v>10</v>
      </c>
      <c r="J1305" s="18" t="s">
        <v>4017</v>
      </c>
      <c r="K1305" s="20"/>
    </row>
    <row r="1306" spans="1:11" ht="36.75" thickBot="1">
      <c r="A1306" s="18" t="s">
        <v>5942</v>
      </c>
      <c r="B1306" s="18">
        <v>20021376520</v>
      </c>
      <c r="C1306" s="18" t="s">
        <v>5943</v>
      </c>
      <c r="D1306" s="19">
        <v>45688.59097222222</v>
      </c>
      <c r="E1306" s="19">
        <v>45712.56527777778</v>
      </c>
      <c r="F1306" s="18">
        <v>190</v>
      </c>
      <c r="G1306" s="19">
        <v>45719.495833333334</v>
      </c>
      <c r="H1306" s="18" t="s">
        <v>236</v>
      </c>
      <c r="I1306" s="18" t="s">
        <v>10</v>
      </c>
      <c r="J1306" s="18" t="s">
        <v>4017</v>
      </c>
      <c r="K1306" s="20"/>
    </row>
    <row r="1307" spans="1:11" ht="54.75" thickBot="1">
      <c r="A1307" s="18" t="s">
        <v>5944</v>
      </c>
      <c r="B1307" s="18">
        <v>20002919511</v>
      </c>
      <c r="C1307" s="18" t="s">
        <v>4702</v>
      </c>
      <c r="D1307" s="19">
        <v>45712.579861111109</v>
      </c>
      <c r="E1307" s="18" t="s">
        <v>10</v>
      </c>
      <c r="F1307" s="18">
        <v>5</v>
      </c>
      <c r="G1307" s="18" t="s">
        <v>10</v>
      </c>
      <c r="H1307" s="18" t="s">
        <v>178</v>
      </c>
      <c r="I1307" s="18" t="s">
        <v>10</v>
      </c>
      <c r="J1307" s="18" t="s">
        <v>4017</v>
      </c>
      <c r="K1307" s="20"/>
    </row>
    <row r="1308" spans="1:11" ht="36.75" thickBot="1">
      <c r="A1308" s="18" t="s">
        <v>5945</v>
      </c>
      <c r="B1308" s="18">
        <v>20027897419</v>
      </c>
      <c r="C1308" s="18" t="s">
        <v>1062</v>
      </c>
      <c r="D1308" s="19">
        <v>45712.613194444442</v>
      </c>
      <c r="E1308" s="18" t="s">
        <v>10</v>
      </c>
      <c r="F1308" s="18">
        <v>100</v>
      </c>
      <c r="G1308" s="18" t="s">
        <v>10</v>
      </c>
      <c r="H1308" s="18" t="s">
        <v>178</v>
      </c>
      <c r="I1308" s="18" t="s">
        <v>10</v>
      </c>
      <c r="J1308" s="18" t="s">
        <v>4017</v>
      </c>
      <c r="K1308" s="20"/>
    </row>
    <row r="1309" spans="1:11" ht="36.75" thickBot="1">
      <c r="A1309" s="18" t="s">
        <v>5946</v>
      </c>
      <c r="B1309" s="18">
        <v>20022104703</v>
      </c>
      <c r="C1309" s="18" t="s">
        <v>5947</v>
      </c>
      <c r="D1309" s="19">
        <v>45712.652083333334</v>
      </c>
      <c r="E1309" s="18" t="s">
        <v>10</v>
      </c>
      <c r="F1309" s="18">
        <v>180</v>
      </c>
      <c r="G1309" s="18" t="s">
        <v>10</v>
      </c>
      <c r="H1309" s="18" t="s">
        <v>178</v>
      </c>
      <c r="I1309" s="18" t="s">
        <v>10</v>
      </c>
      <c r="J1309" s="18" t="s">
        <v>4017</v>
      </c>
      <c r="K1309" s="20"/>
    </row>
    <row r="1310" spans="1:11" ht="36.75" thickBot="1">
      <c r="A1310" s="18" t="s">
        <v>5948</v>
      </c>
      <c r="B1310" s="18">
        <v>20021986711</v>
      </c>
      <c r="C1310" s="18" t="s">
        <v>4481</v>
      </c>
      <c r="D1310" s="19">
        <v>45713.402777777781</v>
      </c>
      <c r="E1310" s="18" t="s">
        <v>10</v>
      </c>
      <c r="F1310" s="18">
        <v>200</v>
      </c>
      <c r="G1310" s="18" t="s">
        <v>10</v>
      </c>
      <c r="H1310" s="18" t="s">
        <v>178</v>
      </c>
      <c r="I1310" s="18" t="s">
        <v>10</v>
      </c>
      <c r="J1310" s="18" t="s">
        <v>4017</v>
      </c>
      <c r="K1310" s="20"/>
    </row>
    <row r="1311" spans="1:11" ht="36.75" thickBot="1">
      <c r="A1311" s="18" t="s">
        <v>5949</v>
      </c>
      <c r="B1311" s="18">
        <v>20020879469</v>
      </c>
      <c r="C1311" s="18" t="s">
        <v>5726</v>
      </c>
      <c r="D1311" s="19">
        <v>45713.42083333333</v>
      </c>
      <c r="E1311" s="18" t="s">
        <v>10</v>
      </c>
      <c r="F1311" s="18">
        <v>48</v>
      </c>
      <c r="G1311" s="19">
        <v>45740.46875</v>
      </c>
      <c r="H1311" s="18" t="s">
        <v>236</v>
      </c>
      <c r="I1311" s="18" t="s">
        <v>10</v>
      </c>
      <c r="J1311" s="18" t="s">
        <v>4017</v>
      </c>
      <c r="K1311" s="20"/>
    </row>
    <row r="1312" spans="1:11" ht="36.75" thickBot="1">
      <c r="A1312" s="18" t="s">
        <v>5950</v>
      </c>
      <c r="B1312" s="18">
        <v>20017430549</v>
      </c>
      <c r="C1312" s="18" t="s">
        <v>5904</v>
      </c>
      <c r="D1312" s="19">
        <v>45713.579861111109</v>
      </c>
      <c r="E1312" s="18" t="s">
        <v>10</v>
      </c>
      <c r="F1312" s="18">
        <v>50</v>
      </c>
      <c r="G1312" s="18" t="s">
        <v>10</v>
      </c>
      <c r="H1312" s="18" t="s">
        <v>178</v>
      </c>
      <c r="I1312" s="18" t="s">
        <v>10</v>
      </c>
      <c r="J1312" s="18" t="s">
        <v>4017</v>
      </c>
      <c r="K1312" s="20"/>
    </row>
    <row r="1313" spans="1:11" ht="36.75" thickBot="1">
      <c r="A1313" s="18" t="s">
        <v>5951</v>
      </c>
      <c r="B1313" s="18">
        <v>20021460322</v>
      </c>
      <c r="C1313" s="18" t="s">
        <v>5952</v>
      </c>
      <c r="D1313" s="19">
        <v>45659.425000000003</v>
      </c>
      <c r="E1313" s="19">
        <v>45713.589583333334</v>
      </c>
      <c r="F1313" s="18">
        <v>300</v>
      </c>
      <c r="G1313" s="19">
        <v>45729.635416666664</v>
      </c>
      <c r="H1313" s="18" t="s">
        <v>2654</v>
      </c>
      <c r="I1313" s="18" t="s">
        <v>10</v>
      </c>
      <c r="J1313" s="18" t="s">
        <v>4017</v>
      </c>
      <c r="K1313" s="20"/>
    </row>
    <row r="1314" spans="1:11" ht="36.75" thickBot="1">
      <c r="A1314" s="18" t="s">
        <v>5953</v>
      </c>
      <c r="B1314" s="18">
        <v>20023093773</v>
      </c>
      <c r="C1314" s="18" t="s">
        <v>5954</v>
      </c>
      <c r="D1314" s="19">
        <v>45685.646527777775</v>
      </c>
      <c r="E1314" s="19">
        <v>45713.625</v>
      </c>
      <c r="F1314" s="18">
        <v>50</v>
      </c>
      <c r="G1314" s="18" t="s">
        <v>10</v>
      </c>
      <c r="H1314" s="18" t="s">
        <v>178</v>
      </c>
      <c r="I1314" s="18" t="s">
        <v>10</v>
      </c>
      <c r="J1314" s="18" t="s">
        <v>4017</v>
      </c>
      <c r="K1314" s="20"/>
    </row>
    <row r="1315" spans="1:11" ht="36.75" thickBot="1">
      <c r="A1315" s="18" t="s">
        <v>5955</v>
      </c>
      <c r="B1315" s="18">
        <v>20003339277</v>
      </c>
      <c r="C1315" s="18" t="s">
        <v>5956</v>
      </c>
      <c r="D1315" s="19">
        <v>45679.770138888889</v>
      </c>
      <c r="E1315" s="19">
        <v>45713.667361111111</v>
      </c>
      <c r="F1315" s="18">
        <v>100</v>
      </c>
      <c r="G1315" s="19">
        <v>45730.575694444444</v>
      </c>
      <c r="H1315" s="18" t="s">
        <v>236</v>
      </c>
      <c r="I1315" s="18" t="s">
        <v>10</v>
      </c>
      <c r="J1315" s="18" t="s">
        <v>4017</v>
      </c>
      <c r="K1315" s="20"/>
    </row>
    <row r="1316" spans="1:11" ht="36.75" thickBot="1">
      <c r="A1316" s="18" t="s">
        <v>5957</v>
      </c>
      <c r="B1316" s="18">
        <v>20026823121</v>
      </c>
      <c r="C1316" s="18" t="s">
        <v>5958</v>
      </c>
      <c r="D1316" s="19">
        <v>45713.667361111111</v>
      </c>
      <c r="E1316" s="18" t="s">
        <v>10</v>
      </c>
      <c r="F1316" s="18">
        <v>30</v>
      </c>
      <c r="G1316" s="18" t="s">
        <v>10</v>
      </c>
      <c r="H1316" s="18" t="s">
        <v>178</v>
      </c>
      <c r="I1316" s="18" t="s">
        <v>10</v>
      </c>
      <c r="J1316" s="18" t="s">
        <v>4017</v>
      </c>
      <c r="K1316" s="20"/>
    </row>
    <row r="1317" spans="1:11" ht="36.75" thickBot="1">
      <c r="A1317" s="18" t="s">
        <v>5959</v>
      </c>
      <c r="B1317" s="18">
        <v>20025021774</v>
      </c>
      <c r="C1317" s="18" t="s">
        <v>5576</v>
      </c>
      <c r="D1317" s="19">
        <v>45713.802777777775</v>
      </c>
      <c r="E1317" s="18" t="s">
        <v>10</v>
      </c>
      <c r="F1317" s="18">
        <v>60</v>
      </c>
      <c r="G1317" s="19">
        <v>45728.553472222222</v>
      </c>
      <c r="H1317" s="18" t="s">
        <v>236</v>
      </c>
      <c r="I1317" s="18" t="s">
        <v>10</v>
      </c>
      <c r="J1317" s="18" t="s">
        <v>4017</v>
      </c>
      <c r="K1317" s="20"/>
    </row>
    <row r="1318" spans="1:11" ht="36.75" thickBot="1">
      <c r="A1318" s="18" t="s">
        <v>5960</v>
      </c>
      <c r="B1318" s="18">
        <v>20020934591</v>
      </c>
      <c r="C1318" s="18" t="s">
        <v>5961</v>
      </c>
      <c r="D1318" s="19">
        <v>45714.408333333333</v>
      </c>
      <c r="E1318" s="18" t="s">
        <v>10</v>
      </c>
      <c r="F1318" s="18">
        <v>30</v>
      </c>
      <c r="G1318" s="18" t="s">
        <v>10</v>
      </c>
      <c r="H1318" s="18" t="s">
        <v>178</v>
      </c>
      <c r="I1318" s="18" t="s">
        <v>10</v>
      </c>
      <c r="J1318" s="18" t="s">
        <v>4017</v>
      </c>
      <c r="K1318" s="20"/>
    </row>
    <row r="1319" spans="1:11" ht="36.75" thickBot="1">
      <c r="A1319" s="18" t="s">
        <v>5962</v>
      </c>
      <c r="B1319" s="18">
        <v>20017804145</v>
      </c>
      <c r="C1319" s="18" t="s">
        <v>1836</v>
      </c>
      <c r="D1319" s="19">
        <v>45714.633333333331</v>
      </c>
      <c r="E1319" s="18" t="s">
        <v>10</v>
      </c>
      <c r="F1319" s="18">
        <v>30</v>
      </c>
      <c r="G1319" s="18" t="s">
        <v>10</v>
      </c>
      <c r="H1319" s="18" t="s">
        <v>178</v>
      </c>
      <c r="I1319" s="18" t="s">
        <v>10</v>
      </c>
      <c r="J1319" s="18" t="s">
        <v>4017</v>
      </c>
      <c r="K1319" s="20"/>
    </row>
    <row r="1320" spans="1:11" ht="36.75" thickBot="1">
      <c r="A1320" s="18" t="s">
        <v>5963</v>
      </c>
      <c r="B1320" s="18">
        <v>20021265312</v>
      </c>
      <c r="C1320" s="18" t="s">
        <v>5964</v>
      </c>
      <c r="D1320" s="19">
        <v>45709.436111111114</v>
      </c>
      <c r="E1320" s="19">
        <v>45714.638888888891</v>
      </c>
      <c r="F1320" s="18">
        <v>30</v>
      </c>
      <c r="G1320" s="19">
        <v>45742.540972222225</v>
      </c>
      <c r="H1320" s="18" t="s">
        <v>236</v>
      </c>
      <c r="I1320" s="18" t="s">
        <v>10</v>
      </c>
      <c r="J1320" s="18" t="s">
        <v>4017</v>
      </c>
      <c r="K1320" s="20"/>
    </row>
    <row r="1321" spans="1:11" ht="36.75" thickBot="1">
      <c r="A1321" s="18" t="s">
        <v>5965</v>
      </c>
      <c r="B1321" s="18">
        <v>20017730898</v>
      </c>
      <c r="C1321" s="18" t="s">
        <v>1836</v>
      </c>
      <c r="D1321" s="19">
        <v>45714.647222222222</v>
      </c>
      <c r="E1321" s="18" t="s">
        <v>10</v>
      </c>
      <c r="F1321" s="18">
        <v>30</v>
      </c>
      <c r="G1321" s="18" t="s">
        <v>10</v>
      </c>
      <c r="H1321" s="18" t="s">
        <v>178</v>
      </c>
      <c r="I1321" s="18" t="s">
        <v>10</v>
      </c>
      <c r="J1321" s="18" t="s">
        <v>4017</v>
      </c>
      <c r="K1321" s="20"/>
    </row>
    <row r="1322" spans="1:11" ht="36.75" thickBot="1">
      <c r="A1322" s="18" t="s">
        <v>5966</v>
      </c>
      <c r="B1322" s="18">
        <v>20002945860</v>
      </c>
      <c r="C1322" s="18" t="s">
        <v>5106</v>
      </c>
      <c r="D1322" s="19">
        <v>45708.374305555553</v>
      </c>
      <c r="E1322" s="19">
        <v>45714.647222222222</v>
      </c>
      <c r="F1322" s="18">
        <v>140</v>
      </c>
      <c r="G1322" s="19">
        <v>45741.48333333333</v>
      </c>
      <c r="H1322" s="18" t="s">
        <v>2654</v>
      </c>
      <c r="I1322" s="18" t="s">
        <v>10</v>
      </c>
      <c r="J1322" s="18" t="s">
        <v>4017</v>
      </c>
      <c r="K1322" s="20"/>
    </row>
    <row r="1323" spans="1:11" ht="36.75" thickBot="1">
      <c r="A1323" s="18" t="s">
        <v>5967</v>
      </c>
      <c r="B1323" s="18">
        <v>20024149315</v>
      </c>
      <c r="C1323" s="18" t="s">
        <v>1836</v>
      </c>
      <c r="D1323" s="19">
        <v>45714.652777777781</v>
      </c>
      <c r="E1323" s="18" t="s">
        <v>10</v>
      </c>
      <c r="F1323" s="18">
        <v>30</v>
      </c>
      <c r="G1323" s="18" t="s">
        <v>10</v>
      </c>
      <c r="H1323" s="18" t="s">
        <v>178</v>
      </c>
      <c r="I1323" s="18" t="s">
        <v>10</v>
      </c>
      <c r="J1323" s="18" t="s">
        <v>4017</v>
      </c>
      <c r="K1323" s="20"/>
    </row>
    <row r="1324" spans="1:11" ht="72.75" thickBot="1">
      <c r="A1324" s="18" t="s">
        <v>5968</v>
      </c>
      <c r="B1324" s="18">
        <v>20022714603</v>
      </c>
      <c r="C1324" s="18" t="s">
        <v>5106</v>
      </c>
      <c r="D1324" s="19">
        <v>45708.368055555555</v>
      </c>
      <c r="E1324" s="19">
        <v>45714.65347222222</v>
      </c>
      <c r="F1324" s="18">
        <v>130</v>
      </c>
      <c r="G1324" s="19">
        <v>45741.484027777777</v>
      </c>
      <c r="H1324" s="18" t="s">
        <v>2688</v>
      </c>
      <c r="I1324" s="18" t="s">
        <v>10</v>
      </c>
      <c r="J1324" s="18" t="s">
        <v>4017</v>
      </c>
      <c r="K1324" s="20"/>
    </row>
    <row r="1325" spans="1:11" ht="36.75" thickBot="1">
      <c r="A1325" s="18" t="s">
        <v>5969</v>
      </c>
      <c r="B1325" s="18">
        <v>20025037549</v>
      </c>
      <c r="C1325" s="18" t="s">
        <v>1836</v>
      </c>
      <c r="D1325" s="19">
        <v>45714.657638888886</v>
      </c>
      <c r="E1325" s="18" t="s">
        <v>10</v>
      </c>
      <c r="F1325" s="18">
        <v>30</v>
      </c>
      <c r="G1325" s="18" t="s">
        <v>10</v>
      </c>
      <c r="H1325" s="18" t="s">
        <v>178</v>
      </c>
      <c r="I1325" s="18" t="s">
        <v>10</v>
      </c>
      <c r="J1325" s="18" t="s">
        <v>4017</v>
      </c>
      <c r="K1325" s="20"/>
    </row>
    <row r="1326" spans="1:11" ht="36.75" thickBot="1">
      <c r="A1326" s="18" t="s">
        <v>5970</v>
      </c>
      <c r="B1326" s="18">
        <v>20025919032</v>
      </c>
      <c r="C1326" s="18" t="s">
        <v>1836</v>
      </c>
      <c r="D1326" s="19">
        <v>45714.663888888892</v>
      </c>
      <c r="E1326" s="18" t="s">
        <v>10</v>
      </c>
      <c r="F1326" s="18">
        <v>30</v>
      </c>
      <c r="G1326" s="18" t="s">
        <v>10</v>
      </c>
      <c r="H1326" s="18" t="s">
        <v>178</v>
      </c>
      <c r="I1326" s="18" t="s">
        <v>10</v>
      </c>
      <c r="J1326" s="18" t="s">
        <v>4017</v>
      </c>
      <c r="K1326" s="20"/>
    </row>
    <row r="1327" spans="1:11" ht="36.75" thickBot="1">
      <c r="A1327" s="18" t="s">
        <v>5971</v>
      </c>
      <c r="B1327" s="18">
        <v>20026111456</v>
      </c>
      <c r="C1327" s="18" t="s">
        <v>1836</v>
      </c>
      <c r="D1327" s="19">
        <v>45714.668749999997</v>
      </c>
      <c r="E1327" s="18" t="s">
        <v>10</v>
      </c>
      <c r="F1327" s="18">
        <v>30</v>
      </c>
      <c r="G1327" s="18" t="s">
        <v>10</v>
      </c>
      <c r="H1327" s="18" t="s">
        <v>178</v>
      </c>
      <c r="I1327" s="18" t="s">
        <v>10</v>
      </c>
      <c r="J1327" s="18" t="s">
        <v>4017</v>
      </c>
      <c r="K1327" s="20"/>
    </row>
    <row r="1328" spans="1:11" ht="36.75" thickBot="1">
      <c r="A1328" s="18" t="s">
        <v>5972</v>
      </c>
      <c r="B1328" s="18">
        <v>20026069603</v>
      </c>
      <c r="C1328" s="18" t="s">
        <v>1836</v>
      </c>
      <c r="D1328" s="19">
        <v>45714.673611111109</v>
      </c>
      <c r="E1328" s="18" t="s">
        <v>10</v>
      </c>
      <c r="F1328" s="18">
        <v>30</v>
      </c>
      <c r="G1328" s="18" t="s">
        <v>10</v>
      </c>
      <c r="H1328" s="18" t="s">
        <v>178</v>
      </c>
      <c r="I1328" s="18" t="s">
        <v>10</v>
      </c>
      <c r="J1328" s="18" t="s">
        <v>4017</v>
      </c>
      <c r="K1328" s="20"/>
    </row>
    <row r="1329" spans="1:11" ht="36.75" thickBot="1">
      <c r="A1329" s="18" t="s">
        <v>5973</v>
      </c>
      <c r="B1329" s="18">
        <v>20017878543</v>
      </c>
      <c r="C1329" s="18" t="s">
        <v>1836</v>
      </c>
      <c r="D1329" s="19">
        <v>45714.678472222222</v>
      </c>
      <c r="E1329" s="18" t="s">
        <v>10</v>
      </c>
      <c r="F1329" s="18">
        <v>30</v>
      </c>
      <c r="G1329" s="18" t="s">
        <v>10</v>
      </c>
      <c r="H1329" s="18" t="s">
        <v>178</v>
      </c>
      <c r="I1329" s="18" t="s">
        <v>10</v>
      </c>
      <c r="J1329" s="18" t="s">
        <v>4017</v>
      </c>
      <c r="K1329" s="20"/>
    </row>
    <row r="1330" spans="1:11" ht="36.75" thickBot="1">
      <c r="A1330" s="18" t="s">
        <v>5974</v>
      </c>
      <c r="B1330" s="18">
        <v>20026111181</v>
      </c>
      <c r="C1330" s="18" t="s">
        <v>1836</v>
      </c>
      <c r="D1330" s="19">
        <v>45714.6875</v>
      </c>
      <c r="E1330" s="18" t="s">
        <v>10</v>
      </c>
      <c r="F1330" s="18">
        <v>30</v>
      </c>
      <c r="G1330" s="18" t="s">
        <v>10</v>
      </c>
      <c r="H1330" s="18" t="s">
        <v>178</v>
      </c>
      <c r="I1330" s="18" t="s">
        <v>10</v>
      </c>
      <c r="J1330" s="18" t="s">
        <v>4017</v>
      </c>
      <c r="K1330" s="20"/>
    </row>
    <row r="1331" spans="1:11" ht="36.75" thickBot="1">
      <c r="A1331" s="18" t="s">
        <v>5975</v>
      </c>
      <c r="B1331" s="18">
        <v>20026111149</v>
      </c>
      <c r="C1331" s="18" t="s">
        <v>1836</v>
      </c>
      <c r="D1331" s="19">
        <v>45714.692361111112</v>
      </c>
      <c r="E1331" s="18" t="s">
        <v>10</v>
      </c>
      <c r="F1331" s="18">
        <v>30</v>
      </c>
      <c r="G1331" s="18" t="s">
        <v>10</v>
      </c>
      <c r="H1331" s="18" t="s">
        <v>178</v>
      </c>
      <c r="I1331" s="18" t="s">
        <v>10</v>
      </c>
      <c r="J1331" s="18" t="s">
        <v>4017</v>
      </c>
      <c r="K1331" s="20"/>
    </row>
    <row r="1332" spans="1:11" ht="36.75" thickBot="1">
      <c r="A1332" s="18" t="s">
        <v>5976</v>
      </c>
      <c r="B1332" s="18">
        <v>20026106785</v>
      </c>
      <c r="C1332" s="18" t="s">
        <v>1836</v>
      </c>
      <c r="D1332" s="19">
        <v>45714.697222222225</v>
      </c>
      <c r="E1332" s="18" t="s">
        <v>10</v>
      </c>
      <c r="F1332" s="18">
        <v>30</v>
      </c>
      <c r="G1332" s="18" t="s">
        <v>10</v>
      </c>
      <c r="H1332" s="18" t="s">
        <v>178</v>
      </c>
      <c r="I1332" s="18" t="s">
        <v>10</v>
      </c>
      <c r="J1332" s="18" t="s">
        <v>4017</v>
      </c>
      <c r="K1332" s="20"/>
    </row>
    <row r="1333" spans="1:11" ht="36.75" thickBot="1">
      <c r="A1333" s="18" t="s">
        <v>5977</v>
      </c>
      <c r="B1333" s="18">
        <v>20026318718</v>
      </c>
      <c r="C1333" s="18" t="s">
        <v>1836</v>
      </c>
      <c r="D1333" s="19">
        <v>45714.709722222222</v>
      </c>
      <c r="E1333" s="18" t="s">
        <v>10</v>
      </c>
      <c r="F1333" s="18">
        <v>30</v>
      </c>
      <c r="G1333" s="18" t="s">
        <v>10</v>
      </c>
      <c r="H1333" s="18" t="s">
        <v>178</v>
      </c>
      <c r="I1333" s="18" t="s">
        <v>10</v>
      </c>
      <c r="J1333" s="18" t="s">
        <v>4017</v>
      </c>
      <c r="K1333" s="20"/>
    </row>
    <row r="1334" spans="1:11" ht="36.75" thickBot="1">
      <c r="A1334" s="18" t="s">
        <v>5978</v>
      </c>
      <c r="B1334" s="18">
        <v>20026738786</v>
      </c>
      <c r="C1334" s="18" t="s">
        <v>1836</v>
      </c>
      <c r="D1334" s="19">
        <v>45714.720833333333</v>
      </c>
      <c r="E1334" s="18" t="s">
        <v>10</v>
      </c>
      <c r="F1334" s="18">
        <v>30</v>
      </c>
      <c r="G1334" s="18" t="s">
        <v>10</v>
      </c>
      <c r="H1334" s="18" t="s">
        <v>178</v>
      </c>
      <c r="I1334" s="18" t="s">
        <v>10</v>
      </c>
      <c r="J1334" s="18" t="s">
        <v>4017</v>
      </c>
      <c r="K1334" s="20"/>
    </row>
    <row r="1335" spans="1:11" ht="36.75" thickBot="1">
      <c r="A1335" s="18" t="s">
        <v>5979</v>
      </c>
      <c r="B1335" s="18">
        <v>20026658201</v>
      </c>
      <c r="C1335" s="18" t="s">
        <v>1836</v>
      </c>
      <c r="D1335" s="19">
        <v>45715.368750000001</v>
      </c>
      <c r="E1335" s="18" t="s">
        <v>10</v>
      </c>
      <c r="F1335" s="18">
        <v>30</v>
      </c>
      <c r="G1335" s="18" t="s">
        <v>10</v>
      </c>
      <c r="H1335" s="18" t="s">
        <v>178</v>
      </c>
      <c r="I1335" s="18" t="s">
        <v>10</v>
      </c>
      <c r="J1335" s="18" t="s">
        <v>4017</v>
      </c>
      <c r="K1335" s="20"/>
    </row>
    <row r="1336" spans="1:11" ht="36.75" thickBot="1">
      <c r="A1336" s="18" t="s">
        <v>5980</v>
      </c>
      <c r="B1336" s="18">
        <v>20026675605</v>
      </c>
      <c r="C1336" s="18" t="s">
        <v>1836</v>
      </c>
      <c r="D1336" s="19">
        <v>45715.372916666667</v>
      </c>
      <c r="E1336" s="18" t="s">
        <v>10</v>
      </c>
      <c r="F1336" s="18">
        <v>30</v>
      </c>
      <c r="G1336" s="18" t="s">
        <v>10</v>
      </c>
      <c r="H1336" s="18" t="s">
        <v>178</v>
      </c>
      <c r="I1336" s="18" t="s">
        <v>10</v>
      </c>
      <c r="J1336" s="18" t="s">
        <v>4017</v>
      </c>
      <c r="K1336" s="20"/>
    </row>
    <row r="1337" spans="1:11" ht="36.75" thickBot="1">
      <c r="A1337" s="18" t="s">
        <v>5981</v>
      </c>
      <c r="B1337" s="18">
        <v>20026720666</v>
      </c>
      <c r="C1337" s="18" t="s">
        <v>1836</v>
      </c>
      <c r="D1337" s="19">
        <v>45715.37777777778</v>
      </c>
      <c r="E1337" s="18" t="s">
        <v>10</v>
      </c>
      <c r="F1337" s="18">
        <v>30</v>
      </c>
      <c r="G1337" s="18" t="s">
        <v>10</v>
      </c>
      <c r="H1337" s="18" t="s">
        <v>178</v>
      </c>
      <c r="I1337" s="18" t="s">
        <v>10</v>
      </c>
      <c r="J1337" s="18" t="s">
        <v>4017</v>
      </c>
      <c r="K1337" s="20"/>
    </row>
    <row r="1338" spans="1:11" ht="36.75" thickBot="1">
      <c r="A1338" s="18" t="s">
        <v>5982</v>
      </c>
      <c r="B1338" s="18">
        <v>20026823068</v>
      </c>
      <c r="C1338" s="18" t="s">
        <v>1836</v>
      </c>
      <c r="D1338" s="19">
        <v>45715.390277777777</v>
      </c>
      <c r="E1338" s="18" t="s">
        <v>10</v>
      </c>
      <c r="F1338" s="18">
        <v>30</v>
      </c>
      <c r="G1338" s="18" t="s">
        <v>10</v>
      </c>
      <c r="H1338" s="18" t="s">
        <v>178</v>
      </c>
      <c r="I1338" s="18" t="s">
        <v>10</v>
      </c>
      <c r="J1338" s="18" t="s">
        <v>4017</v>
      </c>
      <c r="K1338" s="20"/>
    </row>
    <row r="1339" spans="1:11" ht="36.75" thickBot="1">
      <c r="A1339" s="18" t="s">
        <v>5983</v>
      </c>
      <c r="B1339" s="18">
        <v>20003511515</v>
      </c>
      <c r="C1339" s="18" t="s">
        <v>5984</v>
      </c>
      <c r="D1339" s="19">
        <v>45715.395138888889</v>
      </c>
      <c r="E1339" s="18" t="s">
        <v>10</v>
      </c>
      <c r="F1339" s="18">
        <v>150</v>
      </c>
      <c r="G1339" s="18" t="s">
        <v>10</v>
      </c>
      <c r="H1339" s="18" t="s">
        <v>178</v>
      </c>
      <c r="I1339" s="18" t="s">
        <v>10</v>
      </c>
      <c r="J1339" s="18" t="s">
        <v>4017</v>
      </c>
      <c r="K1339" s="20"/>
    </row>
    <row r="1340" spans="1:11" ht="36.75" thickBot="1">
      <c r="A1340" s="18" t="s">
        <v>5985</v>
      </c>
      <c r="B1340" s="18">
        <v>20003401885</v>
      </c>
      <c r="C1340" s="18" t="s">
        <v>5933</v>
      </c>
      <c r="D1340" s="19">
        <v>45715.398611111108</v>
      </c>
      <c r="E1340" s="18" t="s">
        <v>10</v>
      </c>
      <c r="F1340" s="18">
        <v>40</v>
      </c>
      <c r="G1340" s="18" t="s">
        <v>10</v>
      </c>
      <c r="H1340" s="18" t="s">
        <v>178</v>
      </c>
      <c r="I1340" s="18" t="s">
        <v>10</v>
      </c>
      <c r="J1340" s="18" t="s">
        <v>4017</v>
      </c>
      <c r="K1340" s="20"/>
    </row>
    <row r="1341" spans="1:11" ht="36.75" thickBot="1">
      <c r="A1341" s="18" t="s">
        <v>5986</v>
      </c>
      <c r="B1341" s="18">
        <v>20003511444</v>
      </c>
      <c r="C1341" s="18" t="s">
        <v>5984</v>
      </c>
      <c r="D1341" s="19">
        <v>45715.411111111112</v>
      </c>
      <c r="E1341" s="18" t="s">
        <v>10</v>
      </c>
      <c r="F1341" s="18">
        <v>150</v>
      </c>
      <c r="G1341" s="18" t="s">
        <v>10</v>
      </c>
      <c r="H1341" s="18" t="s">
        <v>178</v>
      </c>
      <c r="I1341" s="18" t="s">
        <v>10</v>
      </c>
      <c r="J1341" s="18" t="s">
        <v>4017</v>
      </c>
      <c r="K1341" s="20"/>
    </row>
    <row r="1342" spans="1:11" ht="36.75" thickBot="1">
      <c r="A1342" s="18" t="s">
        <v>5987</v>
      </c>
      <c r="B1342" s="18">
        <v>20003512736</v>
      </c>
      <c r="C1342" s="18" t="s">
        <v>4894</v>
      </c>
      <c r="D1342" s="19">
        <v>45715.426388888889</v>
      </c>
      <c r="E1342" s="18" t="s">
        <v>10</v>
      </c>
      <c r="F1342" s="18">
        <v>90</v>
      </c>
      <c r="G1342" s="18" t="s">
        <v>10</v>
      </c>
      <c r="H1342" s="18" t="s">
        <v>178</v>
      </c>
      <c r="I1342" s="18" t="s">
        <v>10</v>
      </c>
      <c r="J1342" s="18" t="s">
        <v>4017</v>
      </c>
      <c r="K1342" s="20"/>
    </row>
    <row r="1343" spans="1:11" ht="36.75" thickBot="1">
      <c r="A1343" s="18" t="s">
        <v>5988</v>
      </c>
      <c r="B1343" s="18">
        <v>20027117091</v>
      </c>
      <c r="C1343" s="18" t="s">
        <v>4892</v>
      </c>
      <c r="D1343" s="19">
        <v>45715.436805555553</v>
      </c>
      <c r="E1343" s="18" t="s">
        <v>10</v>
      </c>
      <c r="F1343" s="18">
        <v>90</v>
      </c>
      <c r="G1343" s="18" t="s">
        <v>10</v>
      </c>
      <c r="H1343" s="18" t="s">
        <v>178</v>
      </c>
      <c r="I1343" s="18" t="s">
        <v>10</v>
      </c>
      <c r="J1343" s="18" t="s">
        <v>4017</v>
      </c>
      <c r="K1343" s="20"/>
    </row>
    <row r="1344" spans="1:11" ht="72.75" thickBot="1">
      <c r="A1344" s="18" t="s">
        <v>5989</v>
      </c>
      <c r="B1344" s="18">
        <v>20026942270</v>
      </c>
      <c r="C1344" s="18" t="s">
        <v>5213</v>
      </c>
      <c r="D1344" s="19">
        <v>45701.64166666667</v>
      </c>
      <c r="E1344" s="19">
        <v>45715.445833333331</v>
      </c>
      <c r="F1344" s="18">
        <v>250</v>
      </c>
      <c r="G1344" s="19">
        <v>45727.427777777775</v>
      </c>
      <c r="H1344" s="18" t="s">
        <v>2688</v>
      </c>
      <c r="I1344" s="18" t="s">
        <v>10</v>
      </c>
      <c r="J1344" s="18" t="s">
        <v>4017</v>
      </c>
      <c r="K1344" s="20"/>
    </row>
    <row r="1345" spans="1:11" ht="36.75" thickBot="1">
      <c r="A1345" s="18" t="s">
        <v>5990</v>
      </c>
      <c r="B1345" s="18">
        <v>20003523117</v>
      </c>
      <c r="C1345" s="18" t="s">
        <v>5528</v>
      </c>
      <c r="D1345" s="19">
        <v>45715.574999999997</v>
      </c>
      <c r="E1345" s="18" t="s">
        <v>10</v>
      </c>
      <c r="F1345" s="18">
        <v>125</v>
      </c>
      <c r="G1345" s="18" t="s">
        <v>10</v>
      </c>
      <c r="H1345" s="18" t="s">
        <v>178</v>
      </c>
      <c r="I1345" s="18" t="s">
        <v>10</v>
      </c>
      <c r="J1345" s="18" t="s">
        <v>4017</v>
      </c>
      <c r="K1345" s="20"/>
    </row>
    <row r="1346" spans="1:11" ht="36.75" thickBot="1">
      <c r="A1346" s="18" t="s">
        <v>5991</v>
      </c>
      <c r="B1346" s="18">
        <v>20021046666</v>
      </c>
      <c r="C1346" s="18" t="s">
        <v>5927</v>
      </c>
      <c r="D1346" s="19">
        <v>45714.73541666667</v>
      </c>
      <c r="E1346" s="19">
        <v>45715.60833333333</v>
      </c>
      <c r="F1346" s="18">
        <v>175</v>
      </c>
      <c r="G1346" s="19">
        <v>45719.588194444441</v>
      </c>
      <c r="H1346" s="18" t="s">
        <v>236</v>
      </c>
      <c r="I1346" s="18" t="s">
        <v>10</v>
      </c>
      <c r="J1346" s="18" t="s">
        <v>4017</v>
      </c>
      <c r="K1346" s="20"/>
    </row>
    <row r="1347" spans="1:11" ht="72.75" thickBot="1">
      <c r="A1347" s="18" t="s">
        <v>5992</v>
      </c>
      <c r="B1347" s="18">
        <v>20027897419</v>
      </c>
      <c r="C1347" s="18" t="s">
        <v>1062</v>
      </c>
      <c r="D1347" s="19">
        <v>45714.761111111111</v>
      </c>
      <c r="E1347" s="19">
        <v>45715.618055555555</v>
      </c>
      <c r="F1347" s="18">
        <v>100</v>
      </c>
      <c r="G1347" s="19">
        <v>45742.617361111108</v>
      </c>
      <c r="H1347" s="18" t="s">
        <v>2657</v>
      </c>
      <c r="I1347" s="18" t="s">
        <v>10</v>
      </c>
      <c r="J1347" s="18" t="s">
        <v>4017</v>
      </c>
      <c r="K1347" s="20"/>
    </row>
    <row r="1348" spans="1:11" ht="36.75" thickBot="1">
      <c r="A1348" s="18" t="s">
        <v>5993</v>
      </c>
      <c r="B1348" s="18">
        <v>20003534070</v>
      </c>
      <c r="C1348" s="18" t="s">
        <v>5994</v>
      </c>
      <c r="D1348" s="19">
        <v>45618.965277777781</v>
      </c>
      <c r="E1348" s="19">
        <v>45715.642361111109</v>
      </c>
      <c r="F1348" s="18">
        <v>300</v>
      </c>
      <c r="G1348" s="19">
        <v>45863.62222222222</v>
      </c>
      <c r="H1348" s="18" t="s">
        <v>2654</v>
      </c>
      <c r="I1348" s="18" t="s">
        <v>10</v>
      </c>
      <c r="J1348" s="18" t="s">
        <v>4017</v>
      </c>
      <c r="K1348" s="20"/>
    </row>
    <row r="1349" spans="1:11" ht="36.75" thickBot="1">
      <c r="A1349" s="18" t="s">
        <v>5995</v>
      </c>
      <c r="B1349" s="18">
        <v>20026841188</v>
      </c>
      <c r="C1349" s="18" t="s">
        <v>1836</v>
      </c>
      <c r="D1349" s="19">
        <v>45715.65</v>
      </c>
      <c r="E1349" s="18" t="s">
        <v>10</v>
      </c>
      <c r="F1349" s="18">
        <v>30</v>
      </c>
      <c r="G1349" s="18" t="s">
        <v>10</v>
      </c>
      <c r="H1349" s="18" t="s">
        <v>178</v>
      </c>
      <c r="I1349" s="18" t="s">
        <v>10</v>
      </c>
      <c r="J1349" s="18" t="s">
        <v>4017</v>
      </c>
      <c r="K1349" s="20"/>
    </row>
    <row r="1350" spans="1:11" ht="36.75" thickBot="1">
      <c r="A1350" s="18" t="s">
        <v>5996</v>
      </c>
      <c r="B1350" s="18">
        <v>20026942113</v>
      </c>
      <c r="C1350" s="18" t="s">
        <v>1836</v>
      </c>
      <c r="D1350" s="19">
        <v>45715.654861111114</v>
      </c>
      <c r="E1350" s="18" t="s">
        <v>10</v>
      </c>
      <c r="F1350" s="18">
        <v>30</v>
      </c>
      <c r="G1350" s="18" t="s">
        <v>10</v>
      </c>
      <c r="H1350" s="18" t="s">
        <v>178</v>
      </c>
      <c r="I1350" s="18" t="s">
        <v>10</v>
      </c>
      <c r="J1350" s="18" t="s">
        <v>4017</v>
      </c>
      <c r="K1350" s="20"/>
    </row>
    <row r="1351" spans="1:11" ht="36.75" thickBot="1">
      <c r="A1351" s="18" t="s">
        <v>5997</v>
      </c>
      <c r="B1351" s="18">
        <v>20026965122</v>
      </c>
      <c r="C1351" s="18" t="s">
        <v>1836</v>
      </c>
      <c r="D1351" s="19">
        <v>45715.670138888891</v>
      </c>
      <c r="E1351" s="18" t="s">
        <v>10</v>
      </c>
      <c r="F1351" s="18">
        <v>30</v>
      </c>
      <c r="G1351" s="18" t="s">
        <v>10</v>
      </c>
      <c r="H1351" s="18" t="s">
        <v>178</v>
      </c>
      <c r="I1351" s="18" t="s">
        <v>10</v>
      </c>
      <c r="J1351" s="18" t="s">
        <v>4017</v>
      </c>
      <c r="K1351" s="20"/>
    </row>
    <row r="1352" spans="1:11" ht="54.75" thickBot="1">
      <c r="A1352" s="18" t="s">
        <v>5998</v>
      </c>
      <c r="B1352" s="18">
        <v>20002656211</v>
      </c>
      <c r="C1352" s="18" t="s">
        <v>5999</v>
      </c>
      <c r="D1352" s="19">
        <v>45715.67083333333</v>
      </c>
      <c r="E1352" s="18" t="s">
        <v>10</v>
      </c>
      <c r="F1352" s="18">
        <v>30</v>
      </c>
      <c r="G1352" s="18" t="s">
        <v>10</v>
      </c>
      <c r="H1352" s="18" t="s">
        <v>178</v>
      </c>
      <c r="I1352" s="18" t="s">
        <v>10</v>
      </c>
      <c r="J1352" s="18" t="s">
        <v>4017</v>
      </c>
      <c r="K1352" s="20"/>
    </row>
    <row r="1353" spans="1:11" ht="36.75" thickBot="1">
      <c r="A1353" s="18" t="s">
        <v>6000</v>
      </c>
      <c r="B1353" s="18">
        <v>20027128174</v>
      </c>
      <c r="C1353" s="18" t="s">
        <v>1836</v>
      </c>
      <c r="D1353" s="19">
        <v>45715.69027777778</v>
      </c>
      <c r="E1353" s="18" t="s">
        <v>10</v>
      </c>
      <c r="F1353" s="18">
        <v>30</v>
      </c>
      <c r="G1353" s="18" t="s">
        <v>10</v>
      </c>
      <c r="H1353" s="18" t="s">
        <v>178</v>
      </c>
      <c r="I1353" s="18" t="s">
        <v>10</v>
      </c>
      <c r="J1353" s="18" t="s">
        <v>4017</v>
      </c>
      <c r="K1353" s="20"/>
    </row>
    <row r="1354" spans="1:11" ht="36.75" thickBot="1">
      <c r="A1354" s="18" t="s">
        <v>6001</v>
      </c>
      <c r="B1354" s="18">
        <v>20017809110</v>
      </c>
      <c r="C1354" s="18" t="s">
        <v>1836</v>
      </c>
      <c r="D1354" s="19">
        <v>45715.699305555558</v>
      </c>
      <c r="E1354" s="18" t="s">
        <v>10</v>
      </c>
      <c r="F1354" s="18">
        <v>20</v>
      </c>
      <c r="G1354" s="18" t="s">
        <v>10</v>
      </c>
      <c r="H1354" s="18" t="s">
        <v>178</v>
      </c>
      <c r="I1354" s="18" t="s">
        <v>10</v>
      </c>
      <c r="J1354" s="18" t="s">
        <v>4017</v>
      </c>
      <c r="K1354" s="20"/>
    </row>
    <row r="1355" spans="1:11" ht="36.75" thickBot="1">
      <c r="A1355" s="18" t="s">
        <v>6002</v>
      </c>
      <c r="B1355" s="18">
        <v>20017906025</v>
      </c>
      <c r="C1355" s="18" t="s">
        <v>1836</v>
      </c>
      <c r="D1355" s="19">
        <v>45715.713194444441</v>
      </c>
      <c r="E1355" s="18" t="s">
        <v>10</v>
      </c>
      <c r="F1355" s="18">
        <v>30</v>
      </c>
      <c r="G1355" s="18" t="s">
        <v>10</v>
      </c>
      <c r="H1355" s="18" t="s">
        <v>178</v>
      </c>
      <c r="I1355" s="18" t="s">
        <v>10</v>
      </c>
      <c r="J1355" s="18" t="s">
        <v>4017</v>
      </c>
      <c r="K1355" s="20"/>
    </row>
    <row r="1356" spans="1:11" ht="36.75" thickBot="1">
      <c r="A1356" s="18" t="s">
        <v>6003</v>
      </c>
      <c r="B1356" s="18">
        <v>20018396782</v>
      </c>
      <c r="C1356" s="18" t="s">
        <v>1836</v>
      </c>
      <c r="D1356" s="19">
        <v>45715.724305555559</v>
      </c>
      <c r="E1356" s="18" t="s">
        <v>10</v>
      </c>
      <c r="F1356" s="18">
        <v>20</v>
      </c>
      <c r="G1356" s="18" t="s">
        <v>10</v>
      </c>
      <c r="H1356" s="18" t="s">
        <v>178</v>
      </c>
      <c r="I1356" s="18" t="s">
        <v>10</v>
      </c>
      <c r="J1356" s="18" t="s">
        <v>4017</v>
      </c>
      <c r="K1356" s="20"/>
    </row>
    <row r="1357" spans="1:11" ht="36.75" thickBot="1">
      <c r="A1357" s="18" t="s">
        <v>6004</v>
      </c>
      <c r="B1357" s="18">
        <v>20018568351</v>
      </c>
      <c r="C1357" s="18" t="s">
        <v>1836</v>
      </c>
      <c r="D1357" s="19">
        <v>45715.729166666664</v>
      </c>
      <c r="E1357" s="18" t="s">
        <v>10</v>
      </c>
      <c r="F1357" s="18">
        <v>20</v>
      </c>
      <c r="G1357" s="18" t="s">
        <v>10</v>
      </c>
      <c r="H1357" s="18" t="s">
        <v>178</v>
      </c>
      <c r="I1357" s="18" t="s">
        <v>10</v>
      </c>
      <c r="J1357" s="18" t="s">
        <v>4017</v>
      </c>
      <c r="K1357" s="20"/>
    </row>
    <row r="1358" spans="1:11" ht="36.75" thickBot="1">
      <c r="A1358" s="18" t="s">
        <v>6005</v>
      </c>
      <c r="B1358" s="18">
        <v>20027012585</v>
      </c>
      <c r="C1358" s="18" t="s">
        <v>1836</v>
      </c>
      <c r="D1358" s="19">
        <v>45715.734027777777</v>
      </c>
      <c r="E1358" s="18" t="s">
        <v>10</v>
      </c>
      <c r="F1358" s="18">
        <v>20</v>
      </c>
      <c r="G1358" s="18" t="s">
        <v>10</v>
      </c>
      <c r="H1358" s="18" t="s">
        <v>178</v>
      </c>
      <c r="I1358" s="18" t="s">
        <v>10</v>
      </c>
      <c r="J1358" s="18" t="s">
        <v>4017</v>
      </c>
      <c r="K1358" s="20"/>
    </row>
    <row r="1359" spans="1:11" ht="36.75" thickBot="1">
      <c r="A1359" s="18" t="s">
        <v>6006</v>
      </c>
      <c r="B1359" s="18">
        <v>20028094878</v>
      </c>
      <c r="C1359" s="18" t="s">
        <v>5455</v>
      </c>
      <c r="D1359" s="19">
        <v>45715.870138888888</v>
      </c>
      <c r="E1359" s="18" t="s">
        <v>10</v>
      </c>
      <c r="F1359" s="18">
        <v>30</v>
      </c>
      <c r="G1359" s="18" t="s">
        <v>10</v>
      </c>
      <c r="H1359" s="18" t="s">
        <v>178</v>
      </c>
      <c r="I1359" s="18" t="s">
        <v>10</v>
      </c>
      <c r="J1359" s="18" t="s">
        <v>4017</v>
      </c>
      <c r="K1359" s="20"/>
    </row>
    <row r="1360" spans="1:11" ht="36.75" thickBot="1">
      <c r="A1360" s="18" t="s">
        <v>6007</v>
      </c>
      <c r="B1360" s="18">
        <v>20026823121</v>
      </c>
      <c r="C1360" s="18" t="s">
        <v>5958</v>
      </c>
      <c r="D1360" s="19">
        <v>45716.410416666666</v>
      </c>
      <c r="E1360" s="18" t="s">
        <v>10</v>
      </c>
      <c r="F1360" s="18">
        <v>30</v>
      </c>
      <c r="G1360" s="18" t="s">
        <v>10</v>
      </c>
      <c r="H1360" s="18" t="s">
        <v>178</v>
      </c>
      <c r="I1360" s="18" t="s">
        <v>10</v>
      </c>
      <c r="J1360" s="18" t="s">
        <v>4017</v>
      </c>
      <c r="K1360" s="20"/>
    </row>
    <row r="1361" spans="1:11" ht="72.75" thickBot="1">
      <c r="A1361" s="18" t="s">
        <v>6008</v>
      </c>
      <c r="B1361" s="18">
        <v>20003401885</v>
      </c>
      <c r="C1361" s="18" t="s">
        <v>5933</v>
      </c>
      <c r="D1361" s="19">
        <v>45716.435416666667</v>
      </c>
      <c r="E1361" s="18" t="s">
        <v>10</v>
      </c>
      <c r="F1361" s="18">
        <v>40</v>
      </c>
      <c r="G1361" s="19">
        <v>45743.563194444447</v>
      </c>
      <c r="H1361" s="18" t="s">
        <v>2688</v>
      </c>
      <c r="I1361" s="18" t="s">
        <v>10</v>
      </c>
      <c r="J1361" s="18" t="s">
        <v>4017</v>
      </c>
      <c r="K1361" s="20"/>
    </row>
    <row r="1362" spans="1:11" ht="54.75" thickBot="1">
      <c r="A1362" s="18" t="s">
        <v>6009</v>
      </c>
      <c r="B1362" s="18">
        <v>20003483183</v>
      </c>
      <c r="C1362" s="18" t="s">
        <v>4105</v>
      </c>
      <c r="D1362" s="19">
        <v>45333.586111111108</v>
      </c>
      <c r="E1362" s="19">
        <v>45716.512499999997</v>
      </c>
      <c r="F1362" s="18">
        <v>360</v>
      </c>
      <c r="G1362" s="19">
        <v>45917.590277777781</v>
      </c>
      <c r="H1362" s="18" t="s">
        <v>236</v>
      </c>
      <c r="I1362" s="18" t="s">
        <v>10</v>
      </c>
      <c r="J1362" s="18" t="s">
        <v>4017</v>
      </c>
      <c r="K1362" s="20"/>
    </row>
    <row r="1363" spans="1:11" ht="36.75" thickBot="1">
      <c r="A1363" s="18" t="s">
        <v>6010</v>
      </c>
      <c r="B1363" s="18">
        <v>20003511515</v>
      </c>
      <c r="C1363" s="18" t="s">
        <v>5984</v>
      </c>
      <c r="D1363" s="19">
        <v>45716.265972222223</v>
      </c>
      <c r="E1363" s="19">
        <v>45716.582638888889</v>
      </c>
      <c r="F1363" s="18">
        <v>150</v>
      </c>
      <c r="G1363" s="19">
        <v>45734.60833333333</v>
      </c>
      <c r="H1363" s="18" t="s">
        <v>2654</v>
      </c>
      <c r="I1363" s="18" t="s">
        <v>10</v>
      </c>
      <c r="J1363" s="18" t="s">
        <v>4017</v>
      </c>
      <c r="K1363" s="20"/>
    </row>
    <row r="1364" spans="1:11" ht="36.75" thickBot="1">
      <c r="A1364" s="18" t="s">
        <v>6011</v>
      </c>
      <c r="B1364" s="18">
        <v>20003511444</v>
      </c>
      <c r="C1364" s="18" t="s">
        <v>5984</v>
      </c>
      <c r="D1364" s="19">
        <v>45715.811805555553</v>
      </c>
      <c r="E1364" s="19">
        <v>45716.584027777775</v>
      </c>
      <c r="F1364" s="18">
        <v>150</v>
      </c>
      <c r="G1364" s="19">
        <v>45734.611111111109</v>
      </c>
      <c r="H1364" s="18" t="s">
        <v>236</v>
      </c>
      <c r="I1364" s="18" t="s">
        <v>10</v>
      </c>
      <c r="J1364" s="18" t="s">
        <v>4017</v>
      </c>
      <c r="K1364" s="20"/>
    </row>
    <row r="1365" spans="1:11" ht="36.75" thickBot="1">
      <c r="A1365" s="18" t="s">
        <v>6012</v>
      </c>
      <c r="B1365" s="18">
        <v>20003533810</v>
      </c>
      <c r="C1365" s="18" t="s">
        <v>6013</v>
      </c>
      <c r="D1365" s="19">
        <v>45716.655555555553</v>
      </c>
      <c r="E1365" s="18" t="s">
        <v>10</v>
      </c>
      <c r="F1365" s="18">
        <v>236</v>
      </c>
      <c r="G1365" s="18" t="s">
        <v>10</v>
      </c>
      <c r="H1365" s="18" t="s">
        <v>178</v>
      </c>
      <c r="I1365" s="18" t="s">
        <v>10</v>
      </c>
      <c r="J1365" s="18" t="s">
        <v>4017</v>
      </c>
      <c r="K1365" s="20"/>
    </row>
    <row r="1366" spans="1:11" ht="36.75" thickBot="1">
      <c r="A1366" s="18" t="s">
        <v>6014</v>
      </c>
      <c r="B1366" s="18">
        <v>20003477517</v>
      </c>
      <c r="C1366" s="18" t="s">
        <v>4800</v>
      </c>
      <c r="D1366" s="19">
        <v>45717.449305555558</v>
      </c>
      <c r="E1366" s="18" t="s">
        <v>10</v>
      </c>
      <c r="F1366" s="18">
        <v>30</v>
      </c>
      <c r="G1366" s="18" t="s">
        <v>10</v>
      </c>
      <c r="H1366" s="18" t="s">
        <v>178</v>
      </c>
      <c r="I1366" s="18" t="s">
        <v>10</v>
      </c>
      <c r="J1366" s="18" t="s">
        <v>4017</v>
      </c>
      <c r="K1366" s="20"/>
    </row>
    <row r="1367" spans="1:11" ht="36.75" thickBot="1">
      <c r="A1367" s="18" t="s">
        <v>6015</v>
      </c>
      <c r="B1367" s="18">
        <v>20017601602</v>
      </c>
      <c r="C1367" s="18" t="s">
        <v>4460</v>
      </c>
      <c r="D1367" s="19">
        <v>45672.597916666666</v>
      </c>
      <c r="E1367" s="19">
        <v>45717.459027777775</v>
      </c>
      <c r="F1367" s="18">
        <v>330</v>
      </c>
      <c r="G1367" s="19">
        <v>45736.595138888886</v>
      </c>
      <c r="H1367" s="18" t="s">
        <v>178</v>
      </c>
      <c r="I1367" s="18" t="s">
        <v>10</v>
      </c>
      <c r="J1367" s="18" t="s">
        <v>4017</v>
      </c>
      <c r="K1367" s="20"/>
    </row>
    <row r="1368" spans="1:11" ht="36.75" thickBot="1">
      <c r="A1368" s="18" t="s">
        <v>6016</v>
      </c>
      <c r="B1368" s="18">
        <v>20003197029</v>
      </c>
      <c r="C1368" s="18" t="s">
        <v>5524</v>
      </c>
      <c r="D1368" s="19">
        <v>45717.494444444441</v>
      </c>
      <c r="E1368" s="18" t="s">
        <v>10</v>
      </c>
      <c r="F1368" s="18">
        <v>120</v>
      </c>
      <c r="G1368" s="18" t="s">
        <v>10</v>
      </c>
      <c r="H1368" s="18" t="s">
        <v>178</v>
      </c>
      <c r="I1368" s="18" t="s">
        <v>10</v>
      </c>
      <c r="J1368" s="18" t="s">
        <v>4017</v>
      </c>
      <c r="K1368" s="20"/>
    </row>
    <row r="1369" spans="1:11" ht="36.75" thickBot="1">
      <c r="A1369" s="18" t="s">
        <v>6017</v>
      </c>
      <c r="B1369" s="18">
        <v>20003523117</v>
      </c>
      <c r="C1369" s="18" t="s">
        <v>5528</v>
      </c>
      <c r="D1369" s="19">
        <v>45719.424305555556</v>
      </c>
      <c r="E1369" s="18" t="s">
        <v>10</v>
      </c>
      <c r="F1369" s="18">
        <v>125</v>
      </c>
      <c r="G1369" s="19">
        <v>45730.544444444444</v>
      </c>
      <c r="H1369" s="18" t="s">
        <v>236</v>
      </c>
      <c r="I1369" s="18" t="s">
        <v>10</v>
      </c>
      <c r="J1369" s="18" t="s">
        <v>4017</v>
      </c>
      <c r="K1369" s="20"/>
    </row>
    <row r="1370" spans="1:11" ht="36.75" thickBot="1">
      <c r="A1370" s="18" t="s">
        <v>6018</v>
      </c>
      <c r="B1370" s="18">
        <v>20024877583</v>
      </c>
      <c r="C1370" s="18" t="s">
        <v>5206</v>
      </c>
      <c r="D1370" s="19">
        <v>45708.702777777777</v>
      </c>
      <c r="E1370" s="19">
        <v>45719.493750000001</v>
      </c>
      <c r="F1370" s="18">
        <v>100</v>
      </c>
      <c r="G1370" s="18" t="s">
        <v>10</v>
      </c>
      <c r="H1370" s="18" t="s">
        <v>178</v>
      </c>
      <c r="I1370" s="18" t="s">
        <v>10</v>
      </c>
      <c r="J1370" s="18" t="s">
        <v>4017</v>
      </c>
      <c r="K1370" s="20"/>
    </row>
    <row r="1371" spans="1:11" ht="72.75" thickBot="1">
      <c r="A1371" s="18" t="s">
        <v>6019</v>
      </c>
      <c r="B1371" s="18">
        <v>20021874798</v>
      </c>
      <c r="C1371" s="18" t="s">
        <v>5208</v>
      </c>
      <c r="D1371" s="19">
        <v>45702.607638888891</v>
      </c>
      <c r="E1371" s="19">
        <v>45719.494444444441</v>
      </c>
      <c r="F1371" s="18">
        <v>100</v>
      </c>
      <c r="G1371" s="19">
        <v>45722.624305555553</v>
      </c>
      <c r="H1371" s="18" t="s">
        <v>2657</v>
      </c>
      <c r="I1371" s="18" t="s">
        <v>10</v>
      </c>
      <c r="J1371" s="18" t="s">
        <v>4017</v>
      </c>
      <c r="K1371" s="20"/>
    </row>
    <row r="1372" spans="1:11" ht="36.75" thickBot="1">
      <c r="A1372" s="18" t="s">
        <v>6020</v>
      </c>
      <c r="B1372" s="18">
        <v>20003338223</v>
      </c>
      <c r="C1372" s="18" t="s">
        <v>4051</v>
      </c>
      <c r="D1372" s="19">
        <v>45719.527083333334</v>
      </c>
      <c r="E1372" s="18" t="s">
        <v>10</v>
      </c>
      <c r="F1372" s="18">
        <v>800</v>
      </c>
      <c r="G1372" s="18" t="s">
        <v>10</v>
      </c>
      <c r="H1372" s="18" t="s">
        <v>178</v>
      </c>
      <c r="I1372" s="18" t="s">
        <v>10</v>
      </c>
      <c r="J1372" s="18" t="s">
        <v>4017</v>
      </c>
      <c r="K1372" s="20"/>
    </row>
    <row r="1373" spans="1:11" ht="72.75" thickBot="1">
      <c r="A1373" s="18" t="s">
        <v>6021</v>
      </c>
      <c r="B1373" s="18">
        <v>20020313201</v>
      </c>
      <c r="C1373" s="18" t="s">
        <v>5616</v>
      </c>
      <c r="D1373" s="19">
        <v>45708.760416666664</v>
      </c>
      <c r="E1373" s="19">
        <v>45719.606249999997</v>
      </c>
      <c r="F1373" s="18">
        <v>30</v>
      </c>
      <c r="G1373" s="19">
        <v>45720.659722222219</v>
      </c>
      <c r="H1373" s="18" t="s">
        <v>2688</v>
      </c>
      <c r="I1373" s="18" t="s">
        <v>10</v>
      </c>
      <c r="J1373" s="18" t="s">
        <v>4017</v>
      </c>
      <c r="K1373" s="20"/>
    </row>
    <row r="1374" spans="1:11" ht="36.75" thickBot="1">
      <c r="A1374" s="18" t="s">
        <v>6022</v>
      </c>
      <c r="B1374" s="18">
        <v>20026327562</v>
      </c>
      <c r="C1374" s="18" t="s">
        <v>5503</v>
      </c>
      <c r="D1374" s="19">
        <v>45719.643750000003</v>
      </c>
      <c r="E1374" s="18" t="s">
        <v>10</v>
      </c>
      <c r="F1374" s="18">
        <v>125</v>
      </c>
      <c r="G1374" s="18" t="s">
        <v>10</v>
      </c>
      <c r="H1374" s="18" t="s">
        <v>178</v>
      </c>
      <c r="I1374" s="18" t="s">
        <v>10</v>
      </c>
      <c r="J1374" s="18" t="s">
        <v>4017</v>
      </c>
      <c r="K1374" s="20"/>
    </row>
    <row r="1375" spans="1:11" ht="72.75" thickBot="1">
      <c r="A1375" s="18" t="s">
        <v>6023</v>
      </c>
      <c r="B1375" s="18">
        <v>20027234836</v>
      </c>
      <c r="C1375" s="18" t="s">
        <v>5288</v>
      </c>
      <c r="D1375" s="19">
        <v>45708.643750000003</v>
      </c>
      <c r="E1375" s="19">
        <v>45719.675694444442</v>
      </c>
      <c r="F1375" s="18">
        <v>100</v>
      </c>
      <c r="G1375" s="19">
        <v>45735.605555555558</v>
      </c>
      <c r="H1375" s="18" t="s">
        <v>2688</v>
      </c>
      <c r="I1375" s="18" t="s">
        <v>10</v>
      </c>
      <c r="J1375" s="18" t="s">
        <v>4017</v>
      </c>
      <c r="K1375" s="20"/>
    </row>
    <row r="1376" spans="1:11" ht="36.75" thickBot="1">
      <c r="A1376" s="18" t="s">
        <v>6024</v>
      </c>
      <c r="B1376" s="18">
        <v>20003153112</v>
      </c>
      <c r="C1376" s="18" t="s">
        <v>6025</v>
      </c>
      <c r="D1376" s="19">
        <v>45670.393750000003</v>
      </c>
      <c r="E1376" s="19">
        <v>45719.69027777778</v>
      </c>
      <c r="F1376" s="18">
        <v>330</v>
      </c>
      <c r="G1376" s="19">
        <v>45737.427083333336</v>
      </c>
      <c r="H1376" s="18" t="s">
        <v>2651</v>
      </c>
      <c r="I1376" s="18" t="s">
        <v>10</v>
      </c>
      <c r="J1376" s="18" t="s">
        <v>4017</v>
      </c>
      <c r="K1376" s="20"/>
    </row>
    <row r="1377" spans="1:11" ht="36.75" thickBot="1">
      <c r="A1377" s="18" t="s">
        <v>6026</v>
      </c>
      <c r="B1377" s="18">
        <v>20019297938</v>
      </c>
      <c r="C1377" s="18" t="s">
        <v>6027</v>
      </c>
      <c r="D1377" s="19">
        <v>45719.887499999997</v>
      </c>
      <c r="E1377" s="18" t="s">
        <v>10</v>
      </c>
      <c r="F1377" s="18">
        <v>990</v>
      </c>
      <c r="G1377" s="18" t="s">
        <v>10</v>
      </c>
      <c r="H1377" s="18" t="s">
        <v>178</v>
      </c>
      <c r="I1377" s="18" t="s">
        <v>10</v>
      </c>
      <c r="J1377" s="18" t="s">
        <v>4017</v>
      </c>
      <c r="K1377" s="20"/>
    </row>
    <row r="1378" spans="1:11" ht="36.75" thickBot="1">
      <c r="A1378" s="18" t="s">
        <v>6028</v>
      </c>
      <c r="B1378" s="18">
        <v>20003511106</v>
      </c>
      <c r="C1378" s="18" t="s">
        <v>5183</v>
      </c>
      <c r="D1378" s="19">
        <v>45709.366666666669</v>
      </c>
      <c r="E1378" s="19">
        <v>45720.363888888889</v>
      </c>
      <c r="F1378" s="18">
        <v>190</v>
      </c>
      <c r="G1378" s="19">
        <v>45765.621527777781</v>
      </c>
      <c r="H1378" s="18" t="s">
        <v>236</v>
      </c>
      <c r="I1378" s="18" t="s">
        <v>10</v>
      </c>
      <c r="J1378" s="18" t="s">
        <v>4017</v>
      </c>
      <c r="K1378" s="20"/>
    </row>
    <row r="1379" spans="1:11" ht="36.75" thickBot="1">
      <c r="A1379" s="18" t="s">
        <v>6029</v>
      </c>
      <c r="B1379" s="18">
        <v>20026310938</v>
      </c>
      <c r="C1379" s="18" t="s">
        <v>4518</v>
      </c>
      <c r="D1379" s="19">
        <v>45665.401388888888</v>
      </c>
      <c r="E1379" s="19">
        <v>45720.399305555555</v>
      </c>
      <c r="F1379" s="18">
        <v>50</v>
      </c>
      <c r="G1379" s="19">
        <v>45852.590277777781</v>
      </c>
      <c r="H1379" s="18" t="s">
        <v>236</v>
      </c>
      <c r="I1379" s="18" t="s">
        <v>10</v>
      </c>
      <c r="J1379" s="18" t="s">
        <v>4017</v>
      </c>
      <c r="K1379" s="20"/>
    </row>
    <row r="1380" spans="1:11" ht="54.75" thickBot="1">
      <c r="A1380" s="18" t="s">
        <v>6030</v>
      </c>
      <c r="B1380" s="18">
        <v>20027127200</v>
      </c>
      <c r="C1380" s="18" t="s">
        <v>257</v>
      </c>
      <c r="D1380" s="19">
        <v>45708.811805555553</v>
      </c>
      <c r="E1380" s="19">
        <v>45720.40625</v>
      </c>
      <c r="F1380" s="18">
        <v>100</v>
      </c>
      <c r="G1380" s="19">
        <v>45726.567361111112</v>
      </c>
      <c r="H1380" s="18" t="s">
        <v>236</v>
      </c>
      <c r="I1380" s="18" t="s">
        <v>10</v>
      </c>
      <c r="J1380" s="18" t="s">
        <v>4017</v>
      </c>
      <c r="K1380" s="20"/>
    </row>
    <row r="1381" spans="1:11" ht="36.75" thickBot="1">
      <c r="A1381" s="18" t="s">
        <v>6031</v>
      </c>
      <c r="B1381" s="18">
        <v>20003477347</v>
      </c>
      <c r="C1381" s="18" t="s">
        <v>6032</v>
      </c>
      <c r="D1381" s="19">
        <v>45518.488194444442</v>
      </c>
      <c r="E1381" s="19">
        <v>45720.620138888888</v>
      </c>
      <c r="F1381" s="18">
        <v>150</v>
      </c>
      <c r="G1381" s="18" t="s">
        <v>10</v>
      </c>
      <c r="H1381" s="18" t="s">
        <v>189</v>
      </c>
      <c r="I1381" s="18" t="s">
        <v>10</v>
      </c>
      <c r="J1381" s="18" t="s">
        <v>4017</v>
      </c>
      <c r="K1381" s="20"/>
    </row>
    <row r="1382" spans="1:11" ht="36.75" thickBot="1">
      <c r="A1382" s="18" t="s">
        <v>6033</v>
      </c>
      <c r="B1382" s="18">
        <v>20017641758</v>
      </c>
      <c r="C1382" s="18" t="s">
        <v>6034</v>
      </c>
      <c r="D1382" s="19">
        <v>45720.636111111111</v>
      </c>
      <c r="E1382" s="18" t="s">
        <v>10</v>
      </c>
      <c r="F1382" s="18">
        <v>30</v>
      </c>
      <c r="G1382" s="18" t="s">
        <v>10</v>
      </c>
      <c r="H1382" s="18" t="s">
        <v>178</v>
      </c>
      <c r="I1382" s="18" t="s">
        <v>10</v>
      </c>
      <c r="J1382" s="18" t="s">
        <v>4017</v>
      </c>
      <c r="K1382" s="20"/>
    </row>
    <row r="1383" spans="1:11" ht="36.75" thickBot="1">
      <c r="A1383" s="18" t="s">
        <v>6035</v>
      </c>
      <c r="B1383" s="18">
        <v>20026062627</v>
      </c>
      <c r="C1383" s="18" t="s">
        <v>6036</v>
      </c>
      <c r="D1383" s="19">
        <v>45720.640972222223</v>
      </c>
      <c r="E1383" s="18" t="s">
        <v>10</v>
      </c>
      <c r="F1383" s="18">
        <v>60</v>
      </c>
      <c r="G1383" s="18" t="s">
        <v>10</v>
      </c>
      <c r="H1383" s="18" t="s">
        <v>178</v>
      </c>
      <c r="I1383" s="18" t="s">
        <v>10</v>
      </c>
      <c r="J1383" s="18" t="s">
        <v>4017</v>
      </c>
      <c r="K1383" s="20"/>
    </row>
    <row r="1384" spans="1:11" ht="36.75" thickBot="1">
      <c r="A1384" s="18" t="s">
        <v>6037</v>
      </c>
      <c r="B1384" s="18">
        <v>20020987730</v>
      </c>
      <c r="C1384" s="18" t="s">
        <v>4391</v>
      </c>
      <c r="D1384" s="19">
        <v>45666.740277777775</v>
      </c>
      <c r="E1384" s="19">
        <v>45720.675694444442</v>
      </c>
      <c r="F1384" s="18">
        <v>550</v>
      </c>
      <c r="G1384" s="19">
        <v>45741.614583333336</v>
      </c>
      <c r="H1384" s="18" t="s">
        <v>2654</v>
      </c>
      <c r="I1384" s="18" t="s">
        <v>10</v>
      </c>
      <c r="J1384" s="18" t="s">
        <v>4017</v>
      </c>
      <c r="K1384" s="20"/>
    </row>
    <row r="1385" spans="1:11" ht="36.75" thickBot="1">
      <c r="A1385" s="18" t="s">
        <v>6038</v>
      </c>
      <c r="B1385" s="18">
        <v>20003308109</v>
      </c>
      <c r="C1385" s="18" t="s">
        <v>6039</v>
      </c>
      <c r="D1385" s="19">
        <v>45638.714583333334</v>
      </c>
      <c r="E1385" s="19">
        <v>45720.676388888889</v>
      </c>
      <c r="F1385" s="18">
        <v>50</v>
      </c>
      <c r="G1385" s="19">
        <v>45733.569444444445</v>
      </c>
      <c r="H1385" s="18" t="s">
        <v>236</v>
      </c>
      <c r="I1385" s="18" t="s">
        <v>10</v>
      </c>
      <c r="J1385" s="18" t="s">
        <v>4017</v>
      </c>
      <c r="K1385" s="20"/>
    </row>
    <row r="1386" spans="1:11" ht="36.75" thickBot="1">
      <c r="A1386" s="18" t="s">
        <v>6040</v>
      </c>
      <c r="B1386" s="18">
        <v>20003403529</v>
      </c>
      <c r="C1386" s="18" t="s">
        <v>5151</v>
      </c>
      <c r="D1386" s="19">
        <v>45720.776388888888</v>
      </c>
      <c r="E1386" s="18" t="s">
        <v>10</v>
      </c>
      <c r="F1386" s="18">
        <v>800</v>
      </c>
      <c r="G1386" s="18" t="s">
        <v>10</v>
      </c>
      <c r="H1386" s="18" t="s">
        <v>178</v>
      </c>
      <c r="I1386" s="18" t="s">
        <v>10</v>
      </c>
      <c r="J1386" s="18" t="s">
        <v>4017</v>
      </c>
      <c r="K1386" s="20"/>
    </row>
    <row r="1387" spans="1:11" ht="36.75" thickBot="1">
      <c r="A1387" s="18" t="s">
        <v>6041</v>
      </c>
      <c r="B1387" s="18">
        <v>20028307487</v>
      </c>
      <c r="C1387" s="18" t="s">
        <v>6042</v>
      </c>
      <c r="D1387" s="19">
        <v>45701.561111111114</v>
      </c>
      <c r="E1387" s="19">
        <v>45720.788888888892</v>
      </c>
      <c r="F1387" s="18">
        <v>50</v>
      </c>
      <c r="G1387" s="18" t="s">
        <v>10</v>
      </c>
      <c r="H1387" s="18" t="s">
        <v>178</v>
      </c>
      <c r="I1387" s="18" t="s">
        <v>10</v>
      </c>
      <c r="J1387" s="18" t="s">
        <v>4017</v>
      </c>
      <c r="K1387" s="20"/>
    </row>
    <row r="1388" spans="1:11" ht="36.75" thickBot="1">
      <c r="A1388" s="18" t="s">
        <v>6043</v>
      </c>
      <c r="B1388" s="18">
        <v>20025731137</v>
      </c>
      <c r="C1388" s="18" t="s">
        <v>5220</v>
      </c>
      <c r="D1388" s="19">
        <v>45720.902777777781</v>
      </c>
      <c r="E1388" s="18" t="s">
        <v>10</v>
      </c>
      <c r="F1388" s="18">
        <v>100</v>
      </c>
      <c r="G1388" s="18" t="s">
        <v>10</v>
      </c>
      <c r="H1388" s="18" t="s">
        <v>178</v>
      </c>
      <c r="I1388" s="18" t="s">
        <v>10</v>
      </c>
      <c r="J1388" s="18" t="s">
        <v>4017</v>
      </c>
      <c r="K1388" s="20"/>
    </row>
    <row r="1389" spans="1:11" ht="36.75" thickBot="1">
      <c r="A1389" s="18" t="s">
        <v>6044</v>
      </c>
      <c r="B1389" s="18">
        <v>20023109349</v>
      </c>
      <c r="C1389" s="18" t="s">
        <v>6045</v>
      </c>
      <c r="D1389" s="19">
        <v>45664.979861111111</v>
      </c>
      <c r="E1389" s="19">
        <v>45720.940972222219</v>
      </c>
      <c r="F1389" s="18">
        <v>40</v>
      </c>
      <c r="G1389" s="18" t="s">
        <v>10</v>
      </c>
      <c r="H1389" s="18" t="s">
        <v>189</v>
      </c>
      <c r="I1389" s="18" t="s">
        <v>10</v>
      </c>
      <c r="J1389" s="18" t="s">
        <v>4017</v>
      </c>
      <c r="K1389" s="20"/>
    </row>
    <row r="1390" spans="1:11" ht="36.75" thickBot="1">
      <c r="A1390" s="18" t="s">
        <v>6046</v>
      </c>
      <c r="B1390" s="18">
        <v>20003592895</v>
      </c>
      <c r="C1390" s="18" t="s">
        <v>5239</v>
      </c>
      <c r="D1390" s="19">
        <v>45661.613194444442</v>
      </c>
      <c r="E1390" s="19">
        <v>45721.456250000003</v>
      </c>
      <c r="F1390" s="18">
        <v>960</v>
      </c>
      <c r="G1390" s="18" t="s">
        <v>10</v>
      </c>
      <c r="H1390" s="18" t="s">
        <v>178</v>
      </c>
      <c r="I1390" s="18" t="s">
        <v>10</v>
      </c>
      <c r="J1390" s="18" t="s">
        <v>4017</v>
      </c>
      <c r="K1390" s="20"/>
    </row>
    <row r="1391" spans="1:11" ht="54.75" thickBot="1">
      <c r="A1391" s="18" t="s">
        <v>6047</v>
      </c>
      <c r="B1391" s="18">
        <v>20002656211</v>
      </c>
      <c r="C1391" s="18" t="s">
        <v>5999</v>
      </c>
      <c r="D1391" s="19">
        <v>45721.479861111111</v>
      </c>
      <c r="E1391" s="18" t="s">
        <v>10</v>
      </c>
      <c r="F1391" s="18">
        <v>30</v>
      </c>
      <c r="G1391" s="18" t="s">
        <v>10</v>
      </c>
      <c r="H1391" s="18" t="s">
        <v>178</v>
      </c>
      <c r="I1391" s="18" t="s">
        <v>10</v>
      </c>
      <c r="J1391" s="18" t="s">
        <v>4017</v>
      </c>
      <c r="K1391" s="20"/>
    </row>
    <row r="1392" spans="1:11" ht="36.75" thickBot="1">
      <c r="A1392" s="18" t="s">
        <v>6048</v>
      </c>
      <c r="B1392" s="18">
        <v>20022104703</v>
      </c>
      <c r="C1392" s="18" t="s">
        <v>6049</v>
      </c>
      <c r="D1392" s="19">
        <v>45721.499305555553</v>
      </c>
      <c r="E1392" s="18" t="s">
        <v>10</v>
      </c>
      <c r="F1392" s="18">
        <v>180</v>
      </c>
      <c r="G1392" s="18" t="s">
        <v>10</v>
      </c>
      <c r="H1392" s="18" t="s">
        <v>178</v>
      </c>
      <c r="I1392" s="18" t="s">
        <v>10</v>
      </c>
      <c r="J1392" s="18" t="s">
        <v>4017</v>
      </c>
      <c r="K1392" s="20"/>
    </row>
    <row r="1393" spans="1:11" ht="36.75" thickBot="1">
      <c r="A1393" s="18" t="s">
        <v>6050</v>
      </c>
      <c r="B1393" s="18">
        <v>20003221459</v>
      </c>
      <c r="C1393" s="18" t="s">
        <v>4204</v>
      </c>
      <c r="D1393" s="19">
        <v>45706.411805555559</v>
      </c>
      <c r="E1393" s="19">
        <v>45721.587500000001</v>
      </c>
      <c r="F1393" s="18">
        <v>250</v>
      </c>
      <c r="G1393" s="19">
        <v>45737.445138888892</v>
      </c>
      <c r="H1393" s="18" t="s">
        <v>2654</v>
      </c>
      <c r="I1393" s="18" t="s">
        <v>10</v>
      </c>
      <c r="J1393" s="18" t="s">
        <v>4017</v>
      </c>
      <c r="K1393" s="20"/>
    </row>
    <row r="1394" spans="1:11" ht="36.75" thickBot="1">
      <c r="A1394" s="18" t="s">
        <v>6051</v>
      </c>
      <c r="B1394" s="18">
        <v>20021490173</v>
      </c>
      <c r="C1394" s="18" t="s">
        <v>6052</v>
      </c>
      <c r="D1394" s="19">
        <v>45721.643750000003</v>
      </c>
      <c r="E1394" s="18" t="s">
        <v>10</v>
      </c>
      <c r="F1394" s="18">
        <v>90</v>
      </c>
      <c r="G1394" s="18" t="s">
        <v>10</v>
      </c>
      <c r="H1394" s="18" t="s">
        <v>178</v>
      </c>
      <c r="I1394" s="18" t="s">
        <v>10</v>
      </c>
      <c r="J1394" s="18" t="s">
        <v>4017</v>
      </c>
      <c r="K1394" s="20"/>
    </row>
    <row r="1395" spans="1:11" ht="36.75" thickBot="1">
      <c r="A1395" s="18" t="s">
        <v>6053</v>
      </c>
      <c r="B1395" s="18">
        <v>20003498137</v>
      </c>
      <c r="C1395" s="18" t="s">
        <v>5706</v>
      </c>
      <c r="D1395" s="19">
        <v>45721.650694444441</v>
      </c>
      <c r="E1395" s="18" t="s">
        <v>10</v>
      </c>
      <c r="F1395" s="18">
        <v>800</v>
      </c>
      <c r="G1395" s="18" t="s">
        <v>10</v>
      </c>
      <c r="H1395" s="18" t="s">
        <v>178</v>
      </c>
      <c r="I1395" s="18" t="s">
        <v>10</v>
      </c>
      <c r="J1395" s="18" t="s">
        <v>4017</v>
      </c>
      <c r="K1395" s="20"/>
    </row>
    <row r="1396" spans="1:11" ht="54.75" thickBot="1">
      <c r="A1396" s="18" t="s">
        <v>6054</v>
      </c>
      <c r="B1396" s="18">
        <v>20027443777</v>
      </c>
      <c r="C1396" s="18" t="s">
        <v>6055</v>
      </c>
      <c r="D1396" s="19">
        <v>45721.655555555553</v>
      </c>
      <c r="E1396" s="18" t="s">
        <v>10</v>
      </c>
      <c r="F1396" s="18">
        <v>30</v>
      </c>
      <c r="G1396" s="18" t="s">
        <v>10</v>
      </c>
      <c r="H1396" s="18" t="s">
        <v>178</v>
      </c>
      <c r="I1396" s="18" t="s">
        <v>10</v>
      </c>
      <c r="J1396" s="18" t="s">
        <v>4017</v>
      </c>
      <c r="K1396" s="20"/>
    </row>
    <row r="1397" spans="1:11" ht="36.75" thickBot="1">
      <c r="A1397" s="18" t="s">
        <v>6056</v>
      </c>
      <c r="B1397" s="18">
        <v>20003485927</v>
      </c>
      <c r="C1397" s="18" t="s">
        <v>6057</v>
      </c>
      <c r="D1397" s="19">
        <v>45677.488888888889</v>
      </c>
      <c r="E1397" s="19">
        <v>45721.662499999999</v>
      </c>
      <c r="F1397" s="18">
        <v>400</v>
      </c>
      <c r="G1397" s="18" t="s">
        <v>10</v>
      </c>
      <c r="H1397" s="18" t="s">
        <v>178</v>
      </c>
      <c r="I1397" s="18" t="s">
        <v>10</v>
      </c>
      <c r="J1397" s="18" t="s">
        <v>4017</v>
      </c>
      <c r="K1397" s="20"/>
    </row>
    <row r="1398" spans="1:11" ht="54.75" thickBot="1">
      <c r="A1398" s="18" t="s">
        <v>6058</v>
      </c>
      <c r="B1398" s="18">
        <v>20027382774</v>
      </c>
      <c r="C1398" s="18" t="s">
        <v>6059</v>
      </c>
      <c r="D1398" s="19">
        <v>45721.702777777777</v>
      </c>
      <c r="E1398" s="18" t="s">
        <v>10</v>
      </c>
      <c r="F1398" s="18">
        <v>30</v>
      </c>
      <c r="G1398" s="18" t="s">
        <v>10</v>
      </c>
      <c r="H1398" s="18" t="s">
        <v>178</v>
      </c>
      <c r="I1398" s="18" t="s">
        <v>10</v>
      </c>
      <c r="J1398" s="18" t="s">
        <v>4017</v>
      </c>
      <c r="K1398" s="20"/>
    </row>
    <row r="1399" spans="1:11" ht="36.75" thickBot="1">
      <c r="A1399" s="18" t="s">
        <v>6060</v>
      </c>
      <c r="B1399" s="18">
        <v>20003485705</v>
      </c>
      <c r="C1399" s="18" t="s">
        <v>4715</v>
      </c>
      <c r="D1399" s="19">
        <v>45721.919444444444</v>
      </c>
      <c r="E1399" s="18" t="s">
        <v>10</v>
      </c>
      <c r="F1399" s="18">
        <v>180</v>
      </c>
      <c r="G1399" s="18" t="s">
        <v>10</v>
      </c>
      <c r="H1399" s="18" t="s">
        <v>178</v>
      </c>
      <c r="I1399" s="18" t="s">
        <v>10</v>
      </c>
      <c r="J1399" s="18" t="s">
        <v>4017</v>
      </c>
      <c r="K1399" s="20"/>
    </row>
    <row r="1400" spans="1:11" ht="36.75" thickBot="1">
      <c r="A1400" s="18" t="s">
        <v>6061</v>
      </c>
      <c r="B1400" s="18">
        <v>20024158593</v>
      </c>
      <c r="C1400" s="18" t="s">
        <v>6062</v>
      </c>
      <c r="D1400" s="19">
        <v>45722.495138888888</v>
      </c>
      <c r="E1400" s="18" t="s">
        <v>10</v>
      </c>
      <c r="F1400" s="18">
        <v>600</v>
      </c>
      <c r="G1400" s="18" t="s">
        <v>10</v>
      </c>
      <c r="H1400" s="18" t="s">
        <v>178</v>
      </c>
      <c r="I1400" s="18" t="s">
        <v>10</v>
      </c>
      <c r="J1400" s="18" t="s">
        <v>4017</v>
      </c>
      <c r="K1400" s="20"/>
    </row>
    <row r="1401" spans="1:11" ht="36.75" thickBot="1">
      <c r="A1401" s="18" t="s">
        <v>6063</v>
      </c>
      <c r="B1401" s="18">
        <v>20002717727</v>
      </c>
      <c r="C1401" s="18" t="s">
        <v>6064</v>
      </c>
      <c r="D1401" s="19">
        <v>45722.604166666664</v>
      </c>
      <c r="E1401" s="18" t="s">
        <v>10</v>
      </c>
      <c r="F1401" s="18">
        <v>30</v>
      </c>
      <c r="G1401" s="18" t="s">
        <v>10</v>
      </c>
      <c r="H1401" s="18" t="s">
        <v>178</v>
      </c>
      <c r="I1401" s="18" t="s">
        <v>10</v>
      </c>
      <c r="J1401" s="18" t="s">
        <v>4017</v>
      </c>
      <c r="K1401" s="1"/>
    </row>
    <row r="1402" spans="1:11" ht="36.75" thickBot="1">
      <c r="A1402" s="18" t="s">
        <v>6065</v>
      </c>
      <c r="B1402" s="18">
        <v>20027476671</v>
      </c>
      <c r="C1402" s="18" t="s">
        <v>6066</v>
      </c>
      <c r="D1402" s="19">
        <v>45722.65625</v>
      </c>
      <c r="E1402" s="18" t="s">
        <v>10</v>
      </c>
      <c r="F1402" s="18">
        <v>30</v>
      </c>
      <c r="G1402" s="18" t="s">
        <v>10</v>
      </c>
      <c r="H1402" s="18" t="s">
        <v>178</v>
      </c>
      <c r="I1402" s="18" t="s">
        <v>10</v>
      </c>
      <c r="J1402" s="18" t="s">
        <v>4017</v>
      </c>
      <c r="K1402" s="20"/>
    </row>
    <row r="1403" spans="1:11" ht="36.75" thickBot="1">
      <c r="A1403" s="18" t="s">
        <v>6067</v>
      </c>
      <c r="B1403" s="18">
        <v>20002836406</v>
      </c>
      <c r="C1403" s="18" t="s">
        <v>2607</v>
      </c>
      <c r="D1403" s="19">
        <v>45722.670138888891</v>
      </c>
      <c r="E1403" s="18" t="s">
        <v>10</v>
      </c>
      <c r="F1403" s="18">
        <v>15</v>
      </c>
      <c r="G1403" s="18" t="s">
        <v>10</v>
      </c>
      <c r="H1403" s="18" t="s">
        <v>178</v>
      </c>
      <c r="I1403" s="18" t="s">
        <v>10</v>
      </c>
      <c r="J1403" s="18" t="s">
        <v>4017</v>
      </c>
      <c r="K1403" s="20"/>
    </row>
    <row r="1404" spans="1:11" ht="36.75" thickBot="1">
      <c r="A1404" s="18" t="s">
        <v>6068</v>
      </c>
      <c r="B1404" s="18">
        <v>20017303995</v>
      </c>
      <c r="C1404" s="18" t="s">
        <v>6069</v>
      </c>
      <c r="D1404" s="19">
        <v>45722.681944444441</v>
      </c>
      <c r="E1404" s="18" t="s">
        <v>10</v>
      </c>
      <c r="F1404" s="18">
        <v>100</v>
      </c>
      <c r="G1404" s="18" t="s">
        <v>10</v>
      </c>
      <c r="H1404" s="18" t="s">
        <v>178</v>
      </c>
      <c r="I1404" s="18" t="s">
        <v>10</v>
      </c>
      <c r="J1404" s="18" t="s">
        <v>4017</v>
      </c>
      <c r="K1404" s="20"/>
    </row>
    <row r="1405" spans="1:11" ht="36.75" thickBot="1">
      <c r="A1405" s="18" t="s">
        <v>6070</v>
      </c>
      <c r="B1405" s="18">
        <v>20016667395</v>
      </c>
      <c r="C1405" s="18" t="s">
        <v>4066</v>
      </c>
      <c r="D1405" s="19">
        <v>45674.411805555559</v>
      </c>
      <c r="E1405" s="19">
        <v>45722.689583333333</v>
      </c>
      <c r="F1405" s="18">
        <v>500</v>
      </c>
      <c r="G1405" s="19">
        <v>45743.477777777778</v>
      </c>
      <c r="H1405" s="18" t="s">
        <v>236</v>
      </c>
      <c r="I1405" s="18" t="s">
        <v>10</v>
      </c>
      <c r="J1405" s="18" t="s">
        <v>4017</v>
      </c>
      <c r="K1405" s="20"/>
    </row>
    <row r="1406" spans="1:11" ht="36.75" thickBot="1">
      <c r="A1406" s="18" t="s">
        <v>6071</v>
      </c>
      <c r="B1406" s="18">
        <v>20016364341</v>
      </c>
      <c r="C1406" s="18" t="s">
        <v>5584</v>
      </c>
      <c r="D1406" s="19">
        <v>45715.585416666669</v>
      </c>
      <c r="E1406" s="19">
        <v>45722.696527777778</v>
      </c>
      <c r="F1406" s="18">
        <v>150</v>
      </c>
      <c r="G1406" s="19">
        <v>45733.427777777775</v>
      </c>
      <c r="H1406" s="18" t="s">
        <v>236</v>
      </c>
      <c r="I1406" s="18" t="s">
        <v>10</v>
      </c>
      <c r="J1406" s="18" t="s">
        <v>4017</v>
      </c>
      <c r="K1406" s="20"/>
    </row>
    <row r="1407" spans="1:11" ht="54.75" thickBot="1">
      <c r="A1407" s="18" t="s">
        <v>6072</v>
      </c>
      <c r="B1407" s="18">
        <v>20027455987</v>
      </c>
      <c r="C1407" s="18" t="s">
        <v>6073</v>
      </c>
      <c r="D1407" s="19">
        <v>45722.706944444442</v>
      </c>
      <c r="E1407" s="18" t="s">
        <v>10</v>
      </c>
      <c r="F1407" s="18">
        <v>30</v>
      </c>
      <c r="G1407" s="18" t="s">
        <v>10</v>
      </c>
      <c r="H1407" s="18" t="s">
        <v>178</v>
      </c>
      <c r="I1407" s="18" t="s">
        <v>10</v>
      </c>
      <c r="J1407" s="18" t="s">
        <v>4017</v>
      </c>
      <c r="K1407" s="20"/>
    </row>
    <row r="1408" spans="1:11" ht="54.75" thickBot="1">
      <c r="A1408" s="18" t="s">
        <v>6074</v>
      </c>
      <c r="B1408" s="18">
        <v>20027747196</v>
      </c>
      <c r="C1408" s="18" t="s">
        <v>6075</v>
      </c>
      <c r="D1408" s="19">
        <v>45722.73333333333</v>
      </c>
      <c r="E1408" s="18" t="s">
        <v>10</v>
      </c>
      <c r="F1408" s="18">
        <v>30</v>
      </c>
      <c r="G1408" s="18" t="s">
        <v>10</v>
      </c>
      <c r="H1408" s="18" t="s">
        <v>178</v>
      </c>
      <c r="I1408" s="18" t="s">
        <v>10</v>
      </c>
      <c r="J1408" s="18" t="s">
        <v>4017</v>
      </c>
      <c r="K1408" s="20"/>
    </row>
    <row r="1409" spans="1:11" ht="36.75" thickBot="1">
      <c r="A1409" s="18" t="s">
        <v>6076</v>
      </c>
      <c r="B1409" s="18">
        <v>20028194278</v>
      </c>
      <c r="C1409" s="18" t="s">
        <v>5633</v>
      </c>
      <c r="D1409" s="19">
        <v>45722.859722222223</v>
      </c>
      <c r="E1409" s="18" t="s">
        <v>10</v>
      </c>
      <c r="F1409" s="18">
        <v>700</v>
      </c>
      <c r="G1409" s="18" t="s">
        <v>10</v>
      </c>
      <c r="H1409" s="18" t="s">
        <v>178</v>
      </c>
      <c r="I1409" s="18" t="s">
        <v>10</v>
      </c>
      <c r="J1409" s="18" t="s">
        <v>4017</v>
      </c>
      <c r="K1409" s="20"/>
    </row>
    <row r="1410" spans="1:11" ht="54.75" thickBot="1">
      <c r="A1410" s="18" t="s">
        <v>6077</v>
      </c>
      <c r="B1410" s="18">
        <v>20026739305</v>
      </c>
      <c r="C1410" s="18" t="s">
        <v>6078</v>
      </c>
      <c r="D1410" s="19">
        <v>45723.728472222225</v>
      </c>
      <c r="E1410" s="18" t="s">
        <v>10</v>
      </c>
      <c r="F1410" s="18">
        <v>30</v>
      </c>
      <c r="G1410" s="18" t="s">
        <v>10</v>
      </c>
      <c r="H1410" s="18" t="s">
        <v>178</v>
      </c>
      <c r="I1410" s="18" t="s">
        <v>10</v>
      </c>
      <c r="J1410" s="18" t="s">
        <v>4017</v>
      </c>
      <c r="K1410" s="20"/>
    </row>
    <row r="1411" spans="1:11" ht="36.75" thickBot="1">
      <c r="A1411" s="18" t="s">
        <v>6079</v>
      </c>
      <c r="B1411" s="18">
        <v>20021412141</v>
      </c>
      <c r="C1411" s="18" t="s">
        <v>6080</v>
      </c>
      <c r="D1411" s="19">
        <v>45724.390277777777</v>
      </c>
      <c r="E1411" s="18" t="s">
        <v>10</v>
      </c>
      <c r="F1411" s="18">
        <v>125</v>
      </c>
      <c r="G1411" s="19">
        <v>45748.606249999997</v>
      </c>
      <c r="H1411" s="18" t="s">
        <v>236</v>
      </c>
      <c r="I1411" s="18" t="s">
        <v>10</v>
      </c>
      <c r="J1411" s="18" t="s">
        <v>4017</v>
      </c>
      <c r="K1411" s="20"/>
    </row>
    <row r="1412" spans="1:11" ht="36.75" thickBot="1">
      <c r="A1412" s="18" t="s">
        <v>6081</v>
      </c>
      <c r="B1412" s="18">
        <v>20020914550</v>
      </c>
      <c r="C1412" s="18" t="s">
        <v>5625</v>
      </c>
      <c r="D1412" s="19">
        <v>45724.456944444442</v>
      </c>
      <c r="E1412" s="18" t="s">
        <v>10</v>
      </c>
      <c r="F1412" s="18">
        <v>100</v>
      </c>
      <c r="G1412" s="18" t="s">
        <v>10</v>
      </c>
      <c r="H1412" s="18" t="s">
        <v>178</v>
      </c>
      <c r="I1412" s="18" t="s">
        <v>10</v>
      </c>
      <c r="J1412" s="18" t="s">
        <v>4017</v>
      </c>
      <c r="K1412" s="20"/>
    </row>
    <row r="1413" spans="1:11" ht="36.75" thickBot="1">
      <c r="A1413" s="18" t="s">
        <v>6082</v>
      </c>
      <c r="B1413" s="18">
        <v>20003186085</v>
      </c>
      <c r="C1413" s="18" t="s">
        <v>4626</v>
      </c>
      <c r="D1413" s="19">
        <v>45724.656944444447</v>
      </c>
      <c r="E1413" s="18" t="s">
        <v>10</v>
      </c>
      <c r="F1413" s="18">
        <v>875</v>
      </c>
      <c r="G1413" s="18" t="s">
        <v>10</v>
      </c>
      <c r="H1413" s="18" t="s">
        <v>178</v>
      </c>
      <c r="I1413" s="18" t="s">
        <v>10</v>
      </c>
      <c r="J1413" s="18" t="s">
        <v>4017</v>
      </c>
      <c r="K1413" s="20"/>
    </row>
    <row r="1414" spans="1:11" ht="36.75" thickBot="1">
      <c r="A1414" s="18" t="s">
        <v>6083</v>
      </c>
      <c r="B1414" s="18">
        <v>20003237556</v>
      </c>
      <c r="C1414" s="18" t="s">
        <v>6084</v>
      </c>
      <c r="D1414" s="19">
        <v>45724.769444444442</v>
      </c>
      <c r="E1414" s="18" t="s">
        <v>10</v>
      </c>
      <c r="F1414" s="18">
        <v>150</v>
      </c>
      <c r="G1414" s="18" t="s">
        <v>10</v>
      </c>
      <c r="H1414" s="18" t="s">
        <v>178</v>
      </c>
      <c r="I1414" s="18" t="s">
        <v>10</v>
      </c>
      <c r="J1414" s="18" t="s">
        <v>4017</v>
      </c>
      <c r="K1414" s="20"/>
    </row>
    <row r="1415" spans="1:11" ht="72.75" thickBot="1">
      <c r="A1415" s="18" t="s">
        <v>6085</v>
      </c>
      <c r="B1415" s="18">
        <v>20003237616</v>
      </c>
      <c r="C1415" s="18" t="s">
        <v>6086</v>
      </c>
      <c r="D1415" s="19">
        <v>45724.823611111111</v>
      </c>
      <c r="E1415" s="18" t="s">
        <v>10</v>
      </c>
      <c r="F1415" s="18">
        <v>125</v>
      </c>
      <c r="G1415" s="19">
        <v>45776.602777777778</v>
      </c>
      <c r="H1415" s="18" t="s">
        <v>2657</v>
      </c>
      <c r="I1415" s="18" t="s">
        <v>10</v>
      </c>
      <c r="J1415" s="18" t="s">
        <v>4017</v>
      </c>
      <c r="K1415" s="20"/>
    </row>
    <row r="1416" spans="1:11" ht="36.75" thickBot="1">
      <c r="A1416" s="18" t="s">
        <v>6087</v>
      </c>
      <c r="B1416" s="18">
        <v>82102001937</v>
      </c>
      <c r="C1416" s="18" t="s">
        <v>6088</v>
      </c>
      <c r="D1416" s="19">
        <v>45726.003472222219</v>
      </c>
      <c r="E1416" s="18" t="s">
        <v>10</v>
      </c>
      <c r="F1416" s="18">
        <v>200</v>
      </c>
      <c r="G1416" s="18" t="s">
        <v>10</v>
      </c>
      <c r="H1416" s="18" t="s">
        <v>178</v>
      </c>
      <c r="I1416" s="18" t="s">
        <v>10</v>
      </c>
      <c r="J1416" s="18" t="s">
        <v>4017</v>
      </c>
      <c r="K1416" s="20"/>
    </row>
    <row r="1417" spans="1:11" ht="36.75" thickBot="1">
      <c r="A1417" s="18" t="s">
        <v>6089</v>
      </c>
      <c r="B1417" s="18">
        <v>20020672865</v>
      </c>
      <c r="C1417" s="18" t="s">
        <v>6090</v>
      </c>
      <c r="D1417" s="19">
        <v>45726.26666666667</v>
      </c>
      <c r="E1417" s="18" t="s">
        <v>10</v>
      </c>
      <c r="F1417" s="18">
        <v>216</v>
      </c>
      <c r="G1417" s="18" t="s">
        <v>10</v>
      </c>
      <c r="H1417" s="18" t="s">
        <v>178</v>
      </c>
      <c r="I1417" s="18" t="s">
        <v>10</v>
      </c>
      <c r="J1417" s="18" t="s">
        <v>4017</v>
      </c>
      <c r="K1417" s="20"/>
    </row>
    <row r="1418" spans="1:11" ht="36.75" thickBot="1">
      <c r="A1418" s="18" t="s">
        <v>6091</v>
      </c>
      <c r="B1418" s="18">
        <v>20018330639</v>
      </c>
      <c r="C1418" s="18" t="s">
        <v>5294</v>
      </c>
      <c r="D1418" s="19">
        <v>45726.353472222225</v>
      </c>
      <c r="E1418" s="18" t="s">
        <v>10</v>
      </c>
      <c r="F1418" s="18">
        <v>125</v>
      </c>
      <c r="G1418" s="18" t="s">
        <v>10</v>
      </c>
      <c r="H1418" s="18" t="s">
        <v>178</v>
      </c>
      <c r="I1418" s="18" t="s">
        <v>10</v>
      </c>
      <c r="J1418" s="18" t="s">
        <v>4017</v>
      </c>
      <c r="K1418" s="20"/>
    </row>
    <row r="1419" spans="1:11" ht="36.75" thickBot="1">
      <c r="A1419" s="18" t="s">
        <v>6092</v>
      </c>
      <c r="B1419" s="18">
        <v>20003013756</v>
      </c>
      <c r="C1419" s="18" t="s">
        <v>6093</v>
      </c>
      <c r="D1419" s="19">
        <v>45717.57708333333</v>
      </c>
      <c r="E1419" s="19">
        <v>45726.384722222225</v>
      </c>
      <c r="F1419" s="18">
        <v>100</v>
      </c>
      <c r="G1419" s="18" t="s">
        <v>10</v>
      </c>
      <c r="H1419" s="18" t="s">
        <v>178</v>
      </c>
      <c r="I1419" s="18" t="s">
        <v>10</v>
      </c>
      <c r="J1419" s="18" t="s">
        <v>4017</v>
      </c>
      <c r="K1419" s="20"/>
    </row>
    <row r="1420" spans="1:11" ht="36.75" thickBot="1">
      <c r="A1420" s="18" t="s">
        <v>6094</v>
      </c>
      <c r="B1420" s="18">
        <v>20003485217</v>
      </c>
      <c r="C1420" s="18" t="s">
        <v>6095</v>
      </c>
      <c r="D1420" s="19">
        <v>45516.438194444447</v>
      </c>
      <c r="E1420" s="19">
        <v>45726.394444444442</v>
      </c>
      <c r="F1420" s="18">
        <v>810</v>
      </c>
      <c r="G1420" s="19">
        <v>45742.441666666666</v>
      </c>
      <c r="H1420" s="18" t="s">
        <v>2654</v>
      </c>
      <c r="I1420" s="18" t="s">
        <v>10</v>
      </c>
      <c r="J1420" s="18" t="s">
        <v>4017</v>
      </c>
      <c r="K1420" s="20"/>
    </row>
    <row r="1421" spans="1:11" ht="54.75" thickBot="1">
      <c r="A1421" s="18" t="s">
        <v>6096</v>
      </c>
      <c r="B1421" s="18">
        <v>20020786217</v>
      </c>
      <c r="C1421" s="18" t="s">
        <v>6097</v>
      </c>
      <c r="D1421" s="19">
        <v>45726.394444444442</v>
      </c>
      <c r="E1421" s="18" t="s">
        <v>10</v>
      </c>
      <c r="F1421" s="18">
        <v>720</v>
      </c>
      <c r="G1421" s="18" t="s">
        <v>10</v>
      </c>
      <c r="H1421" s="18" t="s">
        <v>178</v>
      </c>
      <c r="I1421" s="18" t="s">
        <v>10</v>
      </c>
      <c r="J1421" s="18" t="s">
        <v>4017</v>
      </c>
      <c r="K1421" s="20"/>
    </row>
    <row r="1422" spans="1:11" ht="54.75" thickBot="1">
      <c r="A1422" s="18" t="s">
        <v>6098</v>
      </c>
      <c r="B1422" s="18">
        <v>20022475198</v>
      </c>
      <c r="C1422" s="18" t="s">
        <v>6099</v>
      </c>
      <c r="D1422" s="19">
        <v>45726.411805555559</v>
      </c>
      <c r="E1422" s="18" t="s">
        <v>10</v>
      </c>
      <c r="F1422" s="18">
        <v>660</v>
      </c>
      <c r="G1422" s="18" t="s">
        <v>10</v>
      </c>
      <c r="H1422" s="18" t="s">
        <v>178</v>
      </c>
      <c r="I1422" s="18" t="s">
        <v>10</v>
      </c>
      <c r="J1422" s="18" t="s">
        <v>4017</v>
      </c>
      <c r="K1422" s="20"/>
    </row>
    <row r="1423" spans="1:11" ht="36.75" thickBot="1">
      <c r="A1423" s="18" t="s">
        <v>6100</v>
      </c>
      <c r="B1423" s="18">
        <v>20017949380</v>
      </c>
      <c r="C1423" s="18" t="s">
        <v>4133</v>
      </c>
      <c r="D1423" s="19">
        <v>45726.42291666667</v>
      </c>
      <c r="E1423" s="18" t="s">
        <v>10</v>
      </c>
      <c r="F1423" s="18">
        <v>200</v>
      </c>
      <c r="G1423" s="18" t="s">
        <v>10</v>
      </c>
      <c r="H1423" s="18" t="s">
        <v>178</v>
      </c>
      <c r="I1423" s="18" t="s">
        <v>10</v>
      </c>
      <c r="J1423" s="18" t="s">
        <v>4017</v>
      </c>
      <c r="K1423" s="20"/>
    </row>
    <row r="1424" spans="1:11" ht="36.75" thickBot="1">
      <c r="A1424" s="18" t="s">
        <v>6101</v>
      </c>
      <c r="B1424" s="18">
        <v>20003407053</v>
      </c>
      <c r="C1424" s="18" t="s">
        <v>6102</v>
      </c>
      <c r="D1424" s="19">
        <v>45726.490277777775</v>
      </c>
      <c r="E1424" s="18" t="s">
        <v>10</v>
      </c>
      <c r="F1424" s="18">
        <v>90</v>
      </c>
      <c r="G1424" s="18" t="s">
        <v>10</v>
      </c>
      <c r="H1424" s="18" t="s">
        <v>178</v>
      </c>
      <c r="I1424" s="18" t="s">
        <v>10</v>
      </c>
      <c r="J1424" s="18" t="s">
        <v>4017</v>
      </c>
      <c r="K1424" s="20"/>
    </row>
    <row r="1425" spans="1:11" ht="36.75" thickBot="1">
      <c r="A1425" s="18" t="s">
        <v>6103</v>
      </c>
      <c r="B1425" s="18">
        <v>20003127733</v>
      </c>
      <c r="C1425" s="18" t="s">
        <v>5111</v>
      </c>
      <c r="D1425" s="19">
        <v>45726.556944444441</v>
      </c>
      <c r="E1425" s="18" t="s">
        <v>10</v>
      </c>
      <c r="F1425" s="18">
        <v>400</v>
      </c>
      <c r="G1425" s="18" t="s">
        <v>10</v>
      </c>
      <c r="H1425" s="18" t="s">
        <v>178</v>
      </c>
      <c r="I1425" s="18" t="s">
        <v>10</v>
      </c>
      <c r="J1425" s="18" t="s">
        <v>4017</v>
      </c>
      <c r="K1425" s="20"/>
    </row>
    <row r="1426" spans="1:11" ht="36.75" thickBot="1">
      <c r="A1426" s="18" t="s">
        <v>6104</v>
      </c>
      <c r="B1426" s="18">
        <v>20003405317</v>
      </c>
      <c r="C1426" s="18" t="s">
        <v>5397</v>
      </c>
      <c r="D1426" s="19">
        <v>45726.584722222222</v>
      </c>
      <c r="E1426" s="18" t="s">
        <v>10</v>
      </c>
      <c r="F1426" s="18">
        <v>800</v>
      </c>
      <c r="G1426" s="18" t="s">
        <v>10</v>
      </c>
      <c r="H1426" s="18" t="s">
        <v>178</v>
      </c>
      <c r="I1426" s="18" t="s">
        <v>10</v>
      </c>
      <c r="J1426" s="18" t="s">
        <v>4017</v>
      </c>
      <c r="K1426" s="20"/>
    </row>
    <row r="1427" spans="1:11" ht="36.75" thickBot="1">
      <c r="A1427" s="18" t="s">
        <v>6105</v>
      </c>
      <c r="B1427" s="18">
        <v>20022042542</v>
      </c>
      <c r="C1427" s="18" t="s">
        <v>5397</v>
      </c>
      <c r="D1427" s="19">
        <v>45726.598611111112</v>
      </c>
      <c r="E1427" s="18" t="s">
        <v>10</v>
      </c>
      <c r="F1427" s="18">
        <v>850</v>
      </c>
      <c r="G1427" s="18" t="s">
        <v>10</v>
      </c>
      <c r="H1427" s="18" t="s">
        <v>178</v>
      </c>
      <c r="I1427" s="18" t="s">
        <v>10</v>
      </c>
      <c r="J1427" s="18" t="s">
        <v>4017</v>
      </c>
      <c r="K1427" s="20"/>
    </row>
    <row r="1428" spans="1:11" ht="36.75" thickBot="1">
      <c r="A1428" s="18" t="s">
        <v>6106</v>
      </c>
      <c r="B1428" s="18">
        <v>20003197029</v>
      </c>
      <c r="C1428" s="18" t="s">
        <v>5524</v>
      </c>
      <c r="D1428" s="19">
        <v>45726.602777777778</v>
      </c>
      <c r="E1428" s="18" t="s">
        <v>10</v>
      </c>
      <c r="F1428" s="18">
        <v>120</v>
      </c>
      <c r="G1428" s="18" t="s">
        <v>10</v>
      </c>
      <c r="H1428" s="18" t="s">
        <v>178</v>
      </c>
      <c r="I1428" s="18" t="s">
        <v>10</v>
      </c>
      <c r="J1428" s="18" t="s">
        <v>4017</v>
      </c>
      <c r="K1428" s="20"/>
    </row>
    <row r="1429" spans="1:11" ht="54.75" thickBot="1">
      <c r="A1429" s="18" t="s">
        <v>6107</v>
      </c>
      <c r="B1429" s="18">
        <v>20026739305</v>
      </c>
      <c r="C1429" s="18" t="s">
        <v>6078</v>
      </c>
      <c r="D1429" s="19">
        <v>45726.607638888891</v>
      </c>
      <c r="E1429" s="18" t="s">
        <v>10</v>
      </c>
      <c r="F1429" s="18">
        <v>30</v>
      </c>
      <c r="G1429" s="18" t="s">
        <v>10</v>
      </c>
      <c r="H1429" s="18" t="s">
        <v>178</v>
      </c>
      <c r="I1429" s="18" t="s">
        <v>10</v>
      </c>
      <c r="J1429" s="18" t="s">
        <v>4017</v>
      </c>
      <c r="K1429" s="20"/>
    </row>
    <row r="1430" spans="1:11" ht="36.75" thickBot="1">
      <c r="A1430" s="18" t="s">
        <v>6108</v>
      </c>
      <c r="B1430" s="18">
        <v>20028094650</v>
      </c>
      <c r="C1430" s="18" t="s">
        <v>6109</v>
      </c>
      <c r="D1430" s="19">
        <v>45726.663194444445</v>
      </c>
      <c r="E1430" s="18" t="s">
        <v>10</v>
      </c>
      <c r="F1430" s="18">
        <v>50</v>
      </c>
      <c r="G1430" s="18" t="s">
        <v>10</v>
      </c>
      <c r="H1430" s="18" t="s">
        <v>178</v>
      </c>
      <c r="I1430" s="18" t="s">
        <v>10</v>
      </c>
      <c r="J1430" s="18" t="s">
        <v>4017</v>
      </c>
      <c r="K1430" s="20"/>
    </row>
    <row r="1431" spans="1:11" ht="36.75" thickBot="1">
      <c r="A1431" s="18" t="s">
        <v>6110</v>
      </c>
      <c r="B1431" s="18">
        <v>980102002165</v>
      </c>
      <c r="C1431" s="18" t="s">
        <v>6111</v>
      </c>
      <c r="D1431" s="19">
        <v>45727.068749999999</v>
      </c>
      <c r="E1431" s="18" t="s">
        <v>10</v>
      </c>
      <c r="F1431" s="18">
        <v>100</v>
      </c>
      <c r="G1431" s="18" t="s">
        <v>10</v>
      </c>
      <c r="H1431" s="18" t="s">
        <v>178</v>
      </c>
      <c r="I1431" s="18" t="s">
        <v>10</v>
      </c>
      <c r="J1431" s="18" t="s">
        <v>4017</v>
      </c>
      <c r="K1431" s="20"/>
    </row>
    <row r="1432" spans="1:11" ht="36.75" thickBot="1">
      <c r="A1432" s="18" t="s">
        <v>6112</v>
      </c>
      <c r="B1432" s="18">
        <v>20027071062</v>
      </c>
      <c r="C1432" s="18" t="s">
        <v>6113</v>
      </c>
      <c r="D1432" s="19">
        <v>45727.390972222223</v>
      </c>
      <c r="E1432" s="18" t="s">
        <v>10</v>
      </c>
      <c r="F1432" s="18">
        <v>50</v>
      </c>
      <c r="G1432" s="18" t="s">
        <v>10</v>
      </c>
      <c r="H1432" s="18" t="s">
        <v>178</v>
      </c>
      <c r="I1432" s="18" t="s">
        <v>10</v>
      </c>
      <c r="J1432" s="18" t="s">
        <v>4017</v>
      </c>
      <c r="K1432" s="20"/>
    </row>
    <row r="1433" spans="1:11" ht="36.75" thickBot="1">
      <c r="A1433" s="18" t="s">
        <v>6114</v>
      </c>
      <c r="B1433" s="18">
        <v>20003286464</v>
      </c>
      <c r="C1433" s="18" t="s">
        <v>6115</v>
      </c>
      <c r="D1433" s="19">
        <v>45623.660416666666</v>
      </c>
      <c r="E1433" s="19">
        <v>45727.438888888886</v>
      </c>
      <c r="F1433" s="18">
        <v>100</v>
      </c>
      <c r="G1433" s="19">
        <v>45876.575694444444</v>
      </c>
      <c r="H1433" s="18" t="s">
        <v>2654</v>
      </c>
      <c r="I1433" s="18" t="s">
        <v>10</v>
      </c>
      <c r="J1433" s="18" t="s">
        <v>4017</v>
      </c>
      <c r="K1433" s="20"/>
    </row>
    <row r="1434" spans="1:11" ht="54.75" thickBot="1">
      <c r="A1434" s="18" t="s">
        <v>6116</v>
      </c>
      <c r="B1434" s="18">
        <v>20002959664</v>
      </c>
      <c r="C1434" s="18" t="s">
        <v>6117</v>
      </c>
      <c r="D1434" s="19">
        <v>45727.445138888892</v>
      </c>
      <c r="E1434" s="18" t="s">
        <v>10</v>
      </c>
      <c r="F1434" s="18">
        <v>80</v>
      </c>
      <c r="G1434" s="18" t="s">
        <v>10</v>
      </c>
      <c r="H1434" s="18" t="s">
        <v>178</v>
      </c>
      <c r="I1434" s="18" t="s">
        <v>10</v>
      </c>
      <c r="J1434" s="18" t="s">
        <v>4017</v>
      </c>
      <c r="K1434" s="20"/>
    </row>
    <row r="1435" spans="1:11" ht="36.75" thickBot="1">
      <c r="A1435" s="18" t="s">
        <v>6118</v>
      </c>
      <c r="B1435" s="18">
        <v>20003406205</v>
      </c>
      <c r="C1435" s="18" t="s">
        <v>6119</v>
      </c>
      <c r="D1435" s="19">
        <v>45719.438194444447</v>
      </c>
      <c r="E1435" s="19">
        <v>45727.459722222222</v>
      </c>
      <c r="F1435" s="18">
        <v>175</v>
      </c>
      <c r="G1435" s="19">
        <v>45740.605555555558</v>
      </c>
      <c r="H1435" s="18" t="s">
        <v>236</v>
      </c>
      <c r="I1435" s="18" t="s">
        <v>10</v>
      </c>
      <c r="J1435" s="18" t="s">
        <v>4017</v>
      </c>
      <c r="K1435" s="20"/>
    </row>
    <row r="1436" spans="1:11" ht="72.75" thickBot="1">
      <c r="A1436" s="18" t="s">
        <v>6120</v>
      </c>
      <c r="B1436" s="18">
        <v>20023022820</v>
      </c>
      <c r="C1436" s="18" t="s">
        <v>6121</v>
      </c>
      <c r="D1436" s="19">
        <v>45611.45416666667</v>
      </c>
      <c r="E1436" s="19">
        <v>45727.551388888889</v>
      </c>
      <c r="F1436" s="18">
        <v>200</v>
      </c>
      <c r="G1436" s="19">
        <v>45734.446527777778</v>
      </c>
      <c r="H1436" s="18" t="s">
        <v>2688</v>
      </c>
      <c r="I1436" s="18" t="s">
        <v>10</v>
      </c>
      <c r="J1436" s="18" t="s">
        <v>4017</v>
      </c>
      <c r="K1436" s="20"/>
    </row>
    <row r="1437" spans="1:11" ht="36.75" thickBot="1">
      <c r="A1437" s="18" t="s">
        <v>6122</v>
      </c>
      <c r="B1437" s="18">
        <v>20023022820</v>
      </c>
      <c r="C1437" s="18" t="s">
        <v>4980</v>
      </c>
      <c r="D1437" s="19">
        <v>45611.45416666667</v>
      </c>
      <c r="E1437" s="19">
        <v>45727.551388888889</v>
      </c>
      <c r="F1437" s="18">
        <v>800</v>
      </c>
      <c r="G1437" s="19">
        <v>45734.446527777778</v>
      </c>
      <c r="H1437" s="18" t="s">
        <v>236</v>
      </c>
      <c r="I1437" s="18" t="s">
        <v>10</v>
      </c>
      <c r="J1437" s="18" t="s">
        <v>4017</v>
      </c>
      <c r="K1437" s="20"/>
    </row>
    <row r="1438" spans="1:11" ht="36.75" thickBot="1">
      <c r="A1438" s="18" t="s">
        <v>6123</v>
      </c>
      <c r="B1438" s="18">
        <v>20003228500</v>
      </c>
      <c r="C1438" s="18" t="s">
        <v>5419</v>
      </c>
      <c r="D1438" s="19">
        <v>45727.560416666667</v>
      </c>
      <c r="E1438" s="18" t="s">
        <v>10</v>
      </c>
      <c r="F1438" s="18">
        <v>540</v>
      </c>
      <c r="G1438" s="19">
        <v>45779.522222222222</v>
      </c>
      <c r="H1438" s="18" t="s">
        <v>236</v>
      </c>
      <c r="I1438" s="18" t="s">
        <v>10</v>
      </c>
      <c r="J1438" s="18" t="s">
        <v>4017</v>
      </c>
      <c r="K1438" s="20"/>
    </row>
    <row r="1439" spans="1:11" ht="36.75" thickBot="1">
      <c r="A1439" s="18" t="s">
        <v>6124</v>
      </c>
      <c r="B1439" s="18">
        <v>20003478268</v>
      </c>
      <c r="C1439" s="18" t="s">
        <v>4362</v>
      </c>
      <c r="D1439" s="19">
        <v>45638.710416666669</v>
      </c>
      <c r="E1439" s="19">
        <v>45727.574305555558</v>
      </c>
      <c r="F1439" s="18">
        <v>378</v>
      </c>
      <c r="G1439" s="19">
        <v>45793.381944444445</v>
      </c>
      <c r="H1439" s="18" t="s">
        <v>2654</v>
      </c>
      <c r="I1439" s="18" t="s">
        <v>10</v>
      </c>
      <c r="J1439" s="18" t="s">
        <v>4017</v>
      </c>
      <c r="K1439" s="20"/>
    </row>
    <row r="1440" spans="1:11" ht="36.75" thickBot="1">
      <c r="A1440" s="18" t="s">
        <v>6125</v>
      </c>
      <c r="B1440" s="18">
        <v>20003123416</v>
      </c>
      <c r="C1440" s="18" t="s">
        <v>6126</v>
      </c>
      <c r="D1440" s="19">
        <v>45436.663888888892</v>
      </c>
      <c r="E1440" s="19">
        <v>45727.645138888889</v>
      </c>
      <c r="F1440" s="117">
        <v>2800</v>
      </c>
      <c r="G1440" s="19">
        <v>45798.644444444442</v>
      </c>
      <c r="H1440" s="18" t="s">
        <v>2654</v>
      </c>
      <c r="I1440" s="18" t="s">
        <v>10</v>
      </c>
      <c r="J1440" s="18" t="s">
        <v>4017</v>
      </c>
      <c r="K1440" s="20"/>
    </row>
    <row r="1441" spans="1:11" ht="36.75" thickBot="1">
      <c r="A1441" s="18" t="s">
        <v>6127</v>
      </c>
      <c r="B1441" s="18">
        <v>20003338223</v>
      </c>
      <c r="C1441" s="18" t="s">
        <v>4051</v>
      </c>
      <c r="D1441" s="19">
        <v>45666.645833333336</v>
      </c>
      <c r="E1441" s="19">
        <v>45727.656944444447</v>
      </c>
      <c r="F1441" s="117">
        <v>1000</v>
      </c>
      <c r="G1441" s="18" t="s">
        <v>10</v>
      </c>
      <c r="H1441" s="18" t="s">
        <v>178</v>
      </c>
      <c r="I1441" s="18" t="s">
        <v>10</v>
      </c>
      <c r="J1441" s="18" t="s">
        <v>4017</v>
      </c>
      <c r="K1441" s="20"/>
    </row>
    <row r="1442" spans="1:11" ht="36.75" thickBot="1">
      <c r="A1442" s="18" t="s">
        <v>6128</v>
      </c>
      <c r="B1442" s="18">
        <v>20021255400</v>
      </c>
      <c r="C1442" s="18" t="s">
        <v>5891</v>
      </c>
      <c r="D1442" s="19">
        <v>45727.663194444445</v>
      </c>
      <c r="E1442" s="18" t="s">
        <v>10</v>
      </c>
      <c r="F1442" s="18">
        <v>125</v>
      </c>
      <c r="G1442" s="18" t="s">
        <v>10</v>
      </c>
      <c r="H1442" s="18" t="s">
        <v>178</v>
      </c>
      <c r="I1442" s="18" t="s">
        <v>10</v>
      </c>
      <c r="J1442" s="18" t="s">
        <v>4017</v>
      </c>
      <c r="K1442" s="20"/>
    </row>
    <row r="1443" spans="1:11" ht="36.75" thickBot="1">
      <c r="A1443" s="18" t="s">
        <v>6129</v>
      </c>
      <c r="B1443" s="18">
        <v>20026959832</v>
      </c>
      <c r="C1443" s="18" t="s">
        <v>1836</v>
      </c>
      <c r="D1443" s="19">
        <v>45727.680555555555</v>
      </c>
      <c r="E1443" s="18" t="s">
        <v>10</v>
      </c>
      <c r="F1443" s="18">
        <v>30</v>
      </c>
      <c r="G1443" s="18" t="s">
        <v>10</v>
      </c>
      <c r="H1443" s="18" t="s">
        <v>178</v>
      </c>
      <c r="I1443" s="18" t="s">
        <v>10</v>
      </c>
      <c r="J1443" s="18" t="s">
        <v>4017</v>
      </c>
      <c r="K1443" s="20"/>
    </row>
    <row r="1444" spans="1:11" ht="36.75" thickBot="1">
      <c r="A1444" s="18" t="s">
        <v>6130</v>
      </c>
      <c r="B1444" s="18">
        <v>20003178229</v>
      </c>
      <c r="C1444" s="18" t="s">
        <v>6131</v>
      </c>
      <c r="D1444" s="19">
        <v>45727.729861111111</v>
      </c>
      <c r="E1444" s="18" t="s">
        <v>10</v>
      </c>
      <c r="F1444" s="18">
        <v>110</v>
      </c>
      <c r="G1444" s="18" t="s">
        <v>10</v>
      </c>
      <c r="H1444" s="18" t="s">
        <v>178</v>
      </c>
      <c r="I1444" s="18" t="s">
        <v>10</v>
      </c>
      <c r="J1444" s="18" t="s">
        <v>4017</v>
      </c>
      <c r="K1444" s="20"/>
    </row>
    <row r="1445" spans="1:11" ht="36.75" thickBot="1">
      <c r="A1445" s="18" t="s">
        <v>6132</v>
      </c>
      <c r="B1445" s="18">
        <v>20003178187</v>
      </c>
      <c r="C1445" s="18" t="s">
        <v>6131</v>
      </c>
      <c r="D1445" s="19">
        <v>45727.731249999997</v>
      </c>
      <c r="E1445" s="18" t="s">
        <v>10</v>
      </c>
      <c r="F1445" s="18">
        <v>330</v>
      </c>
      <c r="G1445" s="18" t="s">
        <v>10</v>
      </c>
      <c r="H1445" s="18" t="s">
        <v>178</v>
      </c>
      <c r="I1445" s="18" t="s">
        <v>10</v>
      </c>
      <c r="J1445" s="18" t="s">
        <v>4017</v>
      </c>
      <c r="K1445" s="20"/>
    </row>
    <row r="1446" spans="1:11" ht="36.75" thickBot="1">
      <c r="A1446" s="18" t="s">
        <v>6133</v>
      </c>
      <c r="B1446" s="18">
        <v>20002952664</v>
      </c>
      <c r="C1446" s="18" t="s">
        <v>5734</v>
      </c>
      <c r="D1446" s="19">
        <v>45728.361111111109</v>
      </c>
      <c r="E1446" s="18" t="s">
        <v>10</v>
      </c>
      <c r="F1446" s="18">
        <v>20</v>
      </c>
      <c r="G1446" s="18" t="s">
        <v>10</v>
      </c>
      <c r="H1446" s="18" t="s">
        <v>178</v>
      </c>
      <c r="I1446" s="18" t="s">
        <v>10</v>
      </c>
      <c r="J1446" s="18" t="s">
        <v>4017</v>
      </c>
      <c r="K1446" s="20"/>
    </row>
    <row r="1447" spans="1:11" ht="36.75" thickBot="1">
      <c r="A1447" s="18" t="s">
        <v>6134</v>
      </c>
      <c r="B1447" s="18">
        <v>20019268710</v>
      </c>
      <c r="C1447" s="18" t="s">
        <v>4280</v>
      </c>
      <c r="D1447" s="19">
        <v>45664.622916666667</v>
      </c>
      <c r="E1447" s="19">
        <v>45728.436111111114</v>
      </c>
      <c r="F1447" s="18">
        <v>600</v>
      </c>
      <c r="G1447" s="19">
        <v>45750.57916666667</v>
      </c>
      <c r="H1447" s="18" t="s">
        <v>236</v>
      </c>
      <c r="I1447" s="18" t="s">
        <v>10</v>
      </c>
      <c r="J1447" s="18" t="s">
        <v>4017</v>
      </c>
      <c r="K1447" s="20"/>
    </row>
    <row r="1448" spans="1:11" ht="54.75" thickBot="1">
      <c r="A1448" s="18" t="s">
        <v>6135</v>
      </c>
      <c r="B1448" s="18">
        <v>20028194365</v>
      </c>
      <c r="C1448" s="18" t="s">
        <v>5681</v>
      </c>
      <c r="D1448" s="19">
        <v>45728.553472222222</v>
      </c>
      <c r="E1448" s="18" t="s">
        <v>10</v>
      </c>
      <c r="F1448" s="18">
        <v>20</v>
      </c>
      <c r="G1448" s="18" t="s">
        <v>10</v>
      </c>
      <c r="H1448" s="18" t="s">
        <v>178</v>
      </c>
      <c r="I1448" s="18" t="s">
        <v>10</v>
      </c>
      <c r="J1448" s="18" t="s">
        <v>4017</v>
      </c>
      <c r="K1448" s="20"/>
    </row>
    <row r="1449" spans="1:11" ht="54.75" thickBot="1">
      <c r="A1449" s="18" t="s">
        <v>6136</v>
      </c>
      <c r="B1449" s="18">
        <v>20028194316</v>
      </c>
      <c r="C1449" s="18" t="s">
        <v>5681</v>
      </c>
      <c r="D1449" s="19">
        <v>45728.588194444441</v>
      </c>
      <c r="E1449" s="18" t="s">
        <v>10</v>
      </c>
      <c r="F1449" s="18">
        <v>20</v>
      </c>
      <c r="G1449" s="18" t="s">
        <v>10</v>
      </c>
      <c r="H1449" s="18" t="s">
        <v>178</v>
      </c>
      <c r="I1449" s="18" t="s">
        <v>10</v>
      </c>
      <c r="J1449" s="18" t="s">
        <v>4017</v>
      </c>
      <c r="K1449" s="20"/>
    </row>
    <row r="1450" spans="1:11" ht="54.75" thickBot="1">
      <c r="A1450" s="18" t="s">
        <v>6137</v>
      </c>
      <c r="B1450" s="18">
        <v>20028194342</v>
      </c>
      <c r="C1450" s="18" t="s">
        <v>5681</v>
      </c>
      <c r="D1450" s="19">
        <v>45728.601388888892</v>
      </c>
      <c r="E1450" s="18" t="s">
        <v>10</v>
      </c>
      <c r="F1450" s="18">
        <v>20</v>
      </c>
      <c r="G1450" s="18" t="s">
        <v>10</v>
      </c>
      <c r="H1450" s="18" t="s">
        <v>178</v>
      </c>
      <c r="I1450" s="18" t="s">
        <v>10</v>
      </c>
      <c r="J1450" s="18" t="s">
        <v>4017</v>
      </c>
      <c r="K1450" s="20"/>
    </row>
    <row r="1451" spans="1:11" ht="36.75" thickBot="1">
      <c r="A1451" s="18" t="s">
        <v>6138</v>
      </c>
      <c r="B1451" s="18">
        <v>20028229014</v>
      </c>
      <c r="C1451" s="18" t="s">
        <v>5865</v>
      </c>
      <c r="D1451" s="19">
        <v>45728.612500000003</v>
      </c>
      <c r="E1451" s="18" t="s">
        <v>10</v>
      </c>
      <c r="F1451" s="18">
        <v>150</v>
      </c>
      <c r="G1451" s="18" t="s">
        <v>10</v>
      </c>
      <c r="H1451" s="18" t="s">
        <v>178</v>
      </c>
      <c r="I1451" s="18" t="s">
        <v>10</v>
      </c>
      <c r="J1451" s="18" t="s">
        <v>4017</v>
      </c>
      <c r="K1451" s="20"/>
    </row>
    <row r="1452" spans="1:11" ht="36.75" thickBot="1">
      <c r="A1452" s="18" t="s">
        <v>6139</v>
      </c>
      <c r="B1452" s="18">
        <v>20003560253</v>
      </c>
      <c r="C1452" s="18" t="s">
        <v>6140</v>
      </c>
      <c r="D1452" s="19">
        <v>45728.628472222219</v>
      </c>
      <c r="E1452" s="18" t="s">
        <v>10</v>
      </c>
      <c r="F1452" s="18">
        <v>600</v>
      </c>
      <c r="G1452" s="18" t="s">
        <v>10</v>
      </c>
      <c r="H1452" s="18" t="s">
        <v>178</v>
      </c>
      <c r="I1452" s="18" t="s">
        <v>10</v>
      </c>
      <c r="J1452" s="18" t="s">
        <v>4017</v>
      </c>
      <c r="K1452" s="20"/>
    </row>
    <row r="1453" spans="1:11" ht="36.75" thickBot="1">
      <c r="A1453" s="18" t="s">
        <v>6141</v>
      </c>
      <c r="B1453" s="18">
        <v>20003243467</v>
      </c>
      <c r="C1453" s="18" t="s">
        <v>4217</v>
      </c>
      <c r="D1453" s="19">
        <v>45677.740972222222</v>
      </c>
      <c r="E1453" s="19">
        <v>45728.666666666664</v>
      </c>
      <c r="F1453" s="18">
        <v>800</v>
      </c>
      <c r="G1453" s="19">
        <v>45757.393750000003</v>
      </c>
      <c r="H1453" s="18" t="s">
        <v>2654</v>
      </c>
      <c r="I1453" s="18" t="s">
        <v>10</v>
      </c>
      <c r="J1453" s="18" t="s">
        <v>4017</v>
      </c>
      <c r="K1453" s="20"/>
    </row>
    <row r="1454" spans="1:11" ht="36.75" thickBot="1">
      <c r="A1454" s="18" t="s">
        <v>6142</v>
      </c>
      <c r="B1454" s="18">
        <v>20003489945</v>
      </c>
      <c r="C1454" s="18" t="s">
        <v>6140</v>
      </c>
      <c r="D1454" s="19">
        <v>45728.702777777777</v>
      </c>
      <c r="E1454" s="18" t="s">
        <v>10</v>
      </c>
      <c r="F1454" s="18">
        <v>250</v>
      </c>
      <c r="G1454" s="18" t="s">
        <v>10</v>
      </c>
      <c r="H1454" s="18" t="s">
        <v>178</v>
      </c>
      <c r="I1454" s="18" t="s">
        <v>10</v>
      </c>
      <c r="J1454" s="18" t="s">
        <v>4017</v>
      </c>
      <c r="K1454" s="20"/>
    </row>
    <row r="1455" spans="1:11" ht="36.75" thickBot="1">
      <c r="A1455" s="18" t="s">
        <v>6143</v>
      </c>
      <c r="B1455" s="18">
        <v>20021625809</v>
      </c>
      <c r="C1455" s="18" t="s">
        <v>4364</v>
      </c>
      <c r="D1455" s="19">
        <v>45729.474999999999</v>
      </c>
      <c r="E1455" s="18" t="s">
        <v>10</v>
      </c>
      <c r="F1455" s="18">
        <v>50</v>
      </c>
      <c r="G1455" s="18" t="s">
        <v>10</v>
      </c>
      <c r="H1455" s="18" t="s">
        <v>178</v>
      </c>
      <c r="I1455" s="18" t="s">
        <v>10</v>
      </c>
      <c r="J1455" s="18" t="s">
        <v>4017</v>
      </c>
      <c r="K1455" s="20"/>
    </row>
    <row r="1456" spans="1:11" ht="36.75" thickBot="1">
      <c r="A1456" s="18" t="s">
        <v>6144</v>
      </c>
      <c r="B1456" s="18">
        <v>20016703735</v>
      </c>
      <c r="C1456" s="18" t="s">
        <v>4802</v>
      </c>
      <c r="D1456" s="19">
        <v>45729.577777777777</v>
      </c>
      <c r="E1456" s="18" t="s">
        <v>10</v>
      </c>
      <c r="F1456" s="18">
        <v>30</v>
      </c>
      <c r="G1456" s="19">
        <v>45764.539583333331</v>
      </c>
      <c r="H1456" s="18" t="s">
        <v>236</v>
      </c>
      <c r="I1456" s="18" t="s">
        <v>10</v>
      </c>
      <c r="J1456" s="18" t="s">
        <v>4017</v>
      </c>
      <c r="K1456" s="20"/>
    </row>
    <row r="1457" spans="1:11" ht="36.75" thickBot="1">
      <c r="A1457" s="18" t="s">
        <v>6145</v>
      </c>
      <c r="B1457" s="18">
        <v>20017641758</v>
      </c>
      <c r="C1457" s="18" t="s">
        <v>6146</v>
      </c>
      <c r="D1457" s="19">
        <v>45729.666666666664</v>
      </c>
      <c r="E1457" s="18" t="s">
        <v>10</v>
      </c>
      <c r="F1457" s="18">
        <v>30</v>
      </c>
      <c r="G1457" s="18" t="s">
        <v>10</v>
      </c>
      <c r="H1457" s="18" t="s">
        <v>178</v>
      </c>
      <c r="I1457" s="18" t="s">
        <v>10</v>
      </c>
      <c r="J1457" s="18" t="s">
        <v>4017</v>
      </c>
      <c r="K1457" s="20"/>
    </row>
    <row r="1458" spans="1:11" ht="54.75" thickBot="1">
      <c r="A1458" s="18" t="s">
        <v>6147</v>
      </c>
      <c r="B1458" s="18">
        <v>20022861125</v>
      </c>
      <c r="C1458" s="18" t="s">
        <v>6148</v>
      </c>
      <c r="D1458" s="19">
        <v>45730.460416666669</v>
      </c>
      <c r="E1458" s="18" t="s">
        <v>10</v>
      </c>
      <c r="F1458" s="18">
        <v>50</v>
      </c>
      <c r="G1458" s="18" t="s">
        <v>10</v>
      </c>
      <c r="H1458" s="18" t="s">
        <v>178</v>
      </c>
      <c r="I1458" s="18" t="s">
        <v>10</v>
      </c>
      <c r="J1458" s="18" t="s">
        <v>4017</v>
      </c>
      <c r="K1458" s="20"/>
    </row>
    <row r="1459" spans="1:11" ht="72.75" thickBot="1">
      <c r="A1459" s="18" t="s">
        <v>6149</v>
      </c>
      <c r="B1459" s="18">
        <v>20026814811</v>
      </c>
      <c r="C1459" s="18" t="s">
        <v>1062</v>
      </c>
      <c r="D1459" s="19">
        <v>45730.533333333333</v>
      </c>
      <c r="E1459" s="18" t="s">
        <v>10</v>
      </c>
      <c r="F1459" s="18">
        <v>80</v>
      </c>
      <c r="G1459" s="19">
        <v>45771.531944444447</v>
      </c>
      <c r="H1459" s="18" t="s">
        <v>2657</v>
      </c>
      <c r="I1459" s="18" t="s">
        <v>10</v>
      </c>
      <c r="J1459" s="18" t="s">
        <v>4017</v>
      </c>
      <c r="K1459" s="20"/>
    </row>
    <row r="1460" spans="1:11" ht="36.75" thickBot="1">
      <c r="A1460" s="18" t="s">
        <v>6150</v>
      </c>
      <c r="B1460" s="18">
        <v>20017477868</v>
      </c>
      <c r="C1460" s="18" t="s">
        <v>4806</v>
      </c>
      <c r="D1460" s="19">
        <v>45730.559027777781</v>
      </c>
      <c r="E1460" s="18" t="s">
        <v>10</v>
      </c>
      <c r="F1460" s="18">
        <v>200</v>
      </c>
      <c r="G1460" s="18" t="s">
        <v>10</v>
      </c>
      <c r="H1460" s="18" t="s">
        <v>178</v>
      </c>
      <c r="I1460" s="18" t="s">
        <v>10</v>
      </c>
      <c r="J1460" s="18" t="s">
        <v>4017</v>
      </c>
      <c r="K1460" s="20"/>
    </row>
    <row r="1461" spans="1:11" ht="72.75" thickBot="1">
      <c r="A1461" s="18" t="s">
        <v>6151</v>
      </c>
      <c r="B1461" s="18">
        <v>20027634209</v>
      </c>
      <c r="C1461" s="18" t="s">
        <v>6152</v>
      </c>
      <c r="D1461" s="19">
        <v>45730.668749999997</v>
      </c>
      <c r="E1461" s="18" t="s">
        <v>10</v>
      </c>
      <c r="F1461" s="18">
        <v>30</v>
      </c>
      <c r="G1461" s="19">
        <v>45821.490972222222</v>
      </c>
      <c r="H1461" s="18" t="s">
        <v>2688</v>
      </c>
      <c r="I1461" s="18" t="s">
        <v>10</v>
      </c>
      <c r="J1461" s="18" t="s">
        <v>4017</v>
      </c>
      <c r="K1461" s="20"/>
    </row>
    <row r="1462" spans="1:11" ht="72.75" thickBot="1">
      <c r="A1462" s="18" t="s">
        <v>6153</v>
      </c>
      <c r="B1462" s="18">
        <v>20027747196</v>
      </c>
      <c r="C1462" s="18" t="s">
        <v>6075</v>
      </c>
      <c r="D1462" s="19">
        <v>45730.685416666667</v>
      </c>
      <c r="E1462" s="18" t="s">
        <v>10</v>
      </c>
      <c r="F1462" s="18">
        <v>30</v>
      </c>
      <c r="G1462" s="19">
        <v>45792.590277777781</v>
      </c>
      <c r="H1462" s="18" t="s">
        <v>2657</v>
      </c>
      <c r="I1462" s="18" t="s">
        <v>10</v>
      </c>
      <c r="J1462" s="18" t="s">
        <v>4017</v>
      </c>
      <c r="K1462" s="20"/>
    </row>
    <row r="1463" spans="1:11" ht="54.75" thickBot="1">
      <c r="A1463" s="18" t="s">
        <v>6154</v>
      </c>
      <c r="B1463" s="18">
        <v>20003160152</v>
      </c>
      <c r="C1463" s="18" t="s">
        <v>6155</v>
      </c>
      <c r="D1463" s="19">
        <v>45730.724999999999</v>
      </c>
      <c r="E1463" s="18" t="s">
        <v>10</v>
      </c>
      <c r="F1463" s="18">
        <v>950</v>
      </c>
      <c r="G1463" s="18" t="s">
        <v>10</v>
      </c>
      <c r="H1463" s="18" t="s">
        <v>178</v>
      </c>
      <c r="I1463" s="18" t="s">
        <v>10</v>
      </c>
      <c r="J1463" s="18" t="s">
        <v>4017</v>
      </c>
      <c r="K1463" s="20"/>
    </row>
    <row r="1464" spans="1:11" ht="36.75" thickBot="1">
      <c r="A1464" s="18" t="s">
        <v>6156</v>
      </c>
      <c r="B1464" s="18">
        <v>20002932562</v>
      </c>
      <c r="C1464" s="18" t="s">
        <v>5514</v>
      </c>
      <c r="D1464" s="19">
        <v>45727.521527777775</v>
      </c>
      <c r="E1464" s="19">
        <v>45730.768750000003</v>
      </c>
      <c r="F1464" s="18">
        <v>50</v>
      </c>
      <c r="G1464" s="19">
        <v>45772.559027777781</v>
      </c>
      <c r="H1464" s="18" t="s">
        <v>236</v>
      </c>
      <c r="I1464" s="18" t="s">
        <v>10</v>
      </c>
      <c r="J1464" s="18" t="s">
        <v>4017</v>
      </c>
      <c r="K1464" s="20"/>
    </row>
    <row r="1465" spans="1:11" ht="54.75" thickBot="1">
      <c r="A1465" s="18" t="s">
        <v>6157</v>
      </c>
      <c r="B1465" s="18">
        <v>20003253489</v>
      </c>
      <c r="C1465" s="18" t="s">
        <v>4865</v>
      </c>
      <c r="D1465" s="19">
        <v>45731.888194444444</v>
      </c>
      <c r="E1465" s="18" t="s">
        <v>10</v>
      </c>
      <c r="F1465" s="18">
        <v>300</v>
      </c>
      <c r="G1465" s="18" t="s">
        <v>10</v>
      </c>
      <c r="H1465" s="18" t="s">
        <v>178</v>
      </c>
      <c r="I1465" s="18" t="s">
        <v>10</v>
      </c>
      <c r="J1465" s="18" t="s">
        <v>4017</v>
      </c>
      <c r="K1465" s="20"/>
    </row>
    <row r="1466" spans="1:11" ht="54.75" thickBot="1">
      <c r="A1466" s="18" t="s">
        <v>6158</v>
      </c>
      <c r="B1466" s="18">
        <v>20003253489</v>
      </c>
      <c r="C1466" s="18" t="s">
        <v>4865</v>
      </c>
      <c r="D1466" s="19">
        <v>45731.895138888889</v>
      </c>
      <c r="E1466" s="18" t="s">
        <v>10</v>
      </c>
      <c r="F1466" s="18">
        <v>300</v>
      </c>
      <c r="G1466" s="18" t="s">
        <v>10</v>
      </c>
      <c r="H1466" s="18" t="s">
        <v>178</v>
      </c>
      <c r="I1466" s="18" t="s">
        <v>10</v>
      </c>
      <c r="J1466" s="18" t="s">
        <v>4017</v>
      </c>
      <c r="K1466" s="20"/>
    </row>
    <row r="1467" spans="1:11" ht="36.75" thickBot="1">
      <c r="A1467" s="18" t="s">
        <v>6159</v>
      </c>
      <c r="B1467" s="18">
        <v>20003199543</v>
      </c>
      <c r="C1467" s="18" t="s">
        <v>6160</v>
      </c>
      <c r="D1467" s="19">
        <v>45732.525694444441</v>
      </c>
      <c r="E1467" s="18" t="s">
        <v>10</v>
      </c>
      <c r="F1467" s="18">
        <v>30</v>
      </c>
      <c r="G1467" s="18" t="s">
        <v>10</v>
      </c>
      <c r="H1467" s="18" t="s">
        <v>178</v>
      </c>
      <c r="I1467" s="18" t="s">
        <v>10</v>
      </c>
      <c r="J1467" s="18" t="s">
        <v>4017</v>
      </c>
      <c r="K1467" s="20"/>
    </row>
    <row r="1468" spans="1:11" ht="36.75" thickBot="1">
      <c r="A1468" s="18" t="s">
        <v>6161</v>
      </c>
      <c r="B1468" s="18">
        <v>20003500555</v>
      </c>
      <c r="C1468" s="18" t="s">
        <v>5210</v>
      </c>
      <c r="D1468" s="19">
        <v>45722.801388888889</v>
      </c>
      <c r="E1468" s="19">
        <v>45733.383333333331</v>
      </c>
      <c r="F1468" s="18">
        <v>500</v>
      </c>
      <c r="G1468" s="18" t="s">
        <v>10</v>
      </c>
      <c r="H1468" s="18" t="s">
        <v>189</v>
      </c>
      <c r="I1468" s="18" t="s">
        <v>10</v>
      </c>
      <c r="J1468" s="18" t="s">
        <v>4017</v>
      </c>
      <c r="K1468" s="20"/>
    </row>
    <row r="1469" spans="1:11" ht="36.75" thickBot="1">
      <c r="A1469" s="18" t="s">
        <v>6162</v>
      </c>
      <c r="B1469" s="18">
        <v>20002879475</v>
      </c>
      <c r="C1469" s="18" t="s">
        <v>5425</v>
      </c>
      <c r="D1469" s="19">
        <v>45723.682638888888</v>
      </c>
      <c r="E1469" s="19">
        <v>45733.400694444441</v>
      </c>
      <c r="F1469" s="18">
        <v>425</v>
      </c>
      <c r="G1469" s="19">
        <v>45741.492361111108</v>
      </c>
      <c r="H1469" s="18" t="s">
        <v>2654</v>
      </c>
      <c r="I1469" s="18" t="s">
        <v>10</v>
      </c>
      <c r="J1469" s="18" t="s">
        <v>4017</v>
      </c>
      <c r="K1469" s="20"/>
    </row>
    <row r="1470" spans="1:11" ht="36.75" thickBot="1">
      <c r="A1470" s="18" t="s">
        <v>6163</v>
      </c>
      <c r="B1470" s="18">
        <v>20021255400</v>
      </c>
      <c r="C1470" s="18" t="s">
        <v>5891</v>
      </c>
      <c r="D1470" s="19">
        <v>45733.421527777777</v>
      </c>
      <c r="E1470" s="18" t="s">
        <v>10</v>
      </c>
      <c r="F1470" s="18">
        <v>125</v>
      </c>
      <c r="G1470" s="19">
        <v>45748.636805555558</v>
      </c>
      <c r="H1470" s="18" t="s">
        <v>236</v>
      </c>
      <c r="I1470" s="18" t="s">
        <v>10</v>
      </c>
      <c r="J1470" s="18" t="s">
        <v>4017</v>
      </c>
      <c r="K1470" s="20"/>
    </row>
    <row r="1471" spans="1:11" ht="36.75" thickBot="1">
      <c r="A1471" s="18" t="s">
        <v>6164</v>
      </c>
      <c r="B1471" s="18">
        <v>20017384091</v>
      </c>
      <c r="C1471" s="18" t="s">
        <v>5324</v>
      </c>
      <c r="D1471" s="19">
        <v>45673.618055555555</v>
      </c>
      <c r="E1471" s="19">
        <v>45733.484722222223</v>
      </c>
      <c r="F1471" s="18">
        <v>496.8</v>
      </c>
      <c r="G1471" s="19">
        <v>45740.670138888891</v>
      </c>
      <c r="H1471" s="18" t="s">
        <v>2654</v>
      </c>
      <c r="I1471" s="18" t="s">
        <v>10</v>
      </c>
      <c r="J1471" s="18" t="s">
        <v>4017</v>
      </c>
      <c r="K1471" s="20"/>
    </row>
    <row r="1472" spans="1:11" ht="36.75" thickBot="1">
      <c r="A1472" s="18" t="s">
        <v>6165</v>
      </c>
      <c r="B1472" s="18">
        <v>20001677527</v>
      </c>
      <c r="C1472" s="18" t="s">
        <v>6166</v>
      </c>
      <c r="D1472" s="19">
        <v>45733.558333333334</v>
      </c>
      <c r="E1472" s="18" t="s">
        <v>10</v>
      </c>
      <c r="F1472" s="18">
        <v>140</v>
      </c>
      <c r="G1472" s="18" t="s">
        <v>10</v>
      </c>
      <c r="H1472" s="18" t="s">
        <v>178</v>
      </c>
      <c r="I1472" s="18" t="s">
        <v>10</v>
      </c>
      <c r="J1472" s="18" t="s">
        <v>4017</v>
      </c>
      <c r="K1472" s="20"/>
    </row>
    <row r="1473" spans="1:11" ht="36.75" thickBot="1">
      <c r="A1473" s="18" t="s">
        <v>6167</v>
      </c>
      <c r="B1473" s="18">
        <v>20023462318</v>
      </c>
      <c r="C1473" s="18" t="s">
        <v>5505</v>
      </c>
      <c r="D1473" s="19">
        <v>45733.569444444445</v>
      </c>
      <c r="E1473" s="18" t="s">
        <v>10</v>
      </c>
      <c r="F1473" s="18">
        <v>300</v>
      </c>
      <c r="G1473" s="18" t="s">
        <v>10</v>
      </c>
      <c r="H1473" s="18" t="s">
        <v>178</v>
      </c>
      <c r="I1473" s="18" t="s">
        <v>10</v>
      </c>
      <c r="J1473" s="18" t="s">
        <v>4017</v>
      </c>
      <c r="K1473" s="20"/>
    </row>
    <row r="1474" spans="1:11" ht="36.75" thickBot="1">
      <c r="A1474" s="18" t="s">
        <v>6168</v>
      </c>
      <c r="B1474" s="18">
        <v>20002781554</v>
      </c>
      <c r="C1474" s="18" t="s">
        <v>6169</v>
      </c>
      <c r="D1474" s="19">
        <v>45733.616666666669</v>
      </c>
      <c r="E1474" s="18" t="s">
        <v>10</v>
      </c>
      <c r="F1474" s="18">
        <v>100</v>
      </c>
      <c r="G1474" s="18" t="s">
        <v>10</v>
      </c>
      <c r="H1474" s="18" t="s">
        <v>178</v>
      </c>
      <c r="I1474" s="18" t="s">
        <v>10</v>
      </c>
      <c r="J1474" s="18" t="s">
        <v>4017</v>
      </c>
      <c r="K1474" s="20"/>
    </row>
    <row r="1475" spans="1:11" ht="36.75" thickBot="1">
      <c r="A1475" s="18" t="s">
        <v>6170</v>
      </c>
      <c r="B1475" s="18">
        <v>20002954020</v>
      </c>
      <c r="C1475" s="18" t="s">
        <v>4963</v>
      </c>
      <c r="D1475" s="19">
        <v>45733.677083333336</v>
      </c>
      <c r="E1475" s="18" t="s">
        <v>10</v>
      </c>
      <c r="F1475" s="18">
        <v>300</v>
      </c>
      <c r="G1475" s="18" t="s">
        <v>10</v>
      </c>
      <c r="H1475" s="18" t="s">
        <v>178</v>
      </c>
      <c r="I1475" s="18" t="s">
        <v>10</v>
      </c>
      <c r="J1475" s="18" t="s">
        <v>4017</v>
      </c>
      <c r="K1475" s="20"/>
    </row>
    <row r="1476" spans="1:11" ht="36.75" thickBot="1">
      <c r="A1476" s="18" t="s">
        <v>6171</v>
      </c>
      <c r="B1476" s="18">
        <v>20003221712</v>
      </c>
      <c r="C1476" s="18" t="s">
        <v>6172</v>
      </c>
      <c r="D1476" s="19">
        <v>45733.723611111112</v>
      </c>
      <c r="E1476" s="18" t="s">
        <v>10</v>
      </c>
      <c r="F1476" s="18">
        <v>50</v>
      </c>
      <c r="G1476" s="18" t="s">
        <v>10</v>
      </c>
      <c r="H1476" s="18" t="s">
        <v>178</v>
      </c>
      <c r="I1476" s="18" t="s">
        <v>10</v>
      </c>
      <c r="J1476" s="18" t="s">
        <v>4017</v>
      </c>
      <c r="K1476" s="20"/>
    </row>
    <row r="1477" spans="1:11" ht="36.75" thickBot="1">
      <c r="A1477" s="18" t="s">
        <v>6173</v>
      </c>
      <c r="B1477" s="18">
        <v>20003178247</v>
      </c>
      <c r="C1477" s="18" t="s">
        <v>6131</v>
      </c>
      <c r="D1477" s="19">
        <v>45727.73541666667</v>
      </c>
      <c r="E1477" s="19">
        <v>45733.731249999997</v>
      </c>
      <c r="F1477" s="18">
        <v>550</v>
      </c>
      <c r="G1477" s="18" t="s">
        <v>10</v>
      </c>
      <c r="H1477" s="18" t="s">
        <v>178</v>
      </c>
      <c r="I1477" s="18" t="s">
        <v>10</v>
      </c>
      <c r="J1477" s="18" t="s">
        <v>4017</v>
      </c>
      <c r="K1477" s="20"/>
    </row>
    <row r="1478" spans="1:11" ht="36.75" thickBot="1">
      <c r="A1478" s="18" t="s">
        <v>6174</v>
      </c>
      <c r="B1478" s="18">
        <v>20003403529</v>
      </c>
      <c r="C1478" s="18" t="s">
        <v>6175</v>
      </c>
      <c r="D1478" s="19">
        <v>45733.792361111111</v>
      </c>
      <c r="E1478" s="18" t="s">
        <v>10</v>
      </c>
      <c r="F1478" s="18">
        <v>800</v>
      </c>
      <c r="G1478" s="18" t="s">
        <v>10</v>
      </c>
      <c r="H1478" s="18" t="s">
        <v>178</v>
      </c>
      <c r="I1478" s="18" t="s">
        <v>10</v>
      </c>
      <c r="J1478" s="18" t="s">
        <v>4017</v>
      </c>
      <c r="K1478" s="20"/>
    </row>
    <row r="1479" spans="1:11" ht="72.75" thickBot="1">
      <c r="A1479" s="18" t="s">
        <v>6176</v>
      </c>
      <c r="B1479" s="18">
        <v>20027172379</v>
      </c>
      <c r="C1479" s="18" t="s">
        <v>6177</v>
      </c>
      <c r="D1479" s="19">
        <v>45725.729861111111</v>
      </c>
      <c r="E1479" s="19">
        <v>45733.89166666667</v>
      </c>
      <c r="F1479" s="18">
        <v>15</v>
      </c>
      <c r="G1479" s="19">
        <v>45769.488888888889</v>
      </c>
      <c r="H1479" s="18" t="s">
        <v>2688</v>
      </c>
      <c r="I1479" s="18" t="s">
        <v>10</v>
      </c>
      <c r="J1479" s="18" t="s">
        <v>4017</v>
      </c>
      <c r="K1479" s="20"/>
    </row>
    <row r="1480" spans="1:11" ht="36.75" thickBot="1">
      <c r="A1480" s="18" t="s">
        <v>6178</v>
      </c>
      <c r="B1480" s="18">
        <v>20023869937</v>
      </c>
      <c r="C1480" s="18" t="s">
        <v>4264</v>
      </c>
      <c r="D1480" s="19">
        <v>45713.849305555559</v>
      </c>
      <c r="E1480" s="19">
        <v>45733.894444444442</v>
      </c>
      <c r="F1480" s="18">
        <v>50</v>
      </c>
      <c r="G1480" s="18" t="s">
        <v>10</v>
      </c>
      <c r="H1480" s="18" t="s">
        <v>178</v>
      </c>
      <c r="I1480" s="18" t="s">
        <v>10</v>
      </c>
      <c r="J1480" s="18" t="s">
        <v>4017</v>
      </c>
      <c r="K1480" s="20"/>
    </row>
    <row r="1481" spans="1:11" ht="36.75" thickBot="1">
      <c r="A1481" s="18" t="s">
        <v>6179</v>
      </c>
      <c r="B1481" s="18">
        <v>20003215484</v>
      </c>
      <c r="C1481" s="18" t="s">
        <v>4478</v>
      </c>
      <c r="D1481" s="19">
        <v>45734.397222222222</v>
      </c>
      <c r="E1481" s="18" t="s">
        <v>10</v>
      </c>
      <c r="F1481" s="18">
        <v>220</v>
      </c>
      <c r="G1481" s="18" t="s">
        <v>10</v>
      </c>
      <c r="H1481" s="18" t="s">
        <v>178</v>
      </c>
      <c r="I1481" s="18" t="s">
        <v>10</v>
      </c>
      <c r="J1481" s="18" t="s">
        <v>4017</v>
      </c>
      <c r="K1481" s="20"/>
    </row>
    <row r="1482" spans="1:11" ht="36.75" thickBot="1">
      <c r="A1482" s="18" t="s">
        <v>6180</v>
      </c>
      <c r="B1482" s="18">
        <v>20003118712</v>
      </c>
      <c r="C1482" s="18" t="s">
        <v>5487</v>
      </c>
      <c r="D1482" s="19">
        <v>45734.507638888892</v>
      </c>
      <c r="E1482" s="18" t="s">
        <v>10</v>
      </c>
      <c r="F1482" s="18">
        <v>875</v>
      </c>
      <c r="G1482" s="18" t="s">
        <v>10</v>
      </c>
      <c r="H1482" s="18" t="s">
        <v>178</v>
      </c>
      <c r="I1482" s="18" t="s">
        <v>10</v>
      </c>
      <c r="J1482" s="18" t="s">
        <v>4017</v>
      </c>
      <c r="K1482" s="20"/>
    </row>
    <row r="1483" spans="1:11" ht="36.75" thickBot="1">
      <c r="A1483" s="18" t="s">
        <v>6181</v>
      </c>
      <c r="B1483" s="18">
        <v>903302000363</v>
      </c>
      <c r="C1483" s="18" t="s">
        <v>4196</v>
      </c>
      <c r="D1483" s="19">
        <v>45734.659722222219</v>
      </c>
      <c r="E1483" s="18" t="s">
        <v>10</v>
      </c>
      <c r="F1483" s="18">
        <v>30</v>
      </c>
      <c r="G1483" s="18" t="s">
        <v>10</v>
      </c>
      <c r="H1483" s="18" t="s">
        <v>178</v>
      </c>
      <c r="I1483" s="18" t="s">
        <v>10</v>
      </c>
      <c r="J1483" s="18" t="s">
        <v>4017</v>
      </c>
      <c r="K1483" s="20"/>
    </row>
    <row r="1484" spans="1:11" ht="36.75" thickBot="1">
      <c r="A1484" s="18" t="s">
        <v>6182</v>
      </c>
      <c r="B1484" s="18">
        <v>20017896427</v>
      </c>
      <c r="C1484" s="18" t="s">
        <v>5761</v>
      </c>
      <c r="D1484" s="19">
        <v>45734.666666666664</v>
      </c>
      <c r="E1484" s="18" t="s">
        <v>10</v>
      </c>
      <c r="F1484" s="18">
        <v>180</v>
      </c>
      <c r="G1484" s="18" t="s">
        <v>10</v>
      </c>
      <c r="H1484" s="18" t="s">
        <v>178</v>
      </c>
      <c r="I1484" s="18" t="s">
        <v>10</v>
      </c>
      <c r="J1484" s="18" t="s">
        <v>4017</v>
      </c>
      <c r="K1484" s="20"/>
    </row>
    <row r="1485" spans="1:11" ht="36.75" thickBot="1">
      <c r="A1485" s="18" t="s">
        <v>6183</v>
      </c>
      <c r="B1485" s="18">
        <v>20027909701</v>
      </c>
      <c r="C1485" s="18" t="s">
        <v>6184</v>
      </c>
      <c r="D1485" s="19">
        <v>45734.673611111109</v>
      </c>
      <c r="E1485" s="18" t="s">
        <v>10</v>
      </c>
      <c r="F1485" s="18">
        <v>30</v>
      </c>
      <c r="G1485" s="18" t="s">
        <v>10</v>
      </c>
      <c r="H1485" s="18" t="s">
        <v>178</v>
      </c>
      <c r="I1485" s="18" t="s">
        <v>10</v>
      </c>
      <c r="J1485" s="18" t="s">
        <v>4017</v>
      </c>
      <c r="K1485" s="20"/>
    </row>
    <row r="1486" spans="1:11" ht="36.75" thickBot="1">
      <c r="A1486" s="18" t="s">
        <v>6185</v>
      </c>
      <c r="B1486" s="18">
        <v>20020700764</v>
      </c>
      <c r="C1486" s="18" t="s">
        <v>5116</v>
      </c>
      <c r="D1486" s="19">
        <v>45735.412499999999</v>
      </c>
      <c r="E1486" s="18" t="s">
        <v>10</v>
      </c>
      <c r="F1486" s="18">
        <v>290</v>
      </c>
      <c r="G1486" s="18" t="s">
        <v>10</v>
      </c>
      <c r="H1486" s="18" t="s">
        <v>178</v>
      </c>
      <c r="I1486" s="18" t="s">
        <v>10</v>
      </c>
      <c r="J1486" s="18" t="s">
        <v>4017</v>
      </c>
      <c r="K1486" s="20"/>
    </row>
    <row r="1487" spans="1:11" ht="54.75" thickBot="1">
      <c r="A1487" s="18" t="s">
        <v>6186</v>
      </c>
      <c r="B1487" s="18">
        <v>20003474670</v>
      </c>
      <c r="C1487" s="18" t="s">
        <v>4882</v>
      </c>
      <c r="D1487" s="19">
        <v>45728.709722222222</v>
      </c>
      <c r="E1487" s="19">
        <v>45735.415277777778</v>
      </c>
      <c r="F1487" s="18">
        <v>360</v>
      </c>
      <c r="G1487" s="19">
        <v>45750.439583333333</v>
      </c>
      <c r="H1487" s="18" t="s">
        <v>2654</v>
      </c>
      <c r="I1487" s="18" t="s">
        <v>10</v>
      </c>
      <c r="J1487" s="18" t="s">
        <v>4017</v>
      </c>
      <c r="K1487" s="20"/>
    </row>
    <row r="1488" spans="1:11" ht="36.75" thickBot="1">
      <c r="A1488" s="18" t="s">
        <v>6187</v>
      </c>
      <c r="B1488" s="18">
        <v>20003447346</v>
      </c>
      <c r="C1488" s="18" t="s">
        <v>6188</v>
      </c>
      <c r="D1488" s="19">
        <v>45735.474305555559</v>
      </c>
      <c r="E1488" s="18" t="s">
        <v>10</v>
      </c>
      <c r="F1488" s="18">
        <v>300</v>
      </c>
      <c r="G1488" s="18" t="s">
        <v>10</v>
      </c>
      <c r="H1488" s="18" t="s">
        <v>178</v>
      </c>
      <c r="I1488" s="18" t="s">
        <v>10</v>
      </c>
      <c r="J1488" s="18" t="s">
        <v>4017</v>
      </c>
      <c r="K1488" s="20"/>
    </row>
    <row r="1489" spans="1:11" ht="36.75" thickBot="1">
      <c r="A1489" s="18" t="s">
        <v>6189</v>
      </c>
      <c r="B1489" s="18">
        <v>20018330639</v>
      </c>
      <c r="C1489" s="18" t="s">
        <v>5294</v>
      </c>
      <c r="D1489" s="19">
        <v>45735.559027777781</v>
      </c>
      <c r="E1489" s="18" t="s">
        <v>10</v>
      </c>
      <c r="F1489" s="18">
        <v>125</v>
      </c>
      <c r="G1489" s="18" t="s">
        <v>10</v>
      </c>
      <c r="H1489" s="18" t="s">
        <v>178</v>
      </c>
      <c r="I1489" s="18" t="s">
        <v>10</v>
      </c>
      <c r="J1489" s="18" t="s">
        <v>4017</v>
      </c>
      <c r="K1489" s="20"/>
    </row>
    <row r="1490" spans="1:11" ht="36.75" thickBot="1">
      <c r="A1490" s="18" t="s">
        <v>6190</v>
      </c>
      <c r="B1490" s="18">
        <v>20025068590</v>
      </c>
      <c r="C1490" s="18" t="s">
        <v>5940</v>
      </c>
      <c r="D1490" s="19">
        <v>45735.590277777781</v>
      </c>
      <c r="E1490" s="18" t="s">
        <v>10</v>
      </c>
      <c r="F1490" s="18">
        <v>40</v>
      </c>
      <c r="G1490" s="19">
        <v>45772.658333333333</v>
      </c>
      <c r="H1490" s="18" t="s">
        <v>236</v>
      </c>
      <c r="I1490" s="18" t="s">
        <v>10</v>
      </c>
      <c r="J1490" s="18" t="s">
        <v>4017</v>
      </c>
      <c r="K1490" s="20"/>
    </row>
    <row r="1491" spans="1:11" ht="36.75" thickBot="1">
      <c r="A1491" s="18" t="s">
        <v>6191</v>
      </c>
      <c r="B1491" s="18">
        <v>20003644022</v>
      </c>
      <c r="C1491" s="18" t="s">
        <v>6192</v>
      </c>
      <c r="D1491" s="19">
        <v>45735.71875</v>
      </c>
      <c r="E1491" s="18" t="s">
        <v>10</v>
      </c>
      <c r="F1491" s="18">
        <v>36</v>
      </c>
      <c r="G1491" s="18" t="s">
        <v>10</v>
      </c>
      <c r="H1491" s="18" t="s">
        <v>178</v>
      </c>
      <c r="I1491" s="18" t="s">
        <v>10</v>
      </c>
      <c r="J1491" s="18" t="s">
        <v>4017</v>
      </c>
      <c r="K1491" s="20"/>
    </row>
    <row r="1492" spans="1:11" ht="54.75" thickBot="1">
      <c r="A1492" s="18" t="s">
        <v>6193</v>
      </c>
      <c r="B1492" s="18">
        <v>20003372781</v>
      </c>
      <c r="C1492" s="18" t="s">
        <v>5775</v>
      </c>
      <c r="D1492" s="19">
        <v>45719.629861111112</v>
      </c>
      <c r="E1492" s="19">
        <v>45735.82708333333</v>
      </c>
      <c r="F1492" s="18">
        <v>50</v>
      </c>
      <c r="G1492" s="18" t="s">
        <v>10</v>
      </c>
      <c r="H1492" s="18" t="s">
        <v>189</v>
      </c>
      <c r="I1492" s="18" t="s">
        <v>10</v>
      </c>
      <c r="J1492" s="18" t="s">
        <v>4017</v>
      </c>
      <c r="K1492" s="20"/>
    </row>
    <row r="1493" spans="1:11" ht="72.75" thickBot="1">
      <c r="A1493" s="18" t="s">
        <v>6194</v>
      </c>
      <c r="B1493" s="18">
        <v>20020914550</v>
      </c>
      <c r="C1493" s="18" t="s">
        <v>5625</v>
      </c>
      <c r="D1493" s="19">
        <v>45735.843055555553</v>
      </c>
      <c r="E1493" s="18" t="s">
        <v>10</v>
      </c>
      <c r="F1493" s="18">
        <v>100</v>
      </c>
      <c r="G1493" s="19">
        <v>45784.479861111111</v>
      </c>
      <c r="H1493" s="18" t="s">
        <v>2688</v>
      </c>
      <c r="I1493" s="18" t="s">
        <v>10</v>
      </c>
      <c r="J1493" s="18" t="s">
        <v>4017</v>
      </c>
      <c r="K1493" s="20"/>
    </row>
    <row r="1494" spans="1:11" ht="36.75" thickBot="1">
      <c r="A1494" s="18" t="s">
        <v>6195</v>
      </c>
      <c r="B1494" s="18">
        <v>20020700758</v>
      </c>
      <c r="C1494" s="18" t="s">
        <v>6196</v>
      </c>
      <c r="D1494" s="19">
        <v>45727.457638888889</v>
      </c>
      <c r="E1494" s="19">
        <v>45736.34097222222</v>
      </c>
      <c r="F1494" s="18">
        <v>190</v>
      </c>
      <c r="G1494" s="18" t="s">
        <v>10</v>
      </c>
      <c r="H1494" s="18" t="s">
        <v>189</v>
      </c>
      <c r="I1494" s="18" t="s">
        <v>10</v>
      </c>
      <c r="J1494" s="18" t="s">
        <v>4017</v>
      </c>
      <c r="K1494" s="20"/>
    </row>
    <row r="1495" spans="1:11" ht="36.75" thickBot="1">
      <c r="A1495" s="18" t="s">
        <v>6197</v>
      </c>
      <c r="B1495" s="18">
        <v>20023390496</v>
      </c>
      <c r="C1495" s="18" t="s">
        <v>6198</v>
      </c>
      <c r="D1495" s="19">
        <v>45685.706250000003</v>
      </c>
      <c r="E1495" s="19">
        <v>45736.439583333333</v>
      </c>
      <c r="F1495" s="18">
        <v>650</v>
      </c>
      <c r="G1495" s="18" t="s">
        <v>10</v>
      </c>
      <c r="H1495" s="18" t="s">
        <v>178</v>
      </c>
      <c r="I1495" s="18" t="s">
        <v>10</v>
      </c>
      <c r="J1495" s="18" t="s">
        <v>4017</v>
      </c>
      <c r="K1495" s="20"/>
    </row>
    <row r="1496" spans="1:11" ht="36.75" thickBot="1">
      <c r="A1496" s="18" t="s">
        <v>6199</v>
      </c>
      <c r="B1496" s="18">
        <v>20028094650</v>
      </c>
      <c r="C1496" s="18" t="s">
        <v>6109</v>
      </c>
      <c r="D1496" s="19">
        <v>45736.537499999999</v>
      </c>
      <c r="E1496" s="18" t="s">
        <v>10</v>
      </c>
      <c r="F1496" s="18">
        <v>50</v>
      </c>
      <c r="G1496" s="18" t="s">
        <v>10</v>
      </c>
      <c r="H1496" s="18" t="s">
        <v>178</v>
      </c>
      <c r="I1496" s="18" t="s">
        <v>10</v>
      </c>
      <c r="J1496" s="18" t="s">
        <v>4017</v>
      </c>
      <c r="K1496" s="20"/>
    </row>
    <row r="1497" spans="1:11" ht="36.75" thickBot="1">
      <c r="A1497" s="18" t="s">
        <v>6200</v>
      </c>
      <c r="B1497" s="18">
        <v>20020942102</v>
      </c>
      <c r="C1497" s="18" t="s">
        <v>4090</v>
      </c>
      <c r="D1497" s="19">
        <v>45737.57708333333</v>
      </c>
      <c r="E1497" s="18" t="s">
        <v>10</v>
      </c>
      <c r="F1497" s="18">
        <v>60</v>
      </c>
      <c r="G1497" s="18" t="s">
        <v>10</v>
      </c>
      <c r="H1497" s="18" t="s">
        <v>178</v>
      </c>
      <c r="I1497" s="18" t="s">
        <v>10</v>
      </c>
      <c r="J1497" s="18" t="s">
        <v>4017</v>
      </c>
      <c r="K1497" s="20"/>
    </row>
    <row r="1498" spans="1:11" ht="54.75" thickBot="1">
      <c r="A1498" s="18" t="s">
        <v>6201</v>
      </c>
      <c r="B1498" s="18">
        <v>20003469109</v>
      </c>
      <c r="C1498" s="18" t="s">
        <v>5599</v>
      </c>
      <c r="D1498" s="19">
        <v>45721.928472222222</v>
      </c>
      <c r="E1498" s="19">
        <v>45737.636805555558</v>
      </c>
      <c r="F1498" s="18">
        <v>100</v>
      </c>
      <c r="G1498" s="18" t="s">
        <v>10</v>
      </c>
      <c r="H1498" s="18" t="s">
        <v>178</v>
      </c>
      <c r="I1498" s="18" t="s">
        <v>10</v>
      </c>
      <c r="J1498" s="18" t="s">
        <v>4017</v>
      </c>
      <c r="K1498" s="20"/>
    </row>
    <row r="1499" spans="1:11" ht="54.75" thickBot="1">
      <c r="A1499" s="18" t="s">
        <v>6202</v>
      </c>
      <c r="B1499" s="18">
        <v>20003054929</v>
      </c>
      <c r="C1499" s="18" t="s">
        <v>5599</v>
      </c>
      <c r="D1499" s="19">
        <v>45672.67083333333</v>
      </c>
      <c r="E1499" s="19">
        <v>45737.643750000003</v>
      </c>
      <c r="F1499" s="18">
        <v>800</v>
      </c>
      <c r="G1499" s="18" t="s">
        <v>10</v>
      </c>
      <c r="H1499" s="18" t="s">
        <v>178</v>
      </c>
      <c r="I1499" s="18" t="s">
        <v>10</v>
      </c>
      <c r="J1499" s="18" t="s">
        <v>4017</v>
      </c>
      <c r="K1499" s="20"/>
    </row>
    <row r="1500" spans="1:11" ht="36.75" thickBot="1">
      <c r="A1500" s="18" t="s">
        <v>6203</v>
      </c>
      <c r="B1500" s="18">
        <v>20024052409</v>
      </c>
      <c r="C1500" s="18" t="s">
        <v>5074</v>
      </c>
      <c r="D1500" s="19">
        <v>45737.65902777778</v>
      </c>
      <c r="E1500" s="18" t="s">
        <v>10</v>
      </c>
      <c r="F1500" s="18">
        <v>30</v>
      </c>
      <c r="G1500" s="18" t="s">
        <v>10</v>
      </c>
      <c r="H1500" s="18" t="s">
        <v>178</v>
      </c>
      <c r="I1500" s="18" t="s">
        <v>10</v>
      </c>
      <c r="J1500" s="18" t="s">
        <v>4017</v>
      </c>
      <c r="K1500" s="20"/>
    </row>
    <row r="1501" spans="1:11" ht="36.75" thickBot="1">
      <c r="A1501" s="18" t="s">
        <v>6204</v>
      </c>
      <c r="B1501" s="18">
        <v>20003337969</v>
      </c>
      <c r="C1501" s="18" t="s">
        <v>4051</v>
      </c>
      <c r="D1501" s="19">
        <v>45649.643750000003</v>
      </c>
      <c r="E1501" s="19">
        <v>45737.659722222219</v>
      </c>
      <c r="F1501" s="18">
        <v>300</v>
      </c>
      <c r="G1501" s="19">
        <v>45796.6</v>
      </c>
      <c r="H1501" s="18" t="s">
        <v>236</v>
      </c>
      <c r="I1501" s="18" t="s">
        <v>10</v>
      </c>
      <c r="J1501" s="18" t="s">
        <v>4017</v>
      </c>
      <c r="K1501" s="1"/>
    </row>
    <row r="1502" spans="1:11" ht="36.75" thickBot="1">
      <c r="A1502" s="21" t="s">
        <v>6205</v>
      </c>
      <c r="B1502" s="21">
        <v>20018450206</v>
      </c>
      <c r="C1502" s="21" t="s">
        <v>1675</v>
      </c>
      <c r="D1502" s="22">
        <v>45738.638888888891</v>
      </c>
      <c r="E1502" s="21" t="s">
        <v>10</v>
      </c>
      <c r="F1502" s="21">
        <v>20</v>
      </c>
      <c r="G1502" s="21" t="s">
        <v>10</v>
      </c>
      <c r="H1502" s="21" t="s">
        <v>178</v>
      </c>
      <c r="I1502" s="21" t="s">
        <v>10</v>
      </c>
      <c r="J1502" s="21" t="s">
        <v>4017</v>
      </c>
      <c r="K1502" s="20"/>
    </row>
    <row r="1503" spans="1:11" ht="36.75" thickBot="1">
      <c r="A1503" s="18" t="s">
        <v>6206</v>
      </c>
      <c r="B1503" s="18">
        <v>20028074456</v>
      </c>
      <c r="C1503" s="18" t="s">
        <v>5141</v>
      </c>
      <c r="D1503" s="19">
        <v>45738.695833333331</v>
      </c>
      <c r="E1503" s="18" t="s">
        <v>10</v>
      </c>
      <c r="F1503" s="18">
        <v>900</v>
      </c>
      <c r="G1503" s="18" t="s">
        <v>10</v>
      </c>
      <c r="H1503" s="18" t="s">
        <v>178</v>
      </c>
      <c r="I1503" s="18" t="s">
        <v>10</v>
      </c>
      <c r="J1503" s="18" t="s">
        <v>4017</v>
      </c>
      <c r="K1503" s="20"/>
    </row>
    <row r="1504" spans="1:11" ht="36.75" thickBot="1">
      <c r="A1504" s="18" t="s">
        <v>6207</v>
      </c>
      <c r="B1504" s="18">
        <v>20003556310</v>
      </c>
      <c r="C1504" s="18" t="s">
        <v>1675</v>
      </c>
      <c r="D1504" s="19">
        <v>45738.7</v>
      </c>
      <c r="E1504" s="18" t="s">
        <v>10</v>
      </c>
      <c r="F1504" s="18">
        <v>15</v>
      </c>
      <c r="G1504" s="18" t="s">
        <v>10</v>
      </c>
      <c r="H1504" s="18" t="s">
        <v>178</v>
      </c>
      <c r="I1504" s="18" t="s">
        <v>10</v>
      </c>
      <c r="J1504" s="18" t="s">
        <v>4017</v>
      </c>
      <c r="K1504" s="20"/>
    </row>
    <row r="1505" spans="1:11" ht="36.75" thickBot="1">
      <c r="A1505" s="18" t="s">
        <v>6208</v>
      </c>
      <c r="B1505" s="18">
        <v>20020335685</v>
      </c>
      <c r="C1505" s="18" t="s">
        <v>1675</v>
      </c>
      <c r="D1505" s="19">
        <v>45738.832638888889</v>
      </c>
      <c r="E1505" s="18" t="s">
        <v>10</v>
      </c>
      <c r="F1505" s="18">
        <v>20</v>
      </c>
      <c r="G1505" s="18" t="s">
        <v>10</v>
      </c>
      <c r="H1505" s="18" t="s">
        <v>178</v>
      </c>
      <c r="I1505" s="18" t="s">
        <v>10</v>
      </c>
      <c r="J1505" s="18" t="s">
        <v>4017</v>
      </c>
      <c r="K1505" s="20"/>
    </row>
    <row r="1506" spans="1:11" ht="36.75" thickBot="1">
      <c r="A1506" s="18" t="s">
        <v>6209</v>
      </c>
      <c r="B1506" s="18">
        <v>20003136311</v>
      </c>
      <c r="C1506" s="18" t="s">
        <v>6210</v>
      </c>
      <c r="D1506" s="19">
        <v>45738.908333333333</v>
      </c>
      <c r="E1506" s="18" t="s">
        <v>10</v>
      </c>
      <c r="F1506" s="18">
        <v>150</v>
      </c>
      <c r="G1506" s="18" t="s">
        <v>10</v>
      </c>
      <c r="H1506" s="18" t="s">
        <v>178</v>
      </c>
      <c r="I1506" s="18" t="s">
        <v>10</v>
      </c>
      <c r="J1506" s="18" t="s">
        <v>4017</v>
      </c>
      <c r="K1506" s="20"/>
    </row>
    <row r="1507" spans="1:11" ht="36.75" thickBot="1">
      <c r="A1507" s="18" t="s">
        <v>6211</v>
      </c>
      <c r="B1507" s="18">
        <v>20002881801</v>
      </c>
      <c r="C1507" s="18" t="s">
        <v>5633</v>
      </c>
      <c r="D1507" s="19">
        <v>45739.422222222223</v>
      </c>
      <c r="E1507" s="18" t="s">
        <v>10</v>
      </c>
      <c r="F1507" s="18">
        <v>100</v>
      </c>
      <c r="G1507" s="18" t="s">
        <v>10</v>
      </c>
      <c r="H1507" s="18" t="s">
        <v>178</v>
      </c>
      <c r="I1507" s="18" t="s">
        <v>10</v>
      </c>
      <c r="J1507" s="18" t="s">
        <v>4017</v>
      </c>
      <c r="K1507" s="20"/>
    </row>
    <row r="1508" spans="1:11" ht="36.75" thickBot="1">
      <c r="A1508" s="18" t="s">
        <v>6212</v>
      </c>
      <c r="B1508" s="18">
        <v>20026543498</v>
      </c>
      <c r="C1508" s="18" t="s">
        <v>6213</v>
      </c>
      <c r="D1508" s="19">
        <v>45739.451388888891</v>
      </c>
      <c r="E1508" s="18" t="s">
        <v>10</v>
      </c>
      <c r="F1508" s="18">
        <v>100</v>
      </c>
      <c r="G1508" s="18" t="s">
        <v>10</v>
      </c>
      <c r="H1508" s="18" t="s">
        <v>178</v>
      </c>
      <c r="I1508" s="18" t="s">
        <v>10</v>
      </c>
      <c r="J1508" s="18" t="s">
        <v>4017</v>
      </c>
      <c r="K1508" s="20"/>
    </row>
    <row r="1509" spans="1:11" ht="72.75" thickBot="1">
      <c r="A1509" s="18" t="s">
        <v>6214</v>
      </c>
      <c r="B1509" s="18">
        <v>20028229014</v>
      </c>
      <c r="C1509" s="18" t="s">
        <v>5865</v>
      </c>
      <c r="D1509" s="19">
        <v>45730.511805555558</v>
      </c>
      <c r="E1509" s="19">
        <v>45739.696527777778</v>
      </c>
      <c r="F1509" s="18">
        <v>150</v>
      </c>
      <c r="G1509" s="19">
        <v>45860.643750000003</v>
      </c>
      <c r="H1509" s="18" t="s">
        <v>2688</v>
      </c>
      <c r="I1509" s="18" t="s">
        <v>10</v>
      </c>
      <c r="J1509" s="18" t="s">
        <v>4017</v>
      </c>
      <c r="K1509" s="20"/>
    </row>
    <row r="1510" spans="1:11" ht="72.75" thickBot="1">
      <c r="A1510" s="18" t="s">
        <v>6215</v>
      </c>
      <c r="B1510" s="18">
        <v>20016391332</v>
      </c>
      <c r="C1510" s="18" t="s">
        <v>6216</v>
      </c>
      <c r="D1510" s="19">
        <v>45731.863194444442</v>
      </c>
      <c r="E1510" s="19">
        <v>45740.454861111109</v>
      </c>
      <c r="F1510" s="18">
        <v>100</v>
      </c>
      <c r="G1510" s="19">
        <v>45814.499305555553</v>
      </c>
      <c r="H1510" s="18" t="s">
        <v>2688</v>
      </c>
      <c r="I1510" s="18" t="s">
        <v>10</v>
      </c>
      <c r="J1510" s="18" t="s">
        <v>4017</v>
      </c>
      <c r="K1510" s="20"/>
    </row>
    <row r="1511" spans="1:11" ht="36.75" thickBot="1">
      <c r="A1511" s="18" t="s">
        <v>6217</v>
      </c>
      <c r="B1511" s="18">
        <v>20003258755</v>
      </c>
      <c r="C1511" s="18" t="s">
        <v>6218</v>
      </c>
      <c r="D1511" s="19">
        <v>45723.745833333334</v>
      </c>
      <c r="E1511" s="19">
        <v>45740.476388888892</v>
      </c>
      <c r="F1511" s="18">
        <v>100</v>
      </c>
      <c r="G1511" s="19">
        <v>45771.427083333336</v>
      </c>
      <c r="H1511" s="18" t="s">
        <v>236</v>
      </c>
      <c r="I1511" s="18" t="s">
        <v>10</v>
      </c>
      <c r="J1511" s="18" t="s">
        <v>4017</v>
      </c>
      <c r="K1511" s="20"/>
    </row>
    <row r="1512" spans="1:11" ht="36.75" thickBot="1">
      <c r="A1512" s="18" t="s">
        <v>6219</v>
      </c>
      <c r="B1512" s="18">
        <v>20003117264</v>
      </c>
      <c r="C1512" s="18" t="s">
        <v>4213</v>
      </c>
      <c r="D1512" s="19">
        <v>45686.635416666664</v>
      </c>
      <c r="E1512" s="19">
        <v>45740.495833333334</v>
      </c>
      <c r="F1512" s="18">
        <v>450</v>
      </c>
      <c r="G1512" s="19">
        <v>45772.561805555553</v>
      </c>
      <c r="H1512" s="18" t="s">
        <v>2651</v>
      </c>
      <c r="I1512" s="18" t="s">
        <v>10</v>
      </c>
      <c r="J1512" s="18" t="s">
        <v>4017</v>
      </c>
      <c r="K1512" s="20"/>
    </row>
    <row r="1513" spans="1:11" ht="36.75" thickBot="1">
      <c r="A1513" s="18" t="s">
        <v>6220</v>
      </c>
      <c r="B1513" s="18">
        <v>20003478082</v>
      </c>
      <c r="C1513" s="18" t="s">
        <v>6221</v>
      </c>
      <c r="D1513" s="19">
        <v>45740.663194444445</v>
      </c>
      <c r="E1513" s="18" t="s">
        <v>10</v>
      </c>
      <c r="F1513" s="18">
        <v>180</v>
      </c>
      <c r="G1513" s="18" t="s">
        <v>10</v>
      </c>
      <c r="H1513" s="18" t="s">
        <v>178</v>
      </c>
      <c r="I1513" s="18" t="s">
        <v>10</v>
      </c>
      <c r="J1513" s="18" t="s">
        <v>4017</v>
      </c>
      <c r="K1513" s="20"/>
    </row>
    <row r="1514" spans="1:11" ht="36.75" thickBot="1">
      <c r="A1514" s="18" t="s">
        <v>6222</v>
      </c>
      <c r="B1514" s="18">
        <v>20003089344</v>
      </c>
      <c r="C1514" s="18" t="s">
        <v>5331</v>
      </c>
      <c r="D1514" s="19">
        <v>45740.679861111108</v>
      </c>
      <c r="E1514" s="18" t="s">
        <v>10</v>
      </c>
      <c r="F1514" s="18">
        <v>436</v>
      </c>
      <c r="G1514" s="18" t="s">
        <v>10</v>
      </c>
      <c r="H1514" s="18" t="s">
        <v>178</v>
      </c>
      <c r="I1514" s="18" t="s">
        <v>10</v>
      </c>
      <c r="J1514" s="18" t="s">
        <v>4017</v>
      </c>
      <c r="K1514" s="20"/>
    </row>
    <row r="1515" spans="1:11" ht="36.75" thickBot="1">
      <c r="A1515" s="18" t="s">
        <v>6223</v>
      </c>
      <c r="B1515" s="18">
        <v>20002881851</v>
      </c>
      <c r="C1515" s="18" t="s">
        <v>6224</v>
      </c>
      <c r="D1515" s="19">
        <v>45740.703472222223</v>
      </c>
      <c r="E1515" s="18" t="s">
        <v>10</v>
      </c>
      <c r="F1515" s="18">
        <v>100</v>
      </c>
      <c r="G1515" s="18" t="s">
        <v>10</v>
      </c>
      <c r="H1515" s="18" t="s">
        <v>178</v>
      </c>
      <c r="I1515" s="18" t="s">
        <v>10</v>
      </c>
      <c r="J1515" s="18" t="s">
        <v>4017</v>
      </c>
      <c r="K1515" s="20"/>
    </row>
    <row r="1516" spans="1:11" ht="36.75" thickBot="1">
      <c r="A1516" s="18" t="s">
        <v>6225</v>
      </c>
      <c r="B1516" s="18">
        <v>20021625809</v>
      </c>
      <c r="C1516" s="18" t="s">
        <v>4364</v>
      </c>
      <c r="D1516" s="19">
        <v>45740.710416666669</v>
      </c>
      <c r="E1516" s="18" t="s">
        <v>10</v>
      </c>
      <c r="F1516" s="18">
        <v>50</v>
      </c>
      <c r="G1516" s="18" t="s">
        <v>10</v>
      </c>
      <c r="H1516" s="18" t="s">
        <v>178</v>
      </c>
      <c r="I1516" s="18" t="s">
        <v>10</v>
      </c>
      <c r="J1516" s="18" t="s">
        <v>4017</v>
      </c>
      <c r="K1516" s="20"/>
    </row>
    <row r="1517" spans="1:11" ht="36.75" thickBot="1">
      <c r="A1517" s="18" t="s">
        <v>6226</v>
      </c>
      <c r="B1517" s="18">
        <v>20002875223</v>
      </c>
      <c r="C1517" s="18" t="s">
        <v>5570</v>
      </c>
      <c r="D1517" s="19">
        <v>45740.734027777777</v>
      </c>
      <c r="E1517" s="18" t="s">
        <v>10</v>
      </c>
      <c r="F1517" s="18">
        <v>50</v>
      </c>
      <c r="G1517" s="18" t="s">
        <v>10</v>
      </c>
      <c r="H1517" s="18" t="s">
        <v>178</v>
      </c>
      <c r="I1517" s="18" t="s">
        <v>10</v>
      </c>
      <c r="J1517" s="18" t="s">
        <v>4017</v>
      </c>
      <c r="K1517" s="20"/>
    </row>
    <row r="1518" spans="1:11" ht="36.75" thickBot="1">
      <c r="A1518" s="18" t="s">
        <v>6227</v>
      </c>
      <c r="B1518" s="18">
        <v>20021986711</v>
      </c>
      <c r="C1518" s="18" t="s">
        <v>4481</v>
      </c>
      <c r="D1518" s="19">
        <v>45741.37777777778</v>
      </c>
      <c r="E1518" s="18" t="s">
        <v>10</v>
      </c>
      <c r="F1518" s="18">
        <v>200</v>
      </c>
      <c r="G1518" s="18" t="s">
        <v>10</v>
      </c>
      <c r="H1518" s="18" t="s">
        <v>178</v>
      </c>
      <c r="I1518" s="18" t="s">
        <v>10</v>
      </c>
      <c r="J1518" s="18" t="s">
        <v>4017</v>
      </c>
      <c r="K1518" s="20"/>
    </row>
    <row r="1519" spans="1:11" ht="36.75" thickBot="1">
      <c r="A1519" s="18" t="s">
        <v>6228</v>
      </c>
      <c r="B1519" s="18">
        <v>20028265694</v>
      </c>
      <c r="C1519" s="18" t="s">
        <v>5154</v>
      </c>
      <c r="D1519" s="19">
        <v>45741.602083333331</v>
      </c>
      <c r="E1519" s="18" t="s">
        <v>10</v>
      </c>
      <c r="F1519" s="18">
        <v>400</v>
      </c>
      <c r="G1519" s="18" t="s">
        <v>10</v>
      </c>
      <c r="H1519" s="18" t="s">
        <v>178</v>
      </c>
      <c r="I1519" s="18" t="s">
        <v>10</v>
      </c>
      <c r="J1519" s="18" t="s">
        <v>4017</v>
      </c>
      <c r="K1519" s="20"/>
    </row>
    <row r="1520" spans="1:11" ht="36.75" thickBot="1">
      <c r="A1520" s="18" t="s">
        <v>6229</v>
      </c>
      <c r="B1520" s="18">
        <v>20026243166</v>
      </c>
      <c r="C1520" s="18" t="s">
        <v>6062</v>
      </c>
      <c r="D1520" s="19">
        <v>45722.504166666666</v>
      </c>
      <c r="E1520" s="19">
        <v>45741.674305555556</v>
      </c>
      <c r="F1520" s="18">
        <v>50</v>
      </c>
      <c r="G1520" s="19">
        <v>45876.368750000001</v>
      </c>
      <c r="H1520" s="18" t="s">
        <v>236</v>
      </c>
      <c r="I1520" s="18" t="s">
        <v>10</v>
      </c>
      <c r="J1520" s="18" t="s">
        <v>4017</v>
      </c>
      <c r="K1520" s="20"/>
    </row>
    <row r="1521" spans="1:11" ht="36.75" thickBot="1">
      <c r="A1521" s="18" t="s">
        <v>6230</v>
      </c>
      <c r="B1521" s="18">
        <v>20022132483</v>
      </c>
      <c r="C1521" s="18" t="s">
        <v>6062</v>
      </c>
      <c r="D1521" s="19">
        <v>45722.701388888891</v>
      </c>
      <c r="E1521" s="19">
        <v>45741.684027777781</v>
      </c>
      <c r="F1521" s="18">
        <v>100</v>
      </c>
      <c r="G1521" s="19">
        <v>45833.393750000003</v>
      </c>
      <c r="H1521" s="18" t="s">
        <v>236</v>
      </c>
      <c r="I1521" s="18" t="s">
        <v>10</v>
      </c>
      <c r="J1521" s="18" t="s">
        <v>4017</v>
      </c>
      <c r="K1521" s="20"/>
    </row>
    <row r="1522" spans="1:11" ht="36.75" thickBot="1">
      <c r="A1522" s="18" t="s">
        <v>6231</v>
      </c>
      <c r="B1522" s="18">
        <v>20019357251</v>
      </c>
      <c r="C1522" s="18" t="s">
        <v>6232</v>
      </c>
      <c r="D1522" s="19">
        <v>45741.708333333336</v>
      </c>
      <c r="E1522" s="18" t="s">
        <v>10</v>
      </c>
      <c r="F1522" s="18">
        <v>250</v>
      </c>
      <c r="G1522" s="18" t="s">
        <v>10</v>
      </c>
      <c r="H1522" s="18" t="s">
        <v>178</v>
      </c>
      <c r="I1522" s="18" t="s">
        <v>10</v>
      </c>
      <c r="J1522" s="18" t="s">
        <v>4017</v>
      </c>
      <c r="K1522" s="20"/>
    </row>
    <row r="1523" spans="1:11" ht="36.75" thickBot="1">
      <c r="A1523" s="18" t="s">
        <v>6233</v>
      </c>
      <c r="B1523" s="18">
        <v>20026959832</v>
      </c>
      <c r="C1523" s="18" t="s">
        <v>1836</v>
      </c>
      <c r="D1523" s="19">
        <v>45741.740277777775</v>
      </c>
      <c r="E1523" s="18" t="s">
        <v>10</v>
      </c>
      <c r="F1523" s="18">
        <v>30</v>
      </c>
      <c r="G1523" s="18" t="s">
        <v>10</v>
      </c>
      <c r="H1523" s="18" t="s">
        <v>178</v>
      </c>
      <c r="I1523" s="18" t="s">
        <v>10</v>
      </c>
      <c r="J1523" s="18" t="s">
        <v>4017</v>
      </c>
      <c r="K1523" s="20"/>
    </row>
    <row r="1524" spans="1:11" ht="36.75" thickBot="1">
      <c r="A1524" s="18" t="s">
        <v>6234</v>
      </c>
      <c r="B1524" s="18">
        <v>20024843608</v>
      </c>
      <c r="C1524" s="18" t="s">
        <v>1675</v>
      </c>
      <c r="D1524" s="19">
        <v>45741.743055555555</v>
      </c>
      <c r="E1524" s="18" t="s">
        <v>10</v>
      </c>
      <c r="F1524" s="18">
        <v>15</v>
      </c>
      <c r="G1524" s="18" t="s">
        <v>10</v>
      </c>
      <c r="H1524" s="18" t="s">
        <v>178</v>
      </c>
      <c r="I1524" s="18" t="s">
        <v>10</v>
      </c>
      <c r="J1524" s="18" t="s">
        <v>4017</v>
      </c>
      <c r="K1524" s="20"/>
    </row>
    <row r="1525" spans="1:11" ht="36.75" thickBot="1">
      <c r="A1525" s="18" t="s">
        <v>6235</v>
      </c>
      <c r="B1525" s="18">
        <v>20003504304</v>
      </c>
      <c r="C1525" s="18" t="s">
        <v>6236</v>
      </c>
      <c r="D1525" s="19">
        <v>45741.770833333336</v>
      </c>
      <c r="E1525" s="18" t="s">
        <v>10</v>
      </c>
      <c r="F1525" s="18">
        <v>30</v>
      </c>
      <c r="G1525" s="18" t="s">
        <v>10</v>
      </c>
      <c r="H1525" s="18" t="s">
        <v>178</v>
      </c>
      <c r="I1525" s="18" t="s">
        <v>10</v>
      </c>
      <c r="J1525" s="18" t="s">
        <v>4017</v>
      </c>
      <c r="K1525" s="20"/>
    </row>
    <row r="1526" spans="1:11" ht="36.75" thickBot="1">
      <c r="A1526" s="18" t="s">
        <v>6237</v>
      </c>
      <c r="B1526" s="18">
        <v>20025028214</v>
      </c>
      <c r="C1526" s="18" t="s">
        <v>1675</v>
      </c>
      <c r="D1526" s="19">
        <v>45741.90902777778</v>
      </c>
      <c r="E1526" s="18" t="s">
        <v>10</v>
      </c>
      <c r="F1526" s="18">
        <v>15</v>
      </c>
      <c r="G1526" s="18" t="s">
        <v>10</v>
      </c>
      <c r="H1526" s="18" t="s">
        <v>178</v>
      </c>
      <c r="I1526" s="18" t="s">
        <v>10</v>
      </c>
      <c r="J1526" s="18" t="s">
        <v>4017</v>
      </c>
      <c r="K1526" s="20"/>
    </row>
    <row r="1527" spans="1:11" ht="36.75" thickBot="1">
      <c r="A1527" s="18" t="s">
        <v>6238</v>
      </c>
      <c r="B1527" s="18">
        <v>20025190713</v>
      </c>
      <c r="C1527" s="18" t="s">
        <v>1675</v>
      </c>
      <c r="D1527" s="19">
        <v>45742.327777777777</v>
      </c>
      <c r="E1527" s="18" t="s">
        <v>10</v>
      </c>
      <c r="F1527" s="18">
        <v>15</v>
      </c>
      <c r="G1527" s="18" t="s">
        <v>10</v>
      </c>
      <c r="H1527" s="18" t="s">
        <v>178</v>
      </c>
      <c r="I1527" s="18" t="s">
        <v>10</v>
      </c>
      <c r="J1527" s="18" t="s">
        <v>4017</v>
      </c>
      <c r="K1527" s="20"/>
    </row>
    <row r="1528" spans="1:11" ht="36.75" thickBot="1">
      <c r="A1528" s="18" t="s">
        <v>6239</v>
      </c>
      <c r="B1528" s="18">
        <v>20003058742</v>
      </c>
      <c r="C1528" s="18" t="s">
        <v>4514</v>
      </c>
      <c r="D1528" s="19">
        <v>45742.46875</v>
      </c>
      <c r="E1528" s="18" t="s">
        <v>10</v>
      </c>
      <c r="F1528" s="18">
        <v>360</v>
      </c>
      <c r="G1528" s="18" t="s">
        <v>10</v>
      </c>
      <c r="H1528" s="18" t="s">
        <v>178</v>
      </c>
      <c r="I1528" s="18" t="s">
        <v>10</v>
      </c>
      <c r="J1528" s="18" t="s">
        <v>4017</v>
      </c>
      <c r="K1528" s="20"/>
    </row>
    <row r="1529" spans="1:11" ht="36.75" thickBot="1">
      <c r="A1529" s="18" t="s">
        <v>6240</v>
      </c>
      <c r="B1529" s="18">
        <v>20023948364</v>
      </c>
      <c r="C1529" s="18" t="s">
        <v>5817</v>
      </c>
      <c r="D1529" s="19">
        <v>45742.470833333333</v>
      </c>
      <c r="E1529" s="18" t="s">
        <v>10</v>
      </c>
      <c r="F1529" s="18">
        <v>30</v>
      </c>
      <c r="G1529" s="18" t="s">
        <v>10</v>
      </c>
      <c r="H1529" s="18" t="s">
        <v>178</v>
      </c>
      <c r="I1529" s="18" t="s">
        <v>10</v>
      </c>
      <c r="J1529" s="18" t="s">
        <v>4017</v>
      </c>
      <c r="K1529" s="20"/>
    </row>
    <row r="1530" spans="1:11" ht="54.75" thickBot="1">
      <c r="A1530" s="18" t="s">
        <v>6241</v>
      </c>
      <c r="B1530" s="18">
        <v>20002959664</v>
      </c>
      <c r="C1530" s="18" t="s">
        <v>6117</v>
      </c>
      <c r="D1530" s="19">
        <v>45742.558333333334</v>
      </c>
      <c r="E1530" s="18" t="s">
        <v>10</v>
      </c>
      <c r="F1530" s="18">
        <v>80</v>
      </c>
      <c r="G1530" s="18" t="s">
        <v>10</v>
      </c>
      <c r="H1530" s="18" t="s">
        <v>178</v>
      </c>
      <c r="I1530" s="18" t="s">
        <v>10</v>
      </c>
      <c r="J1530" s="18" t="s">
        <v>4017</v>
      </c>
      <c r="K1530" s="20"/>
    </row>
    <row r="1531" spans="1:11" ht="36.75" thickBot="1">
      <c r="A1531" s="18" t="s">
        <v>6242</v>
      </c>
      <c r="B1531" s="18">
        <v>20003284093</v>
      </c>
      <c r="C1531" s="18" t="s">
        <v>6243</v>
      </c>
      <c r="D1531" s="19">
        <v>45742.572222222225</v>
      </c>
      <c r="E1531" s="18" t="s">
        <v>10</v>
      </c>
      <c r="F1531" s="18">
        <v>800</v>
      </c>
      <c r="G1531" s="18" t="s">
        <v>10</v>
      </c>
      <c r="H1531" s="18" t="s">
        <v>178</v>
      </c>
      <c r="I1531" s="18" t="s">
        <v>10</v>
      </c>
      <c r="J1531" s="18" t="s">
        <v>4017</v>
      </c>
      <c r="K1531" s="20"/>
    </row>
    <row r="1532" spans="1:11" ht="36.75" thickBot="1">
      <c r="A1532" s="18" t="s">
        <v>6244</v>
      </c>
      <c r="B1532" s="18">
        <v>20003308141</v>
      </c>
      <c r="C1532" s="18" t="s">
        <v>5028</v>
      </c>
      <c r="D1532" s="19">
        <v>45742.599305555559</v>
      </c>
      <c r="E1532" s="18" t="s">
        <v>10</v>
      </c>
      <c r="F1532" s="18">
        <v>250</v>
      </c>
      <c r="G1532" s="18" t="s">
        <v>10</v>
      </c>
      <c r="H1532" s="18" t="s">
        <v>178</v>
      </c>
      <c r="I1532" s="18" t="s">
        <v>10</v>
      </c>
      <c r="J1532" s="18" t="s">
        <v>4017</v>
      </c>
      <c r="K1532" s="20"/>
    </row>
    <row r="1533" spans="1:11" ht="36.75" thickBot="1">
      <c r="A1533" s="18" t="s">
        <v>6245</v>
      </c>
      <c r="B1533" s="18">
        <v>20003105923</v>
      </c>
      <c r="C1533" s="18" t="s">
        <v>6246</v>
      </c>
      <c r="D1533" s="19">
        <v>45742.640277777777</v>
      </c>
      <c r="E1533" s="18" t="s">
        <v>10</v>
      </c>
      <c r="F1533" s="18">
        <v>600</v>
      </c>
      <c r="G1533" s="18" t="s">
        <v>10</v>
      </c>
      <c r="H1533" s="18" t="s">
        <v>178</v>
      </c>
      <c r="I1533" s="18" t="s">
        <v>10</v>
      </c>
      <c r="J1533" s="18" t="s">
        <v>4017</v>
      </c>
      <c r="K1533" s="20"/>
    </row>
    <row r="1534" spans="1:11" ht="36.75" thickBot="1">
      <c r="A1534" s="18" t="s">
        <v>6247</v>
      </c>
      <c r="B1534" s="18">
        <v>20025493960</v>
      </c>
      <c r="C1534" s="18" t="s">
        <v>215</v>
      </c>
      <c r="D1534" s="19">
        <v>45742.72152777778</v>
      </c>
      <c r="E1534" s="18" t="s">
        <v>10</v>
      </c>
      <c r="F1534" s="18">
        <v>20</v>
      </c>
      <c r="G1534" s="18" t="s">
        <v>10</v>
      </c>
      <c r="H1534" s="18" t="s">
        <v>178</v>
      </c>
      <c r="I1534" s="18" t="s">
        <v>10</v>
      </c>
      <c r="J1534" s="18" t="s">
        <v>4017</v>
      </c>
      <c r="K1534" s="20"/>
    </row>
    <row r="1535" spans="1:11" ht="36.75" thickBot="1">
      <c r="A1535" s="18" t="s">
        <v>6248</v>
      </c>
      <c r="B1535" s="18">
        <v>20028334368</v>
      </c>
      <c r="C1535" s="18" t="s">
        <v>5855</v>
      </c>
      <c r="D1535" s="19">
        <v>45742.726388888892</v>
      </c>
      <c r="E1535" s="18" t="s">
        <v>10</v>
      </c>
      <c r="F1535" s="18">
        <v>875</v>
      </c>
      <c r="G1535" s="19">
        <v>45819.480555555558</v>
      </c>
      <c r="H1535" s="18" t="s">
        <v>236</v>
      </c>
      <c r="I1535" s="18" t="s">
        <v>10</v>
      </c>
      <c r="J1535" s="18" t="s">
        <v>4017</v>
      </c>
      <c r="K1535" s="20"/>
    </row>
    <row r="1536" spans="1:11" ht="36.75" thickBot="1">
      <c r="A1536" s="18" t="s">
        <v>6249</v>
      </c>
      <c r="B1536" s="18">
        <v>20025928969</v>
      </c>
      <c r="C1536" s="18" t="s">
        <v>215</v>
      </c>
      <c r="D1536" s="19">
        <v>45742.739583333336</v>
      </c>
      <c r="E1536" s="18" t="s">
        <v>10</v>
      </c>
      <c r="F1536" s="18">
        <v>20</v>
      </c>
      <c r="G1536" s="18" t="s">
        <v>10</v>
      </c>
      <c r="H1536" s="18" t="s">
        <v>178</v>
      </c>
      <c r="I1536" s="18" t="s">
        <v>10</v>
      </c>
      <c r="J1536" s="18" t="s">
        <v>4017</v>
      </c>
      <c r="K1536" s="20"/>
    </row>
    <row r="1537" spans="1:11" ht="36.75" thickBot="1">
      <c r="A1537" s="18" t="s">
        <v>6250</v>
      </c>
      <c r="B1537" s="18">
        <v>20025479444</v>
      </c>
      <c r="C1537" s="18" t="s">
        <v>215</v>
      </c>
      <c r="D1537" s="19">
        <v>45742.752083333333</v>
      </c>
      <c r="E1537" s="18" t="s">
        <v>10</v>
      </c>
      <c r="F1537" s="18">
        <v>15</v>
      </c>
      <c r="G1537" s="18" t="s">
        <v>10</v>
      </c>
      <c r="H1537" s="18" t="s">
        <v>178</v>
      </c>
      <c r="I1537" s="18" t="s">
        <v>10</v>
      </c>
      <c r="J1537" s="18" t="s">
        <v>4017</v>
      </c>
      <c r="K1537" s="20"/>
    </row>
    <row r="1538" spans="1:11" ht="36.75" thickBot="1">
      <c r="A1538" s="18" t="s">
        <v>6251</v>
      </c>
      <c r="B1538" s="18">
        <v>20025611529</v>
      </c>
      <c r="C1538" s="18" t="s">
        <v>1675</v>
      </c>
      <c r="D1538" s="19">
        <v>45742.9</v>
      </c>
      <c r="E1538" s="18" t="s">
        <v>10</v>
      </c>
      <c r="F1538" s="18">
        <v>20</v>
      </c>
      <c r="G1538" s="18" t="s">
        <v>10</v>
      </c>
      <c r="H1538" s="18" t="s">
        <v>178</v>
      </c>
      <c r="I1538" s="18" t="s">
        <v>10</v>
      </c>
      <c r="J1538" s="18" t="s">
        <v>4017</v>
      </c>
      <c r="K1538" s="20"/>
    </row>
    <row r="1539" spans="1:11" ht="36.75" thickBot="1">
      <c r="A1539" s="18" t="s">
        <v>6252</v>
      </c>
      <c r="B1539" s="18">
        <v>20025689669</v>
      </c>
      <c r="C1539" s="18" t="s">
        <v>1675</v>
      </c>
      <c r="D1539" s="19">
        <v>45743.445833333331</v>
      </c>
      <c r="E1539" s="18" t="s">
        <v>10</v>
      </c>
      <c r="F1539" s="18">
        <v>20</v>
      </c>
      <c r="G1539" s="18" t="s">
        <v>10</v>
      </c>
      <c r="H1539" s="18" t="s">
        <v>178</v>
      </c>
      <c r="I1539" s="18" t="s">
        <v>10</v>
      </c>
      <c r="J1539" s="18" t="s">
        <v>4017</v>
      </c>
      <c r="K1539" s="20"/>
    </row>
    <row r="1540" spans="1:11" ht="36.75" thickBot="1">
      <c r="A1540" s="18" t="s">
        <v>6253</v>
      </c>
      <c r="B1540" s="18">
        <v>20025645234</v>
      </c>
      <c r="C1540" s="18" t="s">
        <v>1675</v>
      </c>
      <c r="D1540" s="19">
        <v>45743.45208333333</v>
      </c>
      <c r="E1540" s="18" t="s">
        <v>10</v>
      </c>
      <c r="F1540" s="18">
        <v>20</v>
      </c>
      <c r="G1540" s="18" t="s">
        <v>10</v>
      </c>
      <c r="H1540" s="18" t="s">
        <v>178</v>
      </c>
      <c r="I1540" s="18" t="s">
        <v>10</v>
      </c>
      <c r="J1540" s="18" t="s">
        <v>4017</v>
      </c>
      <c r="K1540" s="20"/>
    </row>
    <row r="1541" spans="1:11" ht="54.75" thickBot="1">
      <c r="A1541" s="18" t="s">
        <v>6254</v>
      </c>
      <c r="B1541" s="18">
        <v>20022238156</v>
      </c>
      <c r="C1541" s="18" t="s">
        <v>6255</v>
      </c>
      <c r="D1541" s="19">
        <v>45743.459722222222</v>
      </c>
      <c r="E1541" s="18" t="s">
        <v>10</v>
      </c>
      <c r="F1541" s="18">
        <v>200</v>
      </c>
      <c r="G1541" s="18" t="s">
        <v>10</v>
      </c>
      <c r="H1541" s="18" t="s">
        <v>178</v>
      </c>
      <c r="I1541" s="18" t="s">
        <v>10</v>
      </c>
      <c r="J1541" s="18" t="s">
        <v>4017</v>
      </c>
      <c r="K1541" s="20"/>
    </row>
    <row r="1542" spans="1:11" ht="36.75" thickBot="1">
      <c r="A1542" s="18" t="s">
        <v>6256</v>
      </c>
      <c r="B1542" s="18">
        <v>20025664419</v>
      </c>
      <c r="C1542" s="18" t="s">
        <v>1675</v>
      </c>
      <c r="D1542" s="19">
        <v>45743.484027777777</v>
      </c>
      <c r="E1542" s="18" t="s">
        <v>10</v>
      </c>
      <c r="F1542" s="18">
        <v>20</v>
      </c>
      <c r="G1542" s="18" t="s">
        <v>10</v>
      </c>
      <c r="H1542" s="18" t="s">
        <v>178</v>
      </c>
      <c r="I1542" s="18" t="s">
        <v>10</v>
      </c>
      <c r="J1542" s="18" t="s">
        <v>4017</v>
      </c>
      <c r="K1542" s="20"/>
    </row>
    <row r="1543" spans="1:11" ht="36.75" thickBot="1">
      <c r="A1543" s="18" t="s">
        <v>6257</v>
      </c>
      <c r="B1543" s="18">
        <v>20025660556</v>
      </c>
      <c r="C1543" s="18" t="s">
        <v>1675</v>
      </c>
      <c r="D1543" s="19">
        <v>45743.490277777775</v>
      </c>
      <c r="E1543" s="18" t="s">
        <v>10</v>
      </c>
      <c r="F1543" s="18">
        <v>20</v>
      </c>
      <c r="G1543" s="18" t="s">
        <v>10</v>
      </c>
      <c r="H1543" s="18" t="s">
        <v>178</v>
      </c>
      <c r="I1543" s="18" t="s">
        <v>10</v>
      </c>
      <c r="J1543" s="18" t="s">
        <v>4017</v>
      </c>
      <c r="K1543" s="20"/>
    </row>
    <row r="1544" spans="1:11" ht="36.75" thickBot="1">
      <c r="A1544" s="18" t="s">
        <v>6258</v>
      </c>
      <c r="B1544" s="18">
        <v>20020009169</v>
      </c>
      <c r="C1544" s="18" t="s">
        <v>5544</v>
      </c>
      <c r="D1544" s="19">
        <v>45743.55972222222</v>
      </c>
      <c r="E1544" s="18" t="s">
        <v>10</v>
      </c>
      <c r="F1544" s="18">
        <v>200</v>
      </c>
      <c r="G1544" s="18" t="s">
        <v>10</v>
      </c>
      <c r="H1544" s="18" t="s">
        <v>178</v>
      </c>
      <c r="I1544" s="18" t="s">
        <v>10</v>
      </c>
      <c r="J1544" s="18" t="s">
        <v>4017</v>
      </c>
      <c r="K1544" s="20"/>
    </row>
    <row r="1545" spans="1:11" ht="36.75" thickBot="1">
      <c r="A1545" s="18" t="s">
        <v>6259</v>
      </c>
      <c r="B1545" s="18">
        <v>20025407702</v>
      </c>
      <c r="C1545" s="18" t="s">
        <v>215</v>
      </c>
      <c r="D1545" s="19">
        <v>45743.635416666664</v>
      </c>
      <c r="E1545" s="18" t="s">
        <v>10</v>
      </c>
      <c r="F1545" s="18">
        <v>20</v>
      </c>
      <c r="G1545" s="18" t="s">
        <v>10</v>
      </c>
      <c r="H1545" s="18" t="s">
        <v>178</v>
      </c>
      <c r="I1545" s="18" t="s">
        <v>10</v>
      </c>
      <c r="J1545" s="18" t="s">
        <v>4017</v>
      </c>
      <c r="K1545" s="20"/>
    </row>
    <row r="1546" spans="1:11" ht="36.75" thickBot="1">
      <c r="A1546" s="18" t="s">
        <v>6260</v>
      </c>
      <c r="B1546" s="18">
        <v>20024866401</v>
      </c>
      <c r="C1546" s="18" t="s">
        <v>215</v>
      </c>
      <c r="D1546" s="19">
        <v>45743.643055555556</v>
      </c>
      <c r="E1546" s="18" t="s">
        <v>10</v>
      </c>
      <c r="F1546" s="18">
        <v>15</v>
      </c>
      <c r="G1546" s="18" t="s">
        <v>10</v>
      </c>
      <c r="H1546" s="18" t="s">
        <v>178</v>
      </c>
      <c r="I1546" s="18" t="s">
        <v>10</v>
      </c>
      <c r="J1546" s="18" t="s">
        <v>4017</v>
      </c>
      <c r="K1546" s="20"/>
    </row>
    <row r="1547" spans="1:11" ht="36.75" thickBot="1">
      <c r="A1547" s="18" t="s">
        <v>6261</v>
      </c>
      <c r="B1547" s="18">
        <v>20003485705</v>
      </c>
      <c r="C1547" s="18" t="s">
        <v>6262</v>
      </c>
      <c r="D1547" s="19">
        <v>45743.645833333336</v>
      </c>
      <c r="E1547" s="18" t="s">
        <v>10</v>
      </c>
      <c r="F1547" s="18">
        <v>180</v>
      </c>
      <c r="G1547" s="18" t="s">
        <v>10</v>
      </c>
      <c r="H1547" s="18" t="s">
        <v>178</v>
      </c>
      <c r="I1547" s="18" t="s">
        <v>10</v>
      </c>
      <c r="J1547" s="18" t="s">
        <v>4017</v>
      </c>
      <c r="K1547" s="20"/>
    </row>
    <row r="1548" spans="1:11" ht="36.75" thickBot="1">
      <c r="A1548" s="18" t="s">
        <v>6263</v>
      </c>
      <c r="B1548" s="18">
        <v>20024956316</v>
      </c>
      <c r="C1548" s="18" t="s">
        <v>215</v>
      </c>
      <c r="D1548" s="19">
        <v>45743.68472222222</v>
      </c>
      <c r="E1548" s="18" t="s">
        <v>10</v>
      </c>
      <c r="F1548" s="18">
        <v>15</v>
      </c>
      <c r="G1548" s="18" t="s">
        <v>10</v>
      </c>
      <c r="H1548" s="18" t="s">
        <v>178</v>
      </c>
      <c r="I1548" s="18" t="s">
        <v>10</v>
      </c>
      <c r="J1548" s="18" t="s">
        <v>4017</v>
      </c>
      <c r="K1548" s="20"/>
    </row>
    <row r="1549" spans="1:11" ht="36.75" thickBot="1">
      <c r="A1549" s="18" t="s">
        <v>6264</v>
      </c>
      <c r="B1549" s="18">
        <v>20024956318</v>
      </c>
      <c r="C1549" s="18" t="s">
        <v>215</v>
      </c>
      <c r="D1549" s="19">
        <v>45743.69027777778</v>
      </c>
      <c r="E1549" s="18" t="s">
        <v>10</v>
      </c>
      <c r="F1549" s="18">
        <v>15</v>
      </c>
      <c r="G1549" s="18" t="s">
        <v>10</v>
      </c>
      <c r="H1549" s="18" t="s">
        <v>178</v>
      </c>
      <c r="I1549" s="18" t="s">
        <v>10</v>
      </c>
      <c r="J1549" s="18" t="s">
        <v>4017</v>
      </c>
      <c r="K1549" s="20"/>
    </row>
    <row r="1550" spans="1:11" ht="36.75" thickBot="1">
      <c r="A1550" s="18" t="s">
        <v>6265</v>
      </c>
      <c r="B1550" s="18">
        <v>20020332833</v>
      </c>
      <c r="C1550" s="18" t="s">
        <v>215</v>
      </c>
      <c r="D1550" s="19">
        <v>45743.765972222223</v>
      </c>
      <c r="E1550" s="18" t="s">
        <v>10</v>
      </c>
      <c r="F1550" s="18">
        <v>20</v>
      </c>
      <c r="G1550" s="18" t="s">
        <v>10</v>
      </c>
      <c r="H1550" s="18" t="s">
        <v>178</v>
      </c>
      <c r="I1550" s="18" t="s">
        <v>10</v>
      </c>
      <c r="J1550" s="18" t="s">
        <v>4017</v>
      </c>
      <c r="K1550" s="20"/>
    </row>
    <row r="1551" spans="1:11" ht="36.75" thickBot="1">
      <c r="A1551" s="18" t="s">
        <v>6266</v>
      </c>
      <c r="B1551" s="18">
        <v>20025928968</v>
      </c>
      <c r="C1551" s="18" t="s">
        <v>215</v>
      </c>
      <c r="D1551" s="19">
        <v>45743.802777777775</v>
      </c>
      <c r="E1551" s="18" t="s">
        <v>10</v>
      </c>
      <c r="F1551" s="18">
        <v>20</v>
      </c>
      <c r="G1551" s="18" t="s">
        <v>10</v>
      </c>
      <c r="H1551" s="18" t="s">
        <v>178</v>
      </c>
      <c r="I1551" s="18" t="s">
        <v>10</v>
      </c>
      <c r="J1551" s="18" t="s">
        <v>4017</v>
      </c>
      <c r="K1551" s="20"/>
    </row>
    <row r="1552" spans="1:11" ht="36.75" thickBot="1">
      <c r="A1552" s="18" t="s">
        <v>6267</v>
      </c>
      <c r="B1552" s="18">
        <v>20025940589</v>
      </c>
      <c r="C1552" s="18" t="s">
        <v>215</v>
      </c>
      <c r="D1552" s="19">
        <v>45743.806944444441</v>
      </c>
      <c r="E1552" s="18" t="s">
        <v>10</v>
      </c>
      <c r="F1552" s="18">
        <v>20</v>
      </c>
      <c r="G1552" s="18" t="s">
        <v>10</v>
      </c>
      <c r="H1552" s="18" t="s">
        <v>178</v>
      </c>
      <c r="I1552" s="18" t="s">
        <v>10</v>
      </c>
      <c r="J1552" s="18" t="s">
        <v>4017</v>
      </c>
      <c r="K1552" s="20"/>
    </row>
    <row r="1553" spans="1:11" ht="36.75" thickBot="1">
      <c r="A1553" s="18" t="s">
        <v>6268</v>
      </c>
      <c r="B1553" s="18">
        <v>20028094878</v>
      </c>
      <c r="C1553" s="18" t="s">
        <v>5455</v>
      </c>
      <c r="D1553" s="19">
        <v>45730.654166666667</v>
      </c>
      <c r="E1553" s="19">
        <v>45743.933333333334</v>
      </c>
      <c r="F1553" s="18">
        <v>30</v>
      </c>
      <c r="G1553" s="19">
        <v>45790.490277777775</v>
      </c>
      <c r="H1553" s="18" t="s">
        <v>236</v>
      </c>
      <c r="I1553" s="18" t="s">
        <v>10</v>
      </c>
      <c r="J1553" s="18" t="s">
        <v>4017</v>
      </c>
      <c r="K1553" s="20"/>
    </row>
    <row r="1554" spans="1:11" ht="36.75" thickBot="1">
      <c r="A1554" s="18" t="s">
        <v>6269</v>
      </c>
      <c r="B1554" s="18">
        <v>20003253944</v>
      </c>
      <c r="C1554" s="18" t="s">
        <v>1675</v>
      </c>
      <c r="D1554" s="19">
        <v>45744.356944444444</v>
      </c>
      <c r="E1554" s="18" t="s">
        <v>10</v>
      </c>
      <c r="F1554" s="18">
        <v>20</v>
      </c>
      <c r="G1554" s="18" t="s">
        <v>10</v>
      </c>
      <c r="H1554" s="18" t="s">
        <v>178</v>
      </c>
      <c r="I1554" s="18" t="s">
        <v>10</v>
      </c>
      <c r="J1554" s="18" t="s">
        <v>4017</v>
      </c>
      <c r="K1554" s="20"/>
    </row>
    <row r="1555" spans="1:11" ht="36.75" thickBot="1">
      <c r="A1555" s="18" t="s">
        <v>6270</v>
      </c>
      <c r="B1555" s="18">
        <v>20021456923</v>
      </c>
      <c r="C1555" s="18" t="s">
        <v>6271</v>
      </c>
      <c r="D1555" s="19">
        <v>45744.401388888888</v>
      </c>
      <c r="E1555" s="18" t="s">
        <v>10</v>
      </c>
      <c r="F1555" s="18">
        <v>20</v>
      </c>
      <c r="G1555" s="18" t="s">
        <v>10</v>
      </c>
      <c r="H1555" s="18" t="s">
        <v>178</v>
      </c>
      <c r="I1555" s="18" t="s">
        <v>10</v>
      </c>
      <c r="J1555" s="18" t="s">
        <v>4017</v>
      </c>
      <c r="K1555" s="20"/>
    </row>
    <row r="1556" spans="1:11" ht="36.75" thickBot="1">
      <c r="A1556" s="18" t="s">
        <v>6272</v>
      </c>
      <c r="B1556" s="18">
        <v>20027360267</v>
      </c>
      <c r="C1556" s="18" t="s">
        <v>4264</v>
      </c>
      <c r="D1556" s="19">
        <v>45744.413888888892</v>
      </c>
      <c r="E1556" s="18" t="s">
        <v>10</v>
      </c>
      <c r="F1556" s="18">
        <v>50</v>
      </c>
      <c r="G1556" s="18" t="s">
        <v>10</v>
      </c>
      <c r="H1556" s="18" t="s">
        <v>178</v>
      </c>
      <c r="I1556" s="18" t="s">
        <v>10</v>
      </c>
      <c r="J1556" s="18" t="s">
        <v>4017</v>
      </c>
      <c r="K1556" s="20"/>
    </row>
    <row r="1557" spans="1:11" ht="36.75" thickBot="1">
      <c r="A1557" s="18" t="s">
        <v>6273</v>
      </c>
      <c r="B1557" s="18">
        <v>20003177570</v>
      </c>
      <c r="C1557" s="18" t="s">
        <v>4493</v>
      </c>
      <c r="D1557" s="19">
        <v>45744.428472222222</v>
      </c>
      <c r="E1557" s="18" t="s">
        <v>10</v>
      </c>
      <c r="F1557" s="18">
        <v>810</v>
      </c>
      <c r="G1557" s="18" t="s">
        <v>10</v>
      </c>
      <c r="H1557" s="18" t="s">
        <v>178</v>
      </c>
      <c r="I1557" s="18" t="s">
        <v>10</v>
      </c>
      <c r="J1557" s="18" t="s">
        <v>4017</v>
      </c>
      <c r="K1557" s="20"/>
    </row>
    <row r="1558" spans="1:11" ht="36.75" thickBot="1">
      <c r="A1558" s="18" t="s">
        <v>6274</v>
      </c>
      <c r="B1558" s="18">
        <v>20020576268</v>
      </c>
      <c r="C1558" s="18" t="s">
        <v>215</v>
      </c>
      <c r="D1558" s="19">
        <v>45744.447222222225</v>
      </c>
      <c r="E1558" s="18" t="s">
        <v>10</v>
      </c>
      <c r="F1558" s="18">
        <v>20</v>
      </c>
      <c r="G1558" s="18" t="s">
        <v>10</v>
      </c>
      <c r="H1558" s="18" t="s">
        <v>178</v>
      </c>
      <c r="I1558" s="18" t="s">
        <v>10</v>
      </c>
      <c r="J1558" s="18" t="s">
        <v>4017</v>
      </c>
      <c r="K1558" s="20"/>
    </row>
    <row r="1559" spans="1:11" ht="36.75" thickBot="1">
      <c r="A1559" s="18" t="s">
        <v>6275</v>
      </c>
      <c r="B1559" s="18">
        <v>20025134649</v>
      </c>
      <c r="C1559" s="18" t="s">
        <v>215</v>
      </c>
      <c r="D1559" s="19">
        <v>45744.474999999999</v>
      </c>
      <c r="E1559" s="18" t="s">
        <v>10</v>
      </c>
      <c r="F1559" s="18">
        <v>15</v>
      </c>
      <c r="G1559" s="18" t="s">
        <v>10</v>
      </c>
      <c r="H1559" s="18" t="s">
        <v>178</v>
      </c>
      <c r="I1559" s="18" t="s">
        <v>10</v>
      </c>
      <c r="J1559" s="18" t="s">
        <v>4017</v>
      </c>
      <c r="K1559" s="20"/>
    </row>
    <row r="1560" spans="1:11" ht="36.75" thickBot="1">
      <c r="A1560" s="18" t="s">
        <v>6276</v>
      </c>
      <c r="B1560" s="18">
        <v>20025461183</v>
      </c>
      <c r="C1560" s="18" t="s">
        <v>215</v>
      </c>
      <c r="D1560" s="19">
        <v>45744.480555555558</v>
      </c>
      <c r="E1560" s="18" t="s">
        <v>10</v>
      </c>
      <c r="F1560" s="18">
        <v>15</v>
      </c>
      <c r="G1560" s="18" t="s">
        <v>10</v>
      </c>
      <c r="H1560" s="18" t="s">
        <v>178</v>
      </c>
      <c r="I1560" s="18" t="s">
        <v>10</v>
      </c>
      <c r="J1560" s="18" t="s">
        <v>4017</v>
      </c>
      <c r="K1560" s="20"/>
    </row>
    <row r="1561" spans="1:11" ht="36.75" thickBot="1">
      <c r="A1561" s="18" t="s">
        <v>6277</v>
      </c>
      <c r="B1561" s="18">
        <v>20003490160</v>
      </c>
      <c r="C1561" s="18" t="s">
        <v>6278</v>
      </c>
      <c r="D1561" s="19">
        <v>45744.484722222223</v>
      </c>
      <c r="E1561" s="18" t="s">
        <v>10</v>
      </c>
      <c r="F1561" s="18">
        <v>108</v>
      </c>
      <c r="G1561" s="18" t="s">
        <v>10</v>
      </c>
      <c r="H1561" s="18" t="s">
        <v>178</v>
      </c>
      <c r="I1561" s="18" t="s">
        <v>10</v>
      </c>
      <c r="J1561" s="18" t="s">
        <v>4017</v>
      </c>
      <c r="K1561" s="20"/>
    </row>
    <row r="1562" spans="1:11" ht="36.75" thickBot="1">
      <c r="A1562" s="18" t="s">
        <v>6279</v>
      </c>
      <c r="B1562" s="18">
        <v>20025529086</v>
      </c>
      <c r="C1562" s="18" t="s">
        <v>215</v>
      </c>
      <c r="D1562" s="19">
        <v>45744.486805555556</v>
      </c>
      <c r="E1562" s="18" t="s">
        <v>10</v>
      </c>
      <c r="F1562" s="18">
        <v>15</v>
      </c>
      <c r="G1562" s="18" t="s">
        <v>10</v>
      </c>
      <c r="H1562" s="18" t="s">
        <v>178</v>
      </c>
      <c r="I1562" s="18" t="s">
        <v>10</v>
      </c>
      <c r="J1562" s="18" t="s">
        <v>4017</v>
      </c>
      <c r="K1562" s="20"/>
    </row>
    <row r="1563" spans="1:11" ht="36.75" thickBot="1">
      <c r="A1563" s="18" t="s">
        <v>6280</v>
      </c>
      <c r="B1563" s="18">
        <v>20025985973</v>
      </c>
      <c r="C1563" s="18" t="s">
        <v>215</v>
      </c>
      <c r="D1563" s="19">
        <v>45744.494444444441</v>
      </c>
      <c r="E1563" s="18" t="s">
        <v>10</v>
      </c>
      <c r="F1563" s="18">
        <v>20</v>
      </c>
      <c r="G1563" s="18" t="s">
        <v>10</v>
      </c>
      <c r="H1563" s="18" t="s">
        <v>178</v>
      </c>
      <c r="I1563" s="18" t="s">
        <v>10</v>
      </c>
      <c r="J1563" s="18" t="s">
        <v>4017</v>
      </c>
      <c r="K1563" s="20"/>
    </row>
    <row r="1564" spans="1:11" ht="36.75" thickBot="1">
      <c r="A1564" s="18" t="s">
        <v>6281</v>
      </c>
      <c r="B1564" s="18">
        <v>20003186085</v>
      </c>
      <c r="C1564" s="18" t="s">
        <v>4626</v>
      </c>
      <c r="D1564" s="19">
        <v>45744.521527777775</v>
      </c>
      <c r="E1564" s="18" t="s">
        <v>10</v>
      </c>
      <c r="F1564" s="18">
        <v>875</v>
      </c>
      <c r="G1564" s="18" t="s">
        <v>10</v>
      </c>
      <c r="H1564" s="18" t="s">
        <v>178</v>
      </c>
      <c r="I1564" s="18" t="s">
        <v>10</v>
      </c>
      <c r="J1564" s="18" t="s">
        <v>4017</v>
      </c>
      <c r="K1564" s="20"/>
    </row>
    <row r="1565" spans="1:11" ht="36.75" thickBot="1">
      <c r="A1565" s="18" t="s">
        <v>6282</v>
      </c>
      <c r="B1565" s="18">
        <v>20025710403</v>
      </c>
      <c r="C1565" s="18" t="s">
        <v>215</v>
      </c>
      <c r="D1565" s="19">
        <v>45744.590277777781</v>
      </c>
      <c r="E1565" s="18" t="s">
        <v>10</v>
      </c>
      <c r="F1565" s="18">
        <v>20</v>
      </c>
      <c r="G1565" s="18" t="s">
        <v>10</v>
      </c>
      <c r="H1565" s="18" t="s">
        <v>178</v>
      </c>
      <c r="I1565" s="18" t="s">
        <v>10</v>
      </c>
      <c r="J1565" s="18" t="s">
        <v>4017</v>
      </c>
      <c r="K1565" s="20"/>
    </row>
    <row r="1566" spans="1:11" ht="36.75" thickBot="1">
      <c r="A1566" s="18" t="s">
        <v>6283</v>
      </c>
      <c r="B1566" s="18">
        <v>20019476299</v>
      </c>
      <c r="C1566" s="18" t="s">
        <v>215</v>
      </c>
      <c r="D1566" s="19">
        <v>45744.602083333331</v>
      </c>
      <c r="E1566" s="18" t="s">
        <v>10</v>
      </c>
      <c r="F1566" s="18">
        <v>20</v>
      </c>
      <c r="G1566" s="18" t="s">
        <v>10</v>
      </c>
      <c r="H1566" s="18" t="s">
        <v>178</v>
      </c>
      <c r="I1566" s="18" t="s">
        <v>10</v>
      </c>
      <c r="J1566" s="18" t="s">
        <v>4017</v>
      </c>
      <c r="K1566" s="20"/>
    </row>
    <row r="1567" spans="1:11" ht="36.75" thickBot="1">
      <c r="A1567" s="18" t="s">
        <v>6284</v>
      </c>
      <c r="B1567" s="18">
        <v>20002875464</v>
      </c>
      <c r="C1567" s="18" t="s">
        <v>215</v>
      </c>
      <c r="D1567" s="19">
        <v>45744.614583333336</v>
      </c>
      <c r="E1567" s="18" t="s">
        <v>10</v>
      </c>
      <c r="F1567" s="18">
        <v>20</v>
      </c>
      <c r="G1567" s="18" t="s">
        <v>10</v>
      </c>
      <c r="H1567" s="18" t="s">
        <v>178</v>
      </c>
      <c r="I1567" s="18" t="s">
        <v>10</v>
      </c>
      <c r="J1567" s="18" t="s">
        <v>4017</v>
      </c>
      <c r="K1567" s="20"/>
    </row>
    <row r="1568" spans="1:11" ht="36.75" thickBot="1">
      <c r="A1568" s="18" t="s">
        <v>6285</v>
      </c>
      <c r="B1568" s="18">
        <v>20022038903</v>
      </c>
      <c r="C1568" s="18" t="s">
        <v>215</v>
      </c>
      <c r="D1568" s="19">
        <v>45744.625694444447</v>
      </c>
      <c r="E1568" s="18" t="s">
        <v>10</v>
      </c>
      <c r="F1568" s="18">
        <v>20</v>
      </c>
      <c r="G1568" s="18" t="s">
        <v>10</v>
      </c>
      <c r="H1568" s="18" t="s">
        <v>178</v>
      </c>
      <c r="I1568" s="18" t="s">
        <v>10</v>
      </c>
      <c r="J1568" s="18" t="s">
        <v>4017</v>
      </c>
      <c r="K1568" s="20"/>
    </row>
    <row r="1569" spans="1:11" ht="36.75" thickBot="1">
      <c r="A1569" s="18" t="s">
        <v>6286</v>
      </c>
      <c r="B1569" s="18">
        <v>20025220830</v>
      </c>
      <c r="C1569" s="18" t="s">
        <v>215</v>
      </c>
      <c r="D1569" s="19">
        <v>45744.701388888891</v>
      </c>
      <c r="E1569" s="18" t="s">
        <v>10</v>
      </c>
      <c r="F1569" s="18">
        <v>20</v>
      </c>
      <c r="G1569" s="18" t="s">
        <v>10</v>
      </c>
      <c r="H1569" s="18" t="s">
        <v>178</v>
      </c>
      <c r="I1569" s="18" t="s">
        <v>10</v>
      </c>
      <c r="J1569" s="18" t="s">
        <v>4017</v>
      </c>
      <c r="K1569" s="20"/>
    </row>
    <row r="1570" spans="1:11" ht="36.75" thickBot="1">
      <c r="A1570" s="18" t="s">
        <v>6287</v>
      </c>
      <c r="B1570" s="18">
        <v>20025220826</v>
      </c>
      <c r="C1570" s="18" t="s">
        <v>215</v>
      </c>
      <c r="D1570" s="19">
        <v>45744.719444444447</v>
      </c>
      <c r="E1570" s="18" t="s">
        <v>10</v>
      </c>
      <c r="F1570" s="18">
        <v>15</v>
      </c>
      <c r="G1570" s="18" t="s">
        <v>10</v>
      </c>
      <c r="H1570" s="18" t="s">
        <v>178</v>
      </c>
      <c r="I1570" s="18" t="s">
        <v>10</v>
      </c>
      <c r="J1570" s="18" t="s">
        <v>4017</v>
      </c>
      <c r="K1570" s="20"/>
    </row>
    <row r="1571" spans="1:11" ht="36.75" thickBot="1">
      <c r="A1571" s="18" t="s">
        <v>6288</v>
      </c>
      <c r="B1571" s="18">
        <v>20025714389</v>
      </c>
      <c r="C1571" s="18" t="s">
        <v>215</v>
      </c>
      <c r="D1571" s="19">
        <v>45744.731944444444</v>
      </c>
      <c r="E1571" s="18" t="s">
        <v>10</v>
      </c>
      <c r="F1571" s="18">
        <v>15</v>
      </c>
      <c r="G1571" s="18" t="s">
        <v>10</v>
      </c>
      <c r="H1571" s="18" t="s">
        <v>178</v>
      </c>
      <c r="I1571" s="18" t="s">
        <v>10</v>
      </c>
      <c r="J1571" s="18" t="s">
        <v>4017</v>
      </c>
      <c r="K1571" s="20"/>
    </row>
    <row r="1572" spans="1:11" ht="36.75" thickBot="1">
      <c r="A1572" s="18" t="s">
        <v>6289</v>
      </c>
      <c r="B1572" s="18">
        <v>20019647602</v>
      </c>
      <c r="C1572" s="18" t="s">
        <v>5650</v>
      </c>
      <c r="D1572" s="19">
        <v>45745.491666666669</v>
      </c>
      <c r="E1572" s="18" t="s">
        <v>10</v>
      </c>
      <c r="F1572" s="18">
        <v>190</v>
      </c>
      <c r="G1572" s="18" t="s">
        <v>10</v>
      </c>
      <c r="H1572" s="18" t="s">
        <v>178</v>
      </c>
      <c r="I1572" s="18" t="s">
        <v>10</v>
      </c>
      <c r="J1572" s="18" t="s">
        <v>4017</v>
      </c>
      <c r="K1572" s="20"/>
    </row>
    <row r="1573" spans="1:11" ht="36.75" thickBot="1">
      <c r="A1573" s="18" t="s">
        <v>6290</v>
      </c>
      <c r="B1573" s="18">
        <v>20020948494</v>
      </c>
      <c r="C1573" s="18" t="s">
        <v>5565</v>
      </c>
      <c r="D1573" s="19">
        <v>45745.522916666669</v>
      </c>
      <c r="E1573" s="18" t="s">
        <v>10</v>
      </c>
      <c r="F1573" s="18">
        <v>160</v>
      </c>
      <c r="G1573" s="18" t="s">
        <v>10</v>
      </c>
      <c r="H1573" s="18" t="s">
        <v>178</v>
      </c>
      <c r="I1573" s="18" t="s">
        <v>10</v>
      </c>
      <c r="J1573" s="18" t="s">
        <v>4017</v>
      </c>
      <c r="K1573" s="20"/>
    </row>
    <row r="1574" spans="1:11" ht="36.75" thickBot="1">
      <c r="A1574" s="18" t="s">
        <v>6291</v>
      </c>
      <c r="B1574" s="18">
        <v>20003598350</v>
      </c>
      <c r="C1574" s="18" t="s">
        <v>4469</v>
      </c>
      <c r="D1574" s="19">
        <v>45630.436805555553</v>
      </c>
      <c r="E1574" s="19">
        <v>45745.630555555559</v>
      </c>
      <c r="F1574" s="18">
        <v>960</v>
      </c>
      <c r="G1574" s="19">
        <v>45779.386111111111</v>
      </c>
      <c r="H1574" s="18" t="s">
        <v>2654</v>
      </c>
      <c r="I1574" s="18" t="s">
        <v>10</v>
      </c>
      <c r="J1574" s="18" t="s">
        <v>4017</v>
      </c>
      <c r="K1574" s="20"/>
    </row>
    <row r="1575" spans="1:11" ht="36.75" thickBot="1">
      <c r="A1575" s="18" t="s">
        <v>6292</v>
      </c>
      <c r="B1575" s="18">
        <v>20020275948</v>
      </c>
      <c r="C1575" s="18" t="s">
        <v>6293</v>
      </c>
      <c r="D1575" s="19">
        <v>45746.40902777778</v>
      </c>
      <c r="E1575" s="18" t="s">
        <v>10</v>
      </c>
      <c r="F1575" s="18">
        <v>50</v>
      </c>
      <c r="G1575" s="18" t="s">
        <v>10</v>
      </c>
      <c r="H1575" s="18" t="s">
        <v>178</v>
      </c>
      <c r="I1575" s="18" t="s">
        <v>10</v>
      </c>
      <c r="J1575" s="18" t="s">
        <v>4017</v>
      </c>
      <c r="K1575" s="20"/>
    </row>
    <row r="1576" spans="1:11" ht="36.75" thickBot="1">
      <c r="A1576" s="18" t="s">
        <v>6294</v>
      </c>
      <c r="B1576" s="18">
        <v>20026823121</v>
      </c>
      <c r="C1576" s="18" t="s">
        <v>6295</v>
      </c>
      <c r="D1576" s="19">
        <v>45747.444444444445</v>
      </c>
      <c r="E1576" s="18" t="s">
        <v>10</v>
      </c>
      <c r="F1576" s="18">
        <v>30</v>
      </c>
      <c r="G1576" s="18" t="s">
        <v>10</v>
      </c>
      <c r="H1576" s="18" t="s">
        <v>178</v>
      </c>
      <c r="I1576" s="18" t="s">
        <v>10</v>
      </c>
      <c r="J1576" s="18" t="s">
        <v>4017</v>
      </c>
      <c r="K1576" s="20"/>
    </row>
    <row r="1577" spans="1:11" ht="36.75" thickBot="1">
      <c r="A1577" s="18" t="s">
        <v>6296</v>
      </c>
      <c r="B1577" s="18">
        <v>20003129676</v>
      </c>
      <c r="C1577" s="18" t="s">
        <v>6297</v>
      </c>
      <c r="D1577" s="19">
        <v>45747.466666666667</v>
      </c>
      <c r="E1577" s="18" t="s">
        <v>10</v>
      </c>
      <c r="F1577" s="18">
        <v>186</v>
      </c>
      <c r="G1577" s="18" t="s">
        <v>10</v>
      </c>
      <c r="H1577" s="18" t="s">
        <v>178</v>
      </c>
      <c r="I1577" s="18" t="s">
        <v>10</v>
      </c>
      <c r="J1577" s="18" t="s">
        <v>4017</v>
      </c>
      <c r="K1577" s="20"/>
    </row>
    <row r="1578" spans="1:11" ht="54.75" thickBot="1">
      <c r="A1578" s="18" t="s">
        <v>6298</v>
      </c>
      <c r="B1578" s="18">
        <v>20003473892</v>
      </c>
      <c r="C1578" s="18" t="s">
        <v>5599</v>
      </c>
      <c r="D1578" s="19">
        <v>45672.69027777778</v>
      </c>
      <c r="E1578" s="19">
        <v>45747.478472222225</v>
      </c>
      <c r="F1578" s="18">
        <v>300</v>
      </c>
      <c r="G1578" s="18" t="s">
        <v>10</v>
      </c>
      <c r="H1578" s="18" t="s">
        <v>178</v>
      </c>
      <c r="I1578" s="18" t="s">
        <v>10</v>
      </c>
      <c r="J1578" s="18" t="s">
        <v>4017</v>
      </c>
      <c r="K1578" s="20"/>
    </row>
    <row r="1579" spans="1:11" ht="36.75" thickBot="1">
      <c r="A1579" s="18" t="s">
        <v>6299</v>
      </c>
      <c r="B1579" s="18">
        <v>20024638206</v>
      </c>
      <c r="C1579" s="18" t="s">
        <v>215</v>
      </c>
      <c r="D1579" s="19">
        <v>45747.500694444447</v>
      </c>
      <c r="E1579" s="18" t="s">
        <v>10</v>
      </c>
      <c r="F1579" s="18">
        <v>20</v>
      </c>
      <c r="G1579" s="18" t="s">
        <v>10</v>
      </c>
      <c r="H1579" s="18" t="s">
        <v>178</v>
      </c>
      <c r="I1579" s="18" t="s">
        <v>10</v>
      </c>
      <c r="J1579" s="18" t="s">
        <v>4017</v>
      </c>
      <c r="K1579" s="20"/>
    </row>
    <row r="1580" spans="1:11" ht="36.75" thickBot="1">
      <c r="A1580" s="18" t="s">
        <v>6300</v>
      </c>
      <c r="B1580" s="18">
        <v>20024402824</v>
      </c>
      <c r="C1580" s="18" t="s">
        <v>215</v>
      </c>
      <c r="D1580" s="19">
        <v>45747.515277777777</v>
      </c>
      <c r="E1580" s="18" t="s">
        <v>10</v>
      </c>
      <c r="F1580" s="18">
        <v>20</v>
      </c>
      <c r="G1580" s="18" t="s">
        <v>10</v>
      </c>
      <c r="H1580" s="18" t="s">
        <v>178</v>
      </c>
      <c r="I1580" s="18" t="s">
        <v>10</v>
      </c>
      <c r="J1580" s="18" t="s">
        <v>4017</v>
      </c>
      <c r="K1580" s="20"/>
    </row>
    <row r="1581" spans="1:11" ht="36.75" thickBot="1">
      <c r="A1581" s="18" t="s">
        <v>6301</v>
      </c>
      <c r="B1581" s="18">
        <v>20003042988</v>
      </c>
      <c r="C1581" s="18" t="s">
        <v>4415</v>
      </c>
      <c r="D1581" s="19">
        <v>45747.59097222222</v>
      </c>
      <c r="E1581" s="18" t="s">
        <v>10</v>
      </c>
      <c r="F1581" s="18">
        <v>350</v>
      </c>
      <c r="G1581" s="18" t="s">
        <v>10</v>
      </c>
      <c r="H1581" s="18" t="s">
        <v>178</v>
      </c>
      <c r="I1581" s="18" t="s">
        <v>10</v>
      </c>
      <c r="J1581" s="18" t="s">
        <v>4017</v>
      </c>
      <c r="K1581" s="20"/>
    </row>
    <row r="1582" spans="1:11" ht="36.75" thickBot="1">
      <c r="A1582" s="18" t="s">
        <v>6302</v>
      </c>
      <c r="B1582" s="18">
        <v>20021239454</v>
      </c>
      <c r="C1582" s="18" t="s">
        <v>6303</v>
      </c>
      <c r="D1582" s="19">
        <v>45747.624305555553</v>
      </c>
      <c r="E1582" s="18" t="s">
        <v>10</v>
      </c>
      <c r="F1582" s="18">
        <v>100</v>
      </c>
      <c r="G1582" s="19">
        <v>45784.382638888892</v>
      </c>
      <c r="H1582" s="18" t="s">
        <v>236</v>
      </c>
      <c r="I1582" s="18" t="s">
        <v>10</v>
      </c>
      <c r="J1582" s="18" t="s">
        <v>4017</v>
      </c>
      <c r="K1582" s="20"/>
    </row>
    <row r="1583" spans="1:11" ht="36.75" thickBot="1">
      <c r="A1583" s="18" t="s">
        <v>6304</v>
      </c>
      <c r="B1583" s="18">
        <v>20024423981</v>
      </c>
      <c r="C1583" s="18" t="s">
        <v>215</v>
      </c>
      <c r="D1583" s="19">
        <v>45747.636805555558</v>
      </c>
      <c r="E1583" s="18" t="s">
        <v>10</v>
      </c>
      <c r="F1583" s="18">
        <v>15</v>
      </c>
      <c r="G1583" s="18" t="s">
        <v>10</v>
      </c>
      <c r="H1583" s="18" t="s">
        <v>178</v>
      </c>
      <c r="I1583" s="18" t="s">
        <v>10</v>
      </c>
      <c r="J1583" s="18" t="s">
        <v>4017</v>
      </c>
      <c r="K1583" s="20"/>
    </row>
    <row r="1584" spans="1:11" ht="36.75" thickBot="1">
      <c r="A1584" s="18" t="s">
        <v>6305</v>
      </c>
      <c r="B1584" s="18">
        <v>20003338223</v>
      </c>
      <c r="C1584" s="18" t="s">
        <v>4051</v>
      </c>
      <c r="D1584" s="19">
        <v>45747.69027777778</v>
      </c>
      <c r="E1584" s="18" t="s">
        <v>10</v>
      </c>
      <c r="F1584" s="18">
        <v>800</v>
      </c>
      <c r="G1584" s="18" t="s">
        <v>10</v>
      </c>
      <c r="H1584" s="18" t="s">
        <v>178</v>
      </c>
      <c r="I1584" s="18" t="s">
        <v>10</v>
      </c>
      <c r="J1584" s="18" t="s">
        <v>4017</v>
      </c>
      <c r="K1584" s="20"/>
    </row>
    <row r="1585" spans="1:11" ht="36.75" thickBot="1">
      <c r="A1585" s="18" t="s">
        <v>6306</v>
      </c>
      <c r="B1585" s="18">
        <v>20003338223</v>
      </c>
      <c r="C1585" s="18" t="s">
        <v>4051</v>
      </c>
      <c r="D1585" s="19">
        <v>45747.709722222222</v>
      </c>
      <c r="E1585" s="18" t="s">
        <v>10</v>
      </c>
      <c r="F1585" s="117">
        <v>1000</v>
      </c>
      <c r="G1585" s="18" t="s">
        <v>10</v>
      </c>
      <c r="H1585" s="18" t="s">
        <v>178</v>
      </c>
      <c r="I1585" s="18" t="s">
        <v>10</v>
      </c>
      <c r="J1585" s="18" t="s">
        <v>4017</v>
      </c>
      <c r="K1585" s="20"/>
    </row>
    <row r="1586" spans="1:11" ht="36.75" thickBot="1">
      <c r="A1586" s="18" t="s">
        <v>6307</v>
      </c>
      <c r="B1586" s="18">
        <v>20025004687</v>
      </c>
      <c r="C1586" s="18" t="s">
        <v>215</v>
      </c>
      <c r="D1586" s="19">
        <v>45747.716666666667</v>
      </c>
      <c r="E1586" s="18" t="s">
        <v>10</v>
      </c>
      <c r="F1586" s="18">
        <v>15</v>
      </c>
      <c r="G1586" s="18" t="s">
        <v>10</v>
      </c>
      <c r="H1586" s="18" t="s">
        <v>178</v>
      </c>
      <c r="I1586" s="18" t="s">
        <v>10</v>
      </c>
      <c r="J1586" s="18" t="s">
        <v>4017</v>
      </c>
      <c r="K1586" s="20"/>
    </row>
    <row r="1587" spans="1:11" ht="36.75" thickBot="1">
      <c r="A1587" s="18" t="s">
        <v>6308</v>
      </c>
      <c r="B1587" s="18">
        <v>20025736829</v>
      </c>
      <c r="C1587" s="18" t="s">
        <v>215</v>
      </c>
      <c r="D1587" s="19">
        <v>45747.728472222225</v>
      </c>
      <c r="E1587" s="18" t="s">
        <v>10</v>
      </c>
      <c r="F1587" s="18">
        <v>15</v>
      </c>
      <c r="G1587" s="18" t="s">
        <v>10</v>
      </c>
      <c r="H1587" s="18" t="s">
        <v>178</v>
      </c>
      <c r="I1587" s="18" t="s">
        <v>10</v>
      </c>
      <c r="J1587" s="18" t="s">
        <v>4017</v>
      </c>
      <c r="K1587" s="20"/>
    </row>
    <row r="1588" spans="1:11" ht="36.75" thickBot="1">
      <c r="A1588" s="18" t="s">
        <v>6309</v>
      </c>
      <c r="B1588" s="18">
        <v>20025772405</v>
      </c>
      <c r="C1588" s="18" t="s">
        <v>215</v>
      </c>
      <c r="D1588" s="19">
        <v>45747.73333333333</v>
      </c>
      <c r="E1588" s="18" t="s">
        <v>10</v>
      </c>
      <c r="F1588" s="18">
        <v>20</v>
      </c>
      <c r="G1588" s="18" t="s">
        <v>10</v>
      </c>
      <c r="H1588" s="18" t="s">
        <v>178</v>
      </c>
      <c r="I1588" s="18" t="s">
        <v>10</v>
      </c>
      <c r="J1588" s="18" t="s">
        <v>4017</v>
      </c>
      <c r="K1588" s="20"/>
    </row>
    <row r="1589" spans="1:11" ht="36.75" thickBot="1">
      <c r="A1589" s="18" t="s">
        <v>6310</v>
      </c>
      <c r="B1589" s="18">
        <v>20003536578</v>
      </c>
      <c r="C1589" s="18" t="s">
        <v>6311</v>
      </c>
      <c r="D1589" s="19">
        <v>45748.404166666667</v>
      </c>
      <c r="E1589" s="18" t="s">
        <v>10</v>
      </c>
      <c r="F1589" s="18">
        <v>100</v>
      </c>
      <c r="G1589" s="18" t="s">
        <v>10</v>
      </c>
      <c r="H1589" s="18" t="s">
        <v>178</v>
      </c>
      <c r="I1589" s="18" t="s">
        <v>10</v>
      </c>
      <c r="J1589" s="18" t="s">
        <v>4017</v>
      </c>
      <c r="K1589" s="20"/>
    </row>
    <row r="1590" spans="1:11" ht="36.75" thickBot="1">
      <c r="A1590" s="18" t="s">
        <v>6312</v>
      </c>
      <c r="B1590" s="18">
        <v>20003155704</v>
      </c>
      <c r="C1590" s="18" t="s">
        <v>5334</v>
      </c>
      <c r="D1590" s="19">
        <v>45748.538194444445</v>
      </c>
      <c r="E1590" s="18" t="s">
        <v>10</v>
      </c>
      <c r="F1590" s="18">
        <v>210</v>
      </c>
      <c r="G1590" s="18" t="s">
        <v>10</v>
      </c>
      <c r="H1590" s="18" t="s">
        <v>178</v>
      </c>
      <c r="I1590" s="18" t="s">
        <v>10</v>
      </c>
      <c r="J1590" s="18" t="s">
        <v>4017</v>
      </c>
      <c r="K1590" s="20"/>
    </row>
    <row r="1591" spans="1:11" ht="36.75" thickBot="1">
      <c r="A1591" s="18" t="s">
        <v>6313</v>
      </c>
      <c r="B1591" s="18">
        <v>20025223213</v>
      </c>
      <c r="C1591" s="18" t="s">
        <v>5653</v>
      </c>
      <c r="D1591" s="19">
        <v>45748.572916666664</v>
      </c>
      <c r="E1591" s="18" t="s">
        <v>10</v>
      </c>
      <c r="F1591" s="18">
        <v>45</v>
      </c>
      <c r="G1591" s="18" t="s">
        <v>10</v>
      </c>
      <c r="H1591" s="18" t="s">
        <v>178</v>
      </c>
      <c r="I1591" s="18" t="s">
        <v>10</v>
      </c>
      <c r="J1591" s="18" t="s">
        <v>4017</v>
      </c>
      <c r="K1591" s="20"/>
    </row>
    <row r="1592" spans="1:11" ht="54.75" thickBot="1">
      <c r="A1592" s="18" t="s">
        <v>6314</v>
      </c>
      <c r="B1592" s="18">
        <v>20003171610</v>
      </c>
      <c r="C1592" s="18" t="s">
        <v>5850</v>
      </c>
      <c r="D1592" s="19">
        <v>45748.61041666667</v>
      </c>
      <c r="E1592" s="18" t="s">
        <v>10</v>
      </c>
      <c r="F1592" s="18">
        <v>810</v>
      </c>
      <c r="G1592" s="18" t="s">
        <v>10</v>
      </c>
      <c r="H1592" s="18" t="s">
        <v>178</v>
      </c>
      <c r="I1592" s="18" t="s">
        <v>10</v>
      </c>
      <c r="J1592" s="18" t="s">
        <v>4017</v>
      </c>
      <c r="K1592" s="20"/>
    </row>
    <row r="1593" spans="1:11" ht="36.75" thickBot="1">
      <c r="A1593" s="18" t="s">
        <v>6315</v>
      </c>
      <c r="B1593" s="18">
        <v>20025198071</v>
      </c>
      <c r="C1593" s="18" t="s">
        <v>215</v>
      </c>
      <c r="D1593" s="19">
        <v>45748.686805555553</v>
      </c>
      <c r="E1593" s="18" t="s">
        <v>10</v>
      </c>
      <c r="F1593" s="18">
        <v>15</v>
      </c>
      <c r="G1593" s="18" t="s">
        <v>10</v>
      </c>
      <c r="H1593" s="18" t="s">
        <v>178</v>
      </c>
      <c r="I1593" s="18" t="s">
        <v>10</v>
      </c>
      <c r="J1593" s="18" t="s">
        <v>4017</v>
      </c>
      <c r="K1593" s="20"/>
    </row>
    <row r="1594" spans="1:11" ht="36.75" thickBot="1">
      <c r="A1594" s="18" t="s">
        <v>6316</v>
      </c>
      <c r="B1594" s="18">
        <v>20025200800</v>
      </c>
      <c r="C1594" s="18" t="s">
        <v>215</v>
      </c>
      <c r="D1594" s="19">
        <v>45748.693055555559</v>
      </c>
      <c r="E1594" s="18" t="s">
        <v>10</v>
      </c>
      <c r="F1594" s="18">
        <v>15</v>
      </c>
      <c r="G1594" s="18" t="s">
        <v>10</v>
      </c>
      <c r="H1594" s="18" t="s">
        <v>178</v>
      </c>
      <c r="I1594" s="18" t="s">
        <v>10</v>
      </c>
      <c r="J1594" s="18" t="s">
        <v>4017</v>
      </c>
      <c r="K1594" s="20"/>
    </row>
    <row r="1595" spans="1:11" ht="36.75" thickBot="1">
      <c r="A1595" s="18" t="s">
        <v>6317</v>
      </c>
      <c r="B1595" s="18">
        <v>20025054846</v>
      </c>
      <c r="C1595" s="18" t="s">
        <v>215</v>
      </c>
      <c r="D1595" s="19">
        <v>45748.729861111111</v>
      </c>
      <c r="E1595" s="18" t="s">
        <v>10</v>
      </c>
      <c r="F1595" s="18">
        <v>15</v>
      </c>
      <c r="G1595" s="18" t="s">
        <v>10</v>
      </c>
      <c r="H1595" s="18" t="s">
        <v>178</v>
      </c>
      <c r="I1595" s="18" t="s">
        <v>10</v>
      </c>
      <c r="J1595" s="18" t="s">
        <v>4017</v>
      </c>
      <c r="K1595" s="20"/>
    </row>
    <row r="1596" spans="1:11" ht="36.75" thickBot="1">
      <c r="A1596" s="18" t="s">
        <v>6318</v>
      </c>
      <c r="B1596" s="18">
        <v>20026895795</v>
      </c>
      <c r="C1596" s="18" t="s">
        <v>6319</v>
      </c>
      <c r="D1596" s="19">
        <v>45748.811111111114</v>
      </c>
      <c r="E1596" s="18" t="s">
        <v>10</v>
      </c>
      <c r="F1596" s="18">
        <v>100</v>
      </c>
      <c r="G1596" s="18" t="s">
        <v>10</v>
      </c>
      <c r="H1596" s="18" t="s">
        <v>178</v>
      </c>
      <c r="I1596" s="18" t="s">
        <v>10</v>
      </c>
      <c r="J1596" s="18" t="s">
        <v>4017</v>
      </c>
      <c r="K1596" s="20"/>
    </row>
    <row r="1597" spans="1:11" ht="36.75" thickBot="1">
      <c r="A1597" s="18" t="s">
        <v>6320</v>
      </c>
      <c r="B1597" s="18">
        <v>20017430549</v>
      </c>
      <c r="C1597" s="18" t="s">
        <v>5698</v>
      </c>
      <c r="D1597" s="19">
        <v>45749.020833333336</v>
      </c>
      <c r="E1597" s="18" t="s">
        <v>10</v>
      </c>
      <c r="F1597" s="18">
        <v>50</v>
      </c>
      <c r="G1597" s="18" t="s">
        <v>10</v>
      </c>
      <c r="H1597" s="18" t="s">
        <v>178</v>
      </c>
      <c r="I1597" s="18" t="s">
        <v>10</v>
      </c>
      <c r="J1597" s="18" t="s">
        <v>4017</v>
      </c>
      <c r="K1597" s="20"/>
    </row>
    <row r="1598" spans="1:11" ht="36.75" thickBot="1">
      <c r="A1598" s="18" t="s">
        <v>6321</v>
      </c>
      <c r="B1598" s="18">
        <v>20023944010</v>
      </c>
      <c r="C1598" s="18" t="s">
        <v>1334</v>
      </c>
      <c r="D1598" s="19">
        <v>45749.431250000001</v>
      </c>
      <c r="E1598" s="18" t="s">
        <v>10</v>
      </c>
      <c r="F1598" s="18">
        <v>40</v>
      </c>
      <c r="G1598" s="18" t="s">
        <v>10</v>
      </c>
      <c r="H1598" s="18" t="s">
        <v>189</v>
      </c>
      <c r="I1598" s="18" t="s">
        <v>10</v>
      </c>
      <c r="J1598" s="18" t="s">
        <v>4017</v>
      </c>
      <c r="K1598" s="20"/>
    </row>
    <row r="1599" spans="1:11" ht="36.75" thickBot="1">
      <c r="A1599" s="18" t="s">
        <v>6322</v>
      </c>
      <c r="B1599" s="18">
        <v>20020694800</v>
      </c>
      <c r="C1599" s="18" t="s">
        <v>6323</v>
      </c>
      <c r="D1599" s="19">
        <v>45749.466666666667</v>
      </c>
      <c r="E1599" s="18" t="s">
        <v>10</v>
      </c>
      <c r="F1599" s="18">
        <v>100</v>
      </c>
      <c r="G1599" s="18" t="s">
        <v>10</v>
      </c>
      <c r="H1599" s="18" t="s">
        <v>178</v>
      </c>
      <c r="I1599" s="18" t="s">
        <v>10</v>
      </c>
      <c r="J1599" s="18" t="s">
        <v>4017</v>
      </c>
      <c r="K1599" s="20"/>
    </row>
    <row r="1600" spans="1:11" ht="36.75" thickBot="1">
      <c r="A1600" s="18" t="s">
        <v>6324</v>
      </c>
      <c r="B1600" s="18">
        <v>20020602210</v>
      </c>
      <c r="C1600" s="18" t="s">
        <v>4371</v>
      </c>
      <c r="D1600" s="19">
        <v>45749.479861111111</v>
      </c>
      <c r="E1600" s="18" t="s">
        <v>10</v>
      </c>
      <c r="F1600" s="18">
        <v>750</v>
      </c>
      <c r="G1600" s="18" t="s">
        <v>10</v>
      </c>
      <c r="H1600" s="18" t="s">
        <v>178</v>
      </c>
      <c r="I1600" s="18" t="s">
        <v>10</v>
      </c>
      <c r="J1600" s="18" t="s">
        <v>4017</v>
      </c>
      <c r="K1600" s="20"/>
    </row>
    <row r="1601" spans="1:11" ht="36.75" thickBot="1">
      <c r="A1601" s="18" t="s">
        <v>6325</v>
      </c>
      <c r="B1601" s="18">
        <v>20026078771</v>
      </c>
      <c r="C1601" s="18" t="s">
        <v>5861</v>
      </c>
      <c r="D1601" s="19">
        <v>45749.625694444447</v>
      </c>
      <c r="E1601" s="18" t="s">
        <v>10</v>
      </c>
      <c r="F1601" s="18">
        <v>333.3</v>
      </c>
      <c r="G1601" s="19">
        <v>45827.501388888886</v>
      </c>
      <c r="H1601" s="18" t="s">
        <v>236</v>
      </c>
      <c r="I1601" s="18" t="s">
        <v>10</v>
      </c>
      <c r="J1601" s="18" t="s">
        <v>4017</v>
      </c>
      <c r="K1601" s="1"/>
    </row>
    <row r="1602" spans="1:11" ht="36.75" thickBot="1">
      <c r="A1602" s="21" t="s">
        <v>6326</v>
      </c>
      <c r="B1602" s="21">
        <v>20021241056</v>
      </c>
      <c r="C1602" s="21" t="s">
        <v>6327</v>
      </c>
      <c r="D1602" s="22">
        <v>45750.292361111111</v>
      </c>
      <c r="E1602" s="21" t="s">
        <v>10</v>
      </c>
      <c r="F1602" s="21">
        <v>200</v>
      </c>
      <c r="G1602" s="21" t="s">
        <v>10</v>
      </c>
      <c r="H1602" s="21" t="s">
        <v>178</v>
      </c>
      <c r="I1602" s="21" t="s">
        <v>10</v>
      </c>
      <c r="J1602" s="21" t="s">
        <v>4017</v>
      </c>
      <c r="K1602" s="20"/>
    </row>
    <row r="1603" spans="1:11" ht="36.75" thickBot="1">
      <c r="A1603" s="18" t="s">
        <v>6328</v>
      </c>
      <c r="B1603" s="18">
        <v>20003533810</v>
      </c>
      <c r="C1603" s="18" t="s">
        <v>6013</v>
      </c>
      <c r="D1603" s="19">
        <v>45750.569444444445</v>
      </c>
      <c r="E1603" s="18" t="s">
        <v>10</v>
      </c>
      <c r="F1603" s="18">
        <v>236</v>
      </c>
      <c r="G1603" s="18" t="s">
        <v>10</v>
      </c>
      <c r="H1603" s="18" t="s">
        <v>178</v>
      </c>
      <c r="I1603" s="18" t="s">
        <v>10</v>
      </c>
      <c r="J1603" s="18" t="s">
        <v>4017</v>
      </c>
      <c r="K1603" s="20"/>
    </row>
    <row r="1604" spans="1:11" ht="36.75" thickBot="1">
      <c r="A1604" s="18" t="s">
        <v>6329</v>
      </c>
      <c r="B1604" s="18">
        <v>20024200939</v>
      </c>
      <c r="C1604" s="18" t="s">
        <v>6330</v>
      </c>
      <c r="D1604" s="19">
        <v>45750.62222222222</v>
      </c>
      <c r="E1604" s="18" t="s">
        <v>10</v>
      </c>
      <c r="F1604" s="18">
        <v>160</v>
      </c>
      <c r="G1604" s="18" t="s">
        <v>10</v>
      </c>
      <c r="H1604" s="18" t="s">
        <v>178</v>
      </c>
      <c r="I1604" s="18" t="s">
        <v>10</v>
      </c>
      <c r="J1604" s="18" t="s">
        <v>4017</v>
      </c>
      <c r="K1604" s="20"/>
    </row>
    <row r="1605" spans="1:11" ht="36.75" thickBot="1">
      <c r="A1605" s="18" t="s">
        <v>6331</v>
      </c>
      <c r="B1605" s="18">
        <v>20002878343</v>
      </c>
      <c r="C1605" s="18" t="s">
        <v>2868</v>
      </c>
      <c r="D1605" s="19">
        <v>45751.405555555553</v>
      </c>
      <c r="E1605" s="18" t="s">
        <v>10</v>
      </c>
      <c r="F1605" s="18">
        <v>8</v>
      </c>
      <c r="G1605" s="18" t="s">
        <v>10</v>
      </c>
      <c r="H1605" s="18" t="s">
        <v>178</v>
      </c>
      <c r="I1605" s="18" t="s">
        <v>10</v>
      </c>
      <c r="J1605" s="18" t="s">
        <v>4017</v>
      </c>
      <c r="K1605" s="20"/>
    </row>
    <row r="1606" spans="1:11" ht="36.75" thickBot="1">
      <c r="A1606" s="18" t="s">
        <v>6332</v>
      </c>
      <c r="B1606" s="18">
        <v>20003468480</v>
      </c>
      <c r="C1606" s="18" t="s">
        <v>5906</v>
      </c>
      <c r="D1606" s="19">
        <v>45751.755555555559</v>
      </c>
      <c r="E1606" s="18" t="s">
        <v>10</v>
      </c>
      <c r="F1606" s="18">
        <v>233.3</v>
      </c>
      <c r="G1606" s="19">
        <v>45824.465277777781</v>
      </c>
      <c r="H1606" s="18" t="s">
        <v>236</v>
      </c>
      <c r="I1606" s="18" t="s">
        <v>10</v>
      </c>
      <c r="J1606" s="18" t="s">
        <v>4017</v>
      </c>
      <c r="K1606" s="20"/>
    </row>
    <row r="1607" spans="1:11" ht="36.75" thickBot="1">
      <c r="A1607" s="18" t="s">
        <v>6333</v>
      </c>
      <c r="B1607" s="18">
        <v>20021071884</v>
      </c>
      <c r="C1607" s="18" t="s">
        <v>4135</v>
      </c>
      <c r="D1607" s="19">
        <v>45752.644444444442</v>
      </c>
      <c r="E1607" s="18" t="s">
        <v>10</v>
      </c>
      <c r="F1607" s="18">
        <v>100</v>
      </c>
      <c r="G1607" s="18" t="s">
        <v>10</v>
      </c>
      <c r="H1607" s="18" t="s">
        <v>178</v>
      </c>
      <c r="I1607" s="18" t="s">
        <v>10</v>
      </c>
      <c r="J1607" s="18" t="s">
        <v>4017</v>
      </c>
      <c r="K1607" s="20"/>
    </row>
    <row r="1608" spans="1:11" ht="54.75" thickBot="1">
      <c r="A1608" s="18" t="s">
        <v>6334</v>
      </c>
      <c r="B1608" s="18">
        <v>20003253489</v>
      </c>
      <c r="C1608" s="18" t="s">
        <v>4865</v>
      </c>
      <c r="D1608" s="19">
        <v>45752.738888888889</v>
      </c>
      <c r="E1608" s="18" t="s">
        <v>10</v>
      </c>
      <c r="F1608" s="18">
        <v>300</v>
      </c>
      <c r="G1608" s="19">
        <v>45827.501388888886</v>
      </c>
      <c r="H1608" s="18" t="s">
        <v>2654</v>
      </c>
      <c r="I1608" s="18" t="s">
        <v>10</v>
      </c>
      <c r="J1608" s="18" t="s">
        <v>4017</v>
      </c>
      <c r="K1608" s="20"/>
    </row>
    <row r="1609" spans="1:11" ht="36.75" thickBot="1">
      <c r="A1609" s="18" t="s">
        <v>6335</v>
      </c>
      <c r="B1609" s="18">
        <v>20003294835</v>
      </c>
      <c r="C1609" s="18" t="s">
        <v>6336</v>
      </c>
      <c r="D1609" s="19">
        <v>45754.329861111109</v>
      </c>
      <c r="E1609" s="18" t="s">
        <v>10</v>
      </c>
      <c r="F1609" s="18">
        <v>50</v>
      </c>
      <c r="G1609" s="18" t="s">
        <v>10</v>
      </c>
      <c r="H1609" s="18" t="s">
        <v>178</v>
      </c>
      <c r="I1609" s="18" t="s">
        <v>10</v>
      </c>
      <c r="J1609" s="18" t="s">
        <v>4017</v>
      </c>
      <c r="K1609" s="20"/>
    </row>
    <row r="1610" spans="1:11" ht="54.75" thickBot="1">
      <c r="A1610" s="18" t="s">
        <v>6337</v>
      </c>
      <c r="B1610" s="18">
        <v>20002978958</v>
      </c>
      <c r="C1610" s="18" t="s">
        <v>6338</v>
      </c>
      <c r="D1610" s="19">
        <v>45754.586805555555</v>
      </c>
      <c r="E1610" s="18" t="s">
        <v>10</v>
      </c>
      <c r="F1610" s="18">
        <v>50</v>
      </c>
      <c r="G1610" s="18" t="s">
        <v>10</v>
      </c>
      <c r="H1610" s="18" t="s">
        <v>178</v>
      </c>
      <c r="I1610" s="18" t="s">
        <v>10</v>
      </c>
      <c r="J1610" s="18" t="s">
        <v>4017</v>
      </c>
      <c r="K1610" s="20"/>
    </row>
    <row r="1611" spans="1:11" ht="36.75" thickBot="1">
      <c r="A1611" s="18" t="s">
        <v>6339</v>
      </c>
      <c r="B1611" s="18">
        <v>20003522066</v>
      </c>
      <c r="C1611" s="18" t="s">
        <v>6340</v>
      </c>
      <c r="D1611" s="19">
        <v>45754.65</v>
      </c>
      <c r="E1611" s="18" t="s">
        <v>10</v>
      </c>
      <c r="F1611" s="18">
        <v>30</v>
      </c>
      <c r="G1611" s="18" t="s">
        <v>10</v>
      </c>
      <c r="H1611" s="18" t="s">
        <v>178</v>
      </c>
      <c r="I1611" s="18" t="s">
        <v>10</v>
      </c>
      <c r="J1611" s="18" t="s">
        <v>4017</v>
      </c>
      <c r="K1611" s="20"/>
    </row>
    <row r="1612" spans="1:11" ht="36.75" thickBot="1">
      <c r="A1612" s="18" t="s">
        <v>6341</v>
      </c>
      <c r="B1612" s="18">
        <v>20025993428</v>
      </c>
      <c r="C1612" s="18" t="s">
        <v>4542</v>
      </c>
      <c r="D1612" s="19">
        <v>45754.748611111114</v>
      </c>
      <c r="E1612" s="18" t="s">
        <v>10</v>
      </c>
      <c r="F1612" s="18">
        <v>90</v>
      </c>
      <c r="G1612" s="18" t="s">
        <v>10</v>
      </c>
      <c r="H1612" s="18" t="s">
        <v>178</v>
      </c>
      <c r="I1612" s="18" t="s">
        <v>10</v>
      </c>
      <c r="J1612" s="18" t="s">
        <v>4017</v>
      </c>
      <c r="K1612" s="20"/>
    </row>
    <row r="1613" spans="1:11" ht="36.75" thickBot="1">
      <c r="A1613" s="18" t="s">
        <v>6342</v>
      </c>
      <c r="B1613" s="18">
        <v>20003197029</v>
      </c>
      <c r="C1613" s="18" t="s">
        <v>5524</v>
      </c>
      <c r="D1613" s="19">
        <v>45755.458333333336</v>
      </c>
      <c r="E1613" s="18" t="s">
        <v>10</v>
      </c>
      <c r="F1613" s="18">
        <v>120</v>
      </c>
      <c r="G1613" s="18" t="s">
        <v>10</v>
      </c>
      <c r="H1613" s="18" t="s">
        <v>178</v>
      </c>
      <c r="I1613" s="18" t="s">
        <v>10</v>
      </c>
      <c r="J1613" s="18" t="s">
        <v>4017</v>
      </c>
      <c r="K1613" s="20"/>
    </row>
    <row r="1614" spans="1:11" ht="36.75" thickBot="1">
      <c r="A1614" s="18" t="s">
        <v>6343</v>
      </c>
      <c r="B1614" s="18">
        <v>20003338223</v>
      </c>
      <c r="C1614" s="18" t="s">
        <v>4051</v>
      </c>
      <c r="D1614" s="19">
        <v>45755.618055555555</v>
      </c>
      <c r="E1614" s="18" t="s">
        <v>10</v>
      </c>
      <c r="F1614" s="117">
        <v>1000</v>
      </c>
      <c r="G1614" s="18" t="s">
        <v>10</v>
      </c>
      <c r="H1614" s="18" t="s">
        <v>178</v>
      </c>
      <c r="I1614" s="18" t="s">
        <v>10</v>
      </c>
      <c r="J1614" s="18" t="s">
        <v>4017</v>
      </c>
      <c r="K1614" s="20"/>
    </row>
    <row r="1615" spans="1:11" ht="36.75" thickBot="1">
      <c r="A1615" s="18" t="s">
        <v>6344</v>
      </c>
      <c r="B1615" s="18">
        <v>20003468065</v>
      </c>
      <c r="C1615" s="18" t="s">
        <v>6345</v>
      </c>
      <c r="D1615" s="19">
        <v>45666.45</v>
      </c>
      <c r="E1615" s="19">
        <v>45755.681250000001</v>
      </c>
      <c r="F1615" s="18">
        <v>100</v>
      </c>
      <c r="G1615" s="18" t="s">
        <v>10</v>
      </c>
      <c r="H1615" s="18" t="s">
        <v>178</v>
      </c>
      <c r="I1615" s="18" t="s">
        <v>10</v>
      </c>
      <c r="J1615" s="18" t="s">
        <v>4017</v>
      </c>
      <c r="K1615" s="20"/>
    </row>
    <row r="1616" spans="1:11" ht="36.75" thickBot="1">
      <c r="A1616" s="18" t="s">
        <v>6346</v>
      </c>
      <c r="B1616" s="18">
        <v>20027714350</v>
      </c>
      <c r="C1616" s="18" t="s">
        <v>6347</v>
      </c>
      <c r="D1616" s="19">
        <v>45755.990972222222</v>
      </c>
      <c r="E1616" s="18" t="s">
        <v>10</v>
      </c>
      <c r="F1616" s="18">
        <v>50</v>
      </c>
      <c r="G1616" s="18" t="s">
        <v>10</v>
      </c>
      <c r="H1616" s="18" t="s">
        <v>178</v>
      </c>
      <c r="I1616" s="18" t="s">
        <v>10</v>
      </c>
      <c r="J1616" s="18" t="s">
        <v>4017</v>
      </c>
      <c r="K1616" s="20"/>
    </row>
    <row r="1617" spans="1:11" ht="36.75" thickBot="1">
      <c r="A1617" s="18" t="s">
        <v>6348</v>
      </c>
      <c r="B1617" s="18">
        <v>20002779629</v>
      </c>
      <c r="C1617" s="18" t="s">
        <v>4673</v>
      </c>
      <c r="D1617" s="19">
        <v>45756.595833333333</v>
      </c>
      <c r="E1617" s="18" t="s">
        <v>10</v>
      </c>
      <c r="F1617" s="18">
        <v>300</v>
      </c>
      <c r="G1617" s="19">
        <v>45833.491666666669</v>
      </c>
      <c r="H1617" s="18" t="s">
        <v>2654</v>
      </c>
      <c r="I1617" s="18" t="s">
        <v>10</v>
      </c>
      <c r="J1617" s="18" t="s">
        <v>4017</v>
      </c>
      <c r="K1617" s="20"/>
    </row>
    <row r="1618" spans="1:11" ht="36.75" thickBot="1">
      <c r="A1618" s="18" t="s">
        <v>6349</v>
      </c>
      <c r="B1618" s="18">
        <v>20017996423</v>
      </c>
      <c r="C1618" s="18" t="s">
        <v>6350</v>
      </c>
      <c r="D1618" s="19">
        <v>45756.606944444444</v>
      </c>
      <c r="E1618" s="18" t="s">
        <v>10</v>
      </c>
      <c r="F1618" s="18">
        <v>50</v>
      </c>
      <c r="G1618" s="18" t="s">
        <v>10</v>
      </c>
      <c r="H1618" s="18" t="s">
        <v>178</v>
      </c>
      <c r="I1618" s="18" t="s">
        <v>10</v>
      </c>
      <c r="J1618" s="18" t="s">
        <v>4017</v>
      </c>
      <c r="K1618" s="20"/>
    </row>
    <row r="1619" spans="1:11" ht="36.75" thickBot="1">
      <c r="A1619" s="18" t="s">
        <v>6351</v>
      </c>
      <c r="B1619" s="18">
        <v>20003093504</v>
      </c>
      <c r="C1619" s="18" t="s">
        <v>6352</v>
      </c>
      <c r="D1619" s="19">
        <v>45756.619444444441</v>
      </c>
      <c r="E1619" s="18" t="s">
        <v>10</v>
      </c>
      <c r="F1619" s="18">
        <v>200</v>
      </c>
      <c r="G1619" s="18" t="s">
        <v>10</v>
      </c>
      <c r="H1619" s="18" t="s">
        <v>178</v>
      </c>
      <c r="I1619" s="18" t="s">
        <v>10</v>
      </c>
      <c r="J1619" s="18" t="s">
        <v>4017</v>
      </c>
      <c r="K1619" s="20"/>
    </row>
    <row r="1620" spans="1:11" ht="36.75" thickBot="1">
      <c r="A1620" s="18" t="s">
        <v>6353</v>
      </c>
      <c r="B1620" s="18">
        <v>20021475210</v>
      </c>
      <c r="C1620" s="18" t="s">
        <v>6354</v>
      </c>
      <c r="D1620" s="19">
        <v>45737.604166666664</v>
      </c>
      <c r="E1620" s="19">
        <v>45756.710416666669</v>
      </c>
      <c r="F1620" s="18">
        <v>36</v>
      </c>
      <c r="G1620" s="18" t="s">
        <v>10</v>
      </c>
      <c r="H1620" s="18" t="s">
        <v>178</v>
      </c>
      <c r="I1620" s="18" t="s">
        <v>10</v>
      </c>
      <c r="J1620" s="18" t="s">
        <v>4017</v>
      </c>
      <c r="K1620" s="20"/>
    </row>
    <row r="1621" spans="1:11" ht="36.75" thickBot="1">
      <c r="A1621" s="18" t="s">
        <v>6355</v>
      </c>
      <c r="B1621" s="18">
        <v>20017303995</v>
      </c>
      <c r="C1621" s="18" t="s">
        <v>6069</v>
      </c>
      <c r="D1621" s="19">
        <v>45733.443055555559</v>
      </c>
      <c r="E1621" s="19">
        <v>45756.732638888891</v>
      </c>
      <c r="F1621" s="18">
        <v>100</v>
      </c>
      <c r="G1621" s="19">
        <v>45796.404861111114</v>
      </c>
      <c r="H1621" s="18" t="s">
        <v>236</v>
      </c>
      <c r="I1621" s="18" t="s">
        <v>10</v>
      </c>
      <c r="J1621" s="18" t="s">
        <v>4017</v>
      </c>
      <c r="K1621" s="20"/>
    </row>
    <row r="1622" spans="1:11" ht="36.75" thickBot="1">
      <c r="A1622" s="18" t="s">
        <v>6356</v>
      </c>
      <c r="B1622" s="18">
        <v>20023139664</v>
      </c>
      <c r="C1622" s="18" t="s">
        <v>5269</v>
      </c>
      <c r="D1622" s="19">
        <v>45757.39166666667</v>
      </c>
      <c r="E1622" s="18" t="s">
        <v>10</v>
      </c>
      <c r="F1622" s="18">
        <v>200</v>
      </c>
      <c r="G1622" s="18" t="s">
        <v>10</v>
      </c>
      <c r="H1622" s="18" t="s">
        <v>178</v>
      </c>
      <c r="I1622" s="18" t="s">
        <v>10</v>
      </c>
      <c r="J1622" s="18" t="s">
        <v>4017</v>
      </c>
      <c r="K1622" s="20"/>
    </row>
    <row r="1623" spans="1:11" ht="36.75" thickBot="1">
      <c r="A1623" s="18" t="s">
        <v>6357</v>
      </c>
      <c r="B1623" s="18">
        <v>20003644022</v>
      </c>
      <c r="C1623" s="18" t="s">
        <v>6192</v>
      </c>
      <c r="D1623" s="19">
        <v>45757.455555555556</v>
      </c>
      <c r="E1623" s="18" t="s">
        <v>10</v>
      </c>
      <c r="F1623" s="18">
        <v>36</v>
      </c>
      <c r="G1623" s="18" t="s">
        <v>10</v>
      </c>
      <c r="H1623" s="18" t="s">
        <v>178</v>
      </c>
      <c r="I1623" s="18" t="s">
        <v>10</v>
      </c>
      <c r="J1623" s="18" t="s">
        <v>4017</v>
      </c>
      <c r="K1623" s="20"/>
    </row>
    <row r="1624" spans="1:11" ht="36.75" thickBot="1">
      <c r="A1624" s="18" t="s">
        <v>6358</v>
      </c>
      <c r="B1624" s="18">
        <v>20003196481</v>
      </c>
      <c r="C1624" s="18" t="s">
        <v>5271</v>
      </c>
      <c r="D1624" s="19">
        <v>45757.495138888888</v>
      </c>
      <c r="E1624" s="18" t="s">
        <v>10</v>
      </c>
      <c r="F1624" s="18">
        <v>200</v>
      </c>
      <c r="G1624" s="18" t="s">
        <v>10</v>
      </c>
      <c r="H1624" s="18" t="s">
        <v>178</v>
      </c>
      <c r="I1624" s="18" t="s">
        <v>10</v>
      </c>
      <c r="J1624" s="18" t="s">
        <v>4017</v>
      </c>
      <c r="K1624" s="20"/>
    </row>
    <row r="1625" spans="1:11" ht="36.75" thickBot="1">
      <c r="A1625" s="18" t="s">
        <v>6359</v>
      </c>
      <c r="B1625" s="18">
        <v>20028094650</v>
      </c>
      <c r="C1625" s="18" t="s">
        <v>6109</v>
      </c>
      <c r="D1625" s="19">
        <v>45757.569444444445</v>
      </c>
      <c r="E1625" s="18" t="s">
        <v>10</v>
      </c>
      <c r="F1625" s="18">
        <v>50</v>
      </c>
      <c r="G1625" s="18" t="s">
        <v>10</v>
      </c>
      <c r="H1625" s="18" t="s">
        <v>178</v>
      </c>
      <c r="I1625" s="18" t="s">
        <v>10</v>
      </c>
      <c r="J1625" s="18" t="s">
        <v>4017</v>
      </c>
      <c r="K1625" s="20"/>
    </row>
    <row r="1626" spans="1:11" ht="54.75" thickBot="1">
      <c r="A1626" s="18" t="s">
        <v>6360</v>
      </c>
      <c r="B1626" s="18">
        <v>20002873664</v>
      </c>
      <c r="C1626" s="18" t="s">
        <v>5775</v>
      </c>
      <c r="D1626" s="19">
        <v>45736.78125</v>
      </c>
      <c r="E1626" s="19">
        <v>45757.576388888891</v>
      </c>
      <c r="F1626" s="18">
        <v>150</v>
      </c>
      <c r="G1626" s="18" t="s">
        <v>10</v>
      </c>
      <c r="H1626" s="18" t="s">
        <v>178</v>
      </c>
      <c r="I1626" s="18" t="s">
        <v>10</v>
      </c>
      <c r="J1626" s="18" t="s">
        <v>4017</v>
      </c>
      <c r="K1626" s="20"/>
    </row>
    <row r="1627" spans="1:11" ht="36.75" thickBot="1">
      <c r="A1627" s="18" t="s">
        <v>6361</v>
      </c>
      <c r="B1627" s="18">
        <v>20017305594</v>
      </c>
      <c r="C1627" s="18" t="s">
        <v>6362</v>
      </c>
      <c r="D1627" s="19">
        <v>45736.768055555556</v>
      </c>
      <c r="E1627" s="19">
        <v>45757.576388888891</v>
      </c>
      <c r="F1627" s="18">
        <v>36</v>
      </c>
      <c r="G1627" s="18" t="s">
        <v>10</v>
      </c>
      <c r="H1627" s="18" t="s">
        <v>178</v>
      </c>
      <c r="I1627" s="18" t="s">
        <v>10</v>
      </c>
      <c r="J1627" s="18" t="s">
        <v>4017</v>
      </c>
      <c r="K1627" s="20"/>
    </row>
    <row r="1628" spans="1:11" ht="72.75" thickBot="1">
      <c r="A1628" s="18" t="s">
        <v>6363</v>
      </c>
      <c r="B1628" s="18">
        <v>20022879420</v>
      </c>
      <c r="C1628" s="18" t="s">
        <v>5625</v>
      </c>
      <c r="D1628" s="19">
        <v>45739.50277777778</v>
      </c>
      <c r="E1628" s="19">
        <v>45759.381249999999</v>
      </c>
      <c r="F1628" s="18">
        <v>100</v>
      </c>
      <c r="G1628" s="19">
        <v>45784.479861111111</v>
      </c>
      <c r="H1628" s="18" t="s">
        <v>2688</v>
      </c>
      <c r="I1628" s="18" t="s">
        <v>10</v>
      </c>
      <c r="J1628" s="18" t="s">
        <v>4017</v>
      </c>
      <c r="K1628" s="20"/>
    </row>
    <row r="1629" spans="1:11" ht="36.75" thickBot="1">
      <c r="A1629" s="18" t="s">
        <v>6364</v>
      </c>
      <c r="B1629" s="18">
        <v>20003276681</v>
      </c>
      <c r="C1629" s="18" t="s">
        <v>5612</v>
      </c>
      <c r="D1629" s="19">
        <v>45764.280555555553</v>
      </c>
      <c r="E1629" s="18" t="s">
        <v>10</v>
      </c>
      <c r="F1629" s="18">
        <v>350</v>
      </c>
      <c r="G1629" s="18" t="s">
        <v>10</v>
      </c>
      <c r="H1629" s="18" t="s">
        <v>178</v>
      </c>
      <c r="I1629" s="18" t="s">
        <v>10</v>
      </c>
      <c r="J1629" s="18" t="s">
        <v>4017</v>
      </c>
      <c r="K1629" s="20"/>
    </row>
    <row r="1630" spans="1:11" ht="36.75" thickBot="1">
      <c r="A1630" s="18" t="s">
        <v>6365</v>
      </c>
      <c r="B1630" s="18">
        <v>20003276627</v>
      </c>
      <c r="C1630" s="18" t="s">
        <v>5610</v>
      </c>
      <c r="D1630" s="19">
        <v>45764.509722222225</v>
      </c>
      <c r="E1630" s="18" t="s">
        <v>10</v>
      </c>
      <c r="F1630" s="18">
        <v>250</v>
      </c>
      <c r="G1630" s="18" t="s">
        <v>10</v>
      </c>
      <c r="H1630" s="18" t="s">
        <v>178</v>
      </c>
      <c r="I1630" s="18" t="s">
        <v>10</v>
      </c>
      <c r="J1630" s="18" t="s">
        <v>4017</v>
      </c>
      <c r="K1630" s="20"/>
    </row>
    <row r="1631" spans="1:11" ht="36.75" thickBot="1">
      <c r="A1631" s="18" t="s">
        <v>6366</v>
      </c>
      <c r="B1631" s="18">
        <v>20003287120</v>
      </c>
      <c r="C1631" s="18" t="s">
        <v>6367</v>
      </c>
      <c r="D1631" s="19">
        <v>45765.413888888892</v>
      </c>
      <c r="E1631" s="18" t="s">
        <v>10</v>
      </c>
      <c r="F1631" s="18">
        <v>350</v>
      </c>
      <c r="G1631" s="19">
        <v>45832.573611111111</v>
      </c>
      <c r="H1631" s="18" t="s">
        <v>2654</v>
      </c>
      <c r="I1631" s="18" t="s">
        <v>10</v>
      </c>
      <c r="J1631" s="18" t="s">
        <v>4017</v>
      </c>
      <c r="K1631" s="20"/>
    </row>
    <row r="1632" spans="1:11" ht="36.75" thickBot="1">
      <c r="A1632" s="18" t="s">
        <v>6368</v>
      </c>
      <c r="B1632" s="18">
        <v>20003287120</v>
      </c>
      <c r="C1632" s="18" t="s">
        <v>6367</v>
      </c>
      <c r="D1632" s="19">
        <v>45765.568749999999</v>
      </c>
      <c r="E1632" s="18" t="s">
        <v>10</v>
      </c>
      <c r="F1632" s="18">
        <v>50</v>
      </c>
      <c r="G1632" s="18" t="s">
        <v>10</v>
      </c>
      <c r="H1632" s="18" t="s">
        <v>178</v>
      </c>
      <c r="I1632" s="18" t="s">
        <v>10</v>
      </c>
      <c r="J1632" s="18" t="s">
        <v>4017</v>
      </c>
      <c r="K1632" s="20"/>
    </row>
    <row r="1633" spans="1:11" ht="36.75" thickBot="1">
      <c r="A1633" s="18" t="s">
        <v>6369</v>
      </c>
      <c r="B1633" s="18">
        <v>20021603219</v>
      </c>
      <c r="C1633" s="18" t="s">
        <v>5347</v>
      </c>
      <c r="D1633" s="19">
        <v>45765.645138888889</v>
      </c>
      <c r="E1633" s="18" t="s">
        <v>10</v>
      </c>
      <c r="F1633" s="18">
        <v>300</v>
      </c>
      <c r="G1633" s="18" t="s">
        <v>10</v>
      </c>
      <c r="H1633" s="18" t="s">
        <v>178</v>
      </c>
      <c r="I1633" s="18" t="s">
        <v>10</v>
      </c>
      <c r="J1633" s="18" t="s">
        <v>4017</v>
      </c>
      <c r="K1633" s="20"/>
    </row>
    <row r="1634" spans="1:11" ht="36.75" thickBot="1">
      <c r="A1634" s="18" t="s">
        <v>6370</v>
      </c>
      <c r="B1634" s="18">
        <v>20002974499</v>
      </c>
      <c r="C1634" s="18" t="s">
        <v>4673</v>
      </c>
      <c r="D1634" s="19">
        <v>45727.71597222222</v>
      </c>
      <c r="E1634" s="19">
        <v>45765.657638888886</v>
      </c>
      <c r="F1634" s="18">
        <v>350</v>
      </c>
      <c r="G1634" s="19">
        <v>45824.614583333336</v>
      </c>
      <c r="H1634" s="18" t="s">
        <v>2654</v>
      </c>
      <c r="I1634" s="18" t="s">
        <v>10</v>
      </c>
      <c r="J1634" s="18" t="s">
        <v>4017</v>
      </c>
      <c r="K1634" s="20"/>
    </row>
    <row r="1635" spans="1:11" ht="36.75" thickBot="1">
      <c r="A1635" s="18" t="s">
        <v>6371</v>
      </c>
      <c r="B1635" s="18">
        <v>20003181954</v>
      </c>
      <c r="C1635" s="18" t="s">
        <v>4302</v>
      </c>
      <c r="D1635" s="19">
        <v>45765.726388888892</v>
      </c>
      <c r="E1635" s="18" t="s">
        <v>10</v>
      </c>
      <c r="F1635" s="18">
        <v>200</v>
      </c>
      <c r="G1635" s="18" t="s">
        <v>10</v>
      </c>
      <c r="H1635" s="18" t="s">
        <v>178</v>
      </c>
      <c r="I1635" s="18" t="s">
        <v>10</v>
      </c>
      <c r="J1635" s="18" t="s">
        <v>4017</v>
      </c>
      <c r="K1635" s="20"/>
    </row>
    <row r="1636" spans="1:11" ht="36.75" thickBot="1">
      <c r="A1636" s="18" t="s">
        <v>6372</v>
      </c>
      <c r="B1636" s="18">
        <v>20017268391</v>
      </c>
      <c r="C1636" s="18" t="s">
        <v>6373</v>
      </c>
      <c r="D1636" s="19">
        <v>45765.732638888891</v>
      </c>
      <c r="E1636" s="18" t="s">
        <v>10</v>
      </c>
      <c r="F1636" s="18">
        <v>150</v>
      </c>
      <c r="G1636" s="18" t="s">
        <v>10</v>
      </c>
      <c r="H1636" s="18" t="s">
        <v>178</v>
      </c>
      <c r="I1636" s="18" t="s">
        <v>10</v>
      </c>
      <c r="J1636" s="18" t="s">
        <v>4017</v>
      </c>
      <c r="K1636" s="20"/>
    </row>
    <row r="1637" spans="1:11" ht="36.75" thickBot="1">
      <c r="A1637" s="18" t="s">
        <v>6374</v>
      </c>
      <c r="B1637" s="18">
        <v>20002927212</v>
      </c>
      <c r="C1637" s="18" t="s">
        <v>6375</v>
      </c>
      <c r="D1637" s="19">
        <v>45766.448611111111</v>
      </c>
      <c r="E1637" s="18" t="s">
        <v>10</v>
      </c>
      <c r="F1637" s="18">
        <v>30</v>
      </c>
      <c r="G1637" s="18" t="s">
        <v>10</v>
      </c>
      <c r="H1637" s="18" t="s">
        <v>178</v>
      </c>
      <c r="I1637" s="18" t="s">
        <v>10</v>
      </c>
      <c r="J1637" s="18" t="s">
        <v>4017</v>
      </c>
      <c r="K1637" s="20"/>
    </row>
    <row r="1638" spans="1:11" ht="36.75" thickBot="1">
      <c r="A1638" s="18" t="s">
        <v>6376</v>
      </c>
      <c r="B1638" s="18">
        <v>20003477517</v>
      </c>
      <c r="C1638" s="18" t="s">
        <v>4800</v>
      </c>
      <c r="D1638" s="19">
        <v>45766.570138888892</v>
      </c>
      <c r="E1638" s="18" t="s">
        <v>10</v>
      </c>
      <c r="F1638" s="18">
        <v>30</v>
      </c>
      <c r="G1638" s="19">
        <v>45805.597916666666</v>
      </c>
      <c r="H1638" s="18" t="s">
        <v>236</v>
      </c>
      <c r="I1638" s="18" t="s">
        <v>10</v>
      </c>
      <c r="J1638" s="18" t="s">
        <v>4017</v>
      </c>
      <c r="K1638" s="20"/>
    </row>
    <row r="1639" spans="1:11" ht="36.75" thickBot="1">
      <c r="A1639" s="18" t="s">
        <v>6377</v>
      </c>
      <c r="B1639" s="18">
        <v>20018155106</v>
      </c>
      <c r="C1639" s="18" t="s">
        <v>5436</v>
      </c>
      <c r="D1639" s="19">
        <v>45766.800694444442</v>
      </c>
      <c r="E1639" s="18" t="s">
        <v>10</v>
      </c>
      <c r="F1639" s="18">
        <v>250</v>
      </c>
      <c r="G1639" s="18" t="s">
        <v>10</v>
      </c>
      <c r="H1639" s="18" t="s">
        <v>178</v>
      </c>
      <c r="I1639" s="18" t="s">
        <v>10</v>
      </c>
      <c r="J1639" s="18" t="s">
        <v>4017</v>
      </c>
      <c r="K1639" s="20"/>
    </row>
    <row r="1640" spans="1:11" ht="36.75" thickBot="1">
      <c r="A1640" s="18" t="s">
        <v>6378</v>
      </c>
      <c r="B1640" s="18">
        <v>20026735962</v>
      </c>
      <c r="C1640" s="18" t="s">
        <v>5817</v>
      </c>
      <c r="D1640" s="19">
        <v>45742.460416666669</v>
      </c>
      <c r="E1640" s="19">
        <v>45767.345833333333</v>
      </c>
      <c r="F1640" s="18">
        <v>30</v>
      </c>
      <c r="G1640" s="18" t="s">
        <v>10</v>
      </c>
      <c r="H1640" s="18" t="s">
        <v>189</v>
      </c>
      <c r="I1640" s="18" t="s">
        <v>10</v>
      </c>
      <c r="J1640" s="18" t="s">
        <v>4017</v>
      </c>
      <c r="K1640" s="20"/>
    </row>
    <row r="1641" spans="1:11" ht="36.75" thickBot="1">
      <c r="A1641" s="18" t="s">
        <v>6379</v>
      </c>
      <c r="B1641" s="18">
        <v>20021654392</v>
      </c>
      <c r="C1641" s="18" t="s">
        <v>6380</v>
      </c>
      <c r="D1641" s="19">
        <v>45767.520833333336</v>
      </c>
      <c r="E1641" s="18" t="s">
        <v>10</v>
      </c>
      <c r="F1641" s="18">
        <v>100</v>
      </c>
      <c r="G1641" s="19">
        <v>45821.636111111111</v>
      </c>
      <c r="H1641" s="18" t="s">
        <v>236</v>
      </c>
      <c r="I1641" s="18" t="s">
        <v>10</v>
      </c>
      <c r="J1641" s="18" t="s">
        <v>4017</v>
      </c>
      <c r="K1641" s="20"/>
    </row>
    <row r="1642" spans="1:11" ht="36.75" thickBot="1">
      <c r="A1642" s="18" t="s">
        <v>6381</v>
      </c>
      <c r="B1642" s="18">
        <v>20002875223</v>
      </c>
      <c r="C1642" s="18" t="s">
        <v>5570</v>
      </c>
      <c r="D1642" s="19">
        <v>45768.446527777778</v>
      </c>
      <c r="E1642" s="18" t="s">
        <v>10</v>
      </c>
      <c r="F1642" s="18">
        <v>50</v>
      </c>
      <c r="G1642" s="19">
        <v>45793.484027777777</v>
      </c>
      <c r="H1642" s="18" t="s">
        <v>236</v>
      </c>
      <c r="I1642" s="18" t="s">
        <v>10</v>
      </c>
      <c r="J1642" s="18" t="s">
        <v>4017</v>
      </c>
      <c r="K1642" s="20"/>
    </row>
    <row r="1643" spans="1:11" ht="36.75" thickBot="1">
      <c r="A1643" s="18" t="s">
        <v>6382</v>
      </c>
      <c r="B1643" s="18">
        <v>20027836512</v>
      </c>
      <c r="C1643" s="18" t="s">
        <v>6383</v>
      </c>
      <c r="D1643" s="19">
        <v>45768.461111111108</v>
      </c>
      <c r="E1643" s="18" t="s">
        <v>10</v>
      </c>
      <c r="F1643" s="18">
        <v>40</v>
      </c>
      <c r="G1643" s="18" t="s">
        <v>10</v>
      </c>
      <c r="H1643" s="18" t="s">
        <v>178</v>
      </c>
      <c r="I1643" s="18" t="s">
        <v>10</v>
      </c>
      <c r="J1643" s="18" t="s">
        <v>4017</v>
      </c>
      <c r="K1643" s="20"/>
    </row>
    <row r="1644" spans="1:11" ht="54.75" thickBot="1">
      <c r="A1644" s="18" t="s">
        <v>6384</v>
      </c>
      <c r="B1644" s="18">
        <v>20027537319</v>
      </c>
      <c r="C1644" s="18" t="s">
        <v>6385</v>
      </c>
      <c r="D1644" s="19">
        <v>45768.597916666666</v>
      </c>
      <c r="E1644" s="18" t="s">
        <v>10</v>
      </c>
      <c r="F1644" s="18">
        <v>30</v>
      </c>
      <c r="G1644" s="18" t="s">
        <v>10</v>
      </c>
      <c r="H1644" s="18" t="s">
        <v>178</v>
      </c>
      <c r="I1644" s="18" t="s">
        <v>10</v>
      </c>
      <c r="J1644" s="18" t="s">
        <v>4017</v>
      </c>
      <c r="K1644" s="20"/>
    </row>
    <row r="1645" spans="1:11" ht="54.75" thickBot="1">
      <c r="A1645" s="18" t="s">
        <v>6386</v>
      </c>
      <c r="B1645" s="18">
        <v>20002846433</v>
      </c>
      <c r="C1645" s="18" t="s">
        <v>6387</v>
      </c>
      <c r="D1645" s="19">
        <v>45728.747916666667</v>
      </c>
      <c r="E1645" s="19">
        <v>45768.598611111112</v>
      </c>
      <c r="F1645" s="18">
        <v>80</v>
      </c>
      <c r="G1645" s="18" t="s">
        <v>10</v>
      </c>
      <c r="H1645" s="18" t="s">
        <v>178</v>
      </c>
      <c r="I1645" s="18" t="s">
        <v>10</v>
      </c>
      <c r="J1645" s="18" t="s">
        <v>4017</v>
      </c>
      <c r="K1645" s="20"/>
    </row>
    <row r="1646" spans="1:11" ht="36.75" thickBot="1">
      <c r="A1646" s="18" t="s">
        <v>6388</v>
      </c>
      <c r="B1646" s="18">
        <v>20026908256</v>
      </c>
      <c r="C1646" s="18" t="s">
        <v>6389</v>
      </c>
      <c r="D1646" s="19">
        <v>45768.663194444445</v>
      </c>
      <c r="E1646" s="18" t="s">
        <v>10</v>
      </c>
      <c r="F1646" s="18">
        <v>30</v>
      </c>
      <c r="G1646" s="18" t="s">
        <v>10</v>
      </c>
      <c r="H1646" s="18" t="s">
        <v>178</v>
      </c>
      <c r="I1646" s="18" t="s">
        <v>10</v>
      </c>
      <c r="J1646" s="18" t="s">
        <v>4017</v>
      </c>
      <c r="K1646" s="20"/>
    </row>
    <row r="1647" spans="1:11" ht="36.75" thickBot="1">
      <c r="A1647" s="18" t="s">
        <v>6390</v>
      </c>
      <c r="B1647" s="18">
        <v>20026601940</v>
      </c>
      <c r="C1647" s="18" t="s">
        <v>6391</v>
      </c>
      <c r="D1647" s="19">
        <v>45663.726388888892</v>
      </c>
      <c r="E1647" s="19">
        <v>45769.399305555555</v>
      </c>
      <c r="F1647" s="18">
        <v>250</v>
      </c>
      <c r="G1647" s="19">
        <v>45796.536805555559</v>
      </c>
      <c r="H1647" s="18" t="s">
        <v>236</v>
      </c>
      <c r="I1647" s="18" t="s">
        <v>10</v>
      </c>
      <c r="J1647" s="18" t="s">
        <v>4017</v>
      </c>
      <c r="K1647" s="20"/>
    </row>
    <row r="1648" spans="1:11" ht="36.75" thickBot="1">
      <c r="A1648" s="18" t="s">
        <v>6392</v>
      </c>
      <c r="B1648" s="18">
        <v>20003338223</v>
      </c>
      <c r="C1648" s="18" t="s">
        <v>4051</v>
      </c>
      <c r="D1648" s="19">
        <v>45769.415972222225</v>
      </c>
      <c r="E1648" s="18" t="s">
        <v>10</v>
      </c>
      <c r="F1648" s="117">
        <v>1000</v>
      </c>
      <c r="G1648" s="19">
        <v>45790.556250000001</v>
      </c>
      <c r="H1648" s="18" t="s">
        <v>2654</v>
      </c>
      <c r="I1648" s="18" t="s">
        <v>10</v>
      </c>
      <c r="J1648" s="18" t="s">
        <v>4017</v>
      </c>
      <c r="K1648" s="20"/>
    </row>
    <row r="1649" spans="1:11" ht="72.75" thickBot="1">
      <c r="A1649" s="18" t="s">
        <v>6393</v>
      </c>
      <c r="B1649" s="18">
        <v>20002993453</v>
      </c>
      <c r="C1649" s="18" t="s">
        <v>6394</v>
      </c>
      <c r="D1649" s="19">
        <v>45741.761805555558</v>
      </c>
      <c r="E1649" s="19">
        <v>45769.584722222222</v>
      </c>
      <c r="F1649" s="18">
        <v>40</v>
      </c>
      <c r="G1649" s="19">
        <v>45852.373611111114</v>
      </c>
      <c r="H1649" s="18" t="s">
        <v>2688</v>
      </c>
      <c r="I1649" s="18" t="s">
        <v>10</v>
      </c>
      <c r="J1649" s="18" t="s">
        <v>4017</v>
      </c>
      <c r="K1649" s="20"/>
    </row>
    <row r="1650" spans="1:11" ht="36.75" thickBot="1">
      <c r="A1650" s="18" t="s">
        <v>6395</v>
      </c>
      <c r="B1650" s="18">
        <v>20022710863</v>
      </c>
      <c r="C1650" s="18" t="s">
        <v>6396</v>
      </c>
      <c r="D1650" s="19">
        <v>45769.589583333334</v>
      </c>
      <c r="E1650" s="18" t="s">
        <v>10</v>
      </c>
      <c r="F1650" s="18">
        <v>150</v>
      </c>
      <c r="G1650" s="18" t="s">
        <v>10</v>
      </c>
      <c r="H1650" s="18" t="s">
        <v>178</v>
      </c>
      <c r="I1650" s="18" t="s">
        <v>10</v>
      </c>
      <c r="J1650" s="18" t="s">
        <v>4017</v>
      </c>
      <c r="K1650" s="20"/>
    </row>
    <row r="1651" spans="1:11" ht="36.75" thickBot="1">
      <c r="A1651" s="18" t="s">
        <v>6397</v>
      </c>
      <c r="B1651" s="18">
        <v>20003010080</v>
      </c>
      <c r="C1651" s="18" t="s">
        <v>6396</v>
      </c>
      <c r="D1651" s="19">
        <v>45769.611111111109</v>
      </c>
      <c r="E1651" s="18" t="s">
        <v>10</v>
      </c>
      <c r="F1651" s="18">
        <v>150</v>
      </c>
      <c r="G1651" s="18" t="s">
        <v>10</v>
      </c>
      <c r="H1651" s="18" t="s">
        <v>178</v>
      </c>
      <c r="I1651" s="18" t="s">
        <v>10</v>
      </c>
      <c r="J1651" s="18" t="s">
        <v>4017</v>
      </c>
      <c r="K1651" s="20"/>
    </row>
    <row r="1652" spans="1:11" ht="36.75" thickBot="1">
      <c r="A1652" s="18" t="s">
        <v>6398</v>
      </c>
      <c r="B1652" s="18">
        <v>20003116458</v>
      </c>
      <c r="C1652" s="18" t="s">
        <v>6399</v>
      </c>
      <c r="D1652" s="19">
        <v>45715.602083333331</v>
      </c>
      <c r="E1652" s="19">
        <v>45769.634027777778</v>
      </c>
      <c r="F1652" s="18">
        <v>350</v>
      </c>
      <c r="G1652" s="19">
        <v>45790.448611111111</v>
      </c>
      <c r="H1652" s="18" t="s">
        <v>2654</v>
      </c>
      <c r="I1652" s="18" t="s">
        <v>10</v>
      </c>
      <c r="J1652" s="18" t="s">
        <v>4017</v>
      </c>
      <c r="K1652" s="20"/>
    </row>
    <row r="1653" spans="1:11" ht="36.75" thickBot="1">
      <c r="A1653" s="18" t="s">
        <v>6400</v>
      </c>
      <c r="B1653" s="18">
        <v>20003426397</v>
      </c>
      <c r="C1653" s="18" t="s">
        <v>6401</v>
      </c>
      <c r="D1653" s="19">
        <v>45770.365277777775</v>
      </c>
      <c r="E1653" s="18" t="s">
        <v>10</v>
      </c>
      <c r="F1653" s="18">
        <v>30</v>
      </c>
      <c r="G1653" s="18" t="s">
        <v>10</v>
      </c>
      <c r="H1653" s="18" t="s">
        <v>178</v>
      </c>
      <c r="I1653" s="18" t="s">
        <v>10</v>
      </c>
      <c r="J1653" s="18" t="s">
        <v>4017</v>
      </c>
      <c r="K1653" s="20"/>
    </row>
    <row r="1654" spans="1:11" ht="72.75" thickBot="1">
      <c r="A1654" s="18" t="s">
        <v>6402</v>
      </c>
      <c r="B1654" s="18">
        <v>20020700770</v>
      </c>
      <c r="C1654" s="18" t="s">
        <v>5116</v>
      </c>
      <c r="D1654" s="19">
        <v>45770.551388888889</v>
      </c>
      <c r="E1654" s="18" t="s">
        <v>10</v>
      </c>
      <c r="F1654" s="18">
        <v>100</v>
      </c>
      <c r="G1654" s="19">
        <v>45845.609722222223</v>
      </c>
      <c r="H1654" s="18" t="s">
        <v>2657</v>
      </c>
      <c r="I1654" s="18" t="s">
        <v>10</v>
      </c>
      <c r="J1654" s="18" t="s">
        <v>4017</v>
      </c>
      <c r="K1654" s="20"/>
    </row>
    <row r="1655" spans="1:11" ht="36.75" thickBot="1">
      <c r="A1655" s="18" t="s">
        <v>6403</v>
      </c>
      <c r="B1655" s="18">
        <v>20003477473</v>
      </c>
      <c r="C1655" s="18" t="s">
        <v>5190</v>
      </c>
      <c r="D1655" s="19">
        <v>45770.568749999999</v>
      </c>
      <c r="E1655" s="18" t="s">
        <v>10</v>
      </c>
      <c r="F1655" s="18">
        <v>875</v>
      </c>
      <c r="G1655" s="18" t="s">
        <v>10</v>
      </c>
      <c r="H1655" s="18" t="s">
        <v>178</v>
      </c>
      <c r="I1655" s="18" t="s">
        <v>10</v>
      </c>
      <c r="J1655" s="18" t="s">
        <v>4017</v>
      </c>
      <c r="K1655" s="20"/>
    </row>
    <row r="1656" spans="1:11" ht="36.75" thickBot="1">
      <c r="A1656" s="18" t="s">
        <v>6404</v>
      </c>
      <c r="B1656" s="18">
        <v>20025677326</v>
      </c>
      <c r="C1656" s="18" t="s">
        <v>5768</v>
      </c>
      <c r="D1656" s="19">
        <v>45770.571527777778</v>
      </c>
      <c r="E1656" s="18" t="s">
        <v>10</v>
      </c>
      <c r="F1656" s="18">
        <v>60</v>
      </c>
      <c r="G1656" s="18" t="s">
        <v>10</v>
      </c>
      <c r="H1656" s="18" t="s">
        <v>178</v>
      </c>
      <c r="I1656" s="18" t="s">
        <v>10</v>
      </c>
      <c r="J1656" s="18" t="s">
        <v>4017</v>
      </c>
      <c r="K1656" s="20"/>
    </row>
    <row r="1657" spans="1:11" ht="36.75" thickBot="1">
      <c r="A1657" s="18" t="s">
        <v>6405</v>
      </c>
      <c r="B1657" s="18">
        <v>20016806790</v>
      </c>
      <c r="C1657" s="18" t="s">
        <v>4200</v>
      </c>
      <c r="D1657" s="19">
        <v>45743.707638888889</v>
      </c>
      <c r="E1657" s="19">
        <v>45770.574999999997</v>
      </c>
      <c r="F1657" s="18">
        <v>375</v>
      </c>
      <c r="G1657" s="19">
        <v>45799.402777777781</v>
      </c>
      <c r="H1657" s="18" t="s">
        <v>236</v>
      </c>
      <c r="I1657" s="18" t="s">
        <v>10</v>
      </c>
      <c r="J1657" s="18" t="s">
        <v>4017</v>
      </c>
      <c r="K1657" s="20"/>
    </row>
    <row r="1658" spans="1:11" ht="36.75" thickBot="1">
      <c r="A1658" s="18" t="s">
        <v>6406</v>
      </c>
      <c r="B1658" s="18">
        <v>20021241056</v>
      </c>
      <c r="C1658" s="18" t="s">
        <v>6327</v>
      </c>
      <c r="D1658" s="19">
        <v>45734.70208333333</v>
      </c>
      <c r="E1658" s="19">
        <v>45770.579861111109</v>
      </c>
      <c r="F1658" s="18">
        <v>200</v>
      </c>
      <c r="G1658" s="19">
        <v>45793.522222222222</v>
      </c>
      <c r="H1658" s="18" t="s">
        <v>2654</v>
      </c>
      <c r="I1658" s="18" t="s">
        <v>10</v>
      </c>
      <c r="J1658" s="18" t="s">
        <v>4017</v>
      </c>
      <c r="K1658" s="20"/>
    </row>
    <row r="1659" spans="1:11" ht="36.75" thickBot="1">
      <c r="A1659" s="18" t="s">
        <v>6407</v>
      </c>
      <c r="B1659" s="18">
        <v>20027360267</v>
      </c>
      <c r="C1659" s="18" t="s">
        <v>4264</v>
      </c>
      <c r="D1659" s="19">
        <v>45770.896527777775</v>
      </c>
      <c r="E1659" s="18" t="s">
        <v>10</v>
      </c>
      <c r="F1659" s="18">
        <v>50</v>
      </c>
      <c r="G1659" s="18" t="s">
        <v>10</v>
      </c>
      <c r="H1659" s="18" t="s">
        <v>178</v>
      </c>
      <c r="I1659" s="18" t="s">
        <v>10</v>
      </c>
      <c r="J1659" s="18" t="s">
        <v>4017</v>
      </c>
      <c r="K1659" s="20"/>
    </row>
    <row r="1660" spans="1:11" ht="36.75" thickBot="1">
      <c r="A1660" s="18" t="s">
        <v>6408</v>
      </c>
      <c r="B1660" s="18">
        <v>20003175266</v>
      </c>
      <c r="C1660" s="18" t="s">
        <v>4493</v>
      </c>
      <c r="D1660" s="19">
        <v>45771.561111111114</v>
      </c>
      <c r="E1660" s="18" t="s">
        <v>10</v>
      </c>
      <c r="F1660" s="18">
        <v>390</v>
      </c>
      <c r="G1660" s="18" t="s">
        <v>10</v>
      </c>
      <c r="H1660" s="18" t="s">
        <v>178</v>
      </c>
      <c r="I1660" s="18" t="s">
        <v>10</v>
      </c>
      <c r="J1660" s="18" t="s">
        <v>4017</v>
      </c>
      <c r="K1660" s="20"/>
    </row>
    <row r="1661" spans="1:11" ht="36.75" thickBot="1">
      <c r="A1661" s="18" t="s">
        <v>6409</v>
      </c>
      <c r="B1661" s="18">
        <v>20026911648</v>
      </c>
      <c r="C1661" s="18" t="s">
        <v>6410</v>
      </c>
      <c r="D1661" s="19">
        <v>45771.620833333334</v>
      </c>
      <c r="E1661" s="18" t="s">
        <v>10</v>
      </c>
      <c r="F1661" s="18">
        <v>50</v>
      </c>
      <c r="G1661" s="18" t="s">
        <v>10</v>
      </c>
      <c r="H1661" s="18" t="s">
        <v>178</v>
      </c>
      <c r="I1661" s="18" t="s">
        <v>10</v>
      </c>
      <c r="J1661" s="18" t="s">
        <v>4017</v>
      </c>
      <c r="K1661" s="20"/>
    </row>
    <row r="1662" spans="1:11" ht="36.75" thickBot="1">
      <c r="A1662" s="18" t="s">
        <v>6411</v>
      </c>
      <c r="B1662" s="18">
        <v>20003308141</v>
      </c>
      <c r="C1662" s="18" t="s">
        <v>5028</v>
      </c>
      <c r="D1662" s="19">
        <v>45772.463888888888</v>
      </c>
      <c r="E1662" s="18" t="s">
        <v>10</v>
      </c>
      <c r="F1662" s="18">
        <v>250</v>
      </c>
      <c r="G1662" s="19">
        <v>45846.397916666669</v>
      </c>
      <c r="H1662" s="18" t="s">
        <v>2654</v>
      </c>
      <c r="I1662" s="18" t="s">
        <v>10</v>
      </c>
      <c r="J1662" s="18" t="s">
        <v>4017</v>
      </c>
      <c r="K1662" s="20"/>
    </row>
    <row r="1663" spans="1:11" ht="36.75" thickBot="1">
      <c r="A1663" s="18" t="s">
        <v>6412</v>
      </c>
      <c r="B1663" s="18">
        <v>20018538199</v>
      </c>
      <c r="C1663" s="18" t="s">
        <v>5428</v>
      </c>
      <c r="D1663" s="19">
        <v>45745.457638888889</v>
      </c>
      <c r="E1663" s="19">
        <v>45772.469444444447</v>
      </c>
      <c r="F1663" s="18">
        <v>160</v>
      </c>
      <c r="G1663" s="19">
        <v>45804.381944444445</v>
      </c>
      <c r="H1663" s="18" t="s">
        <v>236</v>
      </c>
      <c r="I1663" s="18" t="s">
        <v>10</v>
      </c>
      <c r="J1663" s="18" t="s">
        <v>4017</v>
      </c>
      <c r="K1663" s="20"/>
    </row>
    <row r="1664" spans="1:11" ht="36.75" thickBot="1">
      <c r="A1664" s="18" t="s">
        <v>6413</v>
      </c>
      <c r="B1664" s="18">
        <v>20003490160</v>
      </c>
      <c r="C1664" s="18" t="s">
        <v>6414</v>
      </c>
      <c r="D1664" s="19">
        <v>45772.470138888886</v>
      </c>
      <c r="E1664" s="18" t="s">
        <v>10</v>
      </c>
      <c r="F1664" s="18">
        <v>108</v>
      </c>
      <c r="G1664" s="18" t="s">
        <v>10</v>
      </c>
      <c r="H1664" s="18" t="s">
        <v>178</v>
      </c>
      <c r="I1664" s="18" t="s">
        <v>10</v>
      </c>
      <c r="J1664" s="18" t="s">
        <v>4017</v>
      </c>
      <c r="K1664" s="20"/>
    </row>
    <row r="1665" spans="1:11" ht="36.75" thickBot="1">
      <c r="A1665" s="18" t="s">
        <v>6415</v>
      </c>
      <c r="B1665" s="18">
        <v>20020948494</v>
      </c>
      <c r="C1665" s="18" t="s">
        <v>6416</v>
      </c>
      <c r="D1665" s="19">
        <v>45772.486111111109</v>
      </c>
      <c r="E1665" s="18" t="s">
        <v>10</v>
      </c>
      <c r="F1665" s="18">
        <v>160</v>
      </c>
      <c r="G1665" s="18" t="s">
        <v>10</v>
      </c>
      <c r="H1665" s="18" t="s">
        <v>178</v>
      </c>
      <c r="I1665" s="18" t="s">
        <v>10</v>
      </c>
      <c r="J1665" s="18" t="s">
        <v>4017</v>
      </c>
      <c r="K1665" s="20"/>
    </row>
    <row r="1666" spans="1:11" ht="72.75" thickBot="1">
      <c r="A1666" s="18" t="s">
        <v>6417</v>
      </c>
      <c r="B1666" s="18">
        <v>20019647602</v>
      </c>
      <c r="C1666" s="18" t="s">
        <v>4243</v>
      </c>
      <c r="D1666" s="19">
        <v>45772.505555555559</v>
      </c>
      <c r="E1666" s="18" t="s">
        <v>10</v>
      </c>
      <c r="F1666" s="18">
        <v>190</v>
      </c>
      <c r="G1666" s="19">
        <v>45817.486805555556</v>
      </c>
      <c r="H1666" s="18" t="s">
        <v>2657</v>
      </c>
      <c r="I1666" s="18" t="s">
        <v>10</v>
      </c>
      <c r="J1666" s="18" t="s">
        <v>4017</v>
      </c>
      <c r="K1666" s="20"/>
    </row>
    <row r="1667" spans="1:11" ht="36.75" thickBot="1">
      <c r="A1667" s="18" t="s">
        <v>6418</v>
      </c>
      <c r="B1667" s="18">
        <v>20028307487</v>
      </c>
      <c r="C1667" s="18" t="s">
        <v>6042</v>
      </c>
      <c r="D1667" s="19">
        <v>45749.412499999999</v>
      </c>
      <c r="E1667" s="19">
        <v>45772.55972222222</v>
      </c>
      <c r="F1667" s="18">
        <v>50</v>
      </c>
      <c r="G1667" s="18" t="s">
        <v>10</v>
      </c>
      <c r="H1667" s="18" t="s">
        <v>178</v>
      </c>
      <c r="I1667" s="18" t="s">
        <v>10</v>
      </c>
      <c r="J1667" s="18" t="s">
        <v>4017</v>
      </c>
      <c r="K1667" s="20"/>
    </row>
    <row r="1668" spans="1:11" ht="72.75" thickBot="1">
      <c r="A1668" s="18" t="s">
        <v>6419</v>
      </c>
      <c r="B1668" s="18">
        <v>20027063979</v>
      </c>
      <c r="C1668" s="18" t="s">
        <v>6420</v>
      </c>
      <c r="D1668" s="19">
        <v>45772.574999999997</v>
      </c>
      <c r="E1668" s="18" t="s">
        <v>10</v>
      </c>
      <c r="F1668" s="18">
        <v>20</v>
      </c>
      <c r="G1668" s="18" t="s">
        <v>10</v>
      </c>
      <c r="H1668" s="18" t="s">
        <v>178</v>
      </c>
      <c r="I1668" s="18" t="s">
        <v>10</v>
      </c>
      <c r="J1668" s="18" t="s">
        <v>4017</v>
      </c>
      <c r="K1668" s="20"/>
    </row>
    <row r="1669" spans="1:11" ht="36.75" thickBot="1">
      <c r="A1669" s="18" t="s">
        <v>6421</v>
      </c>
      <c r="B1669" s="18">
        <v>20003478082</v>
      </c>
      <c r="C1669" s="18" t="s">
        <v>6221</v>
      </c>
      <c r="D1669" s="19">
        <v>45772.68472222222</v>
      </c>
      <c r="E1669" s="18" t="s">
        <v>10</v>
      </c>
      <c r="F1669" s="18">
        <v>180</v>
      </c>
      <c r="G1669" s="18" t="s">
        <v>10</v>
      </c>
      <c r="H1669" s="18" t="s">
        <v>178</v>
      </c>
      <c r="I1669" s="18" t="s">
        <v>10</v>
      </c>
      <c r="J1669" s="18" t="s">
        <v>4017</v>
      </c>
      <c r="K1669" s="20"/>
    </row>
    <row r="1670" spans="1:11" ht="36.75" thickBot="1">
      <c r="A1670" s="18" t="s">
        <v>6422</v>
      </c>
      <c r="B1670" s="18">
        <v>20024513800</v>
      </c>
      <c r="C1670" s="18" t="s">
        <v>6423</v>
      </c>
      <c r="D1670" s="19">
        <v>45773.650694444441</v>
      </c>
      <c r="E1670" s="18" t="s">
        <v>10</v>
      </c>
      <c r="F1670" s="18">
        <v>125</v>
      </c>
      <c r="G1670" s="19">
        <v>45824.475694444445</v>
      </c>
      <c r="H1670" s="18" t="s">
        <v>236</v>
      </c>
      <c r="I1670" s="18" t="s">
        <v>10</v>
      </c>
      <c r="J1670" s="18" t="s">
        <v>4017</v>
      </c>
      <c r="K1670" s="20"/>
    </row>
    <row r="1671" spans="1:11" ht="36.75" thickBot="1">
      <c r="A1671" s="18" t="s">
        <v>6424</v>
      </c>
      <c r="B1671" s="18">
        <v>20026843443</v>
      </c>
      <c r="C1671" s="18" t="s">
        <v>4135</v>
      </c>
      <c r="D1671" s="19">
        <v>45773.913194444445</v>
      </c>
      <c r="E1671" s="18" t="s">
        <v>10</v>
      </c>
      <c r="F1671" s="18">
        <v>60</v>
      </c>
      <c r="G1671" s="18" t="s">
        <v>10</v>
      </c>
      <c r="H1671" s="18" t="s">
        <v>178</v>
      </c>
      <c r="I1671" s="18" t="s">
        <v>10</v>
      </c>
      <c r="J1671" s="18" t="s">
        <v>4017</v>
      </c>
      <c r="K1671" s="20"/>
    </row>
    <row r="1672" spans="1:11" ht="36.75" thickBot="1">
      <c r="A1672" s="18" t="s">
        <v>6425</v>
      </c>
      <c r="B1672" s="18">
        <v>20021162956</v>
      </c>
      <c r="C1672" s="18" t="s">
        <v>4135</v>
      </c>
      <c r="D1672" s="19">
        <v>45773.921527777777</v>
      </c>
      <c r="E1672" s="18" t="s">
        <v>10</v>
      </c>
      <c r="F1672" s="18">
        <v>60</v>
      </c>
      <c r="G1672" s="18" t="s">
        <v>10</v>
      </c>
      <c r="H1672" s="18" t="s">
        <v>178</v>
      </c>
      <c r="I1672" s="18" t="s">
        <v>10</v>
      </c>
      <c r="J1672" s="18" t="s">
        <v>4017</v>
      </c>
      <c r="K1672" s="20"/>
    </row>
    <row r="1673" spans="1:11" ht="36.75" thickBot="1">
      <c r="A1673" s="18" t="s">
        <v>6426</v>
      </c>
      <c r="B1673" s="18">
        <v>20021072908</v>
      </c>
      <c r="C1673" s="18" t="s">
        <v>4135</v>
      </c>
      <c r="D1673" s="19">
        <v>45773.9375</v>
      </c>
      <c r="E1673" s="18" t="s">
        <v>10</v>
      </c>
      <c r="F1673" s="18">
        <v>300</v>
      </c>
      <c r="G1673" s="18" t="s">
        <v>10</v>
      </c>
      <c r="H1673" s="18" t="s">
        <v>178</v>
      </c>
      <c r="I1673" s="18" t="s">
        <v>10</v>
      </c>
      <c r="J1673" s="18" t="s">
        <v>4017</v>
      </c>
      <c r="K1673" s="20"/>
    </row>
    <row r="1674" spans="1:11" ht="36.75" thickBot="1">
      <c r="A1674" s="18" t="s">
        <v>6427</v>
      </c>
      <c r="B1674" s="18">
        <v>20021166275</v>
      </c>
      <c r="C1674" s="18" t="s">
        <v>4135</v>
      </c>
      <c r="D1674" s="19">
        <v>45773.947916666664</v>
      </c>
      <c r="E1674" s="18" t="s">
        <v>10</v>
      </c>
      <c r="F1674" s="18">
        <v>136</v>
      </c>
      <c r="G1674" s="18" t="s">
        <v>10</v>
      </c>
      <c r="H1674" s="18" t="s">
        <v>178</v>
      </c>
      <c r="I1674" s="18" t="s">
        <v>10</v>
      </c>
      <c r="J1674" s="18" t="s">
        <v>4017</v>
      </c>
      <c r="K1674" s="20"/>
    </row>
    <row r="1675" spans="1:11" ht="36.75" thickBot="1">
      <c r="A1675" s="18" t="s">
        <v>6428</v>
      </c>
      <c r="B1675" s="18">
        <v>20020672865</v>
      </c>
      <c r="C1675" s="18" t="s">
        <v>6429</v>
      </c>
      <c r="D1675" s="19">
        <v>45775.236111111109</v>
      </c>
      <c r="E1675" s="18" t="s">
        <v>10</v>
      </c>
      <c r="F1675" s="18">
        <v>210</v>
      </c>
      <c r="G1675" s="18" t="s">
        <v>10</v>
      </c>
      <c r="H1675" s="18" t="s">
        <v>178</v>
      </c>
      <c r="I1675" s="18" t="s">
        <v>10</v>
      </c>
      <c r="J1675" s="18" t="s">
        <v>4017</v>
      </c>
      <c r="K1675" s="20"/>
    </row>
    <row r="1676" spans="1:11" ht="36.75" thickBot="1">
      <c r="A1676" s="18" t="s">
        <v>6430</v>
      </c>
      <c r="B1676" s="18">
        <v>20003129676</v>
      </c>
      <c r="C1676" s="18" t="s">
        <v>6297</v>
      </c>
      <c r="D1676" s="19">
        <v>45775.399305555555</v>
      </c>
      <c r="E1676" s="18" t="s">
        <v>10</v>
      </c>
      <c r="F1676" s="18">
        <v>186</v>
      </c>
      <c r="G1676" s="19">
        <v>45833.554166666669</v>
      </c>
      <c r="H1676" s="18" t="s">
        <v>236</v>
      </c>
      <c r="I1676" s="18" t="s">
        <v>10</v>
      </c>
      <c r="J1676" s="18" t="s">
        <v>4017</v>
      </c>
      <c r="K1676" s="20"/>
    </row>
    <row r="1677" spans="1:11" ht="36.75" thickBot="1">
      <c r="A1677" s="18" t="s">
        <v>6431</v>
      </c>
      <c r="B1677" s="18">
        <v>20020531372</v>
      </c>
      <c r="C1677" s="18" t="s">
        <v>6432</v>
      </c>
      <c r="D1677" s="19">
        <v>45775.497916666667</v>
      </c>
      <c r="E1677" s="18" t="s">
        <v>10</v>
      </c>
      <c r="F1677" s="18">
        <v>40</v>
      </c>
      <c r="G1677" s="18" t="s">
        <v>10</v>
      </c>
      <c r="H1677" s="18" t="s">
        <v>178</v>
      </c>
      <c r="I1677" s="18" t="s">
        <v>10</v>
      </c>
      <c r="J1677" s="18" t="s">
        <v>4017</v>
      </c>
      <c r="K1677" s="20"/>
    </row>
    <row r="1678" spans="1:11" ht="36.75" thickBot="1">
      <c r="A1678" s="18" t="s">
        <v>6433</v>
      </c>
      <c r="B1678" s="18">
        <v>20010793516</v>
      </c>
      <c r="C1678" s="18" t="s">
        <v>4296</v>
      </c>
      <c r="D1678" s="19">
        <v>45775.501388888886</v>
      </c>
      <c r="E1678" s="18" t="s">
        <v>10</v>
      </c>
      <c r="F1678" s="18">
        <v>30</v>
      </c>
      <c r="G1678" s="18" t="s">
        <v>10</v>
      </c>
      <c r="H1678" s="18" t="s">
        <v>178</v>
      </c>
      <c r="I1678" s="18" t="s">
        <v>10</v>
      </c>
      <c r="J1678" s="18" t="s">
        <v>4017</v>
      </c>
      <c r="K1678" s="20"/>
    </row>
    <row r="1679" spans="1:11" ht="54.75" thickBot="1">
      <c r="A1679" s="18" t="s">
        <v>6434</v>
      </c>
      <c r="B1679" s="18">
        <v>20027410308</v>
      </c>
      <c r="C1679" s="18" t="s">
        <v>5661</v>
      </c>
      <c r="D1679" s="19">
        <v>45733.612500000003</v>
      </c>
      <c r="E1679" s="19">
        <v>45775.581944444442</v>
      </c>
      <c r="F1679" s="18">
        <v>30</v>
      </c>
      <c r="G1679" s="18" t="s">
        <v>10</v>
      </c>
      <c r="H1679" s="18" t="s">
        <v>178</v>
      </c>
      <c r="I1679" s="18" t="s">
        <v>10</v>
      </c>
      <c r="J1679" s="18" t="s">
        <v>4017</v>
      </c>
      <c r="K1679" s="20"/>
    </row>
    <row r="1680" spans="1:11" ht="36.75" thickBot="1">
      <c r="A1680" s="18" t="s">
        <v>6435</v>
      </c>
      <c r="B1680" s="18">
        <v>20020934591</v>
      </c>
      <c r="C1680" s="18" t="s">
        <v>6436</v>
      </c>
      <c r="D1680" s="19">
        <v>45737.694444444445</v>
      </c>
      <c r="E1680" s="19">
        <v>45775.583333333336</v>
      </c>
      <c r="F1680" s="18">
        <v>30</v>
      </c>
      <c r="G1680" s="18" t="s">
        <v>10</v>
      </c>
      <c r="H1680" s="18" t="s">
        <v>178</v>
      </c>
      <c r="I1680" s="18" t="s">
        <v>10</v>
      </c>
      <c r="J1680" s="18" t="s">
        <v>4017</v>
      </c>
      <c r="K1680" s="20"/>
    </row>
    <row r="1681" spans="1:11" ht="36.75" thickBot="1">
      <c r="A1681" s="18" t="s">
        <v>6437</v>
      </c>
      <c r="B1681" s="18">
        <v>20022562418</v>
      </c>
      <c r="C1681" s="18" t="s">
        <v>6432</v>
      </c>
      <c r="D1681" s="19">
        <v>45775.595833333333</v>
      </c>
      <c r="E1681" s="18" t="s">
        <v>10</v>
      </c>
      <c r="F1681" s="18">
        <v>24</v>
      </c>
      <c r="G1681" s="18" t="s">
        <v>10</v>
      </c>
      <c r="H1681" s="18" t="s">
        <v>178</v>
      </c>
      <c r="I1681" s="18" t="s">
        <v>10</v>
      </c>
      <c r="J1681" s="18" t="s">
        <v>4017</v>
      </c>
      <c r="K1681" s="20"/>
    </row>
    <row r="1682" spans="1:11" ht="36.75" thickBot="1">
      <c r="A1682" s="18" t="s">
        <v>6438</v>
      </c>
      <c r="B1682" s="18">
        <v>20021070756</v>
      </c>
      <c r="C1682" s="18" t="s">
        <v>4135</v>
      </c>
      <c r="D1682" s="19">
        <v>45775.6</v>
      </c>
      <c r="E1682" s="18" t="s">
        <v>10</v>
      </c>
      <c r="F1682" s="18">
        <v>100</v>
      </c>
      <c r="G1682" s="18" t="s">
        <v>10</v>
      </c>
      <c r="H1682" s="18" t="s">
        <v>178</v>
      </c>
      <c r="I1682" s="18" t="s">
        <v>10</v>
      </c>
      <c r="J1682" s="18" t="s">
        <v>4017</v>
      </c>
      <c r="K1682" s="20"/>
    </row>
    <row r="1683" spans="1:11" ht="36.75" thickBot="1">
      <c r="A1683" s="18" t="s">
        <v>6439</v>
      </c>
      <c r="B1683" s="18">
        <v>20022104703</v>
      </c>
      <c r="C1683" s="18" t="s">
        <v>6049</v>
      </c>
      <c r="D1683" s="19">
        <v>45775.70416666667</v>
      </c>
      <c r="E1683" s="18" t="s">
        <v>10</v>
      </c>
      <c r="F1683" s="18">
        <v>180</v>
      </c>
      <c r="G1683" s="18" t="s">
        <v>10</v>
      </c>
      <c r="H1683" s="18" t="s">
        <v>178</v>
      </c>
      <c r="I1683" s="18" t="s">
        <v>10</v>
      </c>
      <c r="J1683" s="18" t="s">
        <v>4017</v>
      </c>
      <c r="K1683" s="20"/>
    </row>
    <row r="1684" spans="1:11" ht="36.75" thickBot="1">
      <c r="A1684" s="18" t="s">
        <v>6440</v>
      </c>
      <c r="B1684" s="18">
        <v>20017641758</v>
      </c>
      <c r="C1684" s="18" t="s">
        <v>6146</v>
      </c>
      <c r="D1684" s="19">
        <v>45740.365972222222</v>
      </c>
      <c r="E1684" s="19">
        <v>45776.421527777777</v>
      </c>
      <c r="F1684" s="18">
        <v>30</v>
      </c>
      <c r="G1684" s="19">
        <v>45813.540972222225</v>
      </c>
      <c r="H1684" s="18" t="s">
        <v>236</v>
      </c>
      <c r="I1684" s="18" t="s">
        <v>10</v>
      </c>
      <c r="J1684" s="18" t="s">
        <v>4017</v>
      </c>
      <c r="K1684" s="20"/>
    </row>
    <row r="1685" spans="1:11" ht="36.75" thickBot="1">
      <c r="A1685" s="18" t="s">
        <v>6441</v>
      </c>
      <c r="B1685" s="18">
        <v>20027241976</v>
      </c>
      <c r="C1685" s="18" t="s">
        <v>6442</v>
      </c>
      <c r="D1685" s="19">
        <v>45776.529166666667</v>
      </c>
      <c r="E1685" s="18" t="s">
        <v>10</v>
      </c>
      <c r="F1685" s="18">
        <v>30</v>
      </c>
      <c r="G1685" s="18" t="s">
        <v>10</v>
      </c>
      <c r="H1685" s="18" t="s">
        <v>178</v>
      </c>
      <c r="I1685" s="18" t="s">
        <v>10</v>
      </c>
      <c r="J1685" s="18" t="s">
        <v>4017</v>
      </c>
      <c r="K1685" s="20"/>
    </row>
    <row r="1686" spans="1:11" ht="36.75" thickBot="1">
      <c r="A1686" s="18" t="s">
        <v>6443</v>
      </c>
      <c r="B1686" s="18">
        <v>20003247502</v>
      </c>
      <c r="C1686" s="18" t="s">
        <v>6444</v>
      </c>
      <c r="D1686" s="19">
        <v>45705.466666666667</v>
      </c>
      <c r="E1686" s="19">
        <v>45776.656944444447</v>
      </c>
      <c r="F1686" s="18">
        <v>600</v>
      </c>
      <c r="G1686" s="19">
        <v>45821.543055555558</v>
      </c>
      <c r="H1686" s="18" t="s">
        <v>2654</v>
      </c>
      <c r="I1686" s="18" t="s">
        <v>10</v>
      </c>
      <c r="J1686" s="18" t="s">
        <v>4017</v>
      </c>
      <c r="K1686" s="20"/>
    </row>
    <row r="1687" spans="1:11" ht="36.75" thickBot="1">
      <c r="A1687" s="18" t="s">
        <v>6445</v>
      </c>
      <c r="B1687" s="18">
        <v>20003518428</v>
      </c>
      <c r="C1687" s="18" t="s">
        <v>6446</v>
      </c>
      <c r="D1687" s="19">
        <v>45776.731249999997</v>
      </c>
      <c r="E1687" s="18" t="s">
        <v>10</v>
      </c>
      <c r="F1687" s="18">
        <v>50</v>
      </c>
      <c r="G1687" s="18" t="s">
        <v>10</v>
      </c>
      <c r="H1687" s="18" t="s">
        <v>178</v>
      </c>
      <c r="I1687" s="18" t="s">
        <v>10</v>
      </c>
      <c r="J1687" s="18" t="s">
        <v>4017</v>
      </c>
      <c r="K1687" s="20"/>
    </row>
    <row r="1688" spans="1:11" ht="54.75" thickBot="1">
      <c r="A1688" s="18" t="s">
        <v>6447</v>
      </c>
      <c r="B1688" s="18">
        <v>20022938624</v>
      </c>
      <c r="C1688" s="18" t="s">
        <v>6448</v>
      </c>
      <c r="D1688" s="19">
        <v>45776.833333333336</v>
      </c>
      <c r="E1688" s="18" t="s">
        <v>10</v>
      </c>
      <c r="F1688" s="18">
        <v>20</v>
      </c>
      <c r="G1688" s="18" t="s">
        <v>10</v>
      </c>
      <c r="H1688" s="18" t="s">
        <v>178</v>
      </c>
      <c r="I1688" s="18" t="s">
        <v>10</v>
      </c>
      <c r="J1688" s="18" t="s">
        <v>4017</v>
      </c>
      <c r="K1688" s="20"/>
    </row>
    <row r="1689" spans="1:11" ht="36.75" thickBot="1">
      <c r="A1689" s="18" t="s">
        <v>6449</v>
      </c>
      <c r="B1689" s="18">
        <v>20002881851</v>
      </c>
      <c r="C1689" s="18" t="s">
        <v>6224</v>
      </c>
      <c r="D1689" s="19">
        <v>45777.46875</v>
      </c>
      <c r="E1689" s="18" t="s">
        <v>10</v>
      </c>
      <c r="F1689" s="18">
        <v>100</v>
      </c>
      <c r="G1689" s="19">
        <v>45832.379861111112</v>
      </c>
      <c r="H1689" s="18" t="s">
        <v>236</v>
      </c>
      <c r="I1689" s="18" t="s">
        <v>10</v>
      </c>
      <c r="J1689" s="18" t="s">
        <v>4017</v>
      </c>
      <c r="K1689" s="20"/>
    </row>
    <row r="1690" spans="1:11" ht="54.75" thickBot="1">
      <c r="A1690" s="18" t="s">
        <v>6450</v>
      </c>
      <c r="B1690" s="18">
        <v>20028024185</v>
      </c>
      <c r="C1690" s="18" t="s">
        <v>6451</v>
      </c>
      <c r="D1690" s="19">
        <v>45777.574305555558</v>
      </c>
      <c r="E1690" s="18" t="s">
        <v>10</v>
      </c>
      <c r="F1690" s="18">
        <v>20</v>
      </c>
      <c r="G1690" s="18" t="s">
        <v>10</v>
      </c>
      <c r="H1690" s="18" t="s">
        <v>178</v>
      </c>
      <c r="I1690" s="18" t="s">
        <v>10</v>
      </c>
      <c r="J1690" s="18" t="s">
        <v>4017</v>
      </c>
      <c r="K1690" s="20"/>
    </row>
    <row r="1691" spans="1:11" ht="72.75" thickBot="1">
      <c r="A1691" s="18" t="s">
        <v>6452</v>
      </c>
      <c r="B1691" s="18">
        <v>20023218657</v>
      </c>
      <c r="C1691" s="18" t="s">
        <v>6453</v>
      </c>
      <c r="D1691" s="19">
        <v>45777.70416666667</v>
      </c>
      <c r="E1691" s="18" t="s">
        <v>10</v>
      </c>
      <c r="F1691" s="18">
        <v>20</v>
      </c>
      <c r="G1691" s="18" t="s">
        <v>10</v>
      </c>
      <c r="H1691" s="18" t="s">
        <v>178</v>
      </c>
      <c r="I1691" s="18" t="s">
        <v>10</v>
      </c>
      <c r="J1691" s="18" t="s">
        <v>4017</v>
      </c>
      <c r="K1691" s="20"/>
    </row>
    <row r="1692" spans="1:11" ht="54.75" thickBot="1">
      <c r="A1692" s="18" t="s">
        <v>6454</v>
      </c>
      <c r="B1692" s="18">
        <v>20023471766</v>
      </c>
      <c r="C1692" s="18" t="s">
        <v>6455</v>
      </c>
      <c r="D1692" s="19">
        <v>45777.717361111114</v>
      </c>
      <c r="E1692" s="18" t="s">
        <v>10</v>
      </c>
      <c r="F1692" s="18">
        <v>20</v>
      </c>
      <c r="G1692" s="18" t="s">
        <v>10</v>
      </c>
      <c r="H1692" s="18" t="s">
        <v>178</v>
      </c>
      <c r="I1692" s="18" t="s">
        <v>10</v>
      </c>
      <c r="J1692" s="18" t="s">
        <v>4017</v>
      </c>
      <c r="K1692" s="20"/>
    </row>
    <row r="1693" spans="1:11" ht="72.75" thickBot="1">
      <c r="A1693" s="18" t="s">
        <v>6456</v>
      </c>
      <c r="B1693" s="18">
        <v>20023331151</v>
      </c>
      <c r="C1693" s="18" t="s">
        <v>6457</v>
      </c>
      <c r="D1693" s="19">
        <v>45777.731944444444</v>
      </c>
      <c r="E1693" s="18" t="s">
        <v>10</v>
      </c>
      <c r="F1693" s="18">
        <v>20</v>
      </c>
      <c r="G1693" s="18" t="s">
        <v>10</v>
      </c>
      <c r="H1693" s="18" t="s">
        <v>178</v>
      </c>
      <c r="I1693" s="18" t="s">
        <v>10</v>
      </c>
      <c r="J1693" s="18" t="s">
        <v>4017</v>
      </c>
      <c r="K1693" s="20"/>
    </row>
    <row r="1694" spans="1:11" ht="36.75" thickBot="1">
      <c r="A1694" s="18" t="s">
        <v>6458</v>
      </c>
      <c r="B1694" s="18">
        <v>20002781554</v>
      </c>
      <c r="C1694" s="18" t="s">
        <v>6169</v>
      </c>
      <c r="D1694" s="19">
        <v>45777.756944444445</v>
      </c>
      <c r="E1694" s="18" t="s">
        <v>10</v>
      </c>
      <c r="F1694" s="18">
        <v>100</v>
      </c>
      <c r="G1694" s="18" t="s">
        <v>10</v>
      </c>
      <c r="H1694" s="18" t="s">
        <v>178</v>
      </c>
      <c r="I1694" s="18" t="s">
        <v>10</v>
      </c>
      <c r="J1694" s="18" t="s">
        <v>4017</v>
      </c>
      <c r="K1694" s="20"/>
    </row>
    <row r="1695" spans="1:11" ht="36.75" thickBot="1">
      <c r="A1695" s="18" t="s">
        <v>6459</v>
      </c>
      <c r="B1695" s="18">
        <v>20002923400</v>
      </c>
      <c r="C1695" s="18" t="s">
        <v>6460</v>
      </c>
      <c r="D1695" s="19">
        <v>45778.038194444445</v>
      </c>
      <c r="E1695" s="18" t="s">
        <v>10</v>
      </c>
      <c r="F1695" s="18">
        <v>800</v>
      </c>
      <c r="G1695" s="18" t="s">
        <v>10</v>
      </c>
      <c r="H1695" s="18" t="s">
        <v>178</v>
      </c>
      <c r="I1695" s="18" t="s">
        <v>10</v>
      </c>
      <c r="J1695" s="18" t="s">
        <v>4017</v>
      </c>
      <c r="K1695" s="20"/>
    </row>
    <row r="1696" spans="1:11" ht="36.75" thickBot="1">
      <c r="A1696" s="18" t="s">
        <v>6461</v>
      </c>
      <c r="B1696" s="18">
        <v>20022438077</v>
      </c>
      <c r="C1696" s="18" t="s">
        <v>6462</v>
      </c>
      <c r="D1696" s="19">
        <v>45779.623611111114</v>
      </c>
      <c r="E1696" s="18" t="s">
        <v>10</v>
      </c>
      <c r="F1696" s="18">
        <v>100</v>
      </c>
      <c r="G1696" s="18" t="s">
        <v>10</v>
      </c>
      <c r="H1696" s="18" t="s">
        <v>178</v>
      </c>
      <c r="I1696" s="18" t="s">
        <v>10</v>
      </c>
      <c r="J1696" s="18" t="s">
        <v>4017</v>
      </c>
      <c r="K1696" s="20"/>
    </row>
    <row r="1697" spans="1:11" ht="36.75" thickBot="1">
      <c r="A1697" s="18" t="s">
        <v>6463</v>
      </c>
      <c r="B1697" s="18">
        <v>20003338223</v>
      </c>
      <c r="C1697" s="18" t="s">
        <v>4051</v>
      </c>
      <c r="D1697" s="19">
        <v>45775.518055555556</v>
      </c>
      <c r="E1697" s="19">
        <v>45779.679166666669</v>
      </c>
      <c r="F1697" s="18">
        <v>800</v>
      </c>
      <c r="G1697" s="19">
        <v>45812.37222222222</v>
      </c>
      <c r="H1697" s="18" t="s">
        <v>2654</v>
      </c>
      <c r="I1697" s="18" t="s">
        <v>10</v>
      </c>
      <c r="J1697" s="18" t="s">
        <v>4017</v>
      </c>
      <c r="K1697" s="20"/>
    </row>
    <row r="1698" spans="1:11" ht="72.75" thickBot="1">
      <c r="A1698" s="18" t="s">
        <v>6464</v>
      </c>
      <c r="B1698" s="18">
        <v>20024858561</v>
      </c>
      <c r="C1698" s="18" t="s">
        <v>6465</v>
      </c>
      <c r="D1698" s="19">
        <v>45779.709722222222</v>
      </c>
      <c r="E1698" s="18" t="s">
        <v>10</v>
      </c>
      <c r="F1698" s="18">
        <v>20</v>
      </c>
      <c r="G1698" s="18" t="s">
        <v>10</v>
      </c>
      <c r="H1698" s="18" t="s">
        <v>178</v>
      </c>
      <c r="I1698" s="18" t="s">
        <v>10</v>
      </c>
      <c r="J1698" s="18" t="s">
        <v>4017</v>
      </c>
      <c r="K1698" s="20"/>
    </row>
    <row r="1699" spans="1:11" ht="72.75" thickBot="1">
      <c r="A1699" s="18" t="s">
        <v>6466</v>
      </c>
      <c r="B1699" s="18">
        <v>20025237116</v>
      </c>
      <c r="C1699" s="18" t="s">
        <v>6467</v>
      </c>
      <c r="D1699" s="19">
        <v>45779.743055555555</v>
      </c>
      <c r="E1699" s="18" t="s">
        <v>10</v>
      </c>
      <c r="F1699" s="18">
        <v>20</v>
      </c>
      <c r="G1699" s="18" t="s">
        <v>10</v>
      </c>
      <c r="H1699" s="18" t="s">
        <v>178</v>
      </c>
      <c r="I1699" s="18" t="s">
        <v>10</v>
      </c>
      <c r="J1699" s="18" t="s">
        <v>4017</v>
      </c>
      <c r="K1699" s="20"/>
    </row>
    <row r="1700" spans="1:11" ht="72.75" thickBot="1">
      <c r="A1700" s="18" t="s">
        <v>6468</v>
      </c>
      <c r="B1700" s="18">
        <v>20020275948</v>
      </c>
      <c r="C1700" s="18" t="s">
        <v>6293</v>
      </c>
      <c r="D1700" s="19">
        <v>45780.438888888886</v>
      </c>
      <c r="E1700" s="18" t="s">
        <v>10</v>
      </c>
      <c r="F1700" s="18">
        <v>50</v>
      </c>
      <c r="G1700" s="19">
        <v>45833.501388888886</v>
      </c>
      <c r="H1700" s="18" t="s">
        <v>2657</v>
      </c>
      <c r="I1700" s="18" t="s">
        <v>10</v>
      </c>
      <c r="J1700" s="18" t="s">
        <v>4017</v>
      </c>
      <c r="K1700" s="20"/>
    </row>
    <row r="1701" spans="1:11" ht="36.75" thickBot="1">
      <c r="A1701" s="18" t="s">
        <v>6469</v>
      </c>
      <c r="B1701" s="18">
        <v>20023859100</v>
      </c>
      <c r="C1701" s="18" t="s">
        <v>4215</v>
      </c>
      <c r="D1701" s="19">
        <v>45781.698611111111</v>
      </c>
      <c r="E1701" s="18" t="s">
        <v>10</v>
      </c>
      <c r="F1701" s="18">
        <v>120</v>
      </c>
      <c r="G1701" s="18" t="s">
        <v>10</v>
      </c>
      <c r="H1701" s="18" t="s">
        <v>178</v>
      </c>
      <c r="I1701" s="18" t="s">
        <v>10</v>
      </c>
      <c r="J1701" s="18" t="s">
        <v>4017</v>
      </c>
      <c r="K1701" s="1"/>
    </row>
    <row r="1702" spans="1:11" ht="72.75" thickBot="1">
      <c r="A1702" s="21" t="s">
        <v>6470</v>
      </c>
      <c r="B1702" s="21">
        <v>20027095843</v>
      </c>
      <c r="C1702" s="21" t="s">
        <v>6471</v>
      </c>
      <c r="D1702" s="22">
        <v>45782.593055555553</v>
      </c>
      <c r="E1702" s="21" t="s">
        <v>10</v>
      </c>
      <c r="F1702" s="21">
        <v>20</v>
      </c>
      <c r="G1702" s="21" t="s">
        <v>10</v>
      </c>
      <c r="H1702" s="21" t="s">
        <v>178</v>
      </c>
      <c r="I1702" s="21" t="s">
        <v>10</v>
      </c>
      <c r="J1702" s="21" t="s">
        <v>4017</v>
      </c>
      <c r="K1702" s="20"/>
    </row>
    <row r="1703" spans="1:11" ht="36.75" thickBot="1">
      <c r="A1703" s="18" t="s">
        <v>6472</v>
      </c>
      <c r="B1703" s="18">
        <v>20025993428</v>
      </c>
      <c r="C1703" s="18" t="s">
        <v>4542</v>
      </c>
      <c r="D1703" s="19">
        <v>45782.636805555558</v>
      </c>
      <c r="E1703" s="18" t="s">
        <v>10</v>
      </c>
      <c r="F1703" s="18">
        <v>90</v>
      </c>
      <c r="G1703" s="18" t="s">
        <v>10</v>
      </c>
      <c r="H1703" s="18" t="s">
        <v>178</v>
      </c>
      <c r="I1703" s="18" t="s">
        <v>10</v>
      </c>
      <c r="J1703" s="18" t="s">
        <v>4017</v>
      </c>
      <c r="K1703" s="20"/>
    </row>
    <row r="1704" spans="1:11" ht="36.75" thickBot="1">
      <c r="A1704" s="18" t="s">
        <v>6473</v>
      </c>
      <c r="B1704" s="18">
        <v>20027866853</v>
      </c>
      <c r="C1704" s="18" t="s">
        <v>5635</v>
      </c>
      <c r="D1704" s="19">
        <v>45782.688888888886</v>
      </c>
      <c r="E1704" s="18" t="s">
        <v>10</v>
      </c>
      <c r="F1704" s="18">
        <v>250</v>
      </c>
      <c r="G1704" s="18" t="s">
        <v>10</v>
      </c>
      <c r="H1704" s="18" t="s">
        <v>178</v>
      </c>
      <c r="I1704" s="18" t="s">
        <v>10</v>
      </c>
      <c r="J1704" s="18" t="s">
        <v>4017</v>
      </c>
      <c r="K1704" s="20"/>
    </row>
    <row r="1705" spans="1:11" ht="36.75" thickBot="1">
      <c r="A1705" s="18" t="s">
        <v>6474</v>
      </c>
      <c r="B1705" s="18">
        <v>20003344794</v>
      </c>
      <c r="C1705" s="18" t="s">
        <v>6475</v>
      </c>
      <c r="D1705" s="19">
        <v>45782.713194444441</v>
      </c>
      <c r="E1705" s="18" t="s">
        <v>10</v>
      </c>
      <c r="F1705" s="18">
        <v>300</v>
      </c>
      <c r="G1705" s="18" t="s">
        <v>10</v>
      </c>
      <c r="H1705" s="18" t="s">
        <v>178</v>
      </c>
      <c r="I1705" s="18" t="s">
        <v>10</v>
      </c>
      <c r="J1705" s="18" t="s">
        <v>4017</v>
      </c>
      <c r="K1705" s="20"/>
    </row>
    <row r="1706" spans="1:11" ht="36.75" thickBot="1">
      <c r="A1706" s="18" t="s">
        <v>6476</v>
      </c>
      <c r="B1706" s="18">
        <v>20021461658</v>
      </c>
      <c r="C1706" s="18" t="s">
        <v>6477</v>
      </c>
      <c r="D1706" s="19">
        <v>45783.479861111111</v>
      </c>
      <c r="E1706" s="18" t="s">
        <v>10</v>
      </c>
      <c r="F1706" s="18">
        <v>800</v>
      </c>
      <c r="G1706" s="18" t="s">
        <v>10</v>
      </c>
      <c r="H1706" s="18" t="s">
        <v>178</v>
      </c>
      <c r="I1706" s="18" t="s">
        <v>10</v>
      </c>
      <c r="J1706" s="18" t="s">
        <v>4017</v>
      </c>
      <c r="K1706" s="20"/>
    </row>
    <row r="1707" spans="1:11" ht="36.75" thickBot="1">
      <c r="A1707" s="18" t="s">
        <v>6478</v>
      </c>
      <c r="B1707" s="18">
        <v>20019554269</v>
      </c>
      <c r="C1707" s="18" t="s">
        <v>4258</v>
      </c>
      <c r="D1707" s="19">
        <v>45783.488888888889</v>
      </c>
      <c r="E1707" s="18" t="s">
        <v>10</v>
      </c>
      <c r="F1707" s="18">
        <v>150</v>
      </c>
      <c r="G1707" s="18" t="s">
        <v>10</v>
      </c>
      <c r="H1707" s="18" t="s">
        <v>178</v>
      </c>
      <c r="I1707" s="18" t="s">
        <v>10</v>
      </c>
      <c r="J1707" s="18" t="s">
        <v>4017</v>
      </c>
      <c r="K1707" s="20"/>
    </row>
    <row r="1708" spans="1:11" ht="36.75" thickBot="1">
      <c r="A1708" s="18" t="s">
        <v>6479</v>
      </c>
      <c r="B1708" s="18">
        <v>20003357862</v>
      </c>
      <c r="C1708" s="18" t="s">
        <v>4260</v>
      </c>
      <c r="D1708" s="19">
        <v>45783.497916666667</v>
      </c>
      <c r="E1708" s="18" t="s">
        <v>10</v>
      </c>
      <c r="F1708" s="18">
        <v>50</v>
      </c>
      <c r="G1708" s="18" t="s">
        <v>10</v>
      </c>
      <c r="H1708" s="18" t="s">
        <v>178</v>
      </c>
      <c r="I1708" s="18" t="s">
        <v>10</v>
      </c>
      <c r="J1708" s="18" t="s">
        <v>4017</v>
      </c>
      <c r="K1708" s="20"/>
    </row>
    <row r="1709" spans="1:11" ht="36.75" thickBot="1">
      <c r="A1709" s="18" t="s">
        <v>6480</v>
      </c>
      <c r="B1709" s="18">
        <v>20003485705</v>
      </c>
      <c r="C1709" s="18" t="s">
        <v>6262</v>
      </c>
      <c r="D1709" s="19">
        <v>45783.520138888889</v>
      </c>
      <c r="E1709" s="18" t="s">
        <v>10</v>
      </c>
      <c r="F1709" s="18">
        <v>180</v>
      </c>
      <c r="G1709" s="18" t="s">
        <v>10</v>
      </c>
      <c r="H1709" s="18" t="s">
        <v>178</v>
      </c>
      <c r="I1709" s="18" t="s">
        <v>10</v>
      </c>
      <c r="J1709" s="18" t="s">
        <v>4017</v>
      </c>
      <c r="K1709" s="20"/>
    </row>
    <row r="1710" spans="1:11" ht="36.75" thickBot="1">
      <c r="A1710" s="18" t="s">
        <v>6481</v>
      </c>
      <c r="B1710" s="18">
        <v>20026739668</v>
      </c>
      <c r="C1710" s="18" t="s">
        <v>4260</v>
      </c>
      <c r="D1710" s="19">
        <v>45783.521527777775</v>
      </c>
      <c r="E1710" s="18" t="s">
        <v>10</v>
      </c>
      <c r="F1710" s="18">
        <v>200</v>
      </c>
      <c r="G1710" s="18" t="s">
        <v>10</v>
      </c>
      <c r="H1710" s="18" t="s">
        <v>178</v>
      </c>
      <c r="I1710" s="18" t="s">
        <v>10</v>
      </c>
      <c r="J1710" s="18" t="s">
        <v>4017</v>
      </c>
      <c r="K1710" s="20"/>
    </row>
    <row r="1711" spans="1:11" ht="36.75" thickBot="1">
      <c r="A1711" s="18" t="s">
        <v>6482</v>
      </c>
      <c r="B1711" s="18">
        <v>20003108483</v>
      </c>
      <c r="C1711" s="18" t="s">
        <v>4256</v>
      </c>
      <c r="D1711" s="19">
        <v>45783.53125</v>
      </c>
      <c r="E1711" s="18" t="s">
        <v>10</v>
      </c>
      <c r="F1711" s="18">
        <v>100</v>
      </c>
      <c r="G1711" s="18" t="s">
        <v>10</v>
      </c>
      <c r="H1711" s="18" t="s">
        <v>178</v>
      </c>
      <c r="I1711" s="18" t="s">
        <v>10</v>
      </c>
      <c r="J1711" s="18" t="s">
        <v>4017</v>
      </c>
      <c r="K1711" s="20"/>
    </row>
    <row r="1712" spans="1:11" ht="54.75" thickBot="1">
      <c r="A1712" s="18" t="s">
        <v>6483</v>
      </c>
      <c r="B1712" s="18">
        <v>20018502107</v>
      </c>
      <c r="C1712" s="18" t="s">
        <v>6484</v>
      </c>
      <c r="D1712" s="19">
        <v>45783.613194444442</v>
      </c>
      <c r="E1712" s="18" t="s">
        <v>10</v>
      </c>
      <c r="F1712" s="18">
        <v>20</v>
      </c>
      <c r="G1712" s="18" t="s">
        <v>10</v>
      </c>
      <c r="H1712" s="18" t="s">
        <v>178</v>
      </c>
      <c r="I1712" s="18" t="s">
        <v>10</v>
      </c>
      <c r="J1712" s="18" t="s">
        <v>4017</v>
      </c>
      <c r="K1712" s="20"/>
    </row>
    <row r="1713" spans="1:11" ht="36.75" thickBot="1">
      <c r="A1713" s="18" t="s">
        <v>6485</v>
      </c>
      <c r="B1713" s="18">
        <v>20021967675</v>
      </c>
      <c r="C1713" s="18" t="s">
        <v>5777</v>
      </c>
      <c r="D1713" s="19">
        <v>45755.405555555553</v>
      </c>
      <c r="E1713" s="19">
        <v>45783.678472222222</v>
      </c>
      <c r="F1713" s="18">
        <v>200</v>
      </c>
      <c r="G1713" s="19">
        <v>45827.593055555553</v>
      </c>
      <c r="H1713" s="18" t="s">
        <v>2654</v>
      </c>
      <c r="I1713" s="18" t="s">
        <v>10</v>
      </c>
      <c r="J1713" s="18" t="s">
        <v>4017</v>
      </c>
      <c r="K1713" s="20"/>
    </row>
    <row r="1714" spans="1:11" ht="36.75" thickBot="1">
      <c r="A1714" s="18" t="s">
        <v>6486</v>
      </c>
      <c r="B1714" s="18">
        <v>20017996423</v>
      </c>
      <c r="C1714" s="18" t="s">
        <v>6350</v>
      </c>
      <c r="D1714" s="19">
        <v>45783.714583333334</v>
      </c>
      <c r="E1714" s="18" t="s">
        <v>10</v>
      </c>
      <c r="F1714" s="18">
        <v>50</v>
      </c>
      <c r="G1714" s="19">
        <v>45814.474305555559</v>
      </c>
      <c r="H1714" s="18" t="s">
        <v>236</v>
      </c>
      <c r="I1714" s="18" t="s">
        <v>10</v>
      </c>
      <c r="J1714" s="18" t="s">
        <v>4017</v>
      </c>
      <c r="K1714" s="20"/>
    </row>
    <row r="1715" spans="1:11" ht="36.75" thickBot="1">
      <c r="A1715" s="18" t="s">
        <v>6487</v>
      </c>
      <c r="B1715" s="18">
        <v>20027963365</v>
      </c>
      <c r="C1715" s="18" t="s">
        <v>5241</v>
      </c>
      <c r="D1715" s="19">
        <v>45783.720138888886</v>
      </c>
      <c r="E1715" s="18" t="s">
        <v>10</v>
      </c>
      <c r="F1715" s="18">
        <v>60</v>
      </c>
      <c r="G1715" s="18" t="s">
        <v>10</v>
      </c>
      <c r="H1715" s="18" t="s">
        <v>178</v>
      </c>
      <c r="I1715" s="18" t="s">
        <v>10</v>
      </c>
      <c r="J1715" s="18" t="s">
        <v>4017</v>
      </c>
      <c r="K1715" s="20"/>
    </row>
    <row r="1716" spans="1:11" ht="36.75" thickBot="1">
      <c r="A1716" s="18" t="s">
        <v>6488</v>
      </c>
      <c r="B1716" s="18">
        <v>20027522681</v>
      </c>
      <c r="C1716" s="18" t="s">
        <v>6489</v>
      </c>
      <c r="D1716" s="19">
        <v>45783.895138888889</v>
      </c>
      <c r="E1716" s="18" t="s">
        <v>10</v>
      </c>
      <c r="F1716" s="18">
        <v>50</v>
      </c>
      <c r="G1716" s="18" t="s">
        <v>10</v>
      </c>
      <c r="H1716" s="18" t="s">
        <v>178</v>
      </c>
      <c r="I1716" s="18" t="s">
        <v>10</v>
      </c>
      <c r="J1716" s="18" t="s">
        <v>4017</v>
      </c>
      <c r="K1716" s="20"/>
    </row>
    <row r="1717" spans="1:11" ht="72.75" thickBot="1">
      <c r="A1717" s="18" t="s">
        <v>6490</v>
      </c>
      <c r="B1717" s="18">
        <v>20028194349</v>
      </c>
      <c r="C1717" s="18" t="s">
        <v>5633</v>
      </c>
      <c r="D1717" s="19">
        <v>45733.35833333333</v>
      </c>
      <c r="E1717" s="19">
        <v>45784.380555555559</v>
      </c>
      <c r="F1717" s="18">
        <v>600</v>
      </c>
      <c r="G1717" s="19">
        <v>45834.467361111114</v>
      </c>
      <c r="H1717" s="18" t="s">
        <v>2657</v>
      </c>
      <c r="I1717" s="18" t="s">
        <v>10</v>
      </c>
      <c r="J1717" s="18" t="s">
        <v>4017</v>
      </c>
      <c r="K1717" s="20"/>
    </row>
    <row r="1718" spans="1:11" ht="54.75" thickBot="1">
      <c r="A1718" s="18" t="s">
        <v>6491</v>
      </c>
      <c r="B1718" s="18">
        <v>20002959664</v>
      </c>
      <c r="C1718" s="18" t="s">
        <v>6117</v>
      </c>
      <c r="D1718" s="19">
        <v>45784.42291666667</v>
      </c>
      <c r="E1718" s="18" t="s">
        <v>10</v>
      </c>
      <c r="F1718" s="18">
        <v>80</v>
      </c>
      <c r="G1718" s="19">
        <v>45820.426388888889</v>
      </c>
      <c r="H1718" s="18" t="s">
        <v>236</v>
      </c>
      <c r="I1718" s="18" t="s">
        <v>10</v>
      </c>
      <c r="J1718" s="18" t="s">
        <v>4017</v>
      </c>
      <c r="K1718" s="20"/>
    </row>
    <row r="1719" spans="1:11" ht="36.75" thickBot="1">
      <c r="A1719" s="18" t="s">
        <v>6492</v>
      </c>
      <c r="B1719" s="18">
        <v>20028094650</v>
      </c>
      <c r="C1719" s="18" t="s">
        <v>6109</v>
      </c>
      <c r="D1719" s="19">
        <v>45784.447916666664</v>
      </c>
      <c r="E1719" s="18" t="s">
        <v>10</v>
      </c>
      <c r="F1719" s="18">
        <v>50</v>
      </c>
      <c r="G1719" s="19">
        <v>45834.592361111114</v>
      </c>
      <c r="H1719" s="18" t="s">
        <v>236</v>
      </c>
      <c r="I1719" s="18" t="s">
        <v>10</v>
      </c>
      <c r="J1719" s="18" t="s">
        <v>4017</v>
      </c>
      <c r="K1719" s="20"/>
    </row>
    <row r="1720" spans="1:11" ht="36.75" thickBot="1">
      <c r="A1720" s="18" t="s">
        <v>6493</v>
      </c>
      <c r="B1720" s="18">
        <v>20018879796</v>
      </c>
      <c r="C1720" s="18" t="s">
        <v>6494</v>
      </c>
      <c r="D1720" s="19">
        <v>45784.457638888889</v>
      </c>
      <c r="E1720" s="18" t="s">
        <v>10</v>
      </c>
      <c r="F1720" s="18">
        <v>100</v>
      </c>
      <c r="G1720" s="18" t="s">
        <v>10</v>
      </c>
      <c r="H1720" s="18" t="s">
        <v>178</v>
      </c>
      <c r="I1720" s="18" t="s">
        <v>10</v>
      </c>
      <c r="J1720" s="18" t="s">
        <v>4017</v>
      </c>
      <c r="K1720" s="20"/>
    </row>
    <row r="1721" spans="1:11" ht="36.75" thickBot="1">
      <c r="A1721" s="18" t="s">
        <v>6495</v>
      </c>
      <c r="B1721" s="18">
        <v>20021475210</v>
      </c>
      <c r="C1721" s="18" t="s">
        <v>6354</v>
      </c>
      <c r="D1721" s="19">
        <v>45757.484027777777</v>
      </c>
      <c r="E1721" s="19">
        <v>45784.696527777778</v>
      </c>
      <c r="F1721" s="18">
        <v>36</v>
      </c>
      <c r="G1721" s="18" t="s">
        <v>10</v>
      </c>
      <c r="H1721" s="18" t="s">
        <v>178</v>
      </c>
      <c r="I1721" s="18" t="s">
        <v>10</v>
      </c>
      <c r="J1721" s="18" t="s">
        <v>4017</v>
      </c>
      <c r="K1721" s="20"/>
    </row>
    <row r="1722" spans="1:11" ht="36.75" thickBot="1">
      <c r="A1722" s="18" t="s">
        <v>6496</v>
      </c>
      <c r="B1722" s="18">
        <v>20002923400</v>
      </c>
      <c r="C1722" s="18" t="s">
        <v>6460</v>
      </c>
      <c r="D1722" s="19">
        <v>45780.072916666664</v>
      </c>
      <c r="E1722" s="19">
        <v>45784.736111111109</v>
      </c>
      <c r="F1722" s="18">
        <v>800</v>
      </c>
      <c r="G1722" s="18" t="s">
        <v>10</v>
      </c>
      <c r="H1722" s="18" t="s">
        <v>178</v>
      </c>
      <c r="I1722" s="18" t="s">
        <v>10</v>
      </c>
      <c r="J1722" s="18" t="s">
        <v>4017</v>
      </c>
      <c r="K1722" s="20"/>
    </row>
    <row r="1723" spans="1:11" ht="54.75" thickBot="1">
      <c r="A1723" s="18" t="s">
        <v>6497</v>
      </c>
      <c r="B1723" s="18">
        <v>20025407702</v>
      </c>
      <c r="C1723" s="18" t="s">
        <v>6498</v>
      </c>
      <c r="D1723" s="19">
        <v>45784.761111111111</v>
      </c>
      <c r="E1723" s="18" t="s">
        <v>10</v>
      </c>
      <c r="F1723" s="18">
        <v>20</v>
      </c>
      <c r="G1723" s="18" t="s">
        <v>10</v>
      </c>
      <c r="H1723" s="18" t="s">
        <v>178</v>
      </c>
      <c r="I1723" s="18" t="s">
        <v>10</v>
      </c>
      <c r="J1723" s="18" t="s">
        <v>4017</v>
      </c>
      <c r="K1723" s="20"/>
    </row>
    <row r="1724" spans="1:11" ht="36.75" thickBot="1">
      <c r="A1724" s="18" t="s">
        <v>6499</v>
      </c>
      <c r="B1724" s="18">
        <v>20028228198</v>
      </c>
      <c r="C1724" s="18" t="s">
        <v>4080</v>
      </c>
      <c r="D1724" s="19">
        <v>45730.693749999999</v>
      </c>
      <c r="E1724" s="19">
        <v>45784.772916666669</v>
      </c>
      <c r="F1724" s="18">
        <v>800</v>
      </c>
      <c r="G1724" s="19">
        <v>45833.492361111108</v>
      </c>
      <c r="H1724" s="18" t="s">
        <v>2654</v>
      </c>
      <c r="I1724" s="18" t="s">
        <v>10</v>
      </c>
      <c r="J1724" s="18" t="s">
        <v>4017</v>
      </c>
      <c r="K1724" s="20"/>
    </row>
    <row r="1725" spans="1:11" ht="36.75" thickBot="1">
      <c r="A1725" s="18" t="s">
        <v>6500</v>
      </c>
      <c r="B1725" s="18">
        <v>20003490160</v>
      </c>
      <c r="C1725" s="18" t="s">
        <v>6501</v>
      </c>
      <c r="D1725" s="19">
        <v>45785.428472222222</v>
      </c>
      <c r="E1725" s="18" t="s">
        <v>10</v>
      </c>
      <c r="F1725" s="18">
        <v>108</v>
      </c>
      <c r="G1725" s="18" t="s">
        <v>10</v>
      </c>
      <c r="H1725" s="18" t="s">
        <v>178</v>
      </c>
      <c r="I1725" s="18" t="s">
        <v>10</v>
      </c>
      <c r="J1725" s="18" t="s">
        <v>4017</v>
      </c>
      <c r="K1725" s="20"/>
    </row>
    <row r="1726" spans="1:11" ht="36.75" thickBot="1">
      <c r="A1726" s="18" t="s">
        <v>6502</v>
      </c>
      <c r="B1726" s="18">
        <v>20003529679</v>
      </c>
      <c r="C1726" s="18" t="s">
        <v>5672</v>
      </c>
      <c r="D1726" s="19">
        <v>45785.463194444441</v>
      </c>
      <c r="E1726" s="18" t="s">
        <v>10</v>
      </c>
      <c r="F1726" s="18">
        <v>50</v>
      </c>
      <c r="G1726" s="18" t="s">
        <v>10</v>
      </c>
      <c r="H1726" s="18" t="s">
        <v>178</v>
      </c>
      <c r="I1726" s="18" t="s">
        <v>10</v>
      </c>
      <c r="J1726" s="18" t="s">
        <v>4017</v>
      </c>
      <c r="K1726" s="20"/>
    </row>
    <row r="1727" spans="1:11" ht="36.75" thickBot="1">
      <c r="A1727" s="18" t="s">
        <v>6503</v>
      </c>
      <c r="B1727" s="18">
        <v>20003162600</v>
      </c>
      <c r="C1727" s="18" t="s">
        <v>4107</v>
      </c>
      <c r="D1727" s="19">
        <v>45785.613194444442</v>
      </c>
      <c r="E1727" s="18" t="s">
        <v>10</v>
      </c>
      <c r="F1727" s="18">
        <v>900</v>
      </c>
      <c r="G1727" s="18" t="s">
        <v>10</v>
      </c>
      <c r="H1727" s="18" t="s">
        <v>178</v>
      </c>
      <c r="I1727" s="18" t="s">
        <v>10</v>
      </c>
      <c r="J1727" s="18" t="s">
        <v>4017</v>
      </c>
      <c r="K1727" s="20"/>
    </row>
    <row r="1728" spans="1:11" ht="36.75" thickBot="1">
      <c r="A1728" s="18" t="s">
        <v>6504</v>
      </c>
      <c r="B1728" s="18">
        <v>20022962025</v>
      </c>
      <c r="C1728" s="18" t="s">
        <v>6505</v>
      </c>
      <c r="D1728" s="19">
        <v>45750.67291666667</v>
      </c>
      <c r="E1728" s="19">
        <v>45786.473611111112</v>
      </c>
      <c r="F1728" s="18">
        <v>30</v>
      </c>
      <c r="G1728" s="19">
        <v>45814.48333333333</v>
      </c>
      <c r="H1728" s="18" t="s">
        <v>2654</v>
      </c>
      <c r="I1728" s="18" t="s">
        <v>10</v>
      </c>
      <c r="J1728" s="18" t="s">
        <v>4017</v>
      </c>
      <c r="K1728" s="20"/>
    </row>
    <row r="1729" spans="1:11" ht="36.75" thickBot="1">
      <c r="A1729" s="18" t="s">
        <v>6506</v>
      </c>
      <c r="B1729" s="18">
        <v>20028265694</v>
      </c>
      <c r="C1729" s="18" t="s">
        <v>5154</v>
      </c>
      <c r="D1729" s="19">
        <v>45786.574999999997</v>
      </c>
      <c r="E1729" s="18" t="s">
        <v>10</v>
      </c>
      <c r="F1729" s="18">
        <v>400</v>
      </c>
      <c r="G1729" s="18" t="s">
        <v>10</v>
      </c>
      <c r="H1729" s="18" t="s">
        <v>178</v>
      </c>
      <c r="I1729" s="18" t="s">
        <v>10</v>
      </c>
      <c r="J1729" s="18" t="s">
        <v>4017</v>
      </c>
      <c r="K1729" s="20"/>
    </row>
    <row r="1730" spans="1:11" ht="72.75" thickBot="1">
      <c r="A1730" s="18" t="s">
        <v>6507</v>
      </c>
      <c r="B1730" s="18">
        <v>20023717805</v>
      </c>
      <c r="C1730" s="18" t="s">
        <v>6508</v>
      </c>
      <c r="D1730" s="19">
        <v>45786.836111111108</v>
      </c>
      <c r="E1730" s="18" t="s">
        <v>10</v>
      </c>
      <c r="F1730" s="18">
        <v>20</v>
      </c>
      <c r="G1730" s="18" t="s">
        <v>10</v>
      </c>
      <c r="H1730" s="18" t="s">
        <v>178</v>
      </c>
      <c r="I1730" s="18" t="s">
        <v>10</v>
      </c>
      <c r="J1730" s="18" t="s">
        <v>4017</v>
      </c>
      <c r="K1730" s="20"/>
    </row>
    <row r="1731" spans="1:11" ht="72.75" thickBot="1">
      <c r="A1731" s="18" t="s">
        <v>6509</v>
      </c>
      <c r="B1731" s="18">
        <v>20024185956</v>
      </c>
      <c r="C1731" s="18" t="s">
        <v>6510</v>
      </c>
      <c r="D1731" s="19">
        <v>45786.850694444445</v>
      </c>
      <c r="E1731" s="18" t="s">
        <v>10</v>
      </c>
      <c r="F1731" s="18">
        <v>20</v>
      </c>
      <c r="G1731" s="18" t="s">
        <v>10</v>
      </c>
      <c r="H1731" s="18" t="s">
        <v>178</v>
      </c>
      <c r="I1731" s="18" t="s">
        <v>10</v>
      </c>
      <c r="J1731" s="18" t="s">
        <v>4017</v>
      </c>
      <c r="K1731" s="20"/>
    </row>
    <row r="1732" spans="1:11" ht="36.75" thickBot="1">
      <c r="A1732" s="18" t="s">
        <v>6511</v>
      </c>
      <c r="B1732" s="18">
        <v>20025634975</v>
      </c>
      <c r="C1732" s="18" t="s">
        <v>6512</v>
      </c>
      <c r="D1732" s="19">
        <v>45787.67291666667</v>
      </c>
      <c r="E1732" s="18" t="s">
        <v>10</v>
      </c>
      <c r="F1732" s="18">
        <v>27.6</v>
      </c>
      <c r="G1732" s="18" t="s">
        <v>10</v>
      </c>
      <c r="H1732" s="18" t="s">
        <v>178</v>
      </c>
      <c r="I1732" s="18" t="s">
        <v>10</v>
      </c>
      <c r="J1732" s="18" t="s">
        <v>4017</v>
      </c>
      <c r="K1732" s="20"/>
    </row>
    <row r="1733" spans="1:11" ht="36.75" thickBot="1">
      <c r="A1733" s="18" t="s">
        <v>6513</v>
      </c>
      <c r="B1733" s="18">
        <v>20003504858</v>
      </c>
      <c r="C1733" s="18" t="s">
        <v>4510</v>
      </c>
      <c r="D1733" s="19">
        <v>45789.440972222219</v>
      </c>
      <c r="E1733" s="18" t="s">
        <v>10</v>
      </c>
      <c r="F1733" s="18">
        <v>800</v>
      </c>
      <c r="G1733" s="18" t="s">
        <v>10</v>
      </c>
      <c r="H1733" s="18" t="s">
        <v>178</v>
      </c>
      <c r="I1733" s="18" t="s">
        <v>10</v>
      </c>
      <c r="J1733" s="18" t="s">
        <v>4017</v>
      </c>
      <c r="K1733" s="20"/>
    </row>
    <row r="1734" spans="1:11" ht="36.75" thickBot="1">
      <c r="A1734" s="18" t="s">
        <v>6514</v>
      </c>
      <c r="B1734" s="18">
        <v>20021686238</v>
      </c>
      <c r="C1734" s="18" t="s">
        <v>5327</v>
      </c>
      <c r="D1734" s="19">
        <v>45789.904166666667</v>
      </c>
      <c r="E1734" s="18" t="s">
        <v>10</v>
      </c>
      <c r="F1734" s="18">
        <v>40</v>
      </c>
      <c r="G1734" s="18" t="s">
        <v>10</v>
      </c>
      <c r="H1734" s="18" t="s">
        <v>178</v>
      </c>
      <c r="I1734" s="18" t="s">
        <v>10</v>
      </c>
      <c r="J1734" s="18" t="s">
        <v>4017</v>
      </c>
      <c r="K1734" s="20"/>
    </row>
    <row r="1735" spans="1:11" ht="72.75" thickBot="1">
      <c r="A1735" s="18" t="s">
        <v>6515</v>
      </c>
      <c r="B1735" s="18">
        <v>20002902189</v>
      </c>
      <c r="C1735" s="18" t="s">
        <v>4900</v>
      </c>
      <c r="D1735" s="19">
        <v>45790.430555555555</v>
      </c>
      <c r="E1735" s="18" t="s">
        <v>10</v>
      </c>
      <c r="F1735" s="18">
        <v>180</v>
      </c>
      <c r="G1735" s="19">
        <v>45827.456944444442</v>
      </c>
      <c r="H1735" s="18" t="s">
        <v>2688</v>
      </c>
      <c r="I1735" s="18" t="s">
        <v>10</v>
      </c>
      <c r="J1735" s="18" t="s">
        <v>4017</v>
      </c>
      <c r="K1735" s="20"/>
    </row>
    <row r="1736" spans="1:11" ht="36.75" thickBot="1">
      <c r="A1736" s="18" t="s">
        <v>6516</v>
      </c>
      <c r="B1736" s="18">
        <v>20017813530</v>
      </c>
      <c r="C1736" s="18" t="s">
        <v>4296</v>
      </c>
      <c r="D1736" s="19">
        <v>45790.544444444444</v>
      </c>
      <c r="E1736" s="18" t="s">
        <v>10</v>
      </c>
      <c r="F1736" s="18">
        <v>30</v>
      </c>
      <c r="G1736" s="18" t="s">
        <v>10</v>
      </c>
      <c r="H1736" s="18" t="s">
        <v>178</v>
      </c>
      <c r="I1736" s="18" t="s">
        <v>10</v>
      </c>
      <c r="J1736" s="18" t="s">
        <v>4017</v>
      </c>
      <c r="K1736" s="20"/>
    </row>
    <row r="1737" spans="1:11" ht="36.75" thickBot="1">
      <c r="A1737" s="18" t="s">
        <v>6517</v>
      </c>
      <c r="B1737" s="18">
        <v>20002875464</v>
      </c>
      <c r="C1737" s="18" t="s">
        <v>215</v>
      </c>
      <c r="D1737" s="19">
        <v>45790.625694444447</v>
      </c>
      <c r="E1737" s="18" t="s">
        <v>10</v>
      </c>
      <c r="F1737" s="18">
        <v>20</v>
      </c>
      <c r="G1737" s="18" t="s">
        <v>10</v>
      </c>
      <c r="H1737" s="18" t="s">
        <v>178</v>
      </c>
      <c r="I1737" s="18" t="s">
        <v>10</v>
      </c>
      <c r="J1737" s="18" t="s">
        <v>4017</v>
      </c>
      <c r="K1737" s="20"/>
    </row>
    <row r="1738" spans="1:11" ht="36.75" thickBot="1">
      <c r="A1738" s="18" t="s">
        <v>6518</v>
      </c>
      <c r="B1738" s="18">
        <v>20017816913</v>
      </c>
      <c r="C1738" s="18" t="s">
        <v>1836</v>
      </c>
      <c r="D1738" s="19">
        <v>45790.628472222219</v>
      </c>
      <c r="E1738" s="18" t="s">
        <v>10</v>
      </c>
      <c r="F1738" s="18">
        <v>30</v>
      </c>
      <c r="G1738" s="18" t="s">
        <v>10</v>
      </c>
      <c r="H1738" s="18" t="s">
        <v>178</v>
      </c>
      <c r="I1738" s="18" t="s">
        <v>10</v>
      </c>
      <c r="J1738" s="18" t="s">
        <v>4017</v>
      </c>
      <c r="K1738" s="20"/>
    </row>
    <row r="1739" spans="1:11" ht="54.75" thickBot="1">
      <c r="A1739" s="18" t="s">
        <v>6519</v>
      </c>
      <c r="B1739" s="18">
        <v>20019476299</v>
      </c>
      <c r="C1739" s="18" t="s">
        <v>6520</v>
      </c>
      <c r="D1739" s="19">
        <v>45790.634722222225</v>
      </c>
      <c r="E1739" s="18" t="s">
        <v>10</v>
      </c>
      <c r="F1739" s="18">
        <v>20</v>
      </c>
      <c r="G1739" s="18" t="s">
        <v>10</v>
      </c>
      <c r="H1739" s="18" t="s">
        <v>178</v>
      </c>
      <c r="I1739" s="18" t="s">
        <v>10</v>
      </c>
      <c r="J1739" s="18" t="s">
        <v>4017</v>
      </c>
      <c r="K1739" s="20"/>
    </row>
    <row r="1740" spans="1:11" ht="54.75" thickBot="1">
      <c r="A1740" s="18" t="s">
        <v>6521</v>
      </c>
      <c r="B1740" s="18">
        <v>20020332833</v>
      </c>
      <c r="C1740" s="18" t="s">
        <v>6522</v>
      </c>
      <c r="D1740" s="19">
        <v>45790.64166666667</v>
      </c>
      <c r="E1740" s="18" t="s">
        <v>10</v>
      </c>
      <c r="F1740" s="18">
        <v>20</v>
      </c>
      <c r="G1740" s="18" t="s">
        <v>10</v>
      </c>
      <c r="H1740" s="18" t="s">
        <v>178</v>
      </c>
      <c r="I1740" s="18" t="s">
        <v>10</v>
      </c>
      <c r="J1740" s="18" t="s">
        <v>4017</v>
      </c>
      <c r="K1740" s="20"/>
    </row>
    <row r="1741" spans="1:11" ht="36.75" thickBot="1">
      <c r="A1741" s="18" t="s">
        <v>6523</v>
      </c>
      <c r="B1741" s="18">
        <v>20017734385</v>
      </c>
      <c r="C1741" s="18" t="s">
        <v>1836</v>
      </c>
      <c r="D1741" s="19">
        <v>45790.645833333336</v>
      </c>
      <c r="E1741" s="18" t="s">
        <v>10</v>
      </c>
      <c r="F1741" s="18">
        <v>30</v>
      </c>
      <c r="G1741" s="18" t="s">
        <v>10</v>
      </c>
      <c r="H1741" s="18" t="s">
        <v>178</v>
      </c>
      <c r="I1741" s="18" t="s">
        <v>10</v>
      </c>
      <c r="J1741" s="18" t="s">
        <v>4017</v>
      </c>
      <c r="K1741" s="20"/>
    </row>
    <row r="1742" spans="1:11" ht="36.75" thickBot="1">
      <c r="A1742" s="18" t="s">
        <v>6524</v>
      </c>
      <c r="B1742" s="18">
        <v>20017839731</v>
      </c>
      <c r="C1742" s="18" t="s">
        <v>1836</v>
      </c>
      <c r="D1742" s="19">
        <v>45790.654166666667</v>
      </c>
      <c r="E1742" s="18" t="s">
        <v>10</v>
      </c>
      <c r="F1742" s="18">
        <v>30</v>
      </c>
      <c r="G1742" s="18" t="s">
        <v>10</v>
      </c>
      <c r="H1742" s="18" t="s">
        <v>178</v>
      </c>
      <c r="I1742" s="18" t="s">
        <v>10</v>
      </c>
      <c r="J1742" s="18" t="s">
        <v>4017</v>
      </c>
      <c r="K1742" s="20"/>
    </row>
    <row r="1743" spans="1:11" ht="54.75" thickBot="1">
      <c r="A1743" s="18" t="s">
        <v>6525</v>
      </c>
      <c r="B1743" s="18">
        <v>20020576268</v>
      </c>
      <c r="C1743" s="18" t="s">
        <v>6526</v>
      </c>
      <c r="D1743" s="19">
        <v>45790.665277777778</v>
      </c>
      <c r="E1743" s="18" t="s">
        <v>10</v>
      </c>
      <c r="F1743" s="18">
        <v>20</v>
      </c>
      <c r="G1743" s="18" t="s">
        <v>10</v>
      </c>
      <c r="H1743" s="18" t="s">
        <v>178</v>
      </c>
      <c r="I1743" s="18" t="s">
        <v>10</v>
      </c>
      <c r="J1743" s="18" t="s">
        <v>4017</v>
      </c>
      <c r="K1743" s="20"/>
    </row>
    <row r="1744" spans="1:11" ht="36.75" thickBot="1">
      <c r="A1744" s="18" t="s">
        <v>6527</v>
      </c>
      <c r="B1744" s="18">
        <v>20018036065</v>
      </c>
      <c r="C1744" s="18" t="s">
        <v>1836</v>
      </c>
      <c r="D1744" s="19">
        <v>45790.677083333336</v>
      </c>
      <c r="E1744" s="18" t="s">
        <v>10</v>
      </c>
      <c r="F1744" s="18">
        <v>30</v>
      </c>
      <c r="G1744" s="18" t="s">
        <v>10</v>
      </c>
      <c r="H1744" s="18" t="s">
        <v>178</v>
      </c>
      <c r="I1744" s="18" t="s">
        <v>10</v>
      </c>
      <c r="J1744" s="18" t="s">
        <v>4017</v>
      </c>
      <c r="K1744" s="20"/>
    </row>
    <row r="1745" spans="1:11" ht="54.75" thickBot="1">
      <c r="A1745" s="18" t="s">
        <v>6528</v>
      </c>
      <c r="B1745" s="18">
        <v>20024402824</v>
      </c>
      <c r="C1745" s="18" t="s">
        <v>6529</v>
      </c>
      <c r="D1745" s="19">
        <v>45790.693055555559</v>
      </c>
      <c r="E1745" s="18" t="s">
        <v>10</v>
      </c>
      <c r="F1745" s="18">
        <v>20</v>
      </c>
      <c r="G1745" s="18" t="s">
        <v>10</v>
      </c>
      <c r="H1745" s="18" t="s">
        <v>178</v>
      </c>
      <c r="I1745" s="18" t="s">
        <v>10</v>
      </c>
      <c r="J1745" s="18" t="s">
        <v>4017</v>
      </c>
      <c r="K1745" s="20"/>
    </row>
    <row r="1746" spans="1:11" ht="36.75" thickBot="1">
      <c r="A1746" s="18" t="s">
        <v>6530</v>
      </c>
      <c r="B1746" s="18">
        <v>20017968105</v>
      </c>
      <c r="C1746" s="18" t="s">
        <v>1836</v>
      </c>
      <c r="D1746" s="19">
        <v>45790.695138888892</v>
      </c>
      <c r="E1746" s="18" t="s">
        <v>10</v>
      </c>
      <c r="F1746" s="18">
        <v>30</v>
      </c>
      <c r="G1746" s="18" t="s">
        <v>10</v>
      </c>
      <c r="H1746" s="18" t="s">
        <v>178</v>
      </c>
      <c r="I1746" s="18" t="s">
        <v>10</v>
      </c>
      <c r="J1746" s="18" t="s">
        <v>4017</v>
      </c>
      <c r="K1746" s="20"/>
    </row>
    <row r="1747" spans="1:11" ht="54.75" thickBot="1">
      <c r="A1747" s="18" t="s">
        <v>6531</v>
      </c>
      <c r="B1747" s="18">
        <v>20024638206</v>
      </c>
      <c r="C1747" s="18" t="s">
        <v>6532</v>
      </c>
      <c r="D1747" s="19">
        <v>45790.698611111111</v>
      </c>
      <c r="E1747" s="18" t="s">
        <v>10</v>
      </c>
      <c r="F1747" s="18">
        <v>20</v>
      </c>
      <c r="G1747" s="18" t="s">
        <v>10</v>
      </c>
      <c r="H1747" s="18" t="s">
        <v>178</v>
      </c>
      <c r="I1747" s="18" t="s">
        <v>10</v>
      </c>
      <c r="J1747" s="18" t="s">
        <v>4017</v>
      </c>
      <c r="K1747" s="20"/>
    </row>
    <row r="1748" spans="1:11" ht="54.75" thickBot="1">
      <c r="A1748" s="18" t="s">
        <v>6533</v>
      </c>
      <c r="B1748" s="18">
        <v>20025493960</v>
      </c>
      <c r="C1748" s="18" t="s">
        <v>6534</v>
      </c>
      <c r="D1748" s="19">
        <v>45790.705555555556</v>
      </c>
      <c r="E1748" s="18" t="s">
        <v>10</v>
      </c>
      <c r="F1748" s="18">
        <v>20</v>
      </c>
      <c r="G1748" s="18" t="s">
        <v>10</v>
      </c>
      <c r="H1748" s="18" t="s">
        <v>178</v>
      </c>
      <c r="I1748" s="18" t="s">
        <v>10</v>
      </c>
      <c r="J1748" s="18" t="s">
        <v>4017</v>
      </c>
      <c r="K1748" s="20"/>
    </row>
    <row r="1749" spans="1:11" ht="54.75" thickBot="1">
      <c r="A1749" s="18" t="s">
        <v>6535</v>
      </c>
      <c r="B1749" s="18">
        <v>20025772405</v>
      </c>
      <c r="C1749" s="18" t="s">
        <v>6536</v>
      </c>
      <c r="D1749" s="19">
        <v>45790.711805555555</v>
      </c>
      <c r="E1749" s="18" t="s">
        <v>10</v>
      </c>
      <c r="F1749" s="18">
        <v>20</v>
      </c>
      <c r="G1749" s="18" t="s">
        <v>10</v>
      </c>
      <c r="H1749" s="18" t="s">
        <v>178</v>
      </c>
      <c r="I1749" s="18" t="s">
        <v>10</v>
      </c>
      <c r="J1749" s="18" t="s">
        <v>4017</v>
      </c>
      <c r="K1749" s="20"/>
    </row>
    <row r="1750" spans="1:11" ht="72.75" thickBot="1">
      <c r="A1750" s="18" t="s">
        <v>6537</v>
      </c>
      <c r="B1750" s="18">
        <v>20025710403</v>
      </c>
      <c r="C1750" s="18" t="s">
        <v>6538</v>
      </c>
      <c r="D1750" s="19">
        <v>45790.718055555553</v>
      </c>
      <c r="E1750" s="18" t="s">
        <v>10</v>
      </c>
      <c r="F1750" s="18">
        <v>20</v>
      </c>
      <c r="G1750" s="18" t="s">
        <v>10</v>
      </c>
      <c r="H1750" s="18" t="s">
        <v>178</v>
      </c>
      <c r="I1750" s="18" t="s">
        <v>10</v>
      </c>
      <c r="J1750" s="18" t="s">
        <v>4017</v>
      </c>
      <c r="K1750" s="20"/>
    </row>
    <row r="1751" spans="1:11" ht="36.75" thickBot="1">
      <c r="A1751" s="18" t="s">
        <v>6539</v>
      </c>
      <c r="B1751" s="18">
        <v>20018079322</v>
      </c>
      <c r="C1751" s="18" t="s">
        <v>1836</v>
      </c>
      <c r="D1751" s="19">
        <v>45790.727777777778</v>
      </c>
      <c r="E1751" s="18" t="s">
        <v>10</v>
      </c>
      <c r="F1751" s="18">
        <v>30</v>
      </c>
      <c r="G1751" s="18" t="s">
        <v>10</v>
      </c>
      <c r="H1751" s="18" t="s">
        <v>178</v>
      </c>
      <c r="I1751" s="18" t="s">
        <v>10</v>
      </c>
      <c r="J1751" s="18" t="s">
        <v>4017</v>
      </c>
      <c r="K1751" s="20"/>
    </row>
    <row r="1752" spans="1:11" ht="72.75" thickBot="1">
      <c r="A1752" s="18" t="s">
        <v>6540</v>
      </c>
      <c r="B1752" s="18">
        <v>20025928968</v>
      </c>
      <c r="C1752" s="18" t="s">
        <v>6541</v>
      </c>
      <c r="D1752" s="19">
        <v>45790.729861111111</v>
      </c>
      <c r="E1752" s="18" t="s">
        <v>10</v>
      </c>
      <c r="F1752" s="18">
        <v>20</v>
      </c>
      <c r="G1752" s="18" t="s">
        <v>10</v>
      </c>
      <c r="H1752" s="18" t="s">
        <v>178</v>
      </c>
      <c r="I1752" s="18" t="s">
        <v>10</v>
      </c>
      <c r="J1752" s="18" t="s">
        <v>4017</v>
      </c>
      <c r="K1752" s="20"/>
    </row>
    <row r="1753" spans="1:11" ht="72.75" thickBot="1">
      <c r="A1753" s="18" t="s">
        <v>6542</v>
      </c>
      <c r="B1753" s="18">
        <v>20025940589</v>
      </c>
      <c r="C1753" s="18" t="s">
        <v>6543</v>
      </c>
      <c r="D1753" s="19">
        <v>45790.741666666669</v>
      </c>
      <c r="E1753" s="18" t="s">
        <v>10</v>
      </c>
      <c r="F1753" s="18">
        <v>20</v>
      </c>
      <c r="G1753" s="18" t="s">
        <v>10</v>
      </c>
      <c r="H1753" s="18" t="s">
        <v>178</v>
      </c>
      <c r="I1753" s="18" t="s">
        <v>10</v>
      </c>
      <c r="J1753" s="18" t="s">
        <v>4017</v>
      </c>
      <c r="K1753" s="20"/>
    </row>
    <row r="1754" spans="1:11" ht="72.75" thickBot="1">
      <c r="A1754" s="18" t="s">
        <v>6544</v>
      </c>
      <c r="B1754" s="18">
        <v>20025928969</v>
      </c>
      <c r="C1754" s="18" t="s">
        <v>6545</v>
      </c>
      <c r="D1754" s="19">
        <v>45790.75</v>
      </c>
      <c r="E1754" s="18" t="s">
        <v>10</v>
      </c>
      <c r="F1754" s="18">
        <v>20</v>
      </c>
      <c r="G1754" s="18" t="s">
        <v>10</v>
      </c>
      <c r="H1754" s="18" t="s">
        <v>178</v>
      </c>
      <c r="I1754" s="18" t="s">
        <v>10</v>
      </c>
      <c r="J1754" s="18" t="s">
        <v>4017</v>
      </c>
      <c r="K1754" s="20"/>
    </row>
    <row r="1755" spans="1:11" ht="54.75" thickBot="1">
      <c r="A1755" s="18" t="s">
        <v>6546</v>
      </c>
      <c r="B1755" s="18">
        <v>20025985973</v>
      </c>
      <c r="C1755" s="18" t="s">
        <v>6547</v>
      </c>
      <c r="D1755" s="19">
        <v>45790.756944444445</v>
      </c>
      <c r="E1755" s="18" t="s">
        <v>10</v>
      </c>
      <c r="F1755" s="18">
        <v>20</v>
      </c>
      <c r="G1755" s="18" t="s">
        <v>10</v>
      </c>
      <c r="H1755" s="18" t="s">
        <v>178</v>
      </c>
      <c r="I1755" s="18" t="s">
        <v>10</v>
      </c>
      <c r="J1755" s="18" t="s">
        <v>4017</v>
      </c>
      <c r="K1755" s="20"/>
    </row>
    <row r="1756" spans="1:11" ht="36.75" thickBot="1">
      <c r="A1756" s="18" t="s">
        <v>6548</v>
      </c>
      <c r="B1756" s="18">
        <v>20003279931</v>
      </c>
      <c r="C1756" s="18" t="s">
        <v>6549</v>
      </c>
      <c r="D1756" s="19">
        <v>45790.763888888891</v>
      </c>
      <c r="E1756" s="18" t="s">
        <v>10</v>
      </c>
      <c r="F1756" s="18">
        <v>30</v>
      </c>
      <c r="G1756" s="18" t="s">
        <v>10</v>
      </c>
      <c r="H1756" s="18" t="s">
        <v>178</v>
      </c>
      <c r="I1756" s="18" t="s">
        <v>10</v>
      </c>
      <c r="J1756" s="18" t="s">
        <v>4017</v>
      </c>
      <c r="K1756" s="20"/>
    </row>
    <row r="1757" spans="1:11" ht="36.75" thickBot="1">
      <c r="A1757" s="18" t="s">
        <v>6550</v>
      </c>
      <c r="B1757" s="18">
        <v>20018793815</v>
      </c>
      <c r="C1757" s="18" t="s">
        <v>4310</v>
      </c>
      <c r="D1757" s="19">
        <v>45636.797222222223</v>
      </c>
      <c r="E1757" s="19">
        <v>45790.82916666667</v>
      </c>
      <c r="F1757" s="18">
        <v>625</v>
      </c>
      <c r="G1757" s="19">
        <v>45834.40347222222</v>
      </c>
      <c r="H1757" s="18" t="s">
        <v>2654</v>
      </c>
      <c r="I1757" s="18" t="s">
        <v>10</v>
      </c>
      <c r="J1757" s="18" t="s">
        <v>4017</v>
      </c>
      <c r="K1757" s="20"/>
    </row>
    <row r="1758" spans="1:11" ht="36.75" thickBot="1">
      <c r="A1758" s="18" t="s">
        <v>6551</v>
      </c>
      <c r="B1758" s="18">
        <v>20018516912</v>
      </c>
      <c r="C1758" s="18" t="s">
        <v>4341</v>
      </c>
      <c r="D1758" s="19">
        <v>45790.959722222222</v>
      </c>
      <c r="E1758" s="18" t="s">
        <v>10</v>
      </c>
      <c r="F1758" s="18">
        <v>70</v>
      </c>
      <c r="G1758" s="18" t="s">
        <v>10</v>
      </c>
      <c r="H1758" s="18" t="s">
        <v>178</v>
      </c>
      <c r="I1758" s="18" t="s">
        <v>10</v>
      </c>
      <c r="J1758" s="18" t="s">
        <v>4017</v>
      </c>
      <c r="K1758" s="20"/>
    </row>
    <row r="1759" spans="1:11" ht="72.75" thickBot="1">
      <c r="A1759" s="18" t="s">
        <v>6552</v>
      </c>
      <c r="B1759" s="18">
        <v>20003303666</v>
      </c>
      <c r="C1759" s="18" t="s">
        <v>6553</v>
      </c>
      <c r="D1759" s="19">
        <v>45723.630555555559</v>
      </c>
      <c r="E1759" s="19">
        <v>45791.38958333333</v>
      </c>
      <c r="F1759" s="18">
        <v>190</v>
      </c>
      <c r="G1759" s="19">
        <v>45825.38958333333</v>
      </c>
      <c r="H1759" s="18" t="s">
        <v>2688</v>
      </c>
      <c r="I1759" s="18" t="s">
        <v>10</v>
      </c>
      <c r="J1759" s="18" t="s">
        <v>4017</v>
      </c>
      <c r="K1759" s="20"/>
    </row>
    <row r="1760" spans="1:11" ht="36.75" thickBot="1">
      <c r="A1760" s="18" t="s">
        <v>6554</v>
      </c>
      <c r="B1760" s="18">
        <v>20021566359</v>
      </c>
      <c r="C1760" s="18" t="s">
        <v>1836</v>
      </c>
      <c r="D1760" s="19">
        <v>45791.464583333334</v>
      </c>
      <c r="E1760" s="18" t="s">
        <v>10</v>
      </c>
      <c r="F1760" s="18">
        <v>30</v>
      </c>
      <c r="G1760" s="18" t="s">
        <v>10</v>
      </c>
      <c r="H1760" s="18" t="s">
        <v>178</v>
      </c>
      <c r="I1760" s="18" t="s">
        <v>10</v>
      </c>
      <c r="J1760" s="18" t="s">
        <v>4017</v>
      </c>
      <c r="K1760" s="20"/>
    </row>
    <row r="1761" spans="1:11" ht="36.75" thickBot="1">
      <c r="A1761" s="18" t="s">
        <v>6555</v>
      </c>
      <c r="B1761" s="18">
        <v>20023552880</v>
      </c>
      <c r="C1761" s="18" t="s">
        <v>1836</v>
      </c>
      <c r="D1761" s="19">
        <v>45791.481249999997</v>
      </c>
      <c r="E1761" s="18" t="s">
        <v>10</v>
      </c>
      <c r="F1761" s="18">
        <v>30</v>
      </c>
      <c r="G1761" s="18" t="s">
        <v>10</v>
      </c>
      <c r="H1761" s="18" t="s">
        <v>178</v>
      </c>
      <c r="I1761" s="18" t="s">
        <v>10</v>
      </c>
      <c r="J1761" s="18" t="s">
        <v>4017</v>
      </c>
      <c r="K1761" s="20"/>
    </row>
    <row r="1762" spans="1:11" ht="36.75" thickBot="1">
      <c r="A1762" s="18" t="s">
        <v>6556</v>
      </c>
      <c r="B1762" s="18">
        <v>20023390359</v>
      </c>
      <c r="C1762" s="18" t="s">
        <v>1836</v>
      </c>
      <c r="D1762" s="19">
        <v>45791.490277777775</v>
      </c>
      <c r="E1762" s="18" t="s">
        <v>10</v>
      </c>
      <c r="F1762" s="18">
        <v>30</v>
      </c>
      <c r="G1762" s="18" t="s">
        <v>10</v>
      </c>
      <c r="H1762" s="18" t="s">
        <v>178</v>
      </c>
      <c r="I1762" s="18" t="s">
        <v>10</v>
      </c>
      <c r="J1762" s="18" t="s">
        <v>4017</v>
      </c>
      <c r="K1762" s="20"/>
    </row>
    <row r="1763" spans="1:11" ht="36.75" thickBot="1">
      <c r="A1763" s="18" t="s">
        <v>6557</v>
      </c>
      <c r="B1763" s="18">
        <v>20023548484</v>
      </c>
      <c r="C1763" s="18" t="s">
        <v>1836</v>
      </c>
      <c r="D1763" s="19">
        <v>45791.501388888886</v>
      </c>
      <c r="E1763" s="18" t="s">
        <v>10</v>
      </c>
      <c r="F1763" s="18">
        <v>30</v>
      </c>
      <c r="G1763" s="18" t="s">
        <v>10</v>
      </c>
      <c r="H1763" s="18" t="s">
        <v>178</v>
      </c>
      <c r="I1763" s="18" t="s">
        <v>10</v>
      </c>
      <c r="J1763" s="18" t="s">
        <v>4017</v>
      </c>
      <c r="K1763" s="20"/>
    </row>
    <row r="1764" spans="1:11" ht="36.75" thickBot="1">
      <c r="A1764" s="18" t="s">
        <v>6558</v>
      </c>
      <c r="B1764" s="18">
        <v>20023728032</v>
      </c>
      <c r="C1764" s="18" t="s">
        <v>4074</v>
      </c>
      <c r="D1764" s="19">
        <v>45791.628472222219</v>
      </c>
      <c r="E1764" s="18" t="s">
        <v>10</v>
      </c>
      <c r="F1764" s="18">
        <v>30</v>
      </c>
      <c r="G1764" s="18" t="s">
        <v>10</v>
      </c>
      <c r="H1764" s="18" t="s">
        <v>178</v>
      </c>
      <c r="I1764" s="18" t="s">
        <v>10</v>
      </c>
      <c r="J1764" s="18" t="s">
        <v>4017</v>
      </c>
      <c r="K1764" s="20"/>
    </row>
    <row r="1765" spans="1:11" ht="54.75" thickBot="1">
      <c r="A1765" s="18" t="s">
        <v>6559</v>
      </c>
      <c r="B1765" s="18">
        <v>20024423981</v>
      </c>
      <c r="C1765" s="18" t="s">
        <v>6560</v>
      </c>
      <c r="D1765" s="19">
        <v>45792.44027777778</v>
      </c>
      <c r="E1765" s="18" t="s">
        <v>10</v>
      </c>
      <c r="F1765" s="18">
        <v>15</v>
      </c>
      <c r="G1765" s="18" t="s">
        <v>10</v>
      </c>
      <c r="H1765" s="18" t="s">
        <v>178</v>
      </c>
      <c r="I1765" s="18" t="s">
        <v>10</v>
      </c>
      <c r="J1765" s="18" t="s">
        <v>4017</v>
      </c>
      <c r="K1765" s="20"/>
    </row>
    <row r="1766" spans="1:11" ht="54.75" thickBot="1">
      <c r="A1766" s="18" t="s">
        <v>6561</v>
      </c>
      <c r="B1766" s="18">
        <v>20024866401</v>
      </c>
      <c r="C1766" s="18" t="s">
        <v>6562</v>
      </c>
      <c r="D1766" s="19">
        <v>45792.447222222225</v>
      </c>
      <c r="E1766" s="18" t="s">
        <v>10</v>
      </c>
      <c r="F1766" s="18">
        <v>15</v>
      </c>
      <c r="G1766" s="18" t="s">
        <v>10</v>
      </c>
      <c r="H1766" s="18" t="s">
        <v>178</v>
      </c>
      <c r="I1766" s="18" t="s">
        <v>10</v>
      </c>
      <c r="J1766" s="18" t="s">
        <v>4017</v>
      </c>
      <c r="K1766" s="20"/>
    </row>
    <row r="1767" spans="1:11" ht="72.75" thickBot="1">
      <c r="A1767" s="18" t="s">
        <v>6563</v>
      </c>
      <c r="B1767" s="18">
        <v>20024956316</v>
      </c>
      <c r="C1767" s="18" t="s">
        <v>6564</v>
      </c>
      <c r="D1767" s="19">
        <v>45792.461805555555</v>
      </c>
      <c r="E1767" s="18" t="s">
        <v>10</v>
      </c>
      <c r="F1767" s="18">
        <v>15</v>
      </c>
      <c r="G1767" s="18" t="s">
        <v>10</v>
      </c>
      <c r="H1767" s="18" t="s">
        <v>178</v>
      </c>
      <c r="I1767" s="18" t="s">
        <v>10</v>
      </c>
      <c r="J1767" s="18" t="s">
        <v>4017</v>
      </c>
      <c r="K1767" s="20"/>
    </row>
    <row r="1768" spans="1:11" ht="36.75" thickBot="1">
      <c r="A1768" s="18" t="s">
        <v>6565</v>
      </c>
      <c r="B1768" s="18">
        <v>20027310971</v>
      </c>
      <c r="C1768" s="18" t="s">
        <v>6566</v>
      </c>
      <c r="D1768" s="19">
        <v>45792.566666666666</v>
      </c>
      <c r="E1768" s="18" t="s">
        <v>10</v>
      </c>
      <c r="F1768" s="18">
        <v>700</v>
      </c>
      <c r="G1768" s="18" t="s">
        <v>10</v>
      </c>
      <c r="H1768" s="18" t="s">
        <v>178</v>
      </c>
      <c r="I1768" s="18" t="s">
        <v>10</v>
      </c>
      <c r="J1768" s="18" t="s">
        <v>4017</v>
      </c>
      <c r="K1768" s="20"/>
    </row>
    <row r="1769" spans="1:11" ht="36.75" thickBot="1">
      <c r="A1769" s="18" t="s">
        <v>6567</v>
      </c>
      <c r="B1769" s="18">
        <v>20023023905</v>
      </c>
      <c r="C1769" s="18" t="s">
        <v>6568</v>
      </c>
      <c r="D1769" s="19">
        <v>45792.584027777775</v>
      </c>
      <c r="E1769" s="18" t="s">
        <v>10</v>
      </c>
      <c r="F1769" s="18">
        <v>30</v>
      </c>
      <c r="G1769" s="18" t="s">
        <v>10</v>
      </c>
      <c r="H1769" s="18" t="s">
        <v>178</v>
      </c>
      <c r="I1769" s="18" t="s">
        <v>10</v>
      </c>
      <c r="J1769" s="18" t="s">
        <v>4017</v>
      </c>
      <c r="K1769" s="20"/>
    </row>
    <row r="1770" spans="1:11" ht="36.75" thickBot="1">
      <c r="A1770" s="18" t="s">
        <v>6569</v>
      </c>
      <c r="B1770" s="18">
        <v>20003126795</v>
      </c>
      <c r="C1770" s="18" t="s">
        <v>6570</v>
      </c>
      <c r="D1770" s="19">
        <v>45792.642361111109</v>
      </c>
      <c r="E1770" s="18" t="s">
        <v>10</v>
      </c>
      <c r="F1770" s="18">
        <v>800</v>
      </c>
      <c r="G1770" s="18" t="s">
        <v>10</v>
      </c>
      <c r="H1770" s="18" t="s">
        <v>178</v>
      </c>
      <c r="I1770" s="18" t="s">
        <v>10</v>
      </c>
      <c r="J1770" s="18" t="s">
        <v>4017</v>
      </c>
      <c r="K1770" s="20"/>
    </row>
    <row r="1771" spans="1:11" ht="36.75" thickBot="1">
      <c r="A1771" s="18" t="s">
        <v>6571</v>
      </c>
      <c r="B1771" s="18">
        <v>20017079828</v>
      </c>
      <c r="C1771" s="18" t="s">
        <v>5555</v>
      </c>
      <c r="D1771" s="19">
        <v>45792.672222222223</v>
      </c>
      <c r="E1771" s="18" t="s">
        <v>10</v>
      </c>
      <c r="F1771" s="18">
        <v>700</v>
      </c>
      <c r="G1771" s="18" t="s">
        <v>10</v>
      </c>
      <c r="H1771" s="18" t="s">
        <v>178</v>
      </c>
      <c r="I1771" s="18" t="s">
        <v>10</v>
      </c>
      <c r="J1771" s="18" t="s">
        <v>4017</v>
      </c>
      <c r="K1771" s="20"/>
    </row>
    <row r="1772" spans="1:11" ht="36.75" thickBot="1">
      <c r="A1772" s="18" t="s">
        <v>6572</v>
      </c>
      <c r="B1772" s="18">
        <v>20003496691</v>
      </c>
      <c r="C1772" s="18" t="s">
        <v>6573</v>
      </c>
      <c r="D1772" s="19">
        <v>45793.609027777777</v>
      </c>
      <c r="E1772" s="18" t="s">
        <v>10</v>
      </c>
      <c r="F1772" s="18">
        <v>100</v>
      </c>
      <c r="G1772" s="18" t="s">
        <v>10</v>
      </c>
      <c r="H1772" s="18" t="s">
        <v>178</v>
      </c>
      <c r="I1772" s="18" t="s">
        <v>10</v>
      </c>
      <c r="J1772" s="18" t="s">
        <v>4017</v>
      </c>
      <c r="K1772" s="20"/>
    </row>
    <row r="1773" spans="1:11" ht="54.75" thickBot="1">
      <c r="A1773" s="18" t="s">
        <v>6574</v>
      </c>
      <c r="B1773" s="18">
        <v>20020786217</v>
      </c>
      <c r="C1773" s="18" t="s">
        <v>6097</v>
      </c>
      <c r="D1773" s="19">
        <v>45793.672222222223</v>
      </c>
      <c r="E1773" s="18" t="s">
        <v>10</v>
      </c>
      <c r="F1773" s="18">
        <v>720</v>
      </c>
      <c r="G1773" s="18" t="s">
        <v>10</v>
      </c>
      <c r="H1773" s="18" t="s">
        <v>178</v>
      </c>
      <c r="I1773" s="18" t="s">
        <v>10</v>
      </c>
      <c r="J1773" s="18" t="s">
        <v>4017</v>
      </c>
      <c r="K1773" s="20"/>
    </row>
    <row r="1774" spans="1:11" ht="36.75" thickBot="1">
      <c r="A1774" s="18" t="s">
        <v>6575</v>
      </c>
      <c r="B1774" s="18">
        <v>20024956318</v>
      </c>
      <c r="C1774" s="18" t="s">
        <v>215</v>
      </c>
      <c r="D1774" s="19">
        <v>45798.6875</v>
      </c>
      <c r="E1774" s="18" t="s">
        <v>10</v>
      </c>
      <c r="F1774" s="18">
        <v>15</v>
      </c>
      <c r="G1774" s="18" t="s">
        <v>10</v>
      </c>
      <c r="H1774" s="18" t="s">
        <v>178</v>
      </c>
      <c r="I1774" s="18" t="s">
        <v>10</v>
      </c>
      <c r="J1774" s="18" t="s">
        <v>4017</v>
      </c>
      <c r="K1774" s="20"/>
    </row>
    <row r="1775" spans="1:11" ht="36.75" thickBot="1">
      <c r="A1775" s="18" t="s">
        <v>6576</v>
      </c>
      <c r="B1775" s="18">
        <v>20019532727</v>
      </c>
      <c r="C1775" s="18" t="s">
        <v>6577</v>
      </c>
      <c r="D1775" s="19">
        <v>45798.802083333336</v>
      </c>
      <c r="E1775" s="18" t="s">
        <v>10</v>
      </c>
      <c r="F1775" s="18">
        <v>50</v>
      </c>
      <c r="G1775" s="18" t="s">
        <v>10</v>
      </c>
      <c r="H1775" s="18" t="s">
        <v>178</v>
      </c>
      <c r="I1775" s="18" t="s">
        <v>10</v>
      </c>
      <c r="J1775" s="18" t="s">
        <v>4017</v>
      </c>
      <c r="K1775" s="20"/>
    </row>
    <row r="1776" spans="1:11" ht="36.75" thickBot="1">
      <c r="A1776" s="18" t="s">
        <v>6578</v>
      </c>
      <c r="B1776" s="18">
        <v>20028245490</v>
      </c>
      <c r="C1776" s="18" t="s">
        <v>6579</v>
      </c>
      <c r="D1776" s="19">
        <v>45799.376388888886</v>
      </c>
      <c r="E1776" s="18" t="s">
        <v>10</v>
      </c>
      <c r="F1776" s="18">
        <v>50</v>
      </c>
      <c r="G1776" s="18" t="s">
        <v>10</v>
      </c>
      <c r="H1776" s="18" t="s">
        <v>178</v>
      </c>
      <c r="I1776" s="18" t="s">
        <v>10</v>
      </c>
      <c r="J1776" s="18" t="s">
        <v>4017</v>
      </c>
      <c r="K1776" s="20"/>
    </row>
    <row r="1777" spans="1:11" ht="36.75" thickBot="1">
      <c r="A1777" s="18" t="s">
        <v>6580</v>
      </c>
      <c r="B1777" s="18">
        <v>20003497807</v>
      </c>
      <c r="C1777" s="18" t="s">
        <v>5143</v>
      </c>
      <c r="D1777" s="19">
        <v>45799.419444444444</v>
      </c>
      <c r="E1777" s="18" t="s">
        <v>10</v>
      </c>
      <c r="F1777" s="18">
        <v>30</v>
      </c>
      <c r="G1777" s="18" t="s">
        <v>10</v>
      </c>
      <c r="H1777" s="18" t="s">
        <v>178</v>
      </c>
      <c r="I1777" s="18" t="s">
        <v>10</v>
      </c>
      <c r="J1777" s="18" t="s">
        <v>4017</v>
      </c>
      <c r="K1777" s="20"/>
    </row>
    <row r="1778" spans="1:11" ht="36.75" thickBot="1">
      <c r="A1778" s="18" t="s">
        <v>6581</v>
      </c>
      <c r="B1778" s="18">
        <v>20018036212</v>
      </c>
      <c r="C1778" s="18" t="s">
        <v>1836</v>
      </c>
      <c r="D1778" s="19">
        <v>45799.441666666666</v>
      </c>
      <c r="E1778" s="18" t="s">
        <v>10</v>
      </c>
      <c r="F1778" s="18">
        <v>30</v>
      </c>
      <c r="G1778" s="18" t="s">
        <v>10</v>
      </c>
      <c r="H1778" s="18" t="s">
        <v>178</v>
      </c>
      <c r="I1778" s="18" t="s">
        <v>10</v>
      </c>
      <c r="J1778" s="18" t="s">
        <v>4017</v>
      </c>
      <c r="K1778" s="20"/>
    </row>
    <row r="1779" spans="1:11" ht="36.75" thickBot="1">
      <c r="A1779" s="18" t="s">
        <v>6582</v>
      </c>
      <c r="B1779" s="18">
        <v>20024956318</v>
      </c>
      <c r="C1779" s="18" t="s">
        <v>215</v>
      </c>
      <c r="D1779" s="19">
        <v>45799.444444444445</v>
      </c>
      <c r="E1779" s="18" t="s">
        <v>10</v>
      </c>
      <c r="F1779" s="18">
        <v>15</v>
      </c>
      <c r="G1779" s="18" t="s">
        <v>10</v>
      </c>
      <c r="H1779" s="18" t="s">
        <v>178</v>
      </c>
      <c r="I1779" s="18" t="s">
        <v>10</v>
      </c>
      <c r="J1779" s="18" t="s">
        <v>4017</v>
      </c>
      <c r="K1779" s="20"/>
    </row>
    <row r="1780" spans="1:11" ht="36.75" thickBot="1">
      <c r="A1780" s="18" t="s">
        <v>6583</v>
      </c>
      <c r="B1780" s="18">
        <v>20017688949</v>
      </c>
      <c r="C1780" s="18" t="s">
        <v>1836</v>
      </c>
      <c r="D1780" s="19">
        <v>45799.45208333333</v>
      </c>
      <c r="E1780" s="18" t="s">
        <v>10</v>
      </c>
      <c r="F1780" s="18">
        <v>30</v>
      </c>
      <c r="G1780" s="18" t="s">
        <v>10</v>
      </c>
      <c r="H1780" s="18" t="s">
        <v>178</v>
      </c>
      <c r="I1780" s="18" t="s">
        <v>10</v>
      </c>
      <c r="J1780" s="18" t="s">
        <v>4017</v>
      </c>
      <c r="K1780" s="20"/>
    </row>
    <row r="1781" spans="1:11" ht="36.75" thickBot="1">
      <c r="A1781" s="18" t="s">
        <v>6584</v>
      </c>
      <c r="B1781" s="18">
        <v>20025004687</v>
      </c>
      <c r="C1781" s="18" t="s">
        <v>215</v>
      </c>
      <c r="D1781" s="19">
        <v>45799.453472222223</v>
      </c>
      <c r="E1781" s="18" t="s">
        <v>10</v>
      </c>
      <c r="F1781" s="18">
        <v>15</v>
      </c>
      <c r="G1781" s="18" t="s">
        <v>10</v>
      </c>
      <c r="H1781" s="18" t="s">
        <v>178</v>
      </c>
      <c r="I1781" s="18" t="s">
        <v>10</v>
      </c>
      <c r="J1781" s="18" t="s">
        <v>4017</v>
      </c>
      <c r="K1781" s="20"/>
    </row>
    <row r="1782" spans="1:11" ht="36.75" thickBot="1">
      <c r="A1782" s="18" t="s">
        <v>6585</v>
      </c>
      <c r="B1782" s="18">
        <v>20025054846</v>
      </c>
      <c r="C1782" s="18" t="s">
        <v>215</v>
      </c>
      <c r="D1782" s="19">
        <v>45799.462500000001</v>
      </c>
      <c r="E1782" s="18" t="s">
        <v>10</v>
      </c>
      <c r="F1782" s="18">
        <v>15</v>
      </c>
      <c r="G1782" s="18" t="s">
        <v>10</v>
      </c>
      <c r="H1782" s="18" t="s">
        <v>178</v>
      </c>
      <c r="I1782" s="18" t="s">
        <v>10</v>
      </c>
      <c r="J1782" s="18" t="s">
        <v>4017</v>
      </c>
      <c r="K1782" s="20"/>
    </row>
    <row r="1783" spans="1:11" ht="36.75" thickBot="1">
      <c r="A1783" s="18" t="s">
        <v>6586</v>
      </c>
      <c r="B1783" s="18">
        <v>20027568760</v>
      </c>
      <c r="C1783" s="18" t="s">
        <v>1836</v>
      </c>
      <c r="D1783" s="19">
        <v>45799.46597222222</v>
      </c>
      <c r="E1783" s="18" t="s">
        <v>10</v>
      </c>
      <c r="F1783" s="18">
        <v>30</v>
      </c>
      <c r="G1783" s="18" t="s">
        <v>10</v>
      </c>
      <c r="H1783" s="18" t="s">
        <v>178</v>
      </c>
      <c r="I1783" s="18" t="s">
        <v>10</v>
      </c>
      <c r="J1783" s="18" t="s">
        <v>4017</v>
      </c>
      <c r="K1783" s="20"/>
    </row>
    <row r="1784" spans="1:11" ht="36.75" thickBot="1">
      <c r="A1784" s="18" t="s">
        <v>6587</v>
      </c>
      <c r="B1784" s="18">
        <v>20025134649</v>
      </c>
      <c r="C1784" s="18" t="s">
        <v>215</v>
      </c>
      <c r="D1784" s="19">
        <v>45799.46875</v>
      </c>
      <c r="E1784" s="18" t="s">
        <v>10</v>
      </c>
      <c r="F1784" s="18">
        <v>15</v>
      </c>
      <c r="G1784" s="18" t="s">
        <v>10</v>
      </c>
      <c r="H1784" s="18" t="s">
        <v>178</v>
      </c>
      <c r="I1784" s="18" t="s">
        <v>10</v>
      </c>
      <c r="J1784" s="18" t="s">
        <v>4017</v>
      </c>
      <c r="K1784" s="20"/>
    </row>
    <row r="1785" spans="1:11" ht="36.75" thickBot="1">
      <c r="A1785" s="18" t="s">
        <v>6588</v>
      </c>
      <c r="B1785" s="18">
        <v>20025198071</v>
      </c>
      <c r="C1785" s="18" t="s">
        <v>215</v>
      </c>
      <c r="D1785" s="19">
        <v>45799.476388888892</v>
      </c>
      <c r="E1785" s="18" t="s">
        <v>10</v>
      </c>
      <c r="F1785" s="18">
        <v>15</v>
      </c>
      <c r="G1785" s="18" t="s">
        <v>10</v>
      </c>
      <c r="H1785" s="18" t="s">
        <v>178</v>
      </c>
      <c r="I1785" s="18" t="s">
        <v>10</v>
      </c>
      <c r="J1785" s="18" t="s">
        <v>4017</v>
      </c>
      <c r="K1785" s="20"/>
    </row>
    <row r="1786" spans="1:11" ht="36.75" thickBot="1">
      <c r="A1786" s="18" t="s">
        <v>6589</v>
      </c>
      <c r="B1786" s="18">
        <v>20027231293</v>
      </c>
      <c r="C1786" s="18" t="s">
        <v>1836</v>
      </c>
      <c r="D1786" s="19">
        <v>45799.480555555558</v>
      </c>
      <c r="E1786" s="18" t="s">
        <v>10</v>
      </c>
      <c r="F1786" s="18">
        <v>30</v>
      </c>
      <c r="G1786" s="18" t="s">
        <v>10</v>
      </c>
      <c r="H1786" s="18" t="s">
        <v>178</v>
      </c>
      <c r="I1786" s="18" t="s">
        <v>10</v>
      </c>
      <c r="J1786" s="18" t="s">
        <v>4017</v>
      </c>
      <c r="K1786" s="20"/>
    </row>
    <row r="1787" spans="1:11" ht="36.75" thickBot="1">
      <c r="A1787" s="18" t="s">
        <v>6590</v>
      </c>
      <c r="B1787" s="18">
        <v>20025200800</v>
      </c>
      <c r="C1787" s="18" t="s">
        <v>215</v>
      </c>
      <c r="D1787" s="19">
        <v>45799.481944444444</v>
      </c>
      <c r="E1787" s="18" t="s">
        <v>10</v>
      </c>
      <c r="F1787" s="18">
        <v>15</v>
      </c>
      <c r="G1787" s="18" t="s">
        <v>10</v>
      </c>
      <c r="H1787" s="18" t="s">
        <v>178</v>
      </c>
      <c r="I1787" s="18" t="s">
        <v>10</v>
      </c>
      <c r="J1787" s="18" t="s">
        <v>4017</v>
      </c>
      <c r="K1787" s="20"/>
    </row>
    <row r="1788" spans="1:11" ht="36.75" thickBot="1">
      <c r="A1788" s="18" t="s">
        <v>6591</v>
      </c>
      <c r="B1788" s="18">
        <v>20025220830</v>
      </c>
      <c r="C1788" s="18" t="s">
        <v>215</v>
      </c>
      <c r="D1788" s="19">
        <v>45799.487500000003</v>
      </c>
      <c r="E1788" s="18" t="s">
        <v>10</v>
      </c>
      <c r="F1788" s="18">
        <v>15</v>
      </c>
      <c r="G1788" s="18" t="s">
        <v>10</v>
      </c>
      <c r="H1788" s="18" t="s">
        <v>178</v>
      </c>
      <c r="I1788" s="18" t="s">
        <v>10</v>
      </c>
      <c r="J1788" s="18" t="s">
        <v>4017</v>
      </c>
      <c r="K1788" s="20"/>
    </row>
    <row r="1789" spans="1:11" ht="36.75" thickBot="1">
      <c r="A1789" s="18" t="s">
        <v>6592</v>
      </c>
      <c r="B1789" s="18">
        <v>20025220826</v>
      </c>
      <c r="C1789" s="18" t="s">
        <v>215</v>
      </c>
      <c r="D1789" s="19">
        <v>45799.493750000001</v>
      </c>
      <c r="E1789" s="18" t="s">
        <v>10</v>
      </c>
      <c r="F1789" s="18">
        <v>15</v>
      </c>
      <c r="G1789" s="18" t="s">
        <v>10</v>
      </c>
      <c r="H1789" s="18" t="s">
        <v>178</v>
      </c>
      <c r="I1789" s="18" t="s">
        <v>10</v>
      </c>
      <c r="J1789" s="18" t="s">
        <v>4017</v>
      </c>
      <c r="K1789" s="20"/>
    </row>
    <row r="1790" spans="1:11" ht="36.75" thickBot="1">
      <c r="A1790" s="18" t="s">
        <v>6593</v>
      </c>
      <c r="B1790" s="18">
        <v>20018008612</v>
      </c>
      <c r="C1790" s="18" t="s">
        <v>1836</v>
      </c>
      <c r="D1790" s="19">
        <v>45799.494444444441</v>
      </c>
      <c r="E1790" s="18" t="s">
        <v>10</v>
      </c>
      <c r="F1790" s="18">
        <v>30</v>
      </c>
      <c r="G1790" s="18" t="s">
        <v>10</v>
      </c>
      <c r="H1790" s="18" t="s">
        <v>178</v>
      </c>
      <c r="I1790" s="18" t="s">
        <v>10</v>
      </c>
      <c r="J1790" s="18" t="s">
        <v>4017</v>
      </c>
      <c r="K1790" s="20"/>
    </row>
    <row r="1791" spans="1:11" ht="36.75" thickBot="1">
      <c r="A1791" s="18" t="s">
        <v>6594</v>
      </c>
      <c r="B1791" s="18">
        <v>20025479444</v>
      </c>
      <c r="C1791" s="18" t="s">
        <v>215</v>
      </c>
      <c r="D1791" s="19">
        <v>45799.5</v>
      </c>
      <c r="E1791" s="18" t="s">
        <v>10</v>
      </c>
      <c r="F1791" s="18">
        <v>15</v>
      </c>
      <c r="G1791" s="18" t="s">
        <v>10</v>
      </c>
      <c r="H1791" s="18" t="s">
        <v>178</v>
      </c>
      <c r="I1791" s="18" t="s">
        <v>10</v>
      </c>
      <c r="J1791" s="18" t="s">
        <v>4017</v>
      </c>
      <c r="K1791" s="20"/>
    </row>
    <row r="1792" spans="1:11" ht="36.75" thickBot="1">
      <c r="A1792" s="18" t="s">
        <v>6595</v>
      </c>
      <c r="B1792" s="18">
        <v>20025461183</v>
      </c>
      <c r="C1792" s="18" t="s">
        <v>215</v>
      </c>
      <c r="D1792" s="19">
        <v>45799.508333333331</v>
      </c>
      <c r="E1792" s="18" t="s">
        <v>10</v>
      </c>
      <c r="F1792" s="18">
        <v>15</v>
      </c>
      <c r="G1792" s="18" t="s">
        <v>10</v>
      </c>
      <c r="H1792" s="18" t="s">
        <v>178</v>
      </c>
      <c r="I1792" s="18" t="s">
        <v>10</v>
      </c>
      <c r="J1792" s="18" t="s">
        <v>4017</v>
      </c>
      <c r="K1792" s="20"/>
    </row>
    <row r="1793" spans="1:11" ht="36.75" thickBot="1">
      <c r="A1793" s="18" t="s">
        <v>6596</v>
      </c>
      <c r="B1793" s="18">
        <v>20025529086</v>
      </c>
      <c r="C1793" s="18" t="s">
        <v>215</v>
      </c>
      <c r="D1793" s="19">
        <v>45799.521527777775</v>
      </c>
      <c r="E1793" s="18" t="s">
        <v>10</v>
      </c>
      <c r="F1793" s="18">
        <v>15</v>
      </c>
      <c r="G1793" s="18" t="s">
        <v>10</v>
      </c>
      <c r="H1793" s="18" t="s">
        <v>178</v>
      </c>
      <c r="I1793" s="18" t="s">
        <v>10</v>
      </c>
      <c r="J1793" s="18" t="s">
        <v>4017</v>
      </c>
      <c r="K1793" s="20"/>
    </row>
    <row r="1794" spans="1:11" ht="36.75" thickBot="1">
      <c r="A1794" s="18" t="s">
        <v>6597</v>
      </c>
      <c r="B1794" s="18">
        <v>20025714389</v>
      </c>
      <c r="C1794" s="18" t="s">
        <v>215</v>
      </c>
      <c r="D1794" s="19">
        <v>45799.527083333334</v>
      </c>
      <c r="E1794" s="18" t="s">
        <v>10</v>
      </c>
      <c r="F1794" s="18">
        <v>15</v>
      </c>
      <c r="G1794" s="18" t="s">
        <v>10</v>
      </c>
      <c r="H1794" s="18" t="s">
        <v>178</v>
      </c>
      <c r="I1794" s="18" t="s">
        <v>10</v>
      </c>
      <c r="J1794" s="18" t="s">
        <v>4017</v>
      </c>
      <c r="K1794" s="20"/>
    </row>
    <row r="1795" spans="1:11" ht="36.75" thickBot="1">
      <c r="A1795" s="18" t="s">
        <v>6598</v>
      </c>
      <c r="B1795" s="18">
        <v>20025736829</v>
      </c>
      <c r="C1795" s="18" t="s">
        <v>215</v>
      </c>
      <c r="D1795" s="19">
        <v>45799.531944444447</v>
      </c>
      <c r="E1795" s="18" t="s">
        <v>10</v>
      </c>
      <c r="F1795" s="18">
        <v>15</v>
      </c>
      <c r="G1795" s="18" t="s">
        <v>10</v>
      </c>
      <c r="H1795" s="18" t="s">
        <v>178</v>
      </c>
      <c r="I1795" s="18" t="s">
        <v>10</v>
      </c>
      <c r="J1795" s="18" t="s">
        <v>4017</v>
      </c>
      <c r="K1795" s="20"/>
    </row>
    <row r="1796" spans="1:11" ht="36.75" thickBot="1">
      <c r="A1796" s="18" t="s">
        <v>6599</v>
      </c>
      <c r="B1796" s="18">
        <v>20017813525</v>
      </c>
      <c r="C1796" s="18" t="s">
        <v>1836</v>
      </c>
      <c r="D1796" s="19">
        <v>45799.549305555556</v>
      </c>
      <c r="E1796" s="18" t="s">
        <v>10</v>
      </c>
      <c r="F1796" s="18">
        <v>30</v>
      </c>
      <c r="G1796" s="18" t="s">
        <v>10</v>
      </c>
      <c r="H1796" s="18" t="s">
        <v>178</v>
      </c>
      <c r="I1796" s="18" t="s">
        <v>10</v>
      </c>
      <c r="J1796" s="18" t="s">
        <v>4017</v>
      </c>
      <c r="K1796" s="20"/>
    </row>
    <row r="1797" spans="1:11" ht="36.75" thickBot="1">
      <c r="A1797" s="18" t="s">
        <v>6600</v>
      </c>
      <c r="B1797" s="18">
        <v>20017791581</v>
      </c>
      <c r="C1797" s="18" t="s">
        <v>1836</v>
      </c>
      <c r="D1797" s="19">
        <v>45799.559027777781</v>
      </c>
      <c r="E1797" s="18" t="s">
        <v>10</v>
      </c>
      <c r="F1797" s="18">
        <v>30</v>
      </c>
      <c r="G1797" s="18" t="s">
        <v>10</v>
      </c>
      <c r="H1797" s="18" t="s">
        <v>178</v>
      </c>
      <c r="I1797" s="18" t="s">
        <v>10</v>
      </c>
      <c r="J1797" s="18" t="s">
        <v>4017</v>
      </c>
      <c r="K1797" s="20"/>
    </row>
    <row r="1798" spans="1:11" ht="36.75" thickBot="1">
      <c r="A1798" s="18" t="s">
        <v>6601</v>
      </c>
      <c r="B1798" s="18">
        <v>20017935886</v>
      </c>
      <c r="C1798" s="18" t="s">
        <v>1836</v>
      </c>
      <c r="D1798" s="19">
        <v>45799.57916666667</v>
      </c>
      <c r="E1798" s="18" t="s">
        <v>10</v>
      </c>
      <c r="F1798" s="18">
        <v>30</v>
      </c>
      <c r="G1798" s="18" t="s">
        <v>10</v>
      </c>
      <c r="H1798" s="18" t="s">
        <v>178</v>
      </c>
      <c r="I1798" s="18" t="s">
        <v>10</v>
      </c>
      <c r="J1798" s="18" t="s">
        <v>4017</v>
      </c>
      <c r="K1798" s="20"/>
    </row>
    <row r="1799" spans="1:11" ht="36.75" thickBot="1">
      <c r="A1799" s="18" t="s">
        <v>6602</v>
      </c>
      <c r="B1799" s="18">
        <v>20017211154</v>
      </c>
      <c r="C1799" s="18" t="s">
        <v>1836</v>
      </c>
      <c r="D1799" s="19">
        <v>45799.619444444441</v>
      </c>
      <c r="E1799" s="18" t="s">
        <v>10</v>
      </c>
      <c r="F1799" s="18">
        <v>30</v>
      </c>
      <c r="G1799" s="18" t="s">
        <v>10</v>
      </c>
      <c r="H1799" s="18" t="s">
        <v>178</v>
      </c>
      <c r="I1799" s="18" t="s">
        <v>10</v>
      </c>
      <c r="J1799" s="18" t="s">
        <v>4017</v>
      </c>
      <c r="K1799" s="20"/>
    </row>
    <row r="1800" spans="1:11" ht="36.75" thickBot="1">
      <c r="A1800" s="18" t="s">
        <v>6603</v>
      </c>
      <c r="B1800" s="18">
        <v>20003558290</v>
      </c>
      <c r="C1800" s="18" t="s">
        <v>6604</v>
      </c>
      <c r="D1800" s="19">
        <v>45799.736805555556</v>
      </c>
      <c r="E1800" s="18" t="s">
        <v>10</v>
      </c>
      <c r="F1800" s="18">
        <v>50</v>
      </c>
      <c r="G1800" s="18" t="s">
        <v>10</v>
      </c>
      <c r="H1800" s="18" t="s">
        <v>178</v>
      </c>
      <c r="I1800" s="18" t="s">
        <v>10</v>
      </c>
      <c r="J1800" s="18" t="s">
        <v>4017</v>
      </c>
      <c r="K1800" s="20"/>
    </row>
    <row r="1801" spans="1:11" ht="36.75" thickBot="1">
      <c r="A1801" s="18" t="s">
        <v>6605</v>
      </c>
      <c r="B1801" s="18">
        <v>20003558290</v>
      </c>
      <c r="C1801" s="18" t="s">
        <v>6604</v>
      </c>
      <c r="D1801" s="19">
        <v>45799.744444444441</v>
      </c>
      <c r="E1801" s="18" t="s">
        <v>10</v>
      </c>
      <c r="F1801" s="18">
        <v>50</v>
      </c>
      <c r="G1801" s="18" t="s">
        <v>10</v>
      </c>
      <c r="H1801" s="18" t="s">
        <v>178</v>
      </c>
      <c r="I1801" s="18" t="s">
        <v>10</v>
      </c>
      <c r="J1801" s="18" t="s">
        <v>4017</v>
      </c>
      <c r="K1801" s="1"/>
    </row>
    <row r="1802" spans="1:11" ht="36.75" thickBot="1">
      <c r="A1802" s="21" t="s">
        <v>6606</v>
      </c>
      <c r="B1802" s="21">
        <v>20018127146</v>
      </c>
      <c r="C1802" s="21" t="s">
        <v>1836</v>
      </c>
      <c r="D1802" s="22">
        <v>45799.746527777781</v>
      </c>
      <c r="E1802" s="21" t="s">
        <v>10</v>
      </c>
      <c r="F1802" s="21">
        <v>30</v>
      </c>
      <c r="G1802" s="21" t="s">
        <v>10</v>
      </c>
      <c r="H1802" s="21" t="s">
        <v>178</v>
      </c>
      <c r="I1802" s="21" t="s">
        <v>10</v>
      </c>
      <c r="J1802" s="21" t="s">
        <v>4017</v>
      </c>
      <c r="K1802" s="20"/>
    </row>
    <row r="1803" spans="1:11" ht="36.75" thickBot="1">
      <c r="A1803" s="18" t="s">
        <v>6607</v>
      </c>
      <c r="B1803" s="18">
        <v>20021166275</v>
      </c>
      <c r="C1803" s="18" t="s">
        <v>4135</v>
      </c>
      <c r="D1803" s="19">
        <v>45799.876388888886</v>
      </c>
      <c r="E1803" s="18" t="s">
        <v>10</v>
      </c>
      <c r="F1803" s="18">
        <v>136</v>
      </c>
      <c r="G1803" s="18" t="s">
        <v>10</v>
      </c>
      <c r="H1803" s="18" t="s">
        <v>178</v>
      </c>
      <c r="I1803" s="18" t="s">
        <v>10</v>
      </c>
      <c r="J1803" s="18" t="s">
        <v>4017</v>
      </c>
      <c r="K1803" s="20"/>
    </row>
    <row r="1804" spans="1:11" ht="36.75" thickBot="1">
      <c r="A1804" s="18" t="s">
        <v>6608</v>
      </c>
      <c r="B1804" s="18">
        <v>20003058861</v>
      </c>
      <c r="C1804" s="18" t="s">
        <v>4514</v>
      </c>
      <c r="D1804" s="19">
        <v>45800.499305555553</v>
      </c>
      <c r="E1804" s="18" t="s">
        <v>10</v>
      </c>
      <c r="F1804" s="18">
        <v>360</v>
      </c>
      <c r="G1804" s="18" t="s">
        <v>10</v>
      </c>
      <c r="H1804" s="18" t="s">
        <v>189</v>
      </c>
      <c r="I1804" s="18" t="s">
        <v>10</v>
      </c>
      <c r="J1804" s="18" t="s">
        <v>4017</v>
      </c>
      <c r="K1804" s="20"/>
    </row>
    <row r="1805" spans="1:11" ht="36.75" thickBot="1">
      <c r="A1805" s="18" t="s">
        <v>6609</v>
      </c>
      <c r="B1805" s="18">
        <v>20003220071</v>
      </c>
      <c r="C1805" s="18" t="s">
        <v>6610</v>
      </c>
      <c r="D1805" s="19">
        <v>45800.569444444445</v>
      </c>
      <c r="E1805" s="18" t="s">
        <v>10</v>
      </c>
      <c r="F1805" s="18">
        <v>5</v>
      </c>
      <c r="G1805" s="18" t="s">
        <v>10</v>
      </c>
      <c r="H1805" s="18" t="s">
        <v>178</v>
      </c>
      <c r="I1805" s="18" t="s">
        <v>10</v>
      </c>
      <c r="J1805" s="18" t="s">
        <v>4017</v>
      </c>
      <c r="K1805" s="20"/>
    </row>
    <row r="1806" spans="1:11" ht="36.75" thickBot="1">
      <c r="A1806" s="18" t="s">
        <v>6611</v>
      </c>
      <c r="B1806" s="18">
        <v>20002950602</v>
      </c>
      <c r="C1806" s="18" t="s">
        <v>6612</v>
      </c>
      <c r="D1806" s="19">
        <v>45802.026388888888</v>
      </c>
      <c r="E1806" s="18" t="s">
        <v>10</v>
      </c>
      <c r="F1806" s="18">
        <v>300</v>
      </c>
      <c r="G1806" s="18" t="s">
        <v>10</v>
      </c>
      <c r="H1806" s="18" t="s">
        <v>178</v>
      </c>
      <c r="I1806" s="18" t="s">
        <v>10</v>
      </c>
      <c r="J1806" s="18" t="s">
        <v>4017</v>
      </c>
      <c r="K1806" s="20"/>
    </row>
    <row r="1807" spans="1:11" ht="36.75" thickBot="1">
      <c r="A1807" s="18" t="s">
        <v>6613</v>
      </c>
      <c r="B1807" s="18">
        <v>20027714350</v>
      </c>
      <c r="C1807" s="18" t="s">
        <v>6347</v>
      </c>
      <c r="D1807" s="19">
        <v>45802.954861111109</v>
      </c>
      <c r="E1807" s="18" t="s">
        <v>10</v>
      </c>
      <c r="F1807" s="18">
        <v>50</v>
      </c>
      <c r="G1807" s="18" t="s">
        <v>10</v>
      </c>
      <c r="H1807" s="18" t="s">
        <v>178</v>
      </c>
      <c r="I1807" s="18" t="s">
        <v>10</v>
      </c>
      <c r="J1807" s="18" t="s">
        <v>4017</v>
      </c>
      <c r="K1807" s="20"/>
    </row>
    <row r="1808" spans="1:11" ht="36.75" thickBot="1">
      <c r="A1808" s="18" t="s">
        <v>6614</v>
      </c>
      <c r="B1808" s="18">
        <v>20003248087</v>
      </c>
      <c r="C1808" s="18" t="s">
        <v>4897</v>
      </c>
      <c r="D1808" s="19">
        <v>45803.576388888891</v>
      </c>
      <c r="E1808" s="18" t="s">
        <v>10</v>
      </c>
      <c r="F1808" s="18">
        <v>50</v>
      </c>
      <c r="G1808" s="18" t="s">
        <v>10</v>
      </c>
      <c r="H1808" s="18" t="s">
        <v>178</v>
      </c>
      <c r="I1808" s="18" t="s">
        <v>10</v>
      </c>
      <c r="J1808" s="18" t="s">
        <v>4017</v>
      </c>
      <c r="K1808" s="20"/>
    </row>
    <row r="1809" spans="1:11" ht="36.75" thickBot="1">
      <c r="A1809" s="18" t="s">
        <v>6615</v>
      </c>
      <c r="B1809" s="18">
        <v>20003133388</v>
      </c>
      <c r="C1809" s="18" t="s">
        <v>6616</v>
      </c>
      <c r="D1809" s="19">
        <v>45803.615277777775</v>
      </c>
      <c r="E1809" s="18" t="s">
        <v>10</v>
      </c>
      <c r="F1809" s="18">
        <v>150</v>
      </c>
      <c r="G1809" s="18" t="s">
        <v>10</v>
      </c>
      <c r="H1809" s="18" t="s">
        <v>178</v>
      </c>
      <c r="I1809" s="18" t="s">
        <v>10</v>
      </c>
      <c r="J1809" s="18" t="s">
        <v>4017</v>
      </c>
      <c r="K1809" s="20"/>
    </row>
    <row r="1810" spans="1:11" ht="36.75" thickBot="1">
      <c r="A1810" s="18" t="s">
        <v>6617</v>
      </c>
      <c r="B1810" s="18">
        <v>20003452536</v>
      </c>
      <c r="C1810" s="18" t="s">
        <v>6618</v>
      </c>
      <c r="D1810" s="19">
        <v>45803.644444444442</v>
      </c>
      <c r="E1810" s="18" t="s">
        <v>10</v>
      </c>
      <c r="F1810" s="18">
        <v>150</v>
      </c>
      <c r="G1810" s="18" t="s">
        <v>10</v>
      </c>
      <c r="H1810" s="18" t="s">
        <v>178</v>
      </c>
      <c r="I1810" s="18" t="s">
        <v>10</v>
      </c>
      <c r="J1810" s="18" t="s">
        <v>4017</v>
      </c>
      <c r="K1810" s="20"/>
    </row>
    <row r="1811" spans="1:11" ht="36.75" thickBot="1">
      <c r="A1811" s="18" t="s">
        <v>6619</v>
      </c>
      <c r="B1811" s="18">
        <v>20019498550</v>
      </c>
      <c r="C1811" s="18" t="s">
        <v>6620</v>
      </c>
      <c r="D1811" s="19">
        <v>45803.663888888892</v>
      </c>
      <c r="E1811" s="18" t="s">
        <v>10</v>
      </c>
      <c r="F1811" s="18">
        <v>120</v>
      </c>
      <c r="G1811" s="18" t="s">
        <v>10</v>
      </c>
      <c r="H1811" s="18" t="s">
        <v>178</v>
      </c>
      <c r="I1811" s="18" t="s">
        <v>10</v>
      </c>
      <c r="J1811" s="18" t="s">
        <v>4017</v>
      </c>
      <c r="K1811" s="20"/>
    </row>
    <row r="1812" spans="1:11" ht="36.75" thickBot="1">
      <c r="A1812" s="18" t="s">
        <v>6621</v>
      </c>
      <c r="B1812" s="18">
        <v>20026473722</v>
      </c>
      <c r="C1812" s="18" t="s">
        <v>6622</v>
      </c>
      <c r="D1812" s="19">
        <v>45803.977777777778</v>
      </c>
      <c r="E1812" s="18" t="s">
        <v>10</v>
      </c>
      <c r="F1812" s="18">
        <v>25</v>
      </c>
      <c r="G1812" s="18" t="s">
        <v>10</v>
      </c>
      <c r="H1812" s="18" t="s">
        <v>178</v>
      </c>
      <c r="I1812" s="18" t="s">
        <v>10</v>
      </c>
      <c r="J1812" s="18" t="s">
        <v>4017</v>
      </c>
      <c r="K1812" s="20"/>
    </row>
    <row r="1813" spans="1:11" ht="36.75" thickBot="1">
      <c r="A1813" s="18" t="s">
        <v>6623</v>
      </c>
      <c r="B1813" s="18">
        <v>20027984892</v>
      </c>
      <c r="C1813" s="18" t="s">
        <v>6624</v>
      </c>
      <c r="D1813" s="19">
        <v>45804.203472222223</v>
      </c>
      <c r="E1813" s="18" t="s">
        <v>10</v>
      </c>
      <c r="F1813" s="18">
        <v>30</v>
      </c>
      <c r="G1813" s="18" t="s">
        <v>10</v>
      </c>
      <c r="H1813" s="18" t="s">
        <v>178</v>
      </c>
      <c r="I1813" s="18" t="s">
        <v>10</v>
      </c>
      <c r="J1813" s="18" t="s">
        <v>4017</v>
      </c>
      <c r="K1813" s="20"/>
    </row>
    <row r="1814" spans="1:11" ht="36.75" thickBot="1">
      <c r="A1814" s="18" t="s">
        <v>6625</v>
      </c>
      <c r="B1814" s="18">
        <v>20020672865</v>
      </c>
      <c r="C1814" s="18" t="s">
        <v>6626</v>
      </c>
      <c r="D1814" s="19">
        <v>45804.20416666667</v>
      </c>
      <c r="E1814" s="18" t="s">
        <v>10</v>
      </c>
      <c r="F1814" s="18">
        <v>210</v>
      </c>
      <c r="G1814" s="18" t="s">
        <v>10</v>
      </c>
      <c r="H1814" s="18" t="s">
        <v>178</v>
      </c>
      <c r="I1814" s="18" t="s">
        <v>10</v>
      </c>
      <c r="J1814" s="18" t="s">
        <v>4017</v>
      </c>
      <c r="K1814" s="20"/>
    </row>
    <row r="1815" spans="1:11" ht="36.75" thickBot="1">
      <c r="A1815" s="18" t="s">
        <v>6627</v>
      </c>
      <c r="B1815" s="18">
        <v>20028171602</v>
      </c>
      <c r="C1815" s="18" t="s">
        <v>1836</v>
      </c>
      <c r="D1815" s="19">
        <v>45804.415277777778</v>
      </c>
      <c r="E1815" s="18" t="s">
        <v>10</v>
      </c>
      <c r="F1815" s="18">
        <v>30</v>
      </c>
      <c r="G1815" s="18" t="s">
        <v>10</v>
      </c>
      <c r="H1815" s="18" t="s">
        <v>178</v>
      </c>
      <c r="I1815" s="18" t="s">
        <v>10</v>
      </c>
      <c r="J1815" s="18" t="s">
        <v>4017</v>
      </c>
      <c r="K1815" s="20"/>
    </row>
    <row r="1816" spans="1:11" ht="36.75" thickBot="1">
      <c r="A1816" s="18" t="s">
        <v>6628</v>
      </c>
      <c r="B1816" s="18">
        <v>20019832766</v>
      </c>
      <c r="C1816" s="18" t="s">
        <v>6629</v>
      </c>
      <c r="D1816" s="19">
        <v>45804.428472222222</v>
      </c>
      <c r="E1816" s="18" t="s">
        <v>10</v>
      </c>
      <c r="F1816" s="18">
        <v>600</v>
      </c>
      <c r="G1816" s="18" t="s">
        <v>10</v>
      </c>
      <c r="H1816" s="18" t="s">
        <v>178</v>
      </c>
      <c r="I1816" s="18" t="s">
        <v>10</v>
      </c>
      <c r="J1816" s="18" t="s">
        <v>4017</v>
      </c>
      <c r="K1816" s="20"/>
    </row>
    <row r="1817" spans="1:11" ht="36.75" thickBot="1">
      <c r="A1817" s="18" t="s">
        <v>6630</v>
      </c>
      <c r="B1817" s="18">
        <v>20019972494</v>
      </c>
      <c r="C1817" s="18" t="s">
        <v>6629</v>
      </c>
      <c r="D1817" s="19">
        <v>45804.4375</v>
      </c>
      <c r="E1817" s="18" t="s">
        <v>10</v>
      </c>
      <c r="F1817" s="18">
        <v>390</v>
      </c>
      <c r="G1817" s="18" t="s">
        <v>10</v>
      </c>
      <c r="H1817" s="18" t="s">
        <v>178</v>
      </c>
      <c r="I1817" s="18" t="s">
        <v>10</v>
      </c>
      <c r="J1817" s="18" t="s">
        <v>4017</v>
      </c>
      <c r="K1817" s="20"/>
    </row>
    <row r="1818" spans="1:11" ht="36.75" thickBot="1">
      <c r="A1818" s="18" t="s">
        <v>6631</v>
      </c>
      <c r="B1818" s="18">
        <v>20019608805</v>
      </c>
      <c r="C1818" s="18" t="s">
        <v>6632</v>
      </c>
      <c r="D1818" s="19">
        <v>45804.457638888889</v>
      </c>
      <c r="E1818" s="18" t="s">
        <v>10</v>
      </c>
      <c r="F1818" s="18">
        <v>400</v>
      </c>
      <c r="G1818" s="19">
        <v>45827.567361111112</v>
      </c>
      <c r="H1818" s="18" t="s">
        <v>2654</v>
      </c>
      <c r="I1818" s="18" t="s">
        <v>10</v>
      </c>
      <c r="J1818" s="18" t="s">
        <v>4017</v>
      </c>
      <c r="K1818" s="20"/>
    </row>
    <row r="1819" spans="1:11" ht="36.75" thickBot="1">
      <c r="A1819" s="18" t="s">
        <v>6633</v>
      </c>
      <c r="B1819" s="18">
        <v>20023600574</v>
      </c>
      <c r="C1819" s="18" t="s">
        <v>4135</v>
      </c>
      <c r="D1819" s="19">
        <v>45752.670138888891</v>
      </c>
      <c r="E1819" s="19">
        <v>45804.484722222223</v>
      </c>
      <c r="F1819" s="18">
        <v>250</v>
      </c>
      <c r="G1819" s="19">
        <v>45856.522916666669</v>
      </c>
      <c r="H1819" s="18" t="s">
        <v>2654</v>
      </c>
      <c r="I1819" s="18" t="s">
        <v>10</v>
      </c>
      <c r="J1819" s="18" t="s">
        <v>4017</v>
      </c>
      <c r="K1819" s="20"/>
    </row>
    <row r="1820" spans="1:11" ht="36.75" thickBot="1">
      <c r="A1820" s="18" t="s">
        <v>6634</v>
      </c>
      <c r="B1820" s="18">
        <v>20016676066</v>
      </c>
      <c r="C1820" s="18" t="s">
        <v>6635</v>
      </c>
      <c r="D1820" s="19">
        <v>45743.666666666664</v>
      </c>
      <c r="E1820" s="19">
        <v>45804.498611111114</v>
      </c>
      <c r="F1820" s="18">
        <v>800</v>
      </c>
      <c r="G1820" s="18" t="s">
        <v>10</v>
      </c>
      <c r="H1820" s="18" t="s">
        <v>178</v>
      </c>
      <c r="I1820" s="18" t="s">
        <v>10</v>
      </c>
      <c r="J1820" s="18" t="s">
        <v>4017</v>
      </c>
      <c r="K1820" s="20"/>
    </row>
    <row r="1821" spans="1:11" ht="36.75" thickBot="1">
      <c r="A1821" s="18" t="s">
        <v>6636</v>
      </c>
      <c r="B1821" s="18">
        <v>20003115346</v>
      </c>
      <c r="C1821" s="18" t="s">
        <v>6637</v>
      </c>
      <c r="D1821" s="19">
        <v>45804.640972222223</v>
      </c>
      <c r="E1821" s="18" t="s">
        <v>10</v>
      </c>
      <c r="F1821" s="18">
        <v>150</v>
      </c>
      <c r="G1821" s="18" t="s">
        <v>10</v>
      </c>
      <c r="H1821" s="18" t="s">
        <v>178</v>
      </c>
      <c r="I1821" s="18" t="s">
        <v>10</v>
      </c>
      <c r="J1821" s="18" t="s">
        <v>4017</v>
      </c>
      <c r="K1821" s="20"/>
    </row>
    <row r="1822" spans="1:11" ht="36.75" thickBot="1">
      <c r="A1822" s="18" t="s">
        <v>6638</v>
      </c>
      <c r="B1822" s="18">
        <v>20002954020</v>
      </c>
      <c r="C1822" s="18" t="s">
        <v>4963</v>
      </c>
      <c r="D1822" s="19">
        <v>45805.594444444447</v>
      </c>
      <c r="E1822" s="18" t="s">
        <v>10</v>
      </c>
      <c r="F1822" s="18">
        <v>300</v>
      </c>
      <c r="G1822" s="18" t="s">
        <v>10</v>
      </c>
      <c r="H1822" s="18" t="s">
        <v>178</v>
      </c>
      <c r="I1822" s="18" t="s">
        <v>10</v>
      </c>
      <c r="J1822" s="18" t="s">
        <v>4017</v>
      </c>
      <c r="K1822" s="20"/>
    </row>
    <row r="1823" spans="1:11" ht="36.75" thickBot="1">
      <c r="A1823" s="18" t="s">
        <v>6639</v>
      </c>
      <c r="B1823" s="18">
        <v>20003490160</v>
      </c>
      <c r="C1823" s="18" t="s">
        <v>6501</v>
      </c>
      <c r="D1823" s="19">
        <v>45805.632638888892</v>
      </c>
      <c r="E1823" s="18" t="s">
        <v>10</v>
      </c>
      <c r="F1823" s="18">
        <v>108</v>
      </c>
      <c r="G1823" s="18" t="s">
        <v>10</v>
      </c>
      <c r="H1823" s="18" t="s">
        <v>178</v>
      </c>
      <c r="I1823" s="18" t="s">
        <v>10</v>
      </c>
      <c r="J1823" s="18" t="s">
        <v>4017</v>
      </c>
      <c r="K1823" s="20"/>
    </row>
    <row r="1824" spans="1:11" ht="54.75" thickBot="1">
      <c r="A1824" s="18" t="s">
        <v>6640</v>
      </c>
      <c r="B1824" s="18">
        <v>20002656211</v>
      </c>
      <c r="C1824" s="18" t="s">
        <v>5999</v>
      </c>
      <c r="D1824" s="19">
        <v>45805.633333333331</v>
      </c>
      <c r="E1824" s="18" t="s">
        <v>10</v>
      </c>
      <c r="F1824" s="18">
        <v>30</v>
      </c>
      <c r="G1824" s="18" t="s">
        <v>10</v>
      </c>
      <c r="H1824" s="18" t="s">
        <v>178</v>
      </c>
      <c r="I1824" s="18" t="s">
        <v>10</v>
      </c>
      <c r="J1824" s="18" t="s">
        <v>4017</v>
      </c>
      <c r="K1824" s="20"/>
    </row>
    <row r="1825" spans="1:11" ht="72.75" thickBot="1">
      <c r="A1825" s="18" t="s">
        <v>6641</v>
      </c>
      <c r="B1825" s="18">
        <v>20024595673</v>
      </c>
      <c r="C1825" s="18" t="s">
        <v>6642</v>
      </c>
      <c r="D1825" s="19">
        <v>45805.644444444442</v>
      </c>
      <c r="E1825" s="18" t="s">
        <v>10</v>
      </c>
      <c r="F1825" s="18">
        <v>100</v>
      </c>
      <c r="G1825" s="19">
        <v>45824.491666666669</v>
      </c>
      <c r="H1825" s="18" t="s">
        <v>2657</v>
      </c>
      <c r="I1825" s="18" t="s">
        <v>10</v>
      </c>
      <c r="J1825" s="18" t="s">
        <v>4017</v>
      </c>
      <c r="K1825" s="20"/>
    </row>
    <row r="1826" spans="1:11" ht="36.75" thickBot="1">
      <c r="A1826" s="18" t="s">
        <v>6643</v>
      </c>
      <c r="B1826" s="18">
        <v>20021072908</v>
      </c>
      <c r="C1826" s="18" t="s">
        <v>6644</v>
      </c>
      <c r="D1826" s="19">
        <v>45805.677083333336</v>
      </c>
      <c r="E1826" s="18" t="s">
        <v>10</v>
      </c>
      <c r="F1826" s="18">
        <v>360</v>
      </c>
      <c r="G1826" s="18" t="s">
        <v>10</v>
      </c>
      <c r="H1826" s="18" t="s">
        <v>178</v>
      </c>
      <c r="I1826" s="18" t="s">
        <v>10</v>
      </c>
      <c r="J1826" s="18" t="s">
        <v>4017</v>
      </c>
      <c r="K1826" s="20"/>
    </row>
    <row r="1827" spans="1:11" ht="36.75" thickBot="1">
      <c r="A1827" s="18" t="s">
        <v>6645</v>
      </c>
      <c r="B1827" s="18">
        <v>20028201486</v>
      </c>
      <c r="C1827" s="18" t="s">
        <v>1836</v>
      </c>
      <c r="D1827" s="19">
        <v>45805.704861111109</v>
      </c>
      <c r="E1827" s="18" t="s">
        <v>10</v>
      </c>
      <c r="F1827" s="18">
        <v>30</v>
      </c>
      <c r="G1827" s="18" t="s">
        <v>10</v>
      </c>
      <c r="H1827" s="18" t="s">
        <v>178</v>
      </c>
      <c r="I1827" s="18" t="s">
        <v>10</v>
      </c>
      <c r="J1827" s="18" t="s">
        <v>4017</v>
      </c>
      <c r="K1827" s="20"/>
    </row>
    <row r="1828" spans="1:11" ht="36.75" thickBot="1">
      <c r="A1828" s="18" t="s">
        <v>6646</v>
      </c>
      <c r="B1828" s="18">
        <v>20028367988</v>
      </c>
      <c r="C1828" s="18" t="s">
        <v>6647</v>
      </c>
      <c r="D1828" s="19">
        <v>45805.709027777775</v>
      </c>
      <c r="E1828" s="18" t="s">
        <v>10</v>
      </c>
      <c r="F1828" s="18">
        <v>30</v>
      </c>
      <c r="G1828" s="18" t="s">
        <v>10</v>
      </c>
      <c r="H1828" s="18" t="s">
        <v>178</v>
      </c>
      <c r="I1828" s="18" t="s">
        <v>10</v>
      </c>
      <c r="J1828" s="18" t="s">
        <v>4017</v>
      </c>
      <c r="K1828" s="20"/>
    </row>
    <row r="1829" spans="1:11" ht="36.75" thickBot="1">
      <c r="A1829" s="18" t="s">
        <v>6648</v>
      </c>
      <c r="B1829" s="18">
        <v>20020585213</v>
      </c>
      <c r="C1829" s="18" t="s">
        <v>4990</v>
      </c>
      <c r="D1829" s="19">
        <v>45677.761805555558</v>
      </c>
      <c r="E1829" s="19">
        <v>45805.787499999999</v>
      </c>
      <c r="F1829" s="18">
        <v>500</v>
      </c>
      <c r="G1829" s="19">
        <v>45828.554861111108</v>
      </c>
      <c r="H1829" s="18" t="s">
        <v>2654</v>
      </c>
      <c r="I1829" s="18" t="s">
        <v>10</v>
      </c>
      <c r="J1829" s="18" t="s">
        <v>4017</v>
      </c>
      <c r="K1829" s="20"/>
    </row>
    <row r="1830" spans="1:11" ht="36.75" thickBot="1">
      <c r="A1830" s="18" t="s">
        <v>6649</v>
      </c>
      <c r="B1830" s="18">
        <v>20002974788</v>
      </c>
      <c r="C1830" s="18" t="s">
        <v>6650</v>
      </c>
      <c r="D1830" s="19">
        <v>45806.851388888892</v>
      </c>
      <c r="E1830" s="18" t="s">
        <v>10</v>
      </c>
      <c r="F1830" s="18">
        <v>100</v>
      </c>
      <c r="G1830" s="18" t="s">
        <v>10</v>
      </c>
      <c r="H1830" s="18" t="s">
        <v>178</v>
      </c>
      <c r="I1830" s="18" t="s">
        <v>10</v>
      </c>
      <c r="J1830" s="18" t="s">
        <v>4017</v>
      </c>
      <c r="K1830" s="20"/>
    </row>
    <row r="1831" spans="1:11" ht="36.75" thickBot="1">
      <c r="A1831" s="18" t="s">
        <v>6651</v>
      </c>
      <c r="B1831" s="18">
        <v>20017341510</v>
      </c>
      <c r="C1831" s="18" t="s">
        <v>6652</v>
      </c>
      <c r="D1831" s="19">
        <v>45806.877083333333</v>
      </c>
      <c r="E1831" s="18" t="s">
        <v>10</v>
      </c>
      <c r="F1831" s="18">
        <v>190</v>
      </c>
      <c r="G1831" s="18" t="s">
        <v>10</v>
      </c>
      <c r="H1831" s="18" t="s">
        <v>178</v>
      </c>
      <c r="I1831" s="18" t="s">
        <v>10</v>
      </c>
      <c r="J1831" s="18" t="s">
        <v>4017</v>
      </c>
      <c r="K1831" s="20"/>
    </row>
    <row r="1832" spans="1:11" ht="36.75" thickBot="1">
      <c r="A1832" s="18" t="s">
        <v>6653</v>
      </c>
      <c r="B1832" s="18">
        <v>20018195078</v>
      </c>
      <c r="C1832" s="18" t="s">
        <v>6654</v>
      </c>
      <c r="D1832" s="19">
        <v>45780.720138888886</v>
      </c>
      <c r="E1832" s="19">
        <v>45807.405555555553</v>
      </c>
      <c r="F1832" s="18">
        <v>50</v>
      </c>
      <c r="G1832" s="18" t="s">
        <v>10</v>
      </c>
      <c r="H1832" s="18" t="s">
        <v>178</v>
      </c>
      <c r="I1832" s="18" t="s">
        <v>10</v>
      </c>
      <c r="J1832" s="18" t="s">
        <v>4017</v>
      </c>
      <c r="K1832" s="20"/>
    </row>
    <row r="1833" spans="1:11" ht="36.75" thickBot="1">
      <c r="A1833" s="18" t="s">
        <v>6655</v>
      </c>
      <c r="B1833" s="18">
        <v>20003225463</v>
      </c>
      <c r="C1833" s="18" t="s">
        <v>6656</v>
      </c>
      <c r="D1833" s="19">
        <v>45807.457638888889</v>
      </c>
      <c r="E1833" s="18" t="s">
        <v>10</v>
      </c>
      <c r="F1833" s="18">
        <v>300</v>
      </c>
      <c r="G1833" s="18" t="s">
        <v>10</v>
      </c>
      <c r="H1833" s="18" t="s">
        <v>178</v>
      </c>
      <c r="I1833" s="18" t="s">
        <v>10</v>
      </c>
      <c r="J1833" s="18" t="s">
        <v>4017</v>
      </c>
      <c r="K1833" s="20"/>
    </row>
    <row r="1834" spans="1:11" ht="36.75" thickBot="1">
      <c r="A1834" s="18" t="s">
        <v>6657</v>
      </c>
      <c r="B1834" s="18">
        <v>20022321371</v>
      </c>
      <c r="C1834" s="18" t="s">
        <v>6656</v>
      </c>
      <c r="D1834" s="19">
        <v>45807.463888888888</v>
      </c>
      <c r="E1834" s="18" t="s">
        <v>10</v>
      </c>
      <c r="F1834" s="18">
        <v>540</v>
      </c>
      <c r="G1834" s="18" t="s">
        <v>10</v>
      </c>
      <c r="H1834" s="18" t="s">
        <v>178</v>
      </c>
      <c r="I1834" s="18" t="s">
        <v>10</v>
      </c>
      <c r="J1834" s="18" t="s">
        <v>4017</v>
      </c>
      <c r="K1834" s="20"/>
    </row>
    <row r="1835" spans="1:11" ht="36.75" thickBot="1">
      <c r="A1835" s="18" t="s">
        <v>6658</v>
      </c>
      <c r="B1835" s="18">
        <v>20003035844</v>
      </c>
      <c r="C1835" s="18" t="s">
        <v>6659</v>
      </c>
      <c r="D1835" s="19">
        <v>45807.661111111112</v>
      </c>
      <c r="E1835" s="18" t="s">
        <v>10</v>
      </c>
      <c r="F1835" s="18">
        <v>450</v>
      </c>
      <c r="G1835" s="18" t="s">
        <v>10</v>
      </c>
      <c r="H1835" s="18" t="s">
        <v>178</v>
      </c>
      <c r="I1835" s="18" t="s">
        <v>10</v>
      </c>
      <c r="J1835" s="18" t="s">
        <v>4017</v>
      </c>
      <c r="K1835" s="20"/>
    </row>
    <row r="1836" spans="1:11" ht="36.75" thickBot="1">
      <c r="A1836" s="18" t="s">
        <v>6660</v>
      </c>
      <c r="B1836" s="18">
        <v>20024923074</v>
      </c>
      <c r="C1836" s="18" t="s">
        <v>6661</v>
      </c>
      <c r="D1836" s="19">
        <v>45742.714583333334</v>
      </c>
      <c r="E1836" s="19">
        <v>45807.688888888886</v>
      </c>
      <c r="F1836" s="18">
        <v>684</v>
      </c>
      <c r="G1836" s="18" t="s">
        <v>10</v>
      </c>
      <c r="H1836" s="18" t="s">
        <v>178</v>
      </c>
      <c r="I1836" s="18" t="s">
        <v>10</v>
      </c>
      <c r="J1836" s="18" t="s">
        <v>4017</v>
      </c>
      <c r="K1836" s="20"/>
    </row>
    <row r="1837" spans="1:11" ht="36.75" thickBot="1">
      <c r="A1837" s="18" t="s">
        <v>6662</v>
      </c>
      <c r="B1837" s="18">
        <v>20025993428</v>
      </c>
      <c r="C1837" s="18" t="s">
        <v>4542</v>
      </c>
      <c r="D1837" s="19">
        <v>45810.475694444445</v>
      </c>
      <c r="E1837" s="18" t="s">
        <v>10</v>
      </c>
      <c r="F1837" s="18">
        <v>90</v>
      </c>
      <c r="G1837" s="18" t="s">
        <v>10</v>
      </c>
      <c r="H1837" s="18" t="s">
        <v>178</v>
      </c>
      <c r="I1837" s="18" t="s">
        <v>10</v>
      </c>
      <c r="J1837" s="18" t="s">
        <v>4017</v>
      </c>
      <c r="K1837" s="20"/>
    </row>
    <row r="1838" spans="1:11" ht="36.75" thickBot="1">
      <c r="A1838" s="18" t="s">
        <v>6663</v>
      </c>
      <c r="B1838" s="18">
        <v>20003592982</v>
      </c>
      <c r="C1838" s="18" t="s">
        <v>6664</v>
      </c>
      <c r="D1838" s="19">
        <v>45810.592361111114</v>
      </c>
      <c r="E1838" s="18" t="s">
        <v>10</v>
      </c>
      <c r="F1838" s="18">
        <v>600</v>
      </c>
      <c r="G1838" s="18" t="s">
        <v>10</v>
      </c>
      <c r="H1838" s="18" t="s">
        <v>178</v>
      </c>
      <c r="I1838" s="18" t="s">
        <v>10</v>
      </c>
      <c r="J1838" s="18" t="s">
        <v>4017</v>
      </c>
      <c r="K1838" s="20"/>
    </row>
    <row r="1839" spans="1:11" ht="36.75" thickBot="1">
      <c r="A1839" s="18" t="s">
        <v>6665</v>
      </c>
      <c r="B1839" s="18">
        <v>20003313274</v>
      </c>
      <c r="C1839" s="18" t="s">
        <v>4068</v>
      </c>
      <c r="D1839" s="19">
        <v>45810.69027777778</v>
      </c>
      <c r="E1839" s="18" t="s">
        <v>10</v>
      </c>
      <c r="F1839" s="18">
        <v>180</v>
      </c>
      <c r="G1839" s="18" t="s">
        <v>10</v>
      </c>
      <c r="H1839" s="18" t="s">
        <v>178</v>
      </c>
      <c r="I1839" s="18" t="s">
        <v>10</v>
      </c>
      <c r="J1839" s="18" t="s">
        <v>4017</v>
      </c>
      <c r="K1839" s="20"/>
    </row>
    <row r="1840" spans="1:11" ht="36.75" thickBot="1">
      <c r="A1840" s="18" t="s">
        <v>6666</v>
      </c>
      <c r="B1840" s="18">
        <v>20021919584</v>
      </c>
      <c r="C1840" s="18" t="s">
        <v>6667</v>
      </c>
      <c r="D1840" s="19">
        <v>45810.706250000003</v>
      </c>
      <c r="E1840" s="18" t="s">
        <v>10</v>
      </c>
      <c r="F1840" s="18">
        <v>350</v>
      </c>
      <c r="G1840" s="18" t="s">
        <v>10</v>
      </c>
      <c r="H1840" s="18" t="s">
        <v>178</v>
      </c>
      <c r="I1840" s="18" t="s">
        <v>10</v>
      </c>
      <c r="J1840" s="18" t="s">
        <v>4017</v>
      </c>
      <c r="K1840" s="20"/>
    </row>
    <row r="1841" spans="1:11" ht="54.75" thickBot="1">
      <c r="A1841" s="18" t="s">
        <v>6668</v>
      </c>
      <c r="B1841" s="18">
        <v>20026739305</v>
      </c>
      <c r="C1841" s="18" t="s">
        <v>6078</v>
      </c>
      <c r="D1841" s="19">
        <v>45810.706944444442</v>
      </c>
      <c r="E1841" s="18" t="s">
        <v>10</v>
      </c>
      <c r="F1841" s="18">
        <v>30</v>
      </c>
      <c r="G1841" s="18" t="s">
        <v>10</v>
      </c>
      <c r="H1841" s="18" t="s">
        <v>178</v>
      </c>
      <c r="I1841" s="18" t="s">
        <v>10</v>
      </c>
      <c r="J1841" s="18" t="s">
        <v>4017</v>
      </c>
      <c r="K1841" s="20"/>
    </row>
    <row r="1842" spans="1:11" ht="36.75" thickBot="1">
      <c r="A1842" s="18" t="s">
        <v>6669</v>
      </c>
      <c r="B1842" s="18">
        <v>20022710863</v>
      </c>
      <c r="C1842" s="18" t="s">
        <v>6670</v>
      </c>
      <c r="D1842" s="19">
        <v>45812.397222222222</v>
      </c>
      <c r="E1842" s="18" t="s">
        <v>10</v>
      </c>
      <c r="F1842" s="18">
        <v>150</v>
      </c>
      <c r="G1842" s="18" t="s">
        <v>10</v>
      </c>
      <c r="H1842" s="18" t="s">
        <v>178</v>
      </c>
      <c r="I1842" s="18" t="s">
        <v>10</v>
      </c>
      <c r="J1842" s="18" t="s">
        <v>4017</v>
      </c>
      <c r="K1842" s="20"/>
    </row>
    <row r="1843" spans="1:11" ht="36.75" thickBot="1">
      <c r="A1843" s="18" t="s">
        <v>6671</v>
      </c>
      <c r="B1843" s="18">
        <v>20021504335</v>
      </c>
      <c r="C1843" s="18" t="s">
        <v>6672</v>
      </c>
      <c r="D1843" s="19">
        <v>45813.476388888892</v>
      </c>
      <c r="E1843" s="18" t="s">
        <v>10</v>
      </c>
      <c r="F1843" s="18">
        <v>30</v>
      </c>
      <c r="G1843" s="18" t="s">
        <v>10</v>
      </c>
      <c r="H1843" s="18" t="s">
        <v>178</v>
      </c>
      <c r="I1843" s="18" t="s">
        <v>10</v>
      </c>
      <c r="J1843" s="18" t="s">
        <v>4017</v>
      </c>
      <c r="K1843" s="20"/>
    </row>
    <row r="1844" spans="1:11" ht="36.75" thickBot="1">
      <c r="A1844" s="18" t="s">
        <v>6673</v>
      </c>
      <c r="B1844" s="18">
        <v>20002957384</v>
      </c>
      <c r="C1844" s="18" t="s">
        <v>6674</v>
      </c>
      <c r="D1844" s="19">
        <v>45815.669444444444</v>
      </c>
      <c r="E1844" s="18" t="s">
        <v>10</v>
      </c>
      <c r="F1844" s="18">
        <v>200</v>
      </c>
      <c r="G1844" s="18" t="s">
        <v>10</v>
      </c>
      <c r="H1844" s="18" t="s">
        <v>178</v>
      </c>
      <c r="I1844" s="18" t="s">
        <v>10</v>
      </c>
      <c r="J1844" s="18" t="s">
        <v>4017</v>
      </c>
      <c r="K1844" s="20"/>
    </row>
    <row r="1845" spans="1:11" ht="72.75" thickBot="1">
      <c r="A1845" s="18" t="s">
        <v>6675</v>
      </c>
      <c r="B1845" s="18">
        <v>20017674940</v>
      </c>
      <c r="C1845" s="18" t="s">
        <v>4821</v>
      </c>
      <c r="D1845" s="19">
        <v>45815.85833333333</v>
      </c>
      <c r="E1845" s="18" t="s">
        <v>10</v>
      </c>
      <c r="F1845" s="18">
        <v>250</v>
      </c>
      <c r="G1845" s="19">
        <v>45856.522916666669</v>
      </c>
      <c r="H1845" s="18" t="s">
        <v>2688</v>
      </c>
      <c r="I1845" s="18" t="s">
        <v>10</v>
      </c>
      <c r="J1845" s="18" t="s">
        <v>4017</v>
      </c>
      <c r="K1845" s="20"/>
    </row>
    <row r="1846" spans="1:11" ht="36.75" thickBot="1">
      <c r="A1846" s="18" t="s">
        <v>6676</v>
      </c>
      <c r="B1846" s="18">
        <v>20021538571</v>
      </c>
      <c r="C1846" s="18" t="s">
        <v>4534</v>
      </c>
      <c r="D1846" s="19">
        <v>45815.993055555555</v>
      </c>
      <c r="E1846" s="18" t="s">
        <v>10</v>
      </c>
      <c r="F1846" s="18">
        <v>186</v>
      </c>
      <c r="G1846" s="19">
        <v>45856.522916666669</v>
      </c>
      <c r="H1846" s="18" t="s">
        <v>2654</v>
      </c>
      <c r="I1846" s="18" t="s">
        <v>10</v>
      </c>
      <c r="J1846" s="18" t="s">
        <v>4017</v>
      </c>
      <c r="K1846" s="20"/>
    </row>
    <row r="1847" spans="1:11" ht="36.75" thickBot="1">
      <c r="A1847" s="18" t="s">
        <v>6677</v>
      </c>
      <c r="B1847" s="18">
        <v>20003159841</v>
      </c>
      <c r="C1847" s="18" t="s">
        <v>6678</v>
      </c>
      <c r="D1847" s="19">
        <v>45743.801388888889</v>
      </c>
      <c r="E1847" s="19">
        <v>45817.460416666669</v>
      </c>
      <c r="F1847" s="18">
        <v>662.4</v>
      </c>
      <c r="G1847" s="19">
        <v>45839.595833333333</v>
      </c>
      <c r="H1847" s="18" t="s">
        <v>2654</v>
      </c>
      <c r="I1847" s="18" t="s">
        <v>10</v>
      </c>
      <c r="J1847" s="18" t="s">
        <v>4017</v>
      </c>
      <c r="K1847" s="20"/>
    </row>
    <row r="1848" spans="1:11" ht="36.75" thickBot="1">
      <c r="A1848" s="18" t="s">
        <v>6679</v>
      </c>
      <c r="B1848" s="18">
        <v>20024158593</v>
      </c>
      <c r="C1848" s="18" t="s">
        <v>6062</v>
      </c>
      <c r="D1848" s="19">
        <v>45749.546527777777</v>
      </c>
      <c r="E1848" s="19">
        <v>45818.481249999997</v>
      </c>
      <c r="F1848" s="18">
        <v>600</v>
      </c>
      <c r="G1848" s="19">
        <v>45876.368750000001</v>
      </c>
      <c r="H1848" s="18" t="s">
        <v>2651</v>
      </c>
      <c r="I1848" s="18" t="s">
        <v>10</v>
      </c>
      <c r="J1848" s="18" t="s">
        <v>4017</v>
      </c>
      <c r="K1848" s="20"/>
    </row>
    <row r="1849" spans="1:11" ht="36.75" thickBot="1">
      <c r="A1849" s="18" t="s">
        <v>6680</v>
      </c>
      <c r="B1849" s="18">
        <v>20002869416</v>
      </c>
      <c r="C1849" s="18" t="s">
        <v>4867</v>
      </c>
      <c r="D1849" s="19">
        <v>45818.487500000003</v>
      </c>
      <c r="E1849" s="18" t="s">
        <v>10</v>
      </c>
      <c r="F1849" s="18">
        <v>500</v>
      </c>
      <c r="G1849" s="18" t="s">
        <v>10</v>
      </c>
      <c r="H1849" s="18" t="s">
        <v>178</v>
      </c>
      <c r="I1849" s="18" t="s">
        <v>10</v>
      </c>
      <c r="J1849" s="18" t="s">
        <v>4017</v>
      </c>
      <c r="K1849" s="20"/>
    </row>
    <row r="1850" spans="1:11" ht="36.75" thickBot="1">
      <c r="A1850" s="18" t="s">
        <v>6681</v>
      </c>
      <c r="B1850" s="18">
        <v>20019379240</v>
      </c>
      <c r="C1850" s="18" t="s">
        <v>6088</v>
      </c>
      <c r="D1850" s="19">
        <v>45747.578472222223</v>
      </c>
      <c r="E1850" s="19">
        <v>45818.506249999999</v>
      </c>
      <c r="F1850" s="18">
        <v>250</v>
      </c>
      <c r="G1850" s="19">
        <v>45827.475694444445</v>
      </c>
      <c r="H1850" s="18" t="s">
        <v>236</v>
      </c>
      <c r="I1850" s="18" t="s">
        <v>10</v>
      </c>
      <c r="J1850" s="18" t="s">
        <v>4017</v>
      </c>
      <c r="K1850" s="20"/>
    </row>
    <row r="1851" spans="1:11" ht="36.75" thickBot="1">
      <c r="A1851" s="18" t="s">
        <v>6682</v>
      </c>
      <c r="B1851" s="18">
        <v>20002838041</v>
      </c>
      <c r="C1851" s="18" t="s">
        <v>5349</v>
      </c>
      <c r="D1851" s="19">
        <v>45716.67083333333</v>
      </c>
      <c r="E1851" s="19">
        <v>45818.706944444442</v>
      </c>
      <c r="F1851" s="18">
        <v>900</v>
      </c>
      <c r="G1851" s="19">
        <v>45826.429166666669</v>
      </c>
      <c r="H1851" s="18" t="s">
        <v>236</v>
      </c>
      <c r="I1851" s="18" t="s">
        <v>10</v>
      </c>
      <c r="J1851" s="18" t="s">
        <v>4017</v>
      </c>
      <c r="K1851" s="20"/>
    </row>
    <row r="1852" spans="1:11" ht="36.75" thickBot="1">
      <c r="A1852" s="18" t="s">
        <v>6683</v>
      </c>
      <c r="B1852" s="18">
        <v>20003284170</v>
      </c>
      <c r="C1852" s="18" t="s">
        <v>218</v>
      </c>
      <c r="D1852" s="19">
        <v>45747.698611111111</v>
      </c>
      <c r="E1852" s="19">
        <v>45818.757638888892</v>
      </c>
      <c r="F1852" s="18">
        <v>500</v>
      </c>
      <c r="G1852" s="19">
        <v>45834.404166666667</v>
      </c>
      <c r="H1852" s="18" t="s">
        <v>236</v>
      </c>
      <c r="I1852" s="18" t="s">
        <v>10</v>
      </c>
      <c r="J1852" s="18" t="s">
        <v>4017</v>
      </c>
      <c r="K1852" s="20"/>
    </row>
    <row r="1853" spans="1:11" ht="36.75" thickBot="1">
      <c r="A1853" s="18" t="s">
        <v>6684</v>
      </c>
      <c r="B1853" s="18">
        <v>20023859100</v>
      </c>
      <c r="C1853" s="18" t="s">
        <v>4215</v>
      </c>
      <c r="D1853" s="19">
        <v>45818.957638888889</v>
      </c>
      <c r="E1853" s="18" t="s">
        <v>10</v>
      </c>
      <c r="F1853" s="18">
        <v>100</v>
      </c>
      <c r="G1853" s="18" t="s">
        <v>10</v>
      </c>
      <c r="H1853" s="18" t="s">
        <v>178</v>
      </c>
      <c r="I1853" s="18" t="s">
        <v>10</v>
      </c>
      <c r="J1853" s="18" t="s">
        <v>4017</v>
      </c>
      <c r="K1853" s="20"/>
    </row>
    <row r="1854" spans="1:11" ht="36.75" thickBot="1">
      <c r="A1854" s="18" t="s">
        <v>6685</v>
      </c>
      <c r="B1854" s="18">
        <v>22220000000</v>
      </c>
      <c r="C1854" s="18" t="s">
        <v>6686</v>
      </c>
      <c r="D1854" s="19">
        <v>45819.429861111108</v>
      </c>
      <c r="E1854" s="18" t="s">
        <v>10</v>
      </c>
      <c r="F1854" s="18">
        <v>50</v>
      </c>
      <c r="G1854" s="18" t="s">
        <v>10</v>
      </c>
      <c r="H1854" s="18" t="s">
        <v>178</v>
      </c>
      <c r="I1854" s="18" t="s">
        <v>10</v>
      </c>
      <c r="J1854" s="18" t="s">
        <v>4017</v>
      </c>
      <c r="K1854" s="20"/>
    </row>
    <row r="1855" spans="1:11" ht="36.75" thickBot="1">
      <c r="A1855" s="18" t="s">
        <v>6687</v>
      </c>
      <c r="B1855" s="18">
        <v>20025105256</v>
      </c>
      <c r="C1855" s="18" t="s">
        <v>4245</v>
      </c>
      <c r="D1855" s="19">
        <v>45819.44027777778</v>
      </c>
      <c r="E1855" s="18" t="s">
        <v>10</v>
      </c>
      <c r="F1855" s="18">
        <v>50</v>
      </c>
      <c r="G1855" s="18" t="s">
        <v>10</v>
      </c>
      <c r="H1855" s="18" t="s">
        <v>178</v>
      </c>
      <c r="I1855" s="18" t="s">
        <v>10</v>
      </c>
      <c r="J1855" s="18" t="s">
        <v>4017</v>
      </c>
      <c r="K1855" s="20"/>
    </row>
    <row r="1856" spans="1:11" ht="54.75" thickBot="1">
      <c r="A1856" s="18" t="s">
        <v>6688</v>
      </c>
      <c r="B1856" s="18">
        <v>20010796993</v>
      </c>
      <c r="C1856" s="18" t="s">
        <v>5534</v>
      </c>
      <c r="D1856" s="19">
        <v>45789.753472222219</v>
      </c>
      <c r="E1856" s="19">
        <v>45819.486805555556</v>
      </c>
      <c r="F1856" s="18">
        <v>300</v>
      </c>
      <c r="G1856" s="19">
        <v>45846.606249999997</v>
      </c>
      <c r="H1856" s="18" t="s">
        <v>236</v>
      </c>
      <c r="I1856" s="18" t="s">
        <v>10</v>
      </c>
      <c r="J1856" s="18" t="s">
        <v>4017</v>
      </c>
      <c r="K1856" s="20"/>
    </row>
    <row r="1857" spans="1:11" ht="36.75" thickBot="1">
      <c r="A1857" s="18" t="s">
        <v>6689</v>
      </c>
      <c r="B1857" s="18">
        <v>20003487588</v>
      </c>
      <c r="C1857" s="18" t="s">
        <v>5536</v>
      </c>
      <c r="D1857" s="19">
        <v>45789.845138888886</v>
      </c>
      <c r="E1857" s="19">
        <v>45819.595138888886</v>
      </c>
      <c r="F1857" s="18">
        <v>300</v>
      </c>
      <c r="G1857" s="19">
        <v>45846.606249999997</v>
      </c>
      <c r="H1857" s="18" t="s">
        <v>236</v>
      </c>
      <c r="I1857" s="18" t="s">
        <v>10</v>
      </c>
      <c r="J1857" s="18" t="s">
        <v>4017</v>
      </c>
      <c r="K1857" s="20"/>
    </row>
    <row r="1858" spans="1:11" ht="54.75" thickBot="1">
      <c r="A1858" s="18" t="s">
        <v>6690</v>
      </c>
      <c r="B1858" s="18">
        <v>20022861125</v>
      </c>
      <c r="C1858" s="18" t="s">
        <v>6148</v>
      </c>
      <c r="D1858" s="19">
        <v>45789.59097222222</v>
      </c>
      <c r="E1858" s="19">
        <v>45819.602777777778</v>
      </c>
      <c r="F1858" s="18">
        <v>50</v>
      </c>
      <c r="G1858" s="18" t="s">
        <v>10</v>
      </c>
      <c r="H1858" s="18" t="s">
        <v>189</v>
      </c>
      <c r="I1858" s="18" t="s">
        <v>10</v>
      </c>
      <c r="J1858" s="18" t="s">
        <v>4017</v>
      </c>
      <c r="K1858" s="20"/>
    </row>
    <row r="1859" spans="1:11" ht="36.75" thickBot="1">
      <c r="A1859" s="18" t="s">
        <v>6691</v>
      </c>
      <c r="B1859" s="18">
        <v>20020694800</v>
      </c>
      <c r="C1859" s="18" t="s">
        <v>6323</v>
      </c>
      <c r="D1859" s="19">
        <v>45798.59097222222</v>
      </c>
      <c r="E1859" s="19">
        <v>45819.62777777778</v>
      </c>
      <c r="F1859" s="18">
        <v>50</v>
      </c>
      <c r="G1859" s="18" t="s">
        <v>10</v>
      </c>
      <c r="H1859" s="18" t="s">
        <v>178</v>
      </c>
      <c r="I1859" s="18" t="s">
        <v>10</v>
      </c>
      <c r="J1859" s="18" t="s">
        <v>4017</v>
      </c>
      <c r="K1859" s="20"/>
    </row>
    <row r="1860" spans="1:11" ht="36.75" thickBot="1">
      <c r="A1860" s="18" t="s">
        <v>6692</v>
      </c>
      <c r="B1860" s="18">
        <v>20003415041</v>
      </c>
      <c r="C1860" s="18" t="s">
        <v>6693</v>
      </c>
      <c r="D1860" s="19">
        <v>45819.737500000003</v>
      </c>
      <c r="E1860" s="18" t="s">
        <v>10</v>
      </c>
      <c r="F1860" s="18">
        <v>180</v>
      </c>
      <c r="G1860" s="18" t="s">
        <v>10</v>
      </c>
      <c r="H1860" s="18" t="s">
        <v>178</v>
      </c>
      <c r="I1860" s="18" t="s">
        <v>10</v>
      </c>
      <c r="J1860" s="18" t="s">
        <v>4017</v>
      </c>
      <c r="K1860" s="20"/>
    </row>
    <row r="1861" spans="1:11" ht="54.75" thickBot="1">
      <c r="A1861" s="18" t="s">
        <v>6694</v>
      </c>
      <c r="B1861" s="18">
        <v>20003437636</v>
      </c>
      <c r="C1861" s="18" t="s">
        <v>6695</v>
      </c>
      <c r="D1861" s="19">
        <v>45819.739583333336</v>
      </c>
      <c r="E1861" s="18" t="s">
        <v>10</v>
      </c>
      <c r="F1861" s="18">
        <v>605</v>
      </c>
      <c r="G1861" s="18" t="s">
        <v>10</v>
      </c>
      <c r="H1861" s="18" t="s">
        <v>178</v>
      </c>
      <c r="I1861" s="18" t="s">
        <v>10</v>
      </c>
      <c r="J1861" s="18" t="s">
        <v>4017</v>
      </c>
      <c r="K1861" s="20"/>
    </row>
    <row r="1862" spans="1:11" ht="36.75" thickBot="1">
      <c r="A1862" s="18" t="s">
        <v>6696</v>
      </c>
      <c r="B1862" s="18">
        <v>22220000000</v>
      </c>
      <c r="C1862" s="18" t="s">
        <v>6697</v>
      </c>
      <c r="D1862" s="19">
        <v>45819.798611111109</v>
      </c>
      <c r="E1862" s="19">
        <v>45819.802083333336</v>
      </c>
      <c r="F1862" s="18">
        <v>50</v>
      </c>
      <c r="G1862" s="18" t="s">
        <v>10</v>
      </c>
      <c r="H1862" s="18" t="s">
        <v>178</v>
      </c>
      <c r="I1862" s="18" t="s">
        <v>10</v>
      </c>
      <c r="J1862" s="18" t="s">
        <v>4017</v>
      </c>
      <c r="K1862" s="20"/>
    </row>
    <row r="1863" spans="1:11" ht="36.75" thickBot="1">
      <c r="A1863" s="18" t="s">
        <v>6698</v>
      </c>
      <c r="B1863" s="18">
        <v>20020934591</v>
      </c>
      <c r="C1863" s="18" t="s">
        <v>6436</v>
      </c>
      <c r="D1863" s="19">
        <v>45799.455555555556</v>
      </c>
      <c r="E1863" s="19">
        <v>45820.564583333333</v>
      </c>
      <c r="F1863" s="18">
        <v>30</v>
      </c>
      <c r="G1863" s="19">
        <v>45824.427777777775</v>
      </c>
      <c r="H1863" s="18" t="s">
        <v>236</v>
      </c>
      <c r="I1863" s="18" t="s">
        <v>10</v>
      </c>
      <c r="J1863" s="18" t="s">
        <v>4017</v>
      </c>
      <c r="K1863" s="20"/>
    </row>
    <row r="1864" spans="1:11" ht="54.75" thickBot="1">
      <c r="A1864" s="18" t="s">
        <v>6699</v>
      </c>
      <c r="B1864" s="18">
        <v>20002846433</v>
      </c>
      <c r="C1864" s="18" t="s">
        <v>6387</v>
      </c>
      <c r="D1864" s="19">
        <v>45791.424305555556</v>
      </c>
      <c r="E1864" s="19">
        <v>45820.574305555558</v>
      </c>
      <c r="F1864" s="18">
        <v>80</v>
      </c>
      <c r="G1864" s="19">
        <v>45825.40347222222</v>
      </c>
      <c r="H1864" s="18" t="s">
        <v>236</v>
      </c>
      <c r="I1864" s="18" t="s">
        <v>10</v>
      </c>
      <c r="J1864" s="18" t="s">
        <v>4017</v>
      </c>
      <c r="K1864" s="20"/>
    </row>
    <row r="1865" spans="1:11" ht="36.75" thickBot="1">
      <c r="A1865" s="18" t="s">
        <v>6700</v>
      </c>
      <c r="B1865" s="18">
        <v>20022104703</v>
      </c>
      <c r="C1865" s="18" t="s">
        <v>6049</v>
      </c>
      <c r="D1865" s="19">
        <v>45799.617361111108</v>
      </c>
      <c r="E1865" s="19">
        <v>45820.627083333333</v>
      </c>
      <c r="F1865" s="18">
        <v>180</v>
      </c>
      <c r="G1865" s="19">
        <v>45827.581944444442</v>
      </c>
      <c r="H1865" s="18" t="s">
        <v>236</v>
      </c>
      <c r="I1865" s="18" t="s">
        <v>10</v>
      </c>
      <c r="J1865" s="18" t="s">
        <v>4017</v>
      </c>
      <c r="K1865" s="20"/>
    </row>
    <row r="1866" spans="1:11" ht="36.75" thickBot="1">
      <c r="A1866" s="18" t="s">
        <v>6701</v>
      </c>
      <c r="B1866" s="18">
        <v>20027235039</v>
      </c>
      <c r="C1866" s="18" t="s">
        <v>1836</v>
      </c>
      <c r="D1866" s="19">
        <v>45775.631944444445</v>
      </c>
      <c r="E1866" s="19">
        <v>45820.63958333333</v>
      </c>
      <c r="F1866" s="18">
        <v>30</v>
      </c>
      <c r="G1866" s="18" t="s">
        <v>10</v>
      </c>
      <c r="H1866" s="18" t="s">
        <v>178</v>
      </c>
      <c r="I1866" s="18" t="s">
        <v>10</v>
      </c>
      <c r="J1866" s="18" t="s">
        <v>4017</v>
      </c>
      <c r="K1866" s="20"/>
    </row>
    <row r="1867" spans="1:11" ht="54.75" thickBot="1">
      <c r="A1867" s="18" t="s">
        <v>6702</v>
      </c>
      <c r="B1867" s="18">
        <v>20002978958</v>
      </c>
      <c r="C1867" s="18" t="s">
        <v>6703</v>
      </c>
      <c r="D1867" s="19">
        <v>45789.494444444441</v>
      </c>
      <c r="E1867" s="19">
        <v>45820.651388888888</v>
      </c>
      <c r="F1867" s="18">
        <v>50</v>
      </c>
      <c r="G1867" s="18" t="s">
        <v>10</v>
      </c>
      <c r="H1867" s="18" t="s">
        <v>189</v>
      </c>
      <c r="I1867" s="18" t="s">
        <v>10</v>
      </c>
      <c r="J1867" s="18" t="s">
        <v>4017</v>
      </c>
      <c r="K1867" s="20"/>
    </row>
    <row r="1868" spans="1:11" ht="36.75" thickBot="1">
      <c r="A1868" s="18" t="s">
        <v>6704</v>
      </c>
      <c r="B1868" s="18">
        <v>20021987584</v>
      </c>
      <c r="C1868" s="18" t="s">
        <v>4671</v>
      </c>
      <c r="D1868" s="19">
        <v>45821.063888888886</v>
      </c>
      <c r="E1868" s="18" t="s">
        <v>10</v>
      </c>
      <c r="F1868" s="18">
        <v>24</v>
      </c>
      <c r="G1868" s="18" t="s">
        <v>10</v>
      </c>
      <c r="H1868" s="18" t="s">
        <v>178</v>
      </c>
      <c r="I1868" s="18" t="s">
        <v>10</v>
      </c>
      <c r="J1868" s="18" t="s">
        <v>4017</v>
      </c>
      <c r="K1868" s="20"/>
    </row>
    <row r="1869" spans="1:11" ht="54.75" thickBot="1">
      <c r="A1869" s="18" t="s">
        <v>6705</v>
      </c>
      <c r="B1869" s="18">
        <v>20003467038</v>
      </c>
      <c r="C1869" s="18" t="s">
        <v>6706</v>
      </c>
      <c r="D1869" s="19">
        <v>45812.68472222222</v>
      </c>
      <c r="E1869" s="19">
        <v>45821.34652777778</v>
      </c>
      <c r="F1869" s="18">
        <v>190</v>
      </c>
      <c r="G1869" s="19">
        <v>45847.611111111109</v>
      </c>
      <c r="H1869" s="18" t="s">
        <v>236</v>
      </c>
      <c r="I1869" s="18" t="s">
        <v>10</v>
      </c>
      <c r="J1869" s="18" t="s">
        <v>4017</v>
      </c>
      <c r="K1869" s="20"/>
    </row>
    <row r="1870" spans="1:11" ht="36.75" thickBot="1">
      <c r="A1870" s="18" t="s">
        <v>6707</v>
      </c>
      <c r="B1870" s="18">
        <v>20017430549</v>
      </c>
      <c r="C1870" s="18" t="s">
        <v>5904</v>
      </c>
      <c r="D1870" s="19">
        <v>45779.690972222219</v>
      </c>
      <c r="E1870" s="19">
        <v>45821.409722222219</v>
      </c>
      <c r="F1870" s="18">
        <v>50</v>
      </c>
      <c r="G1870" s="19">
        <v>45828.540972222225</v>
      </c>
      <c r="H1870" s="18" t="s">
        <v>236</v>
      </c>
      <c r="I1870" s="18" t="s">
        <v>10</v>
      </c>
      <c r="J1870" s="18" t="s">
        <v>4017</v>
      </c>
      <c r="K1870" s="20"/>
    </row>
    <row r="1871" spans="1:11" ht="36.75" thickBot="1">
      <c r="A1871" s="18" t="s">
        <v>6708</v>
      </c>
      <c r="B1871" s="18">
        <v>20027836512</v>
      </c>
      <c r="C1871" s="18" t="s">
        <v>6709</v>
      </c>
      <c r="D1871" s="19">
        <v>45799.68472222222</v>
      </c>
      <c r="E1871" s="19">
        <v>45821.421527777777</v>
      </c>
      <c r="F1871" s="18">
        <v>40</v>
      </c>
      <c r="G1871" s="19">
        <v>45832.486111111109</v>
      </c>
      <c r="H1871" s="18" t="s">
        <v>236</v>
      </c>
      <c r="I1871" s="18" t="s">
        <v>10</v>
      </c>
      <c r="J1871" s="18" t="s">
        <v>4017</v>
      </c>
      <c r="K1871" s="20"/>
    </row>
    <row r="1872" spans="1:11" ht="36.75" thickBot="1">
      <c r="A1872" s="18" t="s">
        <v>6710</v>
      </c>
      <c r="B1872" s="18">
        <v>20021951664</v>
      </c>
      <c r="C1872" s="18" t="s">
        <v>6711</v>
      </c>
      <c r="D1872" s="19">
        <v>45821.436111111114</v>
      </c>
      <c r="E1872" s="18" t="s">
        <v>10</v>
      </c>
      <c r="F1872" s="18">
        <v>30</v>
      </c>
      <c r="G1872" s="18" t="s">
        <v>10</v>
      </c>
      <c r="H1872" s="18" t="s">
        <v>178</v>
      </c>
      <c r="I1872" s="18" t="s">
        <v>10</v>
      </c>
      <c r="J1872" s="18" t="s">
        <v>4017</v>
      </c>
      <c r="K1872" s="20"/>
    </row>
    <row r="1873" spans="1:11" ht="72.75" thickBot="1">
      <c r="A1873" s="18" t="s">
        <v>6712</v>
      </c>
      <c r="B1873" s="18">
        <v>20022394874</v>
      </c>
      <c r="C1873" s="18" t="s">
        <v>6713</v>
      </c>
      <c r="D1873" s="19">
        <v>45804.667361111111</v>
      </c>
      <c r="E1873" s="19">
        <v>45821.438194444447</v>
      </c>
      <c r="F1873" s="18">
        <v>50</v>
      </c>
      <c r="G1873" s="19">
        <v>45863.620833333334</v>
      </c>
      <c r="H1873" s="18" t="s">
        <v>2688</v>
      </c>
      <c r="I1873" s="18" t="s">
        <v>10</v>
      </c>
      <c r="J1873" s="18" t="s">
        <v>4017</v>
      </c>
      <c r="K1873" s="20"/>
    </row>
    <row r="1874" spans="1:11" ht="36.75" thickBot="1">
      <c r="A1874" s="18" t="s">
        <v>6714</v>
      </c>
      <c r="B1874" s="18">
        <v>20020009169</v>
      </c>
      <c r="C1874" s="18" t="s">
        <v>5201</v>
      </c>
      <c r="D1874" s="19">
        <v>45791.612500000003</v>
      </c>
      <c r="E1874" s="19">
        <v>45821.441666666666</v>
      </c>
      <c r="F1874" s="18">
        <v>200</v>
      </c>
      <c r="G1874" s="19">
        <v>45834.432638888888</v>
      </c>
      <c r="H1874" s="18" t="s">
        <v>236</v>
      </c>
      <c r="I1874" s="18" t="s">
        <v>10</v>
      </c>
      <c r="J1874" s="18" t="s">
        <v>4017</v>
      </c>
      <c r="K1874" s="20"/>
    </row>
    <row r="1875" spans="1:11" ht="36.75" thickBot="1">
      <c r="A1875" s="18" t="s">
        <v>6715</v>
      </c>
      <c r="B1875" s="18">
        <v>20026409097</v>
      </c>
      <c r="C1875" s="18" t="s">
        <v>5283</v>
      </c>
      <c r="D1875" s="19">
        <v>45821.464583333334</v>
      </c>
      <c r="E1875" s="18" t="s">
        <v>10</v>
      </c>
      <c r="F1875" s="18">
        <v>50</v>
      </c>
      <c r="G1875" s="18" t="s">
        <v>10</v>
      </c>
      <c r="H1875" s="18" t="s">
        <v>178</v>
      </c>
      <c r="I1875" s="18" t="s">
        <v>10</v>
      </c>
      <c r="J1875" s="18" t="s">
        <v>4017</v>
      </c>
      <c r="K1875" s="20"/>
    </row>
    <row r="1876" spans="1:11" ht="36.75" thickBot="1">
      <c r="A1876" s="18" t="s">
        <v>6716</v>
      </c>
      <c r="B1876" s="18">
        <v>20026895795</v>
      </c>
      <c r="C1876" s="18" t="s">
        <v>6319</v>
      </c>
      <c r="D1876" s="19">
        <v>45784.556250000001</v>
      </c>
      <c r="E1876" s="19">
        <v>45821.489583333336</v>
      </c>
      <c r="F1876" s="18">
        <v>100</v>
      </c>
      <c r="G1876" s="19">
        <v>45842.333333333336</v>
      </c>
      <c r="H1876" s="18" t="s">
        <v>236</v>
      </c>
      <c r="I1876" s="18" t="s">
        <v>10</v>
      </c>
      <c r="J1876" s="18" t="s">
        <v>4017</v>
      </c>
      <c r="K1876" s="20"/>
    </row>
    <row r="1877" spans="1:11" ht="36.75" thickBot="1">
      <c r="A1877" s="18" t="s">
        <v>6717</v>
      </c>
      <c r="B1877" s="18">
        <v>20021951667</v>
      </c>
      <c r="C1877" s="18" t="s">
        <v>6711</v>
      </c>
      <c r="D1877" s="19">
        <v>45821.490972222222</v>
      </c>
      <c r="E1877" s="18" t="s">
        <v>10</v>
      </c>
      <c r="F1877" s="18">
        <v>30</v>
      </c>
      <c r="G1877" s="18" t="s">
        <v>10</v>
      </c>
      <c r="H1877" s="18" t="s">
        <v>178</v>
      </c>
      <c r="I1877" s="18" t="s">
        <v>10</v>
      </c>
      <c r="J1877" s="18" t="s">
        <v>4017</v>
      </c>
      <c r="K1877" s="20"/>
    </row>
    <row r="1878" spans="1:11" ht="36.75" thickBot="1">
      <c r="A1878" s="18" t="s">
        <v>6718</v>
      </c>
      <c r="B1878" s="18">
        <v>20018879796</v>
      </c>
      <c r="C1878" s="18" t="s">
        <v>6494</v>
      </c>
      <c r="D1878" s="19">
        <v>45805.418055555558</v>
      </c>
      <c r="E1878" s="19">
        <v>45821.595833333333</v>
      </c>
      <c r="F1878" s="18">
        <v>100</v>
      </c>
      <c r="G1878" s="19">
        <v>45853.479166666664</v>
      </c>
      <c r="H1878" s="18" t="s">
        <v>236</v>
      </c>
      <c r="I1878" s="18" t="s">
        <v>10</v>
      </c>
      <c r="J1878" s="18" t="s">
        <v>4017</v>
      </c>
      <c r="K1878" s="20"/>
    </row>
    <row r="1879" spans="1:11" ht="36.75" thickBot="1">
      <c r="A1879" s="18" t="s">
        <v>6719</v>
      </c>
      <c r="B1879" s="18">
        <v>20026959832</v>
      </c>
      <c r="C1879" s="18" t="s">
        <v>1836</v>
      </c>
      <c r="D1879" s="19">
        <v>45770.557638888888</v>
      </c>
      <c r="E1879" s="19">
        <v>45821.67291666667</v>
      </c>
      <c r="F1879" s="18">
        <v>30</v>
      </c>
      <c r="G1879" s="18" t="s">
        <v>10</v>
      </c>
      <c r="H1879" s="18" t="s">
        <v>178</v>
      </c>
      <c r="I1879" s="18" t="s">
        <v>10</v>
      </c>
      <c r="J1879" s="18" t="s">
        <v>4017</v>
      </c>
      <c r="K1879" s="20"/>
    </row>
    <row r="1880" spans="1:11" ht="36.75" thickBot="1">
      <c r="A1880" s="18" t="s">
        <v>6720</v>
      </c>
      <c r="B1880" s="18">
        <v>20026908256</v>
      </c>
      <c r="C1880" s="18" t="s">
        <v>6721</v>
      </c>
      <c r="D1880" s="19">
        <v>45799.52847222222</v>
      </c>
      <c r="E1880" s="19">
        <v>45822.384722222225</v>
      </c>
      <c r="F1880" s="18">
        <v>30</v>
      </c>
      <c r="G1880" s="18" t="s">
        <v>10</v>
      </c>
      <c r="H1880" s="18" t="s">
        <v>178</v>
      </c>
      <c r="I1880" s="18" t="s">
        <v>10</v>
      </c>
      <c r="J1880" s="18" t="s">
        <v>4017</v>
      </c>
      <c r="K1880" s="20"/>
    </row>
    <row r="1881" spans="1:11" ht="36.75" thickBot="1">
      <c r="A1881" s="18" t="s">
        <v>6722</v>
      </c>
      <c r="B1881" s="18">
        <v>20003517942</v>
      </c>
      <c r="C1881" s="18" t="s">
        <v>6723</v>
      </c>
      <c r="D1881" s="19">
        <v>45823.777777777781</v>
      </c>
      <c r="E1881" s="18" t="s">
        <v>10</v>
      </c>
      <c r="F1881" s="18">
        <v>100</v>
      </c>
      <c r="G1881" s="18" t="s">
        <v>10</v>
      </c>
      <c r="H1881" s="18" t="s">
        <v>178</v>
      </c>
      <c r="I1881" s="18" t="s">
        <v>10</v>
      </c>
      <c r="J1881" s="18" t="s">
        <v>4017</v>
      </c>
      <c r="K1881" s="20"/>
    </row>
    <row r="1882" spans="1:11" ht="36.75" thickBot="1">
      <c r="A1882" s="18" t="s">
        <v>6724</v>
      </c>
      <c r="B1882" s="18">
        <v>20028245490</v>
      </c>
      <c r="C1882" s="18" t="s">
        <v>6579</v>
      </c>
      <c r="D1882" s="19">
        <v>45798.681944444441</v>
      </c>
      <c r="E1882" s="19">
        <v>45824.410416666666</v>
      </c>
      <c r="F1882" s="18">
        <v>50</v>
      </c>
      <c r="G1882" s="18" t="s">
        <v>10</v>
      </c>
      <c r="H1882" s="18" t="s">
        <v>178</v>
      </c>
      <c r="I1882" s="18" t="s">
        <v>10</v>
      </c>
      <c r="J1882" s="18" t="s">
        <v>4017</v>
      </c>
      <c r="K1882" s="20"/>
    </row>
    <row r="1883" spans="1:11" ht="36.75" thickBot="1">
      <c r="A1883" s="18" t="s">
        <v>6725</v>
      </c>
      <c r="B1883" s="18">
        <v>20003405317</v>
      </c>
      <c r="C1883" s="18" t="s">
        <v>5397</v>
      </c>
      <c r="D1883" s="19">
        <v>45748.720138888886</v>
      </c>
      <c r="E1883" s="19">
        <v>45824.449305555558</v>
      </c>
      <c r="F1883" s="18">
        <v>800</v>
      </c>
      <c r="G1883" s="19">
        <v>45856.632638888892</v>
      </c>
      <c r="H1883" s="18" t="s">
        <v>236</v>
      </c>
      <c r="I1883" s="18" t="s">
        <v>10</v>
      </c>
      <c r="J1883" s="18" t="s">
        <v>4017</v>
      </c>
      <c r="K1883" s="20"/>
    </row>
    <row r="1884" spans="1:11" ht="36.75" thickBot="1">
      <c r="A1884" s="18" t="s">
        <v>6726</v>
      </c>
      <c r="B1884" s="18">
        <v>20003181954</v>
      </c>
      <c r="C1884" s="18" t="s">
        <v>4302</v>
      </c>
      <c r="D1884" s="19">
        <v>45805.73333333333</v>
      </c>
      <c r="E1884" s="19">
        <v>45824.457638888889</v>
      </c>
      <c r="F1884" s="18">
        <v>200</v>
      </c>
      <c r="G1884" s="19">
        <v>45852.425694444442</v>
      </c>
      <c r="H1884" s="18" t="s">
        <v>2651</v>
      </c>
      <c r="I1884" s="18" t="s">
        <v>10</v>
      </c>
      <c r="J1884" s="18" t="s">
        <v>4017</v>
      </c>
      <c r="K1884" s="20"/>
    </row>
    <row r="1885" spans="1:11" ht="36.75" thickBot="1">
      <c r="A1885" s="18" t="s">
        <v>6727</v>
      </c>
      <c r="B1885" s="18">
        <v>20027597907</v>
      </c>
      <c r="C1885" s="18" t="s">
        <v>6728</v>
      </c>
      <c r="D1885" s="19">
        <v>45813.493055555555</v>
      </c>
      <c r="E1885" s="19">
        <v>45824.461805555555</v>
      </c>
      <c r="F1885" s="18">
        <v>50</v>
      </c>
      <c r="G1885" s="19">
        <v>45946.586111111108</v>
      </c>
      <c r="H1885" s="18" t="s">
        <v>2654</v>
      </c>
      <c r="I1885" s="18" t="s">
        <v>10</v>
      </c>
      <c r="J1885" s="18" t="s">
        <v>4017</v>
      </c>
      <c r="K1885" s="20"/>
    </row>
    <row r="1886" spans="1:11" ht="36.75" thickBot="1">
      <c r="A1886" s="18" t="s">
        <v>6729</v>
      </c>
      <c r="B1886" s="18">
        <v>20020531372</v>
      </c>
      <c r="C1886" s="18" t="s">
        <v>6730</v>
      </c>
      <c r="D1886" s="19">
        <v>45814.588888888888</v>
      </c>
      <c r="E1886" s="19">
        <v>45824.5625</v>
      </c>
      <c r="F1886" s="18">
        <v>40</v>
      </c>
      <c r="G1886" s="19">
        <v>45827.585416666669</v>
      </c>
      <c r="H1886" s="18" t="s">
        <v>236</v>
      </c>
      <c r="I1886" s="18" t="s">
        <v>10</v>
      </c>
      <c r="J1886" s="18" t="s">
        <v>4017</v>
      </c>
      <c r="K1886" s="20"/>
    </row>
    <row r="1887" spans="1:11" ht="36.75" thickBot="1">
      <c r="A1887" s="18" t="s">
        <v>6731</v>
      </c>
      <c r="B1887" s="18">
        <v>20022562418</v>
      </c>
      <c r="C1887" s="18" t="s">
        <v>6730</v>
      </c>
      <c r="D1887" s="19">
        <v>45814.570138888892</v>
      </c>
      <c r="E1887" s="19">
        <v>45824.563888888886</v>
      </c>
      <c r="F1887" s="18">
        <v>24</v>
      </c>
      <c r="G1887" s="19">
        <v>45827.585416666669</v>
      </c>
      <c r="H1887" s="18" t="s">
        <v>236</v>
      </c>
      <c r="I1887" s="18" t="s">
        <v>10</v>
      </c>
      <c r="J1887" s="18" t="s">
        <v>4017</v>
      </c>
      <c r="K1887" s="20"/>
    </row>
    <row r="1888" spans="1:11" ht="36.75" thickBot="1">
      <c r="A1888" s="18" t="s">
        <v>6732</v>
      </c>
      <c r="B1888" s="18">
        <v>20022438077</v>
      </c>
      <c r="C1888" s="18" t="s">
        <v>6462</v>
      </c>
      <c r="D1888" s="19">
        <v>45800.586111111108</v>
      </c>
      <c r="E1888" s="19">
        <v>45824.584722222222</v>
      </c>
      <c r="F1888" s="18">
        <v>100</v>
      </c>
      <c r="G1888" s="19">
        <v>45840.456944444442</v>
      </c>
      <c r="H1888" s="18" t="s">
        <v>236</v>
      </c>
      <c r="I1888" s="18" t="s">
        <v>10</v>
      </c>
      <c r="J1888" s="18" t="s">
        <v>4017</v>
      </c>
      <c r="K1888" s="20"/>
    </row>
    <row r="1889" spans="1:11" ht="36.75" thickBot="1">
      <c r="A1889" s="18" t="s">
        <v>6733</v>
      </c>
      <c r="B1889" s="18">
        <v>20028171602</v>
      </c>
      <c r="C1889" s="18" t="s">
        <v>1836</v>
      </c>
      <c r="D1889" s="19">
        <v>45824.599305555559</v>
      </c>
      <c r="E1889" s="18" t="s">
        <v>10</v>
      </c>
      <c r="F1889" s="18">
        <v>30</v>
      </c>
      <c r="G1889" s="18" t="s">
        <v>10</v>
      </c>
      <c r="H1889" s="18" t="s">
        <v>178</v>
      </c>
      <c r="I1889" s="18" t="s">
        <v>10</v>
      </c>
      <c r="J1889" s="18" t="s">
        <v>4017</v>
      </c>
      <c r="K1889" s="20"/>
    </row>
    <row r="1890" spans="1:11" ht="36.75" thickBot="1">
      <c r="A1890" s="18" t="s">
        <v>6734</v>
      </c>
      <c r="B1890" s="18">
        <v>20003489371</v>
      </c>
      <c r="C1890" s="18" t="s">
        <v>5120</v>
      </c>
      <c r="D1890" s="19">
        <v>45735.724305555559</v>
      </c>
      <c r="E1890" s="19">
        <v>45824.603472222225</v>
      </c>
      <c r="F1890" s="18">
        <v>375</v>
      </c>
      <c r="G1890" s="19">
        <v>45847.444444444445</v>
      </c>
      <c r="H1890" s="18" t="s">
        <v>2651</v>
      </c>
      <c r="I1890" s="18" t="s">
        <v>10</v>
      </c>
      <c r="J1890" s="18" t="s">
        <v>4017</v>
      </c>
      <c r="K1890" s="20"/>
    </row>
    <row r="1891" spans="1:11" ht="72.75" thickBot="1">
      <c r="A1891" s="18" t="s">
        <v>6735</v>
      </c>
      <c r="B1891" s="18">
        <v>20027382774</v>
      </c>
      <c r="C1891" s="18" t="s">
        <v>6059</v>
      </c>
      <c r="D1891" s="19">
        <v>45810.475694444445</v>
      </c>
      <c r="E1891" s="19">
        <v>45824.698611111111</v>
      </c>
      <c r="F1891" s="18">
        <v>30</v>
      </c>
      <c r="G1891" s="19">
        <v>45855.433333333334</v>
      </c>
      <c r="H1891" s="18" t="s">
        <v>2657</v>
      </c>
      <c r="I1891" s="18" t="s">
        <v>10</v>
      </c>
      <c r="J1891" s="18" t="s">
        <v>4017</v>
      </c>
      <c r="K1891" s="20"/>
    </row>
    <row r="1892" spans="1:11" ht="36.75" thickBot="1">
      <c r="A1892" s="18" t="s">
        <v>6736</v>
      </c>
      <c r="B1892" s="18">
        <v>20017268391</v>
      </c>
      <c r="C1892" s="18" t="s">
        <v>6373</v>
      </c>
      <c r="D1892" s="19">
        <v>45805.675000000003</v>
      </c>
      <c r="E1892" s="19">
        <v>45825.440972222219</v>
      </c>
      <c r="F1892" s="18">
        <v>150</v>
      </c>
      <c r="G1892" s="19">
        <v>45832.450694444444</v>
      </c>
      <c r="H1892" s="18" t="s">
        <v>236</v>
      </c>
      <c r="I1892" s="18" t="s">
        <v>10</v>
      </c>
      <c r="J1892" s="18" t="s">
        <v>4017</v>
      </c>
      <c r="K1892" s="20"/>
    </row>
    <row r="1893" spans="1:11" ht="36.75" thickBot="1">
      <c r="A1893" s="18" t="s">
        <v>6737</v>
      </c>
      <c r="B1893" s="18">
        <v>20003453949</v>
      </c>
      <c r="C1893" s="18" t="s">
        <v>6738</v>
      </c>
      <c r="D1893" s="19">
        <v>45798.454861111109</v>
      </c>
      <c r="E1893" s="19">
        <v>45825.460416666669</v>
      </c>
      <c r="F1893" s="18">
        <v>40</v>
      </c>
      <c r="G1893" s="19">
        <v>45833.600694444445</v>
      </c>
      <c r="H1893" s="18" t="s">
        <v>236</v>
      </c>
      <c r="I1893" s="18" t="s">
        <v>10</v>
      </c>
      <c r="J1893" s="18" t="s">
        <v>4017</v>
      </c>
      <c r="K1893" s="20"/>
    </row>
    <row r="1894" spans="1:11" ht="36.75" thickBot="1">
      <c r="A1894" s="18" t="s">
        <v>6739</v>
      </c>
      <c r="B1894" s="18">
        <v>20003136238</v>
      </c>
      <c r="C1894" s="18" t="s">
        <v>6740</v>
      </c>
      <c r="D1894" s="19">
        <v>45825.493055555555</v>
      </c>
      <c r="E1894" s="18" t="s">
        <v>10</v>
      </c>
      <c r="F1894" s="18">
        <v>450</v>
      </c>
      <c r="G1894" s="18" t="s">
        <v>10</v>
      </c>
      <c r="H1894" s="18" t="s">
        <v>178</v>
      </c>
      <c r="I1894" s="18" t="s">
        <v>10</v>
      </c>
      <c r="J1894" s="18" t="s">
        <v>4017</v>
      </c>
      <c r="K1894" s="20"/>
    </row>
    <row r="1895" spans="1:11" ht="36.75" thickBot="1">
      <c r="A1895" s="18" t="s">
        <v>6741</v>
      </c>
      <c r="B1895" s="18">
        <v>20028265669</v>
      </c>
      <c r="C1895" s="18" t="s">
        <v>6742</v>
      </c>
      <c r="D1895" s="19">
        <v>45818.62777777778</v>
      </c>
      <c r="E1895" s="19">
        <v>45825.65625</v>
      </c>
      <c r="F1895" s="18">
        <v>100</v>
      </c>
      <c r="G1895" s="19">
        <v>45840.604166666664</v>
      </c>
      <c r="H1895" s="18" t="s">
        <v>236</v>
      </c>
      <c r="I1895" s="18" t="s">
        <v>10</v>
      </c>
      <c r="J1895" s="18" t="s">
        <v>4017</v>
      </c>
      <c r="K1895" s="20"/>
    </row>
    <row r="1896" spans="1:11" ht="36.75" thickBot="1">
      <c r="A1896" s="18" t="s">
        <v>6743</v>
      </c>
      <c r="B1896" s="18">
        <v>20022042542</v>
      </c>
      <c r="C1896" s="18" t="s">
        <v>5397</v>
      </c>
      <c r="D1896" s="19">
        <v>45748.725694444445</v>
      </c>
      <c r="E1896" s="19">
        <v>45825.711111111108</v>
      </c>
      <c r="F1896" s="18">
        <v>850</v>
      </c>
      <c r="G1896" s="19">
        <v>45856.632638888892</v>
      </c>
      <c r="H1896" s="18" t="s">
        <v>236</v>
      </c>
      <c r="I1896" s="18" t="s">
        <v>10</v>
      </c>
      <c r="J1896" s="18" t="s">
        <v>4017</v>
      </c>
      <c r="K1896" s="20"/>
    </row>
    <row r="1897" spans="1:11" ht="36.75" thickBot="1">
      <c r="A1897" s="18" t="s">
        <v>6744</v>
      </c>
      <c r="B1897" s="18">
        <v>20003554043</v>
      </c>
      <c r="C1897" s="18" t="s">
        <v>6745</v>
      </c>
      <c r="D1897" s="19">
        <v>45820.647222222222</v>
      </c>
      <c r="E1897" s="19">
        <v>45825.713888888888</v>
      </c>
      <c r="F1897" s="18">
        <v>160</v>
      </c>
      <c r="G1897" s="18" t="s">
        <v>10</v>
      </c>
      <c r="H1897" s="18" t="s">
        <v>189</v>
      </c>
      <c r="I1897" s="18" t="s">
        <v>10</v>
      </c>
      <c r="J1897" s="18" t="s">
        <v>4017</v>
      </c>
      <c r="K1897" s="20"/>
    </row>
    <row r="1898" spans="1:11" ht="54.75" thickBot="1">
      <c r="A1898" s="18" t="s">
        <v>6746</v>
      </c>
      <c r="B1898" s="18">
        <v>20018450206</v>
      </c>
      <c r="C1898" s="18" t="s">
        <v>6747</v>
      </c>
      <c r="D1898" s="19">
        <v>45825.872916666667</v>
      </c>
      <c r="E1898" s="18" t="s">
        <v>10</v>
      </c>
      <c r="F1898" s="18">
        <v>20</v>
      </c>
      <c r="G1898" s="18" t="s">
        <v>10</v>
      </c>
      <c r="H1898" s="18" t="s">
        <v>178</v>
      </c>
      <c r="I1898" s="18" t="s">
        <v>10</v>
      </c>
      <c r="J1898" s="18" t="s">
        <v>4017</v>
      </c>
      <c r="K1898" s="20"/>
    </row>
    <row r="1899" spans="1:11" ht="72.75" thickBot="1">
      <c r="A1899" s="18" t="s">
        <v>6748</v>
      </c>
      <c r="B1899" s="18">
        <v>20027618681</v>
      </c>
      <c r="C1899" s="18" t="s">
        <v>6749</v>
      </c>
      <c r="D1899" s="19">
        <v>45756.746527777781</v>
      </c>
      <c r="E1899" s="19">
        <v>45826.424305555556</v>
      </c>
      <c r="F1899" s="18">
        <v>150</v>
      </c>
      <c r="G1899" s="19">
        <v>45831.603472222225</v>
      </c>
      <c r="H1899" s="18" t="s">
        <v>2688</v>
      </c>
      <c r="I1899" s="18" t="s">
        <v>10</v>
      </c>
      <c r="J1899" s="18" t="s">
        <v>4017</v>
      </c>
      <c r="K1899" s="20"/>
    </row>
    <row r="1900" spans="1:11" ht="72.75" thickBot="1">
      <c r="A1900" s="18" t="s">
        <v>6750</v>
      </c>
      <c r="B1900" s="18">
        <v>20003199543</v>
      </c>
      <c r="C1900" s="18" t="s">
        <v>4940</v>
      </c>
      <c r="D1900" s="19">
        <v>45787.426388888889</v>
      </c>
      <c r="E1900" s="19">
        <v>45826.439583333333</v>
      </c>
      <c r="F1900" s="18">
        <v>30</v>
      </c>
      <c r="G1900" s="19">
        <v>45842.470833333333</v>
      </c>
      <c r="H1900" s="18" t="s">
        <v>2657</v>
      </c>
      <c r="I1900" s="18" t="s">
        <v>10</v>
      </c>
      <c r="J1900" s="18" t="s">
        <v>4017</v>
      </c>
      <c r="K1900" s="20"/>
    </row>
    <row r="1901" spans="1:11" ht="36.75" thickBot="1">
      <c r="A1901" s="18" t="s">
        <v>6751</v>
      </c>
      <c r="B1901" s="18">
        <v>20020672865</v>
      </c>
      <c r="C1901" s="18" t="s">
        <v>6626</v>
      </c>
      <c r="D1901" s="19">
        <v>45826.44027777778</v>
      </c>
      <c r="E1901" s="18" t="s">
        <v>10</v>
      </c>
      <c r="F1901" s="18">
        <v>216</v>
      </c>
      <c r="G1901" s="19">
        <v>45854.563194444447</v>
      </c>
      <c r="H1901" s="18" t="s">
        <v>236</v>
      </c>
      <c r="I1901" s="18" t="s">
        <v>10</v>
      </c>
      <c r="J1901" s="18" t="s">
        <v>4017</v>
      </c>
      <c r="K1901" s="1"/>
    </row>
    <row r="1902" spans="1:11" ht="36.75" thickBot="1">
      <c r="A1902" s="21" t="s">
        <v>6752</v>
      </c>
      <c r="B1902" s="21">
        <v>20003215484</v>
      </c>
      <c r="C1902" s="21" t="s">
        <v>4478</v>
      </c>
      <c r="D1902" s="22">
        <v>45826.585416666669</v>
      </c>
      <c r="E1902" s="21" t="s">
        <v>10</v>
      </c>
      <c r="F1902" s="21">
        <v>220</v>
      </c>
      <c r="G1902" s="22">
        <v>45839.488194444442</v>
      </c>
      <c r="H1902" s="21" t="s">
        <v>2654</v>
      </c>
      <c r="I1902" s="21" t="s">
        <v>10</v>
      </c>
      <c r="J1902" s="21" t="s">
        <v>4017</v>
      </c>
      <c r="K1902" s="20"/>
    </row>
    <row r="1903" spans="1:11" ht="36.75" thickBot="1">
      <c r="A1903" s="18" t="s">
        <v>6753</v>
      </c>
      <c r="B1903" s="18">
        <v>20017012852</v>
      </c>
      <c r="C1903" s="18" t="s">
        <v>6754</v>
      </c>
      <c r="D1903" s="19">
        <v>45798.5</v>
      </c>
      <c r="E1903" s="19">
        <v>45826.589583333334</v>
      </c>
      <c r="F1903" s="18">
        <v>30</v>
      </c>
      <c r="G1903" s="19">
        <v>45833.600694444445</v>
      </c>
      <c r="H1903" s="18" t="s">
        <v>236</v>
      </c>
      <c r="I1903" s="18" t="s">
        <v>10</v>
      </c>
      <c r="J1903" s="18" t="s">
        <v>4017</v>
      </c>
      <c r="K1903" s="20"/>
    </row>
    <row r="1904" spans="1:11" ht="36.75" thickBot="1">
      <c r="A1904" s="18" t="s">
        <v>6755</v>
      </c>
      <c r="B1904" s="18">
        <v>20021625809</v>
      </c>
      <c r="C1904" s="18" t="s">
        <v>4364</v>
      </c>
      <c r="D1904" s="19">
        <v>45792.459027777775</v>
      </c>
      <c r="E1904" s="19">
        <v>45826.604861111111</v>
      </c>
      <c r="F1904" s="18">
        <v>50</v>
      </c>
      <c r="G1904" s="19">
        <v>45856.558333333334</v>
      </c>
      <c r="H1904" s="18" t="s">
        <v>236</v>
      </c>
      <c r="I1904" s="18" t="s">
        <v>10</v>
      </c>
      <c r="J1904" s="18" t="s">
        <v>4017</v>
      </c>
      <c r="K1904" s="20"/>
    </row>
    <row r="1905" spans="1:11" ht="36.75" thickBot="1">
      <c r="A1905" s="18" t="s">
        <v>6756</v>
      </c>
      <c r="B1905" s="18">
        <v>20016571614</v>
      </c>
      <c r="C1905" s="18" t="s">
        <v>6757</v>
      </c>
      <c r="D1905" s="19">
        <v>45826.615972222222</v>
      </c>
      <c r="E1905" s="18" t="s">
        <v>10</v>
      </c>
      <c r="F1905" s="18">
        <v>440</v>
      </c>
      <c r="G1905" s="18" t="s">
        <v>10</v>
      </c>
      <c r="H1905" s="18" t="s">
        <v>178</v>
      </c>
      <c r="I1905" s="18" t="s">
        <v>10</v>
      </c>
      <c r="J1905" s="18" t="s">
        <v>4017</v>
      </c>
      <c r="K1905" s="20"/>
    </row>
    <row r="1906" spans="1:11" ht="36.75" thickBot="1">
      <c r="A1906" s="18" t="s">
        <v>6758</v>
      </c>
      <c r="B1906" s="18">
        <v>20010773652</v>
      </c>
      <c r="C1906" s="18" t="s">
        <v>6759</v>
      </c>
      <c r="D1906" s="19">
        <v>45773.453472222223</v>
      </c>
      <c r="E1906" s="19">
        <v>45826.648611111108</v>
      </c>
      <c r="F1906" s="18">
        <v>425</v>
      </c>
      <c r="G1906" s="18" t="s">
        <v>10</v>
      </c>
      <c r="H1906" s="18" t="s">
        <v>178</v>
      </c>
      <c r="I1906" s="18" t="s">
        <v>10</v>
      </c>
      <c r="J1906" s="18" t="s">
        <v>4017</v>
      </c>
      <c r="K1906" s="20"/>
    </row>
    <row r="1907" spans="1:11" ht="36.75" thickBot="1">
      <c r="A1907" s="18" t="s">
        <v>6760</v>
      </c>
      <c r="B1907" s="18">
        <v>20003491461</v>
      </c>
      <c r="C1907" s="18" t="s">
        <v>5395</v>
      </c>
      <c r="D1907" s="19">
        <v>45726.477083333331</v>
      </c>
      <c r="E1907" s="19">
        <v>45826.723611111112</v>
      </c>
      <c r="F1907" s="18">
        <v>800</v>
      </c>
      <c r="G1907" s="19">
        <v>45856.632638888892</v>
      </c>
      <c r="H1907" s="18" t="s">
        <v>236</v>
      </c>
      <c r="I1907" s="18" t="s">
        <v>10</v>
      </c>
      <c r="J1907" s="18" t="s">
        <v>4017</v>
      </c>
      <c r="K1907" s="20"/>
    </row>
    <row r="1908" spans="1:11" ht="36.75" thickBot="1">
      <c r="A1908" s="18" t="s">
        <v>6761</v>
      </c>
      <c r="B1908" s="18">
        <v>20019225959</v>
      </c>
      <c r="C1908" s="18" t="s">
        <v>4673</v>
      </c>
      <c r="D1908" s="19">
        <v>45757.48541666667</v>
      </c>
      <c r="E1908" s="19">
        <v>45826.806250000001</v>
      </c>
      <c r="F1908" s="18">
        <v>800</v>
      </c>
      <c r="G1908" s="19">
        <v>45839.595138888886</v>
      </c>
      <c r="H1908" s="18" t="s">
        <v>2654</v>
      </c>
      <c r="I1908" s="18" t="s">
        <v>10</v>
      </c>
      <c r="J1908" s="18" t="s">
        <v>4017</v>
      </c>
      <c r="K1908" s="20"/>
    </row>
    <row r="1909" spans="1:11" ht="36.75" thickBot="1">
      <c r="A1909" s="18" t="s">
        <v>6762</v>
      </c>
      <c r="B1909" s="18">
        <v>20023948364</v>
      </c>
      <c r="C1909" s="18" t="s">
        <v>6763</v>
      </c>
      <c r="D1909" s="19">
        <v>45825.729166666664</v>
      </c>
      <c r="E1909" s="19">
        <v>45827.396527777775</v>
      </c>
      <c r="F1909" s="18">
        <v>30</v>
      </c>
      <c r="G1909" s="18" t="s">
        <v>10</v>
      </c>
      <c r="H1909" s="18" t="s">
        <v>189</v>
      </c>
      <c r="I1909" s="18" t="s">
        <v>10</v>
      </c>
      <c r="J1909" s="18" t="s">
        <v>4017</v>
      </c>
      <c r="K1909" s="20"/>
    </row>
    <row r="1910" spans="1:11" ht="72.75" thickBot="1">
      <c r="A1910" s="18" t="s">
        <v>6764</v>
      </c>
      <c r="B1910" s="18">
        <v>20017896427</v>
      </c>
      <c r="C1910" s="18" t="s">
        <v>5761</v>
      </c>
      <c r="D1910" s="19">
        <v>45777.453472222223</v>
      </c>
      <c r="E1910" s="19">
        <v>45827.400694444441</v>
      </c>
      <c r="F1910" s="18">
        <v>180</v>
      </c>
      <c r="G1910" s="19">
        <v>45840.390277777777</v>
      </c>
      <c r="H1910" s="18" t="s">
        <v>2688</v>
      </c>
      <c r="I1910" s="18" t="s">
        <v>10</v>
      </c>
      <c r="J1910" s="18" t="s">
        <v>4017</v>
      </c>
      <c r="K1910" s="20"/>
    </row>
    <row r="1911" spans="1:11" ht="36.75" thickBot="1">
      <c r="A1911" s="18" t="s">
        <v>6765</v>
      </c>
      <c r="B1911" s="18">
        <v>20016938725</v>
      </c>
      <c r="C1911" s="18" t="s">
        <v>2339</v>
      </c>
      <c r="D1911" s="19">
        <v>45804.632638888892</v>
      </c>
      <c r="E1911" s="19">
        <v>45827.446527777778</v>
      </c>
      <c r="F1911" s="18">
        <v>100</v>
      </c>
      <c r="G1911" s="19">
        <v>45847.586111111108</v>
      </c>
      <c r="H1911" s="18" t="s">
        <v>236</v>
      </c>
      <c r="I1911" s="18" t="s">
        <v>10</v>
      </c>
      <c r="J1911" s="18" t="s">
        <v>4017</v>
      </c>
      <c r="K1911" s="20"/>
    </row>
    <row r="1912" spans="1:11" ht="36.75" thickBot="1">
      <c r="A1912" s="18" t="s">
        <v>6766</v>
      </c>
      <c r="B1912" s="18">
        <v>20028245490</v>
      </c>
      <c r="C1912" s="18" t="s">
        <v>6579</v>
      </c>
      <c r="D1912" s="19">
        <v>45825.402083333334</v>
      </c>
      <c r="E1912" s="19">
        <v>45827.464583333334</v>
      </c>
      <c r="F1912" s="18">
        <v>50</v>
      </c>
      <c r="G1912" s="18" t="s">
        <v>10</v>
      </c>
      <c r="H1912" s="18" t="s">
        <v>189</v>
      </c>
      <c r="I1912" s="18" t="s">
        <v>10</v>
      </c>
      <c r="J1912" s="18" t="s">
        <v>4017</v>
      </c>
      <c r="K1912" s="20"/>
    </row>
    <row r="1913" spans="1:11" ht="36.75" thickBot="1">
      <c r="A1913" s="18" t="s">
        <v>6767</v>
      </c>
      <c r="B1913" s="18">
        <v>20003301760</v>
      </c>
      <c r="C1913" s="18" t="s">
        <v>6768</v>
      </c>
      <c r="D1913" s="19">
        <v>45827.665277777778</v>
      </c>
      <c r="E1913" s="18" t="s">
        <v>10</v>
      </c>
      <c r="F1913" s="18">
        <v>180</v>
      </c>
      <c r="G1913" s="18" t="s">
        <v>10</v>
      </c>
      <c r="H1913" s="18" t="s">
        <v>178</v>
      </c>
      <c r="I1913" s="18" t="s">
        <v>10</v>
      </c>
      <c r="J1913" s="18" t="s">
        <v>4017</v>
      </c>
      <c r="K1913" s="20"/>
    </row>
    <row r="1914" spans="1:11" ht="36.75" thickBot="1">
      <c r="A1914" s="18" t="s">
        <v>6769</v>
      </c>
      <c r="B1914" s="18">
        <v>20003307863</v>
      </c>
      <c r="C1914" s="18" t="s">
        <v>6768</v>
      </c>
      <c r="D1914" s="19">
        <v>45827.677777777775</v>
      </c>
      <c r="E1914" s="18" t="s">
        <v>10</v>
      </c>
      <c r="F1914" s="18">
        <v>180</v>
      </c>
      <c r="G1914" s="18" t="s">
        <v>10</v>
      </c>
      <c r="H1914" s="18" t="s">
        <v>178</v>
      </c>
      <c r="I1914" s="18" t="s">
        <v>10</v>
      </c>
      <c r="J1914" s="18" t="s">
        <v>4017</v>
      </c>
      <c r="K1914" s="20"/>
    </row>
    <row r="1915" spans="1:11" ht="36.75" thickBot="1">
      <c r="A1915" s="18" t="s">
        <v>6770</v>
      </c>
      <c r="B1915" s="18">
        <v>20027144060</v>
      </c>
      <c r="C1915" s="18" t="s">
        <v>1836</v>
      </c>
      <c r="D1915" s="19">
        <v>45777.650694444441</v>
      </c>
      <c r="E1915" s="19">
        <v>45827.695138888892</v>
      </c>
      <c r="F1915" s="18">
        <v>30</v>
      </c>
      <c r="G1915" s="19">
        <v>45845.597916666666</v>
      </c>
      <c r="H1915" s="18" t="s">
        <v>2654</v>
      </c>
      <c r="I1915" s="18" t="s">
        <v>10</v>
      </c>
      <c r="J1915" s="18" t="s">
        <v>4017</v>
      </c>
      <c r="K1915" s="20"/>
    </row>
    <row r="1916" spans="1:11" ht="36.75" thickBot="1">
      <c r="A1916" s="18" t="s">
        <v>6771</v>
      </c>
      <c r="B1916" s="18">
        <v>20027045958</v>
      </c>
      <c r="C1916" s="18" t="s">
        <v>1836</v>
      </c>
      <c r="D1916" s="19">
        <v>45776.42083333333</v>
      </c>
      <c r="E1916" s="19">
        <v>45827.697222222225</v>
      </c>
      <c r="F1916" s="18">
        <v>30</v>
      </c>
      <c r="G1916" s="19">
        <v>45860.462500000001</v>
      </c>
      <c r="H1916" s="18" t="s">
        <v>2654</v>
      </c>
      <c r="I1916" s="18" t="s">
        <v>10</v>
      </c>
      <c r="J1916" s="18" t="s">
        <v>4017</v>
      </c>
      <c r="K1916" s="20"/>
    </row>
    <row r="1917" spans="1:11" ht="72.75" thickBot="1">
      <c r="A1917" s="18" t="s">
        <v>6772</v>
      </c>
      <c r="B1917" s="18">
        <v>20026344110</v>
      </c>
      <c r="C1917" s="18" t="s">
        <v>6773</v>
      </c>
      <c r="D1917" s="19">
        <v>45815.623611111114</v>
      </c>
      <c r="E1917" s="19">
        <v>45828.39166666667</v>
      </c>
      <c r="F1917" s="18">
        <v>30</v>
      </c>
      <c r="G1917" s="19">
        <v>45860.643750000003</v>
      </c>
      <c r="H1917" s="18" t="s">
        <v>2657</v>
      </c>
      <c r="I1917" s="18" t="s">
        <v>10</v>
      </c>
      <c r="J1917" s="18" t="s">
        <v>4017</v>
      </c>
      <c r="K1917" s="20"/>
    </row>
    <row r="1918" spans="1:11" ht="72.75" thickBot="1">
      <c r="A1918" s="18" t="s">
        <v>6774</v>
      </c>
      <c r="B1918" s="18">
        <v>20027522681</v>
      </c>
      <c r="C1918" s="18" t="s">
        <v>6489</v>
      </c>
      <c r="D1918" s="19">
        <v>45828.4</v>
      </c>
      <c r="E1918" s="18" t="s">
        <v>10</v>
      </c>
      <c r="F1918" s="18">
        <v>50</v>
      </c>
      <c r="G1918" s="19">
        <v>45860.643750000003</v>
      </c>
      <c r="H1918" s="18" t="s">
        <v>2657</v>
      </c>
      <c r="I1918" s="18" t="s">
        <v>10</v>
      </c>
      <c r="J1918" s="18" t="s">
        <v>4017</v>
      </c>
      <c r="K1918" s="20"/>
    </row>
    <row r="1919" spans="1:11" ht="72.75" thickBot="1">
      <c r="A1919" s="18" t="s">
        <v>6775</v>
      </c>
      <c r="B1919" s="18">
        <v>20003518428</v>
      </c>
      <c r="C1919" s="18" t="s">
        <v>6446</v>
      </c>
      <c r="D1919" s="19">
        <v>45798.856249999997</v>
      </c>
      <c r="E1919" s="19">
        <v>45828.424305555556</v>
      </c>
      <c r="F1919" s="18">
        <v>150</v>
      </c>
      <c r="G1919" s="19">
        <v>45852.592361111114</v>
      </c>
      <c r="H1919" s="18" t="s">
        <v>2688</v>
      </c>
      <c r="I1919" s="18" t="s">
        <v>10</v>
      </c>
      <c r="J1919" s="18" t="s">
        <v>4017</v>
      </c>
      <c r="K1919" s="20"/>
    </row>
    <row r="1920" spans="1:11" ht="36.75" thickBot="1">
      <c r="A1920" s="18" t="s">
        <v>6776</v>
      </c>
      <c r="B1920" s="18">
        <v>20023462318</v>
      </c>
      <c r="C1920" s="18" t="s">
        <v>4032</v>
      </c>
      <c r="D1920" s="19">
        <v>45810.436805555553</v>
      </c>
      <c r="E1920" s="19">
        <v>45828.425000000003</v>
      </c>
      <c r="F1920" s="18">
        <v>300</v>
      </c>
      <c r="G1920" s="19">
        <v>45835.544444444444</v>
      </c>
      <c r="H1920" s="18" t="s">
        <v>236</v>
      </c>
      <c r="I1920" s="18" t="s">
        <v>10</v>
      </c>
      <c r="J1920" s="18" t="s">
        <v>4017</v>
      </c>
      <c r="K1920" s="20"/>
    </row>
    <row r="1921" spans="1:11" ht="36.75" thickBot="1">
      <c r="A1921" s="18" t="s">
        <v>6777</v>
      </c>
      <c r="B1921" s="18">
        <v>20024200939</v>
      </c>
      <c r="C1921" s="18" t="s">
        <v>6330</v>
      </c>
      <c r="D1921" s="19">
        <v>45804.420138888891</v>
      </c>
      <c r="E1921" s="19">
        <v>45828.4375</v>
      </c>
      <c r="F1921" s="18">
        <v>160</v>
      </c>
      <c r="G1921" s="18" t="s">
        <v>10</v>
      </c>
      <c r="H1921" s="18" t="s">
        <v>189</v>
      </c>
      <c r="I1921" s="18" t="s">
        <v>10</v>
      </c>
      <c r="J1921" s="18" t="s">
        <v>4017</v>
      </c>
      <c r="K1921" s="20"/>
    </row>
    <row r="1922" spans="1:11" ht="36.75" thickBot="1">
      <c r="A1922" s="18" t="s">
        <v>6778</v>
      </c>
      <c r="B1922" s="18">
        <v>20003644022</v>
      </c>
      <c r="C1922" s="18" t="s">
        <v>6192</v>
      </c>
      <c r="D1922" s="19">
        <v>45815.73541666667</v>
      </c>
      <c r="E1922" s="19">
        <v>45828.439583333333</v>
      </c>
      <c r="F1922" s="18">
        <v>36</v>
      </c>
      <c r="G1922" s="19">
        <v>45856.558333333334</v>
      </c>
      <c r="H1922" s="18" t="s">
        <v>236</v>
      </c>
      <c r="I1922" s="18" t="s">
        <v>10</v>
      </c>
      <c r="J1922" s="18" t="s">
        <v>4017</v>
      </c>
      <c r="K1922" s="20"/>
    </row>
    <row r="1923" spans="1:11" ht="36.75" thickBot="1">
      <c r="A1923" s="18" t="s">
        <v>6779</v>
      </c>
      <c r="B1923" s="18">
        <v>20025634975</v>
      </c>
      <c r="C1923" s="18" t="s">
        <v>5889</v>
      </c>
      <c r="D1923" s="19">
        <v>45821.462500000001</v>
      </c>
      <c r="E1923" s="19">
        <v>45828.489583333336</v>
      </c>
      <c r="F1923" s="18">
        <v>27.6</v>
      </c>
      <c r="G1923" s="18" t="s">
        <v>10</v>
      </c>
      <c r="H1923" s="18" t="s">
        <v>189</v>
      </c>
      <c r="I1923" s="18" t="s">
        <v>10</v>
      </c>
      <c r="J1923" s="18" t="s">
        <v>4017</v>
      </c>
      <c r="K1923" s="20"/>
    </row>
    <row r="1924" spans="1:11" ht="36.75" thickBot="1">
      <c r="A1924" s="18" t="s">
        <v>6780</v>
      </c>
      <c r="B1924" s="18">
        <v>20025194248</v>
      </c>
      <c r="C1924" s="18" t="s">
        <v>6781</v>
      </c>
      <c r="D1924" s="19">
        <v>45828.502083333333</v>
      </c>
      <c r="E1924" s="18" t="s">
        <v>10</v>
      </c>
      <c r="F1924" s="18">
        <v>50</v>
      </c>
      <c r="G1924" s="18" t="s">
        <v>10</v>
      </c>
      <c r="H1924" s="18" t="s">
        <v>178</v>
      </c>
      <c r="I1924" s="18" t="s">
        <v>10</v>
      </c>
      <c r="J1924" s="18" t="s">
        <v>4017</v>
      </c>
      <c r="K1924" s="20"/>
    </row>
    <row r="1925" spans="1:11" ht="36.75" thickBot="1">
      <c r="A1925" s="18" t="s">
        <v>6782</v>
      </c>
      <c r="B1925" s="18">
        <v>20026959832</v>
      </c>
      <c r="C1925" s="18" t="s">
        <v>1836</v>
      </c>
      <c r="D1925" s="19">
        <v>45827.745138888888</v>
      </c>
      <c r="E1925" s="19">
        <v>45828.504861111112</v>
      </c>
      <c r="F1925" s="18">
        <v>30</v>
      </c>
      <c r="G1925" s="19">
        <v>45845.597916666666</v>
      </c>
      <c r="H1925" s="18" t="s">
        <v>2654</v>
      </c>
      <c r="I1925" s="18" t="s">
        <v>10</v>
      </c>
      <c r="J1925" s="18" t="s">
        <v>4017</v>
      </c>
      <c r="K1925" s="20"/>
    </row>
    <row r="1926" spans="1:11" ht="72.75" thickBot="1">
      <c r="A1926" s="18" t="s">
        <v>6783</v>
      </c>
      <c r="B1926" s="18">
        <v>20027235039</v>
      </c>
      <c r="C1926" s="18" t="s">
        <v>1836</v>
      </c>
      <c r="D1926" s="19">
        <v>45827.72152777778</v>
      </c>
      <c r="E1926" s="19">
        <v>45828.504861111112</v>
      </c>
      <c r="F1926" s="18">
        <v>30</v>
      </c>
      <c r="G1926" s="19">
        <v>45860.462500000001</v>
      </c>
      <c r="H1926" s="18" t="s">
        <v>2688</v>
      </c>
      <c r="I1926" s="18" t="s">
        <v>10</v>
      </c>
      <c r="J1926" s="18" t="s">
        <v>4017</v>
      </c>
      <c r="K1926" s="20"/>
    </row>
    <row r="1927" spans="1:11" ht="36.75" thickBot="1">
      <c r="A1927" s="18" t="s">
        <v>6784</v>
      </c>
      <c r="B1927" s="18">
        <v>20027466123</v>
      </c>
      <c r="C1927" s="18" t="s">
        <v>2698</v>
      </c>
      <c r="D1927" s="19">
        <v>45819.941666666666</v>
      </c>
      <c r="E1927" s="19">
        <v>45828.509722222225</v>
      </c>
      <c r="F1927" s="18">
        <v>8</v>
      </c>
      <c r="G1927" s="19">
        <v>45831.598611111112</v>
      </c>
      <c r="H1927" s="18" t="s">
        <v>236</v>
      </c>
      <c r="I1927" s="18" t="s">
        <v>10</v>
      </c>
      <c r="J1927" s="18" t="s">
        <v>4017</v>
      </c>
      <c r="K1927" s="20"/>
    </row>
    <row r="1928" spans="1:11" ht="36.75" thickBot="1">
      <c r="A1928" s="18" t="s">
        <v>6785</v>
      </c>
      <c r="B1928" s="18">
        <v>20002880104</v>
      </c>
      <c r="C1928" s="18" t="s">
        <v>4319</v>
      </c>
      <c r="D1928" s="19">
        <v>45804.397222222222</v>
      </c>
      <c r="E1928" s="19">
        <v>45828.550694444442</v>
      </c>
      <c r="F1928" s="18">
        <v>425</v>
      </c>
      <c r="G1928" s="19">
        <v>45855.486111111109</v>
      </c>
      <c r="H1928" s="18" t="s">
        <v>2651</v>
      </c>
      <c r="I1928" s="18" t="s">
        <v>10</v>
      </c>
      <c r="J1928" s="18" t="s">
        <v>4017</v>
      </c>
      <c r="K1928" s="20"/>
    </row>
    <row r="1929" spans="1:11" ht="36.75" thickBot="1">
      <c r="A1929" s="18" t="s">
        <v>6786</v>
      </c>
      <c r="B1929" s="18">
        <v>20017128247</v>
      </c>
      <c r="C1929" s="18" t="s">
        <v>4954</v>
      </c>
      <c r="D1929" s="19">
        <v>45805.689583333333</v>
      </c>
      <c r="E1929" s="19">
        <v>45828.554861111108</v>
      </c>
      <c r="F1929" s="18">
        <v>33.299999999999997</v>
      </c>
      <c r="G1929" s="19">
        <v>45831.604166666664</v>
      </c>
      <c r="H1929" s="18" t="s">
        <v>236</v>
      </c>
      <c r="I1929" s="18" t="s">
        <v>10</v>
      </c>
      <c r="J1929" s="18" t="s">
        <v>4017</v>
      </c>
      <c r="K1929" s="20"/>
    </row>
    <row r="1930" spans="1:11" ht="72.75" thickBot="1">
      <c r="A1930" s="18" t="s">
        <v>6787</v>
      </c>
      <c r="B1930" s="18">
        <v>20025677326</v>
      </c>
      <c r="C1930" s="18" t="s">
        <v>5768</v>
      </c>
      <c r="D1930" s="19">
        <v>45824.4</v>
      </c>
      <c r="E1930" s="19">
        <v>45828.574999999997</v>
      </c>
      <c r="F1930" s="18">
        <v>60</v>
      </c>
      <c r="G1930" s="19">
        <v>45832.441666666666</v>
      </c>
      <c r="H1930" s="18" t="s">
        <v>2688</v>
      </c>
      <c r="I1930" s="18" t="s">
        <v>10</v>
      </c>
      <c r="J1930" s="18" t="s">
        <v>4017</v>
      </c>
      <c r="K1930" s="20"/>
    </row>
    <row r="1931" spans="1:11" ht="72.75" thickBot="1">
      <c r="A1931" s="18" t="s">
        <v>6788</v>
      </c>
      <c r="B1931" s="18">
        <v>20003490160</v>
      </c>
      <c r="C1931" s="18" t="s">
        <v>6501</v>
      </c>
      <c r="D1931" s="19">
        <v>45827.586111111108</v>
      </c>
      <c r="E1931" s="19">
        <v>45828.609722222223</v>
      </c>
      <c r="F1931" s="18">
        <v>108</v>
      </c>
      <c r="G1931" s="19">
        <v>45832.441666666666</v>
      </c>
      <c r="H1931" s="18" t="s">
        <v>2688</v>
      </c>
      <c r="I1931" s="18" t="s">
        <v>10</v>
      </c>
      <c r="J1931" s="18" t="s">
        <v>4017</v>
      </c>
      <c r="K1931" s="20"/>
    </row>
    <row r="1932" spans="1:11" ht="36.75" thickBot="1">
      <c r="A1932" s="18" t="s">
        <v>6789</v>
      </c>
      <c r="B1932" s="18">
        <v>20003117117</v>
      </c>
      <c r="C1932" s="18" t="s">
        <v>4310</v>
      </c>
      <c r="D1932" s="19">
        <v>45768.754166666666</v>
      </c>
      <c r="E1932" s="19">
        <v>45828.623611111114</v>
      </c>
      <c r="F1932" s="18">
        <v>375</v>
      </c>
      <c r="G1932" s="19">
        <v>45847.42083333333</v>
      </c>
      <c r="H1932" s="18" t="s">
        <v>2654</v>
      </c>
      <c r="I1932" s="18" t="s">
        <v>10</v>
      </c>
      <c r="J1932" s="18" t="s">
        <v>4017</v>
      </c>
      <c r="K1932" s="20"/>
    </row>
    <row r="1933" spans="1:11" ht="36.75" thickBot="1">
      <c r="A1933" s="18" t="s">
        <v>6790</v>
      </c>
      <c r="B1933" s="18">
        <v>20003489945</v>
      </c>
      <c r="C1933" s="18" t="s">
        <v>6140</v>
      </c>
      <c r="D1933" s="19">
        <v>45755.605555555558</v>
      </c>
      <c r="E1933" s="19">
        <v>45828.984027777777</v>
      </c>
      <c r="F1933" s="18">
        <v>250</v>
      </c>
      <c r="G1933" s="19">
        <v>45873.394444444442</v>
      </c>
      <c r="H1933" s="18" t="s">
        <v>2654</v>
      </c>
      <c r="I1933" s="18" t="s">
        <v>10</v>
      </c>
      <c r="J1933" s="18" t="s">
        <v>4017</v>
      </c>
      <c r="K1933" s="20"/>
    </row>
    <row r="1934" spans="1:11" ht="36.75" thickBot="1">
      <c r="A1934" s="18" t="s">
        <v>6791</v>
      </c>
      <c r="B1934" s="18">
        <v>20021986711</v>
      </c>
      <c r="C1934" s="18" t="s">
        <v>4481</v>
      </c>
      <c r="D1934" s="19">
        <v>45814.694444444445</v>
      </c>
      <c r="E1934" s="19">
        <v>45829.466666666667</v>
      </c>
      <c r="F1934" s="18">
        <v>200</v>
      </c>
      <c r="G1934" s="18" t="s">
        <v>10</v>
      </c>
      <c r="H1934" s="18" t="s">
        <v>178</v>
      </c>
      <c r="I1934" s="18" t="s">
        <v>10</v>
      </c>
      <c r="J1934" s="18" t="s">
        <v>4017</v>
      </c>
      <c r="K1934" s="20"/>
    </row>
    <row r="1935" spans="1:11" ht="36.75" thickBot="1">
      <c r="A1935" s="18" t="s">
        <v>6792</v>
      </c>
      <c r="B1935" s="18">
        <v>20003487569</v>
      </c>
      <c r="C1935" s="18" t="s">
        <v>5176</v>
      </c>
      <c r="D1935" s="19">
        <v>45799.677083333336</v>
      </c>
      <c r="E1935" s="19">
        <v>45829.658333333333</v>
      </c>
      <c r="F1935" s="18">
        <v>100</v>
      </c>
      <c r="G1935" s="19">
        <v>45846.606249999997</v>
      </c>
      <c r="H1935" s="18" t="s">
        <v>236</v>
      </c>
      <c r="I1935" s="18" t="s">
        <v>10</v>
      </c>
      <c r="J1935" s="18" t="s">
        <v>4017</v>
      </c>
      <c r="K1935" s="20"/>
    </row>
    <row r="1936" spans="1:11" ht="36.75" thickBot="1">
      <c r="A1936" s="18" t="s">
        <v>6793</v>
      </c>
      <c r="B1936" s="18">
        <v>20003486074</v>
      </c>
      <c r="C1936" s="18" t="s">
        <v>6794</v>
      </c>
      <c r="D1936" s="19">
        <v>45815.931250000001</v>
      </c>
      <c r="E1936" s="19">
        <v>45829.693749999999</v>
      </c>
      <c r="F1936" s="18">
        <v>400</v>
      </c>
      <c r="G1936" s="19">
        <v>45863.606944444444</v>
      </c>
      <c r="H1936" s="18" t="s">
        <v>2654</v>
      </c>
      <c r="I1936" s="18" t="s">
        <v>10</v>
      </c>
      <c r="J1936" s="18" t="s">
        <v>4017</v>
      </c>
      <c r="K1936" s="20"/>
    </row>
    <row r="1937" spans="1:11" ht="54.75" thickBot="1">
      <c r="A1937" s="18" t="s">
        <v>6795</v>
      </c>
      <c r="B1937" s="18">
        <v>20003212991</v>
      </c>
      <c r="C1937" s="18" t="s">
        <v>4313</v>
      </c>
      <c r="D1937" s="19">
        <v>45815.950694444444</v>
      </c>
      <c r="E1937" s="19">
        <v>45829.700694444444</v>
      </c>
      <c r="F1937" s="18">
        <v>190</v>
      </c>
      <c r="G1937" s="19">
        <v>45856.522916666669</v>
      </c>
      <c r="H1937" s="18" t="s">
        <v>2654</v>
      </c>
      <c r="I1937" s="18" t="s">
        <v>10</v>
      </c>
      <c r="J1937" s="18" t="s">
        <v>4017</v>
      </c>
      <c r="K1937" s="20"/>
    </row>
    <row r="1938" spans="1:11" ht="36.75" thickBot="1">
      <c r="A1938" s="18" t="s">
        <v>6796</v>
      </c>
      <c r="B1938" s="18">
        <v>20003175266</v>
      </c>
      <c r="C1938" s="18" t="s">
        <v>4493</v>
      </c>
      <c r="D1938" s="19">
        <v>45829.722222222219</v>
      </c>
      <c r="E1938" s="18" t="s">
        <v>10</v>
      </c>
      <c r="F1938" s="18">
        <v>390</v>
      </c>
      <c r="G1938" s="19">
        <v>45863.606944444444</v>
      </c>
      <c r="H1938" s="18" t="s">
        <v>2654</v>
      </c>
      <c r="I1938" s="18" t="s">
        <v>10</v>
      </c>
      <c r="J1938" s="18" t="s">
        <v>4017</v>
      </c>
      <c r="K1938" s="20"/>
    </row>
    <row r="1939" spans="1:11" ht="36.75" thickBot="1">
      <c r="A1939" s="18" t="s">
        <v>6797</v>
      </c>
      <c r="B1939" s="18">
        <v>20010817425</v>
      </c>
      <c r="C1939" s="18" t="s">
        <v>6798</v>
      </c>
      <c r="D1939" s="19">
        <v>45829.76666666667</v>
      </c>
      <c r="E1939" s="18" t="s">
        <v>10</v>
      </c>
      <c r="F1939" s="18">
        <v>700</v>
      </c>
      <c r="G1939" s="18" t="s">
        <v>10</v>
      </c>
      <c r="H1939" s="18" t="s">
        <v>178</v>
      </c>
      <c r="I1939" s="18" t="s">
        <v>10</v>
      </c>
      <c r="J1939" s="18" t="s">
        <v>4017</v>
      </c>
      <c r="K1939" s="20"/>
    </row>
    <row r="1940" spans="1:11" ht="36.75" thickBot="1">
      <c r="A1940" s="18" t="s">
        <v>6799</v>
      </c>
      <c r="B1940" s="18">
        <v>20017601602</v>
      </c>
      <c r="C1940" s="18" t="s">
        <v>4460</v>
      </c>
      <c r="D1940" s="19">
        <v>45745.463194444441</v>
      </c>
      <c r="E1940" s="19">
        <v>45831.432638888888</v>
      </c>
      <c r="F1940" s="18">
        <v>402</v>
      </c>
      <c r="G1940" s="19">
        <v>45835.585416666669</v>
      </c>
      <c r="H1940" s="18" t="s">
        <v>236</v>
      </c>
      <c r="I1940" s="18" t="s">
        <v>10</v>
      </c>
      <c r="J1940" s="18" t="s">
        <v>4017</v>
      </c>
      <c r="K1940" s="20"/>
    </row>
    <row r="1941" spans="1:11" ht="36.75" thickBot="1">
      <c r="A1941" s="18" t="s">
        <v>6800</v>
      </c>
      <c r="B1941" s="18">
        <v>20003134893</v>
      </c>
      <c r="C1941" s="18" t="s">
        <v>6801</v>
      </c>
      <c r="D1941" s="19">
        <v>45829.703472222223</v>
      </c>
      <c r="E1941" s="19">
        <v>45831.443749999999</v>
      </c>
      <c r="F1941" s="18">
        <v>40</v>
      </c>
      <c r="G1941" s="19">
        <v>45832.6</v>
      </c>
      <c r="H1941" s="18" t="s">
        <v>236</v>
      </c>
      <c r="I1941" s="18" t="s">
        <v>10</v>
      </c>
      <c r="J1941" s="18" t="s">
        <v>4017</v>
      </c>
      <c r="K1941" s="20"/>
    </row>
    <row r="1942" spans="1:11" ht="36.75" thickBot="1">
      <c r="A1942" s="18" t="s">
        <v>6802</v>
      </c>
      <c r="B1942" s="18">
        <v>20017599059</v>
      </c>
      <c r="C1942" s="18" t="s">
        <v>6803</v>
      </c>
      <c r="D1942" s="19">
        <v>45768.725694444445</v>
      </c>
      <c r="E1942" s="19">
        <v>45831.46875</v>
      </c>
      <c r="F1942" s="18">
        <v>20</v>
      </c>
      <c r="G1942" s="19">
        <v>45832.592361111114</v>
      </c>
      <c r="H1942" s="18" t="s">
        <v>236</v>
      </c>
      <c r="I1942" s="18" t="s">
        <v>10</v>
      </c>
      <c r="J1942" s="18" t="s">
        <v>4017</v>
      </c>
      <c r="K1942" s="20"/>
    </row>
    <row r="1943" spans="1:11" ht="36.75" thickBot="1">
      <c r="A1943" s="18" t="s">
        <v>6804</v>
      </c>
      <c r="B1943" s="18">
        <v>20016767734</v>
      </c>
      <c r="C1943" s="18" t="s">
        <v>4169</v>
      </c>
      <c r="D1943" s="19">
        <v>45831.488194444442</v>
      </c>
      <c r="E1943" s="18" t="s">
        <v>10</v>
      </c>
      <c r="F1943" s="18">
        <v>50</v>
      </c>
      <c r="G1943" s="18" t="s">
        <v>10</v>
      </c>
      <c r="H1943" s="18" t="s">
        <v>178</v>
      </c>
      <c r="I1943" s="18" t="s">
        <v>10</v>
      </c>
      <c r="J1943" s="18" t="s">
        <v>4017</v>
      </c>
      <c r="K1943" s="20"/>
    </row>
    <row r="1944" spans="1:11" ht="36.75" thickBot="1">
      <c r="A1944" s="18" t="s">
        <v>6805</v>
      </c>
      <c r="B1944" s="18">
        <v>20025104975</v>
      </c>
      <c r="C1944" s="18" t="s">
        <v>4453</v>
      </c>
      <c r="D1944" s="19">
        <v>45812.59652777778</v>
      </c>
      <c r="E1944" s="19">
        <v>45831.495833333334</v>
      </c>
      <c r="F1944" s="18">
        <v>200</v>
      </c>
      <c r="G1944" s="18" t="s">
        <v>10</v>
      </c>
      <c r="H1944" s="18" t="s">
        <v>178</v>
      </c>
      <c r="I1944" s="18" t="s">
        <v>10</v>
      </c>
      <c r="J1944" s="18" t="s">
        <v>4017</v>
      </c>
      <c r="K1944" s="20"/>
    </row>
    <row r="1945" spans="1:11" ht="36.75" thickBot="1">
      <c r="A1945" s="18" t="s">
        <v>6806</v>
      </c>
      <c r="B1945" s="18">
        <v>20017809093</v>
      </c>
      <c r="C1945" s="18" t="s">
        <v>6807</v>
      </c>
      <c r="D1945" s="19">
        <v>45831.517361111109</v>
      </c>
      <c r="E1945" s="18" t="s">
        <v>10</v>
      </c>
      <c r="F1945" s="18">
        <v>20</v>
      </c>
      <c r="G1945" s="18" t="s">
        <v>10</v>
      </c>
      <c r="H1945" s="18" t="s">
        <v>178</v>
      </c>
      <c r="I1945" s="18" t="s">
        <v>10</v>
      </c>
      <c r="J1945" s="18" t="s">
        <v>4017</v>
      </c>
      <c r="K1945" s="20"/>
    </row>
    <row r="1946" spans="1:11" ht="54.75" thickBot="1">
      <c r="A1946" s="18" t="s">
        <v>6808</v>
      </c>
      <c r="B1946" s="18">
        <v>20021136389</v>
      </c>
      <c r="C1946" s="18" t="s">
        <v>6809</v>
      </c>
      <c r="D1946" s="19">
        <v>45831.605555555558</v>
      </c>
      <c r="E1946" s="18" t="s">
        <v>10</v>
      </c>
      <c r="F1946" s="18">
        <v>20</v>
      </c>
      <c r="G1946" s="18" t="s">
        <v>10</v>
      </c>
      <c r="H1946" s="18" t="s">
        <v>178</v>
      </c>
      <c r="I1946" s="18" t="s">
        <v>10</v>
      </c>
      <c r="J1946" s="18" t="s">
        <v>4017</v>
      </c>
      <c r="K1946" s="20"/>
    </row>
    <row r="1947" spans="1:11" ht="36.75" thickBot="1">
      <c r="A1947" s="18" t="s">
        <v>6810</v>
      </c>
      <c r="B1947" s="18">
        <v>20028131593</v>
      </c>
      <c r="C1947" s="18" t="s">
        <v>1836</v>
      </c>
      <c r="D1947" s="19">
        <v>45805.443055555559</v>
      </c>
      <c r="E1947" s="19">
        <v>45831.768750000003</v>
      </c>
      <c r="F1947" s="18">
        <v>30</v>
      </c>
      <c r="G1947" s="19">
        <v>45854.582638888889</v>
      </c>
      <c r="H1947" s="18" t="s">
        <v>2654</v>
      </c>
      <c r="I1947" s="18" t="s">
        <v>10</v>
      </c>
      <c r="J1947" s="18" t="s">
        <v>4017</v>
      </c>
      <c r="K1947" s="20"/>
    </row>
    <row r="1948" spans="1:11" ht="36.75" thickBot="1">
      <c r="A1948" s="18" t="s">
        <v>6811</v>
      </c>
      <c r="B1948" s="18">
        <v>20028221427</v>
      </c>
      <c r="C1948" s="18" t="s">
        <v>1836</v>
      </c>
      <c r="D1948" s="19">
        <v>45805.480555555558</v>
      </c>
      <c r="E1948" s="19">
        <v>45831.775694444441</v>
      </c>
      <c r="F1948" s="18">
        <v>30</v>
      </c>
      <c r="G1948" s="19">
        <v>45854.582638888889</v>
      </c>
      <c r="H1948" s="18" t="s">
        <v>2654</v>
      </c>
      <c r="I1948" s="18" t="s">
        <v>10</v>
      </c>
      <c r="J1948" s="18" t="s">
        <v>4017</v>
      </c>
      <c r="K1948" s="20"/>
    </row>
    <row r="1949" spans="1:11" ht="36.75" thickBot="1">
      <c r="A1949" s="18" t="s">
        <v>6812</v>
      </c>
      <c r="B1949" s="18">
        <v>20003486823</v>
      </c>
      <c r="C1949" s="18" t="s">
        <v>4418</v>
      </c>
      <c r="D1949" s="19">
        <v>45831.978472222225</v>
      </c>
      <c r="E1949" s="18" t="s">
        <v>10</v>
      </c>
      <c r="F1949" s="18">
        <v>330</v>
      </c>
      <c r="G1949" s="19">
        <v>45869.445138888892</v>
      </c>
      <c r="H1949" s="18" t="s">
        <v>2654</v>
      </c>
      <c r="I1949" s="18" t="s">
        <v>10</v>
      </c>
      <c r="J1949" s="18" t="s">
        <v>4017</v>
      </c>
      <c r="K1949" s="20"/>
    </row>
    <row r="1950" spans="1:11" ht="54.75" thickBot="1">
      <c r="A1950" s="18" t="s">
        <v>6813</v>
      </c>
      <c r="B1950" s="18">
        <v>20003471360</v>
      </c>
      <c r="C1950" s="18" t="s">
        <v>6814</v>
      </c>
      <c r="D1950" s="19">
        <v>45832.365277777775</v>
      </c>
      <c r="E1950" s="18" t="s">
        <v>10</v>
      </c>
      <c r="F1950" s="18">
        <v>175</v>
      </c>
      <c r="G1950" s="19">
        <v>45842.359027777777</v>
      </c>
      <c r="H1950" s="18" t="s">
        <v>236</v>
      </c>
      <c r="I1950" s="18" t="s">
        <v>10</v>
      </c>
      <c r="J1950" s="18" t="s">
        <v>4017</v>
      </c>
      <c r="K1950" s="20"/>
    </row>
    <row r="1951" spans="1:11" ht="36.75" thickBot="1">
      <c r="A1951" s="18" t="s">
        <v>6815</v>
      </c>
      <c r="B1951" s="18">
        <v>20023023905</v>
      </c>
      <c r="C1951" s="18" t="s">
        <v>6568</v>
      </c>
      <c r="D1951" s="19">
        <v>45831.73541666667</v>
      </c>
      <c r="E1951" s="19">
        <v>45832.375694444447</v>
      </c>
      <c r="F1951" s="18">
        <v>30</v>
      </c>
      <c r="G1951" s="19">
        <v>45854.586111111108</v>
      </c>
      <c r="H1951" s="18" t="s">
        <v>236</v>
      </c>
      <c r="I1951" s="18" t="s">
        <v>10</v>
      </c>
      <c r="J1951" s="18" t="s">
        <v>4017</v>
      </c>
      <c r="K1951" s="20"/>
    </row>
    <row r="1952" spans="1:11" ht="36.75" thickBot="1">
      <c r="A1952" s="18" t="s">
        <v>6816</v>
      </c>
      <c r="B1952" s="18">
        <v>20028119327</v>
      </c>
      <c r="C1952" s="18" t="s">
        <v>6817</v>
      </c>
      <c r="D1952" s="19">
        <v>45825.60833333333</v>
      </c>
      <c r="E1952" s="19">
        <v>45832.423611111109</v>
      </c>
      <c r="F1952" s="18">
        <v>30</v>
      </c>
      <c r="G1952" s="18" t="s">
        <v>10</v>
      </c>
      <c r="H1952" s="18" t="s">
        <v>178</v>
      </c>
      <c r="I1952" s="18" t="s">
        <v>10</v>
      </c>
      <c r="J1952" s="18" t="s">
        <v>4017</v>
      </c>
      <c r="K1952" s="20"/>
    </row>
    <row r="1953" spans="1:11" ht="36.75" thickBot="1">
      <c r="A1953" s="18" t="s">
        <v>6818</v>
      </c>
      <c r="B1953" s="18">
        <v>20003558290</v>
      </c>
      <c r="C1953" s="18" t="s">
        <v>6604</v>
      </c>
      <c r="D1953" s="19">
        <v>45821.822916666664</v>
      </c>
      <c r="E1953" s="19">
        <v>45832.429166666669</v>
      </c>
      <c r="F1953" s="18">
        <v>50</v>
      </c>
      <c r="G1953" s="19">
        <v>45835.472916666666</v>
      </c>
      <c r="H1953" s="18" t="s">
        <v>236</v>
      </c>
      <c r="I1953" s="18" t="s">
        <v>10</v>
      </c>
      <c r="J1953" s="18" t="s">
        <v>4017</v>
      </c>
      <c r="K1953" s="20"/>
    </row>
    <row r="1954" spans="1:11" ht="36.75" thickBot="1">
      <c r="A1954" s="18" t="s">
        <v>6819</v>
      </c>
      <c r="B1954" s="18">
        <v>20002854035</v>
      </c>
      <c r="C1954" s="18" t="s">
        <v>5603</v>
      </c>
      <c r="D1954" s="19">
        <v>45831.431944444441</v>
      </c>
      <c r="E1954" s="19">
        <v>45832.446527777778</v>
      </c>
      <c r="F1954" s="18">
        <v>80</v>
      </c>
      <c r="G1954" s="19">
        <v>45835.544444444444</v>
      </c>
      <c r="H1954" s="18" t="s">
        <v>236</v>
      </c>
      <c r="I1954" s="18" t="s">
        <v>10</v>
      </c>
      <c r="J1954" s="18" t="s">
        <v>4017</v>
      </c>
      <c r="K1954" s="20"/>
    </row>
    <row r="1955" spans="1:11" ht="36.75" thickBot="1">
      <c r="A1955" s="18" t="s">
        <v>6820</v>
      </c>
      <c r="B1955" s="18">
        <v>20025731137</v>
      </c>
      <c r="C1955" s="18" t="s">
        <v>5220</v>
      </c>
      <c r="D1955" s="19">
        <v>45832.450694444444</v>
      </c>
      <c r="E1955" s="18" t="s">
        <v>10</v>
      </c>
      <c r="F1955" s="18">
        <v>100</v>
      </c>
      <c r="G1955" s="19">
        <v>45835.488194444442</v>
      </c>
      <c r="H1955" s="18" t="s">
        <v>2654</v>
      </c>
      <c r="I1955" s="18" t="s">
        <v>10</v>
      </c>
      <c r="J1955" s="18" t="s">
        <v>4017</v>
      </c>
      <c r="K1955" s="20"/>
    </row>
    <row r="1956" spans="1:11" ht="54.75" thickBot="1">
      <c r="A1956" s="18" t="s">
        <v>6821</v>
      </c>
      <c r="B1956" s="18">
        <v>20022738594</v>
      </c>
      <c r="C1956" s="18" t="s">
        <v>6822</v>
      </c>
      <c r="D1956" s="19">
        <v>45832.487500000003</v>
      </c>
      <c r="E1956" s="18" t="s">
        <v>10</v>
      </c>
      <c r="F1956" s="18">
        <v>20</v>
      </c>
      <c r="G1956" s="18" t="s">
        <v>10</v>
      </c>
      <c r="H1956" s="18" t="s">
        <v>178</v>
      </c>
      <c r="I1956" s="18" t="s">
        <v>10</v>
      </c>
      <c r="J1956" s="18" t="s">
        <v>4017</v>
      </c>
      <c r="K1956" s="20"/>
    </row>
    <row r="1957" spans="1:11" ht="54.75" thickBot="1">
      <c r="A1957" s="18" t="s">
        <v>6823</v>
      </c>
      <c r="B1957" s="18">
        <v>20022956734</v>
      </c>
      <c r="C1957" s="18" t="s">
        <v>6824</v>
      </c>
      <c r="D1957" s="19">
        <v>45832.505555555559</v>
      </c>
      <c r="E1957" s="18" t="s">
        <v>10</v>
      </c>
      <c r="F1957" s="18">
        <v>20</v>
      </c>
      <c r="G1957" s="18" t="s">
        <v>10</v>
      </c>
      <c r="H1957" s="18" t="s">
        <v>178</v>
      </c>
      <c r="I1957" s="18" t="s">
        <v>10</v>
      </c>
      <c r="J1957" s="18" t="s">
        <v>4017</v>
      </c>
      <c r="K1957" s="20"/>
    </row>
    <row r="1958" spans="1:11" ht="54.75" thickBot="1">
      <c r="A1958" s="18" t="s">
        <v>6825</v>
      </c>
      <c r="B1958" s="18">
        <v>20002656211</v>
      </c>
      <c r="C1958" s="18" t="s">
        <v>5999</v>
      </c>
      <c r="D1958" s="19">
        <v>45822.63958333333</v>
      </c>
      <c r="E1958" s="19">
        <v>45832.554166666669</v>
      </c>
      <c r="F1958" s="18">
        <v>30</v>
      </c>
      <c r="G1958" s="18" t="s">
        <v>10</v>
      </c>
      <c r="H1958" s="18" t="s">
        <v>178</v>
      </c>
      <c r="I1958" s="18" t="s">
        <v>10</v>
      </c>
      <c r="J1958" s="18" t="s">
        <v>4017</v>
      </c>
      <c r="K1958" s="20"/>
    </row>
    <row r="1959" spans="1:11" ht="36.75" thickBot="1">
      <c r="A1959" s="18" t="s">
        <v>6826</v>
      </c>
      <c r="B1959" s="18">
        <v>20003155704</v>
      </c>
      <c r="C1959" s="18" t="s">
        <v>5334</v>
      </c>
      <c r="D1959" s="19">
        <v>45826.70208333333</v>
      </c>
      <c r="E1959" s="19">
        <v>45832.563888888886</v>
      </c>
      <c r="F1959" s="18">
        <v>210</v>
      </c>
      <c r="G1959" s="19">
        <v>45838.480555555558</v>
      </c>
      <c r="H1959" s="18" t="s">
        <v>2654</v>
      </c>
      <c r="I1959" s="18" t="s">
        <v>10</v>
      </c>
      <c r="J1959" s="18" t="s">
        <v>4017</v>
      </c>
      <c r="K1959" s="20"/>
    </row>
    <row r="1960" spans="1:11" ht="36.75" thickBot="1">
      <c r="A1960" s="18" t="s">
        <v>6827</v>
      </c>
      <c r="B1960" s="18">
        <v>20028171602</v>
      </c>
      <c r="C1960" s="18" t="s">
        <v>1836</v>
      </c>
      <c r="D1960" s="19">
        <v>45832.570833333331</v>
      </c>
      <c r="E1960" s="18" t="s">
        <v>10</v>
      </c>
      <c r="F1960" s="18">
        <v>30</v>
      </c>
      <c r="G1960" s="18" t="s">
        <v>10</v>
      </c>
      <c r="H1960" s="18" t="s">
        <v>178</v>
      </c>
      <c r="I1960" s="18" t="s">
        <v>10</v>
      </c>
      <c r="J1960" s="18" t="s">
        <v>4017</v>
      </c>
      <c r="K1960" s="20"/>
    </row>
    <row r="1961" spans="1:11" ht="36.75" thickBot="1">
      <c r="A1961" s="18" t="s">
        <v>6828</v>
      </c>
      <c r="B1961" s="18">
        <v>20024450856</v>
      </c>
      <c r="C1961" s="18" t="s">
        <v>6829</v>
      </c>
      <c r="D1961" s="19">
        <v>45832.591666666667</v>
      </c>
      <c r="E1961" s="18" t="s">
        <v>10</v>
      </c>
      <c r="F1961" s="18">
        <v>20</v>
      </c>
      <c r="G1961" s="18" t="s">
        <v>10</v>
      </c>
      <c r="H1961" s="18" t="s">
        <v>178</v>
      </c>
      <c r="I1961" s="18" t="s">
        <v>10</v>
      </c>
      <c r="J1961" s="18" t="s">
        <v>4017</v>
      </c>
      <c r="K1961" s="20"/>
    </row>
    <row r="1962" spans="1:11" ht="54.75" thickBot="1">
      <c r="A1962" s="18" t="s">
        <v>6830</v>
      </c>
      <c r="B1962" s="18">
        <v>20003287266</v>
      </c>
      <c r="C1962" s="18" t="s">
        <v>5126</v>
      </c>
      <c r="D1962" s="19">
        <v>45783.427083333336</v>
      </c>
      <c r="E1962" s="19">
        <v>45832.593055555553</v>
      </c>
      <c r="F1962" s="18">
        <v>200</v>
      </c>
      <c r="G1962" s="19">
        <v>45855.443749999999</v>
      </c>
      <c r="H1962" s="18" t="s">
        <v>2654</v>
      </c>
      <c r="I1962" s="18" t="s">
        <v>10</v>
      </c>
      <c r="J1962" s="18" t="s">
        <v>4017</v>
      </c>
      <c r="K1962" s="20"/>
    </row>
    <row r="1963" spans="1:11" ht="36.75" thickBot="1">
      <c r="A1963" s="18" t="s">
        <v>6831</v>
      </c>
      <c r="B1963" s="18">
        <v>20003352063</v>
      </c>
      <c r="C1963" s="18" t="s">
        <v>6832</v>
      </c>
      <c r="D1963" s="19">
        <v>45806.484722222223</v>
      </c>
      <c r="E1963" s="19">
        <v>45832.612500000003</v>
      </c>
      <c r="F1963" s="18">
        <v>750</v>
      </c>
      <c r="G1963" s="19">
        <v>45877.524305555555</v>
      </c>
      <c r="H1963" s="18" t="s">
        <v>2654</v>
      </c>
      <c r="I1963" s="18" t="s">
        <v>10</v>
      </c>
      <c r="J1963" s="18" t="s">
        <v>4017</v>
      </c>
      <c r="K1963" s="20"/>
    </row>
    <row r="1964" spans="1:11" ht="36.75" thickBot="1">
      <c r="A1964" s="18" t="s">
        <v>6833</v>
      </c>
      <c r="B1964" s="18">
        <v>20022289062</v>
      </c>
      <c r="C1964" s="18" t="s">
        <v>5317</v>
      </c>
      <c r="D1964" s="19">
        <v>45813.595138888886</v>
      </c>
      <c r="E1964" s="19">
        <v>45832.62777777778</v>
      </c>
      <c r="F1964" s="18">
        <v>300</v>
      </c>
      <c r="G1964" s="18" t="s">
        <v>10</v>
      </c>
      <c r="H1964" s="18" t="s">
        <v>178</v>
      </c>
      <c r="I1964" s="18" t="s">
        <v>10</v>
      </c>
      <c r="J1964" s="18" t="s">
        <v>4017</v>
      </c>
      <c r="K1964" s="20"/>
    </row>
    <row r="1965" spans="1:11" ht="36.75" thickBot="1">
      <c r="A1965" s="18" t="s">
        <v>6834</v>
      </c>
      <c r="B1965" s="18">
        <v>20021475210</v>
      </c>
      <c r="C1965" s="18" t="s">
        <v>6354</v>
      </c>
      <c r="D1965" s="19">
        <v>45824.421527777777</v>
      </c>
      <c r="E1965" s="19">
        <v>45832.636805555558</v>
      </c>
      <c r="F1965" s="18">
        <v>36</v>
      </c>
      <c r="G1965" s="19">
        <v>45854.740972222222</v>
      </c>
      <c r="H1965" s="18" t="s">
        <v>236</v>
      </c>
      <c r="I1965" s="18" t="s">
        <v>10</v>
      </c>
      <c r="J1965" s="18" t="s">
        <v>4017</v>
      </c>
      <c r="K1965" s="20"/>
    </row>
    <row r="1966" spans="1:11" ht="36.75" thickBot="1">
      <c r="A1966" s="18" t="s">
        <v>6835</v>
      </c>
      <c r="B1966" s="18">
        <v>20003197029</v>
      </c>
      <c r="C1966" s="18" t="s">
        <v>5524</v>
      </c>
      <c r="D1966" s="19">
        <v>45832.685416666667</v>
      </c>
      <c r="E1966" s="18" t="s">
        <v>10</v>
      </c>
      <c r="F1966" s="18">
        <v>120</v>
      </c>
      <c r="G1966" s="18" t="s">
        <v>10</v>
      </c>
      <c r="H1966" s="18" t="s">
        <v>178</v>
      </c>
      <c r="I1966" s="18" t="s">
        <v>10</v>
      </c>
      <c r="J1966" s="18" t="s">
        <v>4017</v>
      </c>
      <c r="K1966" s="20"/>
    </row>
    <row r="1967" spans="1:11" ht="36.75" thickBot="1">
      <c r="A1967" s="18" t="s">
        <v>6836</v>
      </c>
      <c r="B1967" s="18">
        <v>20003627584</v>
      </c>
      <c r="C1967" s="18" t="s">
        <v>6837</v>
      </c>
      <c r="D1967" s="19">
        <v>45798.464583333334</v>
      </c>
      <c r="E1967" s="19">
        <v>45832.686805555553</v>
      </c>
      <c r="F1967" s="18">
        <v>25</v>
      </c>
      <c r="G1967" s="18" t="s">
        <v>10</v>
      </c>
      <c r="H1967" s="18" t="s">
        <v>189</v>
      </c>
      <c r="I1967" s="18" t="s">
        <v>10</v>
      </c>
      <c r="J1967" s="18" t="s">
        <v>4017</v>
      </c>
      <c r="K1967" s="20"/>
    </row>
    <row r="1968" spans="1:11" ht="72.75" thickBot="1">
      <c r="A1968" s="18" t="s">
        <v>6838</v>
      </c>
      <c r="B1968" s="18">
        <v>20003000058</v>
      </c>
      <c r="C1968" s="18" t="s">
        <v>4559</v>
      </c>
      <c r="D1968" s="19">
        <v>45813.660416666666</v>
      </c>
      <c r="E1968" s="19">
        <v>45832.693055555559</v>
      </c>
      <c r="F1968" s="18">
        <v>800</v>
      </c>
      <c r="G1968" s="19">
        <v>45978.624305555553</v>
      </c>
      <c r="H1968" s="18" t="s">
        <v>2657</v>
      </c>
      <c r="I1968" s="18" t="s">
        <v>10</v>
      </c>
      <c r="J1968" s="18" t="s">
        <v>4017</v>
      </c>
      <c r="K1968" s="20"/>
    </row>
    <row r="1969" spans="1:11" ht="36.75" thickBot="1">
      <c r="A1969" s="18" t="s">
        <v>6839</v>
      </c>
      <c r="B1969" s="18">
        <v>20026911648</v>
      </c>
      <c r="C1969" s="18" t="s">
        <v>6410</v>
      </c>
      <c r="D1969" s="19">
        <v>45824.584027777775</v>
      </c>
      <c r="E1969" s="19">
        <v>45833.401388888888</v>
      </c>
      <c r="F1969" s="18">
        <v>50</v>
      </c>
      <c r="G1969" s="19">
        <v>45852.561805555553</v>
      </c>
      <c r="H1969" s="18" t="s">
        <v>236</v>
      </c>
      <c r="I1969" s="18" t="s">
        <v>10</v>
      </c>
      <c r="J1969" s="18" t="s">
        <v>4017</v>
      </c>
      <c r="K1969" s="20"/>
    </row>
    <row r="1970" spans="1:11" ht="36.75" thickBot="1">
      <c r="A1970" s="18" t="s">
        <v>6840</v>
      </c>
      <c r="B1970" s="18">
        <v>20021166275</v>
      </c>
      <c r="C1970" s="18" t="s">
        <v>4135</v>
      </c>
      <c r="D1970" s="19">
        <v>45807.671527777777</v>
      </c>
      <c r="E1970" s="19">
        <v>45833.430555555555</v>
      </c>
      <c r="F1970" s="18">
        <v>236</v>
      </c>
      <c r="G1970" s="19">
        <v>45863.544444444444</v>
      </c>
      <c r="H1970" s="18" t="s">
        <v>2654</v>
      </c>
      <c r="I1970" s="18" t="s">
        <v>10</v>
      </c>
      <c r="J1970" s="18" t="s">
        <v>4017</v>
      </c>
      <c r="K1970" s="20"/>
    </row>
    <row r="1971" spans="1:11" ht="36.75" thickBot="1">
      <c r="A1971" s="18" t="s">
        <v>6841</v>
      </c>
      <c r="B1971" s="18">
        <v>20021070756</v>
      </c>
      <c r="C1971" s="18" t="s">
        <v>4135</v>
      </c>
      <c r="D1971" s="19">
        <v>45807.722222222219</v>
      </c>
      <c r="E1971" s="19">
        <v>45833.4375</v>
      </c>
      <c r="F1971" s="18">
        <v>100</v>
      </c>
      <c r="G1971" s="19">
        <v>45863.543749999997</v>
      </c>
      <c r="H1971" s="18" t="s">
        <v>236</v>
      </c>
      <c r="I1971" s="18" t="s">
        <v>10</v>
      </c>
      <c r="J1971" s="18" t="s">
        <v>4017</v>
      </c>
      <c r="K1971" s="20"/>
    </row>
    <row r="1972" spans="1:11" ht="36.75" thickBot="1">
      <c r="A1972" s="18" t="s">
        <v>6842</v>
      </c>
      <c r="B1972" s="18">
        <v>20021162956</v>
      </c>
      <c r="C1972" s="18" t="s">
        <v>4135</v>
      </c>
      <c r="D1972" s="19">
        <v>45807.707638888889</v>
      </c>
      <c r="E1972" s="19">
        <v>45833.443749999999</v>
      </c>
      <c r="F1972" s="18">
        <v>60</v>
      </c>
      <c r="G1972" s="19">
        <v>45863.543055555558</v>
      </c>
      <c r="H1972" s="18" t="s">
        <v>236</v>
      </c>
      <c r="I1972" s="18" t="s">
        <v>10</v>
      </c>
      <c r="J1972" s="18" t="s">
        <v>4017</v>
      </c>
      <c r="K1972" s="20"/>
    </row>
    <row r="1973" spans="1:11" ht="36.75" thickBot="1">
      <c r="A1973" s="18" t="s">
        <v>6843</v>
      </c>
      <c r="B1973" s="18">
        <v>20026843443</v>
      </c>
      <c r="C1973" s="18" t="s">
        <v>4135</v>
      </c>
      <c r="D1973" s="19">
        <v>45807.693749999999</v>
      </c>
      <c r="E1973" s="19">
        <v>45833.446527777778</v>
      </c>
      <c r="F1973" s="18">
        <v>60</v>
      </c>
      <c r="G1973" s="19">
        <v>45863.543055555558</v>
      </c>
      <c r="H1973" s="18" t="s">
        <v>236</v>
      </c>
      <c r="I1973" s="18" t="s">
        <v>10</v>
      </c>
      <c r="J1973" s="18" t="s">
        <v>4017</v>
      </c>
      <c r="K1973" s="20"/>
    </row>
    <row r="1974" spans="1:11" ht="36.75" thickBot="1">
      <c r="A1974" s="18" t="s">
        <v>6844</v>
      </c>
      <c r="B1974" s="18">
        <v>20021072884</v>
      </c>
      <c r="C1974" s="18" t="s">
        <v>4135</v>
      </c>
      <c r="D1974" s="19">
        <v>45804.741666666669</v>
      </c>
      <c r="E1974" s="19">
        <v>45833.488888888889</v>
      </c>
      <c r="F1974" s="18">
        <v>100</v>
      </c>
      <c r="G1974" s="19">
        <v>45863.606944444444</v>
      </c>
      <c r="H1974" s="18" t="s">
        <v>2654</v>
      </c>
      <c r="I1974" s="18" t="s">
        <v>10</v>
      </c>
      <c r="J1974" s="18" t="s">
        <v>4017</v>
      </c>
      <c r="K1974" s="20"/>
    </row>
    <row r="1975" spans="1:11" ht="36.75" thickBot="1">
      <c r="A1975" s="18" t="s">
        <v>6845</v>
      </c>
      <c r="B1975" s="18">
        <v>20023863682</v>
      </c>
      <c r="C1975" s="18" t="s">
        <v>5582</v>
      </c>
      <c r="D1975" s="19">
        <v>45775.470833333333</v>
      </c>
      <c r="E1975" s="19">
        <v>45833.676388888889</v>
      </c>
      <c r="F1975" s="18">
        <v>500</v>
      </c>
      <c r="G1975" s="19">
        <v>45852.603472222225</v>
      </c>
      <c r="H1975" s="18" t="s">
        <v>236</v>
      </c>
      <c r="I1975" s="18" t="s">
        <v>10</v>
      </c>
      <c r="J1975" s="18" t="s">
        <v>4017</v>
      </c>
      <c r="K1975" s="20"/>
    </row>
    <row r="1976" spans="1:11" ht="36.75" thickBot="1">
      <c r="A1976" s="18" t="s">
        <v>6846</v>
      </c>
      <c r="B1976" s="18">
        <v>20025555147</v>
      </c>
      <c r="C1976" s="18" t="s">
        <v>6847</v>
      </c>
      <c r="D1976" s="19">
        <v>45833.603472222225</v>
      </c>
      <c r="E1976" s="19">
        <v>45833.727777777778</v>
      </c>
      <c r="F1976" s="18">
        <v>100</v>
      </c>
      <c r="G1976" s="19">
        <v>45846.473611111112</v>
      </c>
      <c r="H1976" s="18" t="s">
        <v>236</v>
      </c>
      <c r="I1976" s="18" t="s">
        <v>10</v>
      </c>
      <c r="J1976" s="18" t="s">
        <v>4017</v>
      </c>
      <c r="K1976" s="20"/>
    </row>
    <row r="1977" spans="1:11" ht="36.75" thickBot="1">
      <c r="A1977" s="18" t="s">
        <v>6848</v>
      </c>
      <c r="B1977" s="18">
        <v>20027937353</v>
      </c>
      <c r="C1977" s="18" t="s">
        <v>6849</v>
      </c>
      <c r="D1977" s="19">
        <v>45833.929166666669</v>
      </c>
      <c r="E1977" s="18" t="s">
        <v>10</v>
      </c>
      <c r="F1977" s="18">
        <v>25</v>
      </c>
      <c r="G1977" s="18" t="s">
        <v>10</v>
      </c>
      <c r="H1977" s="18" t="s">
        <v>178</v>
      </c>
      <c r="I1977" s="18" t="s">
        <v>10</v>
      </c>
      <c r="J1977" s="18" t="s">
        <v>4017</v>
      </c>
      <c r="K1977" s="20"/>
    </row>
    <row r="1978" spans="1:11" ht="36.75" thickBot="1">
      <c r="A1978" s="18" t="s">
        <v>6850</v>
      </c>
      <c r="B1978" s="18">
        <v>20026908256</v>
      </c>
      <c r="C1978" s="18" t="s">
        <v>6851</v>
      </c>
      <c r="D1978" s="19">
        <v>45834.385416666664</v>
      </c>
      <c r="E1978" s="18" t="s">
        <v>10</v>
      </c>
      <c r="F1978" s="18">
        <v>30</v>
      </c>
      <c r="G1978" s="19">
        <v>45840.565972222219</v>
      </c>
      <c r="H1978" s="18" t="s">
        <v>236</v>
      </c>
      <c r="I1978" s="18" t="s">
        <v>10</v>
      </c>
      <c r="J1978" s="18" t="s">
        <v>4017</v>
      </c>
      <c r="K1978" s="20"/>
    </row>
    <row r="1979" spans="1:11" ht="36.75" thickBot="1">
      <c r="A1979" s="18" t="s">
        <v>6852</v>
      </c>
      <c r="B1979" s="18">
        <v>20025649620</v>
      </c>
      <c r="C1979" s="18" t="s">
        <v>6853</v>
      </c>
      <c r="D1979" s="19">
        <v>45834.393055555556</v>
      </c>
      <c r="E1979" s="18" t="s">
        <v>10</v>
      </c>
      <c r="F1979" s="18">
        <v>100</v>
      </c>
      <c r="G1979" s="18" t="s">
        <v>10</v>
      </c>
      <c r="H1979" s="18" t="s">
        <v>178</v>
      </c>
      <c r="I1979" s="18" t="s">
        <v>10</v>
      </c>
      <c r="J1979" s="18" t="s">
        <v>4017</v>
      </c>
      <c r="K1979" s="20"/>
    </row>
    <row r="1980" spans="1:11" ht="36.75" thickBot="1">
      <c r="A1980" s="18" t="s">
        <v>6854</v>
      </c>
      <c r="B1980" s="18">
        <v>20023390496</v>
      </c>
      <c r="C1980" s="18" t="s">
        <v>6198</v>
      </c>
      <c r="D1980" s="19">
        <v>45799.498611111114</v>
      </c>
      <c r="E1980" s="19">
        <v>45834.413888888892</v>
      </c>
      <c r="F1980" s="18">
        <v>650</v>
      </c>
      <c r="G1980" s="18" t="s">
        <v>10</v>
      </c>
      <c r="H1980" s="18" t="s">
        <v>189</v>
      </c>
      <c r="I1980" s="18" t="s">
        <v>10</v>
      </c>
      <c r="J1980" s="18" t="s">
        <v>4017</v>
      </c>
      <c r="K1980" s="20"/>
    </row>
    <row r="1981" spans="1:11" ht="72.75" thickBot="1">
      <c r="A1981" s="18" t="s">
        <v>6855</v>
      </c>
      <c r="B1981" s="18">
        <v>20016767734</v>
      </c>
      <c r="C1981" s="18" t="s">
        <v>4169</v>
      </c>
      <c r="D1981" s="19">
        <v>45832.367361111108</v>
      </c>
      <c r="E1981" s="19">
        <v>45834.469444444447</v>
      </c>
      <c r="F1981" s="18">
        <v>50</v>
      </c>
      <c r="G1981" s="19">
        <v>45859.662499999999</v>
      </c>
      <c r="H1981" s="18" t="s">
        <v>2688</v>
      </c>
      <c r="I1981" s="18" t="s">
        <v>10</v>
      </c>
      <c r="J1981" s="18" t="s">
        <v>4017</v>
      </c>
      <c r="K1981" s="20"/>
    </row>
    <row r="1982" spans="1:11" ht="36.75" thickBot="1">
      <c r="A1982" s="18" t="s">
        <v>6856</v>
      </c>
      <c r="B1982" s="18">
        <v>20003467760</v>
      </c>
      <c r="C1982" s="18" t="s">
        <v>6857</v>
      </c>
      <c r="D1982" s="19">
        <v>45815.76458333333</v>
      </c>
      <c r="E1982" s="19">
        <v>45834.495138888888</v>
      </c>
      <c r="F1982" s="18">
        <v>220</v>
      </c>
      <c r="G1982" s="19">
        <v>45868.470138888886</v>
      </c>
      <c r="H1982" s="18" t="s">
        <v>2654</v>
      </c>
      <c r="I1982" s="18" t="s">
        <v>10</v>
      </c>
      <c r="J1982" s="18" t="s">
        <v>4017</v>
      </c>
      <c r="K1982" s="20"/>
    </row>
    <row r="1983" spans="1:11" ht="72.75" thickBot="1">
      <c r="A1983" s="18" t="s">
        <v>6858</v>
      </c>
      <c r="B1983" s="18">
        <v>20019001115</v>
      </c>
      <c r="C1983" s="18" t="s">
        <v>4177</v>
      </c>
      <c r="D1983" s="19">
        <v>45806.56527777778</v>
      </c>
      <c r="E1983" s="19">
        <v>45834.67291666667</v>
      </c>
      <c r="F1983" s="18">
        <v>186</v>
      </c>
      <c r="G1983" s="19">
        <v>45841.373611111114</v>
      </c>
      <c r="H1983" s="18" t="s">
        <v>2657</v>
      </c>
      <c r="I1983" s="18" t="s">
        <v>10</v>
      </c>
      <c r="J1983" s="18" t="s">
        <v>4017</v>
      </c>
      <c r="K1983" s="20"/>
    </row>
    <row r="1984" spans="1:11" ht="36.75" thickBot="1">
      <c r="A1984" s="18" t="s">
        <v>6859</v>
      </c>
      <c r="B1984" s="18">
        <v>20027568950</v>
      </c>
      <c r="C1984" s="18" t="s">
        <v>6860</v>
      </c>
      <c r="D1984" s="19">
        <v>45834.675000000003</v>
      </c>
      <c r="E1984" s="18" t="s">
        <v>10</v>
      </c>
      <c r="F1984" s="18">
        <v>150</v>
      </c>
      <c r="G1984" s="18" t="s">
        <v>10</v>
      </c>
      <c r="H1984" s="18" t="s">
        <v>178</v>
      </c>
      <c r="I1984" s="18" t="s">
        <v>10</v>
      </c>
      <c r="J1984" s="18" t="s">
        <v>4017</v>
      </c>
      <c r="K1984" s="20"/>
    </row>
    <row r="1985" spans="1:11" ht="36.75" thickBot="1">
      <c r="A1985" s="18" t="s">
        <v>6861</v>
      </c>
      <c r="B1985" s="18">
        <v>20027568950</v>
      </c>
      <c r="C1985" s="18" t="s">
        <v>6862</v>
      </c>
      <c r="D1985" s="19">
        <v>45834.743750000001</v>
      </c>
      <c r="E1985" s="18" t="s">
        <v>10</v>
      </c>
      <c r="F1985" s="18">
        <v>150</v>
      </c>
      <c r="G1985" s="18" t="s">
        <v>10</v>
      </c>
      <c r="H1985" s="18" t="s">
        <v>178</v>
      </c>
      <c r="I1985" s="18" t="s">
        <v>10</v>
      </c>
      <c r="J1985" s="18" t="s">
        <v>4017</v>
      </c>
      <c r="K1985" s="20"/>
    </row>
    <row r="1986" spans="1:11" ht="36.75" thickBot="1">
      <c r="A1986" s="18" t="s">
        <v>6863</v>
      </c>
      <c r="B1986" s="18">
        <v>20021951664</v>
      </c>
      <c r="C1986" s="18" t="s">
        <v>6711</v>
      </c>
      <c r="D1986" s="19">
        <v>45834.813194444447</v>
      </c>
      <c r="E1986" s="18" t="s">
        <v>10</v>
      </c>
      <c r="F1986" s="18">
        <v>30</v>
      </c>
      <c r="G1986" s="18" t="s">
        <v>10</v>
      </c>
      <c r="H1986" s="18" t="s">
        <v>178</v>
      </c>
      <c r="I1986" s="18" t="s">
        <v>10</v>
      </c>
      <c r="J1986" s="18" t="s">
        <v>4017</v>
      </c>
      <c r="K1986" s="20"/>
    </row>
    <row r="1987" spans="1:11" ht="36.75" thickBot="1">
      <c r="A1987" s="18" t="s">
        <v>6864</v>
      </c>
      <c r="B1987" s="18">
        <v>20002897771</v>
      </c>
      <c r="C1987" s="18" t="s">
        <v>5823</v>
      </c>
      <c r="D1987" s="19">
        <v>45831.497916666667</v>
      </c>
      <c r="E1987" s="19">
        <v>45835.50277777778</v>
      </c>
      <c r="F1987" s="18">
        <v>50</v>
      </c>
      <c r="G1987" s="19">
        <v>45860.520138888889</v>
      </c>
      <c r="H1987" s="18" t="s">
        <v>236</v>
      </c>
      <c r="I1987" s="18" t="s">
        <v>10</v>
      </c>
      <c r="J1987" s="18" t="s">
        <v>4017</v>
      </c>
      <c r="K1987" s="20"/>
    </row>
    <row r="1988" spans="1:11" ht="36.75" thickBot="1">
      <c r="A1988" s="18" t="s">
        <v>6865</v>
      </c>
      <c r="B1988" s="18">
        <v>20018195078</v>
      </c>
      <c r="C1988" s="18" t="s">
        <v>6654</v>
      </c>
      <c r="D1988" s="19">
        <v>45832.638888888891</v>
      </c>
      <c r="E1988" s="19">
        <v>45835.684027777781</v>
      </c>
      <c r="F1988" s="18">
        <v>50</v>
      </c>
      <c r="G1988" s="19">
        <v>45846.645833333336</v>
      </c>
      <c r="H1988" s="18" t="s">
        <v>236</v>
      </c>
      <c r="I1988" s="18" t="s">
        <v>10</v>
      </c>
      <c r="J1988" s="18" t="s">
        <v>4017</v>
      </c>
      <c r="K1988" s="20"/>
    </row>
    <row r="1989" spans="1:11" ht="36.75" thickBot="1">
      <c r="A1989" s="18" t="s">
        <v>6866</v>
      </c>
      <c r="B1989" s="18">
        <v>20021277070</v>
      </c>
      <c r="C1989" s="18" t="s">
        <v>6867</v>
      </c>
      <c r="D1989" s="19">
        <v>45824.62777777778</v>
      </c>
      <c r="E1989" s="19">
        <v>45835.727083333331</v>
      </c>
      <c r="F1989" s="18">
        <v>150</v>
      </c>
      <c r="G1989" s="19">
        <v>45846.593055555553</v>
      </c>
      <c r="H1989" s="18" t="s">
        <v>236</v>
      </c>
      <c r="I1989" s="18" t="s">
        <v>10</v>
      </c>
      <c r="J1989" s="18" t="s">
        <v>4017</v>
      </c>
      <c r="K1989" s="20"/>
    </row>
    <row r="1990" spans="1:11" ht="36.75" thickBot="1">
      <c r="A1990" s="18" t="s">
        <v>6868</v>
      </c>
      <c r="B1990" s="18">
        <v>20027430721</v>
      </c>
      <c r="C1990" s="18" t="s">
        <v>5381</v>
      </c>
      <c r="D1990" s="19">
        <v>45835.761805555558</v>
      </c>
      <c r="E1990" s="18" t="s">
        <v>10</v>
      </c>
      <c r="F1990" s="18">
        <v>250</v>
      </c>
      <c r="G1990" s="18" t="s">
        <v>10</v>
      </c>
      <c r="H1990" s="18" t="s">
        <v>178</v>
      </c>
      <c r="I1990" s="18" t="s">
        <v>10</v>
      </c>
      <c r="J1990" s="18" t="s">
        <v>4017</v>
      </c>
      <c r="K1990" s="20"/>
    </row>
    <row r="1991" spans="1:11" ht="36.75" thickBot="1">
      <c r="A1991" s="18" t="s">
        <v>6869</v>
      </c>
      <c r="B1991" s="18">
        <v>20003477672</v>
      </c>
      <c r="C1991" s="18" t="s">
        <v>6870</v>
      </c>
      <c r="D1991" s="19">
        <v>45836.455555555556</v>
      </c>
      <c r="E1991" s="18" t="s">
        <v>10</v>
      </c>
      <c r="F1991" s="18">
        <v>100</v>
      </c>
      <c r="G1991" s="18" t="s">
        <v>10</v>
      </c>
      <c r="H1991" s="18" t="s">
        <v>178</v>
      </c>
      <c r="I1991" s="18" t="s">
        <v>10</v>
      </c>
      <c r="J1991" s="18" t="s">
        <v>4017</v>
      </c>
      <c r="K1991" s="20"/>
    </row>
    <row r="1992" spans="1:11" ht="36.75" thickBot="1">
      <c r="A1992" s="18" t="s">
        <v>6871</v>
      </c>
      <c r="B1992" s="18">
        <v>20025105256</v>
      </c>
      <c r="C1992" s="18" t="s">
        <v>4245</v>
      </c>
      <c r="D1992" s="19">
        <v>45822.48333333333</v>
      </c>
      <c r="E1992" s="19">
        <v>45836.556250000001</v>
      </c>
      <c r="F1992" s="18">
        <v>50</v>
      </c>
      <c r="G1992" s="18" t="s">
        <v>10</v>
      </c>
      <c r="H1992" s="18" t="s">
        <v>178</v>
      </c>
      <c r="I1992" s="18" t="s">
        <v>10</v>
      </c>
      <c r="J1992" s="18" t="s">
        <v>4017</v>
      </c>
      <c r="K1992" s="20"/>
    </row>
    <row r="1993" spans="1:11" ht="36.75" thickBot="1">
      <c r="A1993" s="18" t="s">
        <v>6872</v>
      </c>
      <c r="B1993" s="18">
        <v>20023139664</v>
      </c>
      <c r="C1993" s="18" t="s">
        <v>5269</v>
      </c>
      <c r="D1993" s="19">
        <v>45838.357638888891</v>
      </c>
      <c r="E1993" s="18" t="s">
        <v>10</v>
      </c>
      <c r="F1993" s="18">
        <v>200</v>
      </c>
      <c r="G1993" s="18" t="s">
        <v>10</v>
      </c>
      <c r="H1993" s="18" t="s">
        <v>178</v>
      </c>
      <c r="I1993" s="18" t="s">
        <v>10</v>
      </c>
      <c r="J1993" s="18" t="s">
        <v>4017</v>
      </c>
      <c r="K1993" s="20"/>
    </row>
    <row r="1994" spans="1:11" ht="72.75" thickBot="1">
      <c r="A1994" s="18" t="s">
        <v>6873</v>
      </c>
      <c r="B1994" s="18">
        <v>20024624772</v>
      </c>
      <c r="C1994" s="18" t="s">
        <v>6740</v>
      </c>
      <c r="D1994" s="19">
        <v>45793.663888888892</v>
      </c>
      <c r="E1994" s="19">
        <v>45838.402777777781</v>
      </c>
      <c r="F1994" s="18">
        <v>20</v>
      </c>
      <c r="G1994" s="19">
        <v>45891.48333333333</v>
      </c>
      <c r="H1994" s="18" t="s">
        <v>2657</v>
      </c>
      <c r="I1994" s="18" t="s">
        <v>10</v>
      </c>
      <c r="J1994" s="18" t="s">
        <v>4017</v>
      </c>
      <c r="K1994" s="20"/>
    </row>
    <row r="1995" spans="1:11" ht="72.75" thickBot="1">
      <c r="A1995" s="18" t="s">
        <v>6874</v>
      </c>
      <c r="B1995" s="18">
        <v>20017834356</v>
      </c>
      <c r="C1995" s="18" t="s">
        <v>6740</v>
      </c>
      <c r="D1995" s="19">
        <v>45793.769444444442</v>
      </c>
      <c r="E1995" s="19">
        <v>45838.415277777778</v>
      </c>
      <c r="F1995" s="18">
        <v>20</v>
      </c>
      <c r="G1995" s="19">
        <v>45891.48333333333</v>
      </c>
      <c r="H1995" s="18" t="s">
        <v>2657</v>
      </c>
      <c r="I1995" s="18" t="s">
        <v>10</v>
      </c>
      <c r="J1995" s="18" t="s">
        <v>4017</v>
      </c>
      <c r="K1995" s="20"/>
    </row>
    <row r="1996" spans="1:11" ht="36.75" thickBot="1">
      <c r="A1996" s="18" t="s">
        <v>6875</v>
      </c>
      <c r="B1996" s="18">
        <v>20024923070</v>
      </c>
      <c r="C1996" s="18" t="s">
        <v>6661</v>
      </c>
      <c r="D1996" s="19">
        <v>45742.73541666667</v>
      </c>
      <c r="E1996" s="19">
        <v>45838.427083333336</v>
      </c>
      <c r="F1996" s="18">
        <v>288</v>
      </c>
      <c r="G1996" s="19">
        <v>45903.439583333333</v>
      </c>
      <c r="H1996" s="18" t="s">
        <v>2654</v>
      </c>
      <c r="I1996" s="18" t="s">
        <v>10</v>
      </c>
      <c r="J1996" s="18" t="s">
        <v>4017</v>
      </c>
      <c r="K1996" s="20"/>
    </row>
    <row r="1997" spans="1:11" ht="72.75" thickBot="1">
      <c r="A1997" s="18" t="s">
        <v>6876</v>
      </c>
      <c r="B1997" s="18">
        <v>20024912629</v>
      </c>
      <c r="C1997" s="18" t="s">
        <v>6877</v>
      </c>
      <c r="D1997" s="19">
        <v>45803.872916666667</v>
      </c>
      <c r="E1997" s="19">
        <v>45838.452777777777</v>
      </c>
      <c r="F1997" s="18">
        <v>20</v>
      </c>
      <c r="G1997" s="19">
        <v>45891.48333333333</v>
      </c>
      <c r="H1997" s="18" t="s">
        <v>2657</v>
      </c>
      <c r="I1997" s="18" t="s">
        <v>10</v>
      </c>
      <c r="J1997" s="18" t="s">
        <v>4017</v>
      </c>
      <c r="K1997" s="20"/>
    </row>
    <row r="1998" spans="1:11" ht="72.75" thickBot="1">
      <c r="A1998" s="18" t="s">
        <v>6878</v>
      </c>
      <c r="B1998" s="18">
        <v>20024250439</v>
      </c>
      <c r="C1998" s="18" t="s">
        <v>6879</v>
      </c>
      <c r="D1998" s="19">
        <v>45803.885416666664</v>
      </c>
      <c r="E1998" s="19">
        <v>45838.466666666667</v>
      </c>
      <c r="F1998" s="18">
        <v>20</v>
      </c>
      <c r="G1998" s="19">
        <v>45891.48333333333</v>
      </c>
      <c r="H1998" s="18" t="s">
        <v>2657</v>
      </c>
      <c r="I1998" s="18" t="s">
        <v>10</v>
      </c>
      <c r="J1998" s="18" t="s">
        <v>4017</v>
      </c>
      <c r="K1998" s="20"/>
    </row>
    <row r="1999" spans="1:11" ht="72.75" thickBot="1">
      <c r="A1999" s="18" t="s">
        <v>6880</v>
      </c>
      <c r="B1999" s="18">
        <v>20018316812</v>
      </c>
      <c r="C1999" s="18" t="s">
        <v>6740</v>
      </c>
      <c r="D1999" s="19">
        <v>45764.844444444447</v>
      </c>
      <c r="E1999" s="19">
        <v>45838.486111111109</v>
      </c>
      <c r="F1999" s="18">
        <v>20</v>
      </c>
      <c r="G1999" s="19">
        <v>45891.48333333333</v>
      </c>
      <c r="H1999" s="18" t="s">
        <v>2657</v>
      </c>
      <c r="I1999" s="18" t="s">
        <v>10</v>
      </c>
      <c r="J1999" s="18" t="s">
        <v>4017</v>
      </c>
      <c r="K1999" s="20"/>
    </row>
    <row r="2000" spans="1:11" ht="36.75" thickBot="1">
      <c r="A2000" s="18" t="s">
        <v>6881</v>
      </c>
      <c r="B2000" s="18">
        <v>20028049971</v>
      </c>
      <c r="C2000" s="18" t="s">
        <v>1836</v>
      </c>
      <c r="D2000" s="19">
        <v>45804.498611111114</v>
      </c>
      <c r="E2000" s="19">
        <v>45838.487500000003</v>
      </c>
      <c r="F2000" s="18">
        <v>30</v>
      </c>
      <c r="G2000" s="19">
        <v>45854.585416666669</v>
      </c>
      <c r="H2000" s="18" t="s">
        <v>2654</v>
      </c>
      <c r="I2000" s="18" t="s">
        <v>10</v>
      </c>
      <c r="J2000" s="18" t="s">
        <v>4017</v>
      </c>
      <c r="K2000" s="20"/>
    </row>
    <row r="2001" spans="1:11" ht="72.75" thickBot="1">
      <c r="A2001" s="18" t="s">
        <v>6882</v>
      </c>
      <c r="B2001" s="18">
        <v>20024172201</v>
      </c>
      <c r="C2001" s="18" t="s">
        <v>6883</v>
      </c>
      <c r="D2001" s="19">
        <v>45768.677777777775</v>
      </c>
      <c r="E2001" s="19">
        <v>45838.556250000001</v>
      </c>
      <c r="F2001" s="18">
        <v>20</v>
      </c>
      <c r="G2001" s="19">
        <v>45891.48333333333</v>
      </c>
      <c r="H2001" s="18" t="s">
        <v>2657</v>
      </c>
      <c r="I2001" s="18" t="s">
        <v>10</v>
      </c>
      <c r="J2001" s="18" t="s">
        <v>4017</v>
      </c>
      <c r="K2001" s="1"/>
    </row>
    <row r="2002" spans="1:11" ht="72.75" thickBot="1">
      <c r="A2002" s="18" t="s">
        <v>6884</v>
      </c>
      <c r="B2002" s="18">
        <v>20023094135</v>
      </c>
      <c r="C2002" s="18" t="s">
        <v>6885</v>
      </c>
      <c r="D2002" s="19">
        <v>45769.488194444442</v>
      </c>
      <c r="E2002" s="19">
        <v>45838.568055555559</v>
      </c>
      <c r="F2002" s="18">
        <v>20</v>
      </c>
      <c r="G2002" s="19">
        <v>45891.48333333333</v>
      </c>
      <c r="H2002" s="18" t="s">
        <v>2657</v>
      </c>
      <c r="I2002" s="18" t="s">
        <v>10</v>
      </c>
      <c r="J2002" s="18" t="s">
        <v>4017</v>
      </c>
      <c r="K2002" s="20"/>
    </row>
    <row r="2003" spans="1:11" ht="36.75" thickBot="1">
      <c r="A2003" s="18" t="s">
        <v>6886</v>
      </c>
      <c r="B2003" s="18">
        <v>20003196481</v>
      </c>
      <c r="C2003" s="18" t="s">
        <v>5271</v>
      </c>
      <c r="D2003" s="19">
        <v>45838.575694444444</v>
      </c>
      <c r="E2003" s="18" t="s">
        <v>10</v>
      </c>
      <c r="F2003" s="18">
        <v>200</v>
      </c>
      <c r="G2003" s="18" t="s">
        <v>10</v>
      </c>
      <c r="H2003" s="18" t="s">
        <v>178</v>
      </c>
      <c r="I2003" s="18" t="s">
        <v>10</v>
      </c>
      <c r="J2003" s="18" t="s">
        <v>4017</v>
      </c>
      <c r="K2003" s="20"/>
    </row>
    <row r="2004" spans="1:11" ht="72.75" thickBot="1">
      <c r="A2004" s="18" t="s">
        <v>6887</v>
      </c>
      <c r="B2004" s="18">
        <v>20023088642</v>
      </c>
      <c r="C2004" s="18" t="s">
        <v>6888</v>
      </c>
      <c r="D2004" s="19">
        <v>45770.740277777775</v>
      </c>
      <c r="E2004" s="19">
        <v>45838.576388888891</v>
      </c>
      <c r="F2004" s="18">
        <v>20</v>
      </c>
      <c r="G2004" s="19">
        <v>45891.48333333333</v>
      </c>
      <c r="H2004" s="18" t="s">
        <v>2657</v>
      </c>
      <c r="I2004" s="18" t="s">
        <v>10</v>
      </c>
      <c r="J2004" s="18" t="s">
        <v>4017</v>
      </c>
      <c r="K2004" s="20"/>
    </row>
    <row r="2005" spans="1:11" ht="54.75" thickBot="1">
      <c r="A2005" s="18" t="s">
        <v>6889</v>
      </c>
      <c r="B2005" s="18">
        <v>20021443867</v>
      </c>
      <c r="C2005" s="18" t="s">
        <v>6890</v>
      </c>
      <c r="D2005" s="19">
        <v>45782.459722222222</v>
      </c>
      <c r="E2005" s="19">
        <v>45838.584027777775</v>
      </c>
      <c r="F2005" s="18">
        <v>30</v>
      </c>
      <c r="G2005" s="19">
        <v>45852.574999999997</v>
      </c>
      <c r="H2005" s="18" t="s">
        <v>236</v>
      </c>
      <c r="I2005" s="18" t="s">
        <v>10</v>
      </c>
      <c r="J2005" s="18" t="s">
        <v>4017</v>
      </c>
      <c r="K2005" s="20"/>
    </row>
    <row r="2006" spans="1:11" ht="72.75" thickBot="1">
      <c r="A2006" s="18" t="s">
        <v>6891</v>
      </c>
      <c r="B2006" s="18">
        <v>20028194363</v>
      </c>
      <c r="C2006" s="18" t="s">
        <v>5633</v>
      </c>
      <c r="D2006" s="19">
        <v>45831.572916666664</v>
      </c>
      <c r="E2006" s="19">
        <v>45838.782638888886</v>
      </c>
      <c r="F2006" s="18">
        <v>100</v>
      </c>
      <c r="G2006" s="19">
        <v>45854.408333333333</v>
      </c>
      <c r="H2006" s="18" t="s">
        <v>2688</v>
      </c>
      <c r="I2006" s="18" t="s">
        <v>10</v>
      </c>
      <c r="J2006" s="18" t="s">
        <v>4017</v>
      </c>
      <c r="K2006" s="20"/>
    </row>
    <row r="2007" spans="1:11" ht="54.75" thickBot="1">
      <c r="A2007" s="18" t="s">
        <v>6892</v>
      </c>
      <c r="B2007" s="18">
        <v>20022475198</v>
      </c>
      <c r="C2007" s="18" t="s">
        <v>4783</v>
      </c>
      <c r="D2007" s="19">
        <v>45793.693749999999</v>
      </c>
      <c r="E2007" s="19">
        <v>45839.384722222225</v>
      </c>
      <c r="F2007" s="18">
        <v>660</v>
      </c>
      <c r="G2007" s="19">
        <v>45875.49722222222</v>
      </c>
      <c r="H2007" s="18" t="s">
        <v>2654</v>
      </c>
      <c r="I2007" s="18" t="s">
        <v>10</v>
      </c>
      <c r="J2007" s="18" t="s">
        <v>4017</v>
      </c>
      <c r="K2007" s="20"/>
    </row>
    <row r="2008" spans="1:11" ht="36.75" thickBot="1">
      <c r="A2008" s="18" t="s">
        <v>6893</v>
      </c>
      <c r="B2008" s="18">
        <v>20003485705</v>
      </c>
      <c r="C2008" s="18" t="s">
        <v>6262</v>
      </c>
      <c r="D2008" s="19">
        <v>45839.431250000001</v>
      </c>
      <c r="E2008" s="19">
        <v>45839.447916666664</v>
      </c>
      <c r="F2008" s="18">
        <v>180</v>
      </c>
      <c r="G2008" s="19">
        <v>45846.686111111114</v>
      </c>
      <c r="H2008" s="18" t="s">
        <v>236</v>
      </c>
      <c r="I2008" s="18" t="s">
        <v>10</v>
      </c>
      <c r="J2008" s="18" t="s">
        <v>4017</v>
      </c>
      <c r="K2008" s="20"/>
    </row>
    <row r="2009" spans="1:11" ht="36.75" thickBot="1">
      <c r="A2009" s="18" t="s">
        <v>6894</v>
      </c>
      <c r="B2009" s="18">
        <v>20001413635</v>
      </c>
      <c r="C2009" s="18" t="s">
        <v>6895</v>
      </c>
      <c r="D2009" s="19">
        <v>45833.40625</v>
      </c>
      <c r="E2009" s="19">
        <v>45839.461111111108</v>
      </c>
      <c r="F2009" s="18">
        <v>50</v>
      </c>
      <c r="G2009" s="19">
        <v>45854.484722222223</v>
      </c>
      <c r="H2009" s="18" t="s">
        <v>2654</v>
      </c>
      <c r="I2009" s="18" t="s">
        <v>10</v>
      </c>
      <c r="J2009" s="18" t="s">
        <v>4017</v>
      </c>
      <c r="K2009" s="20"/>
    </row>
    <row r="2010" spans="1:11" ht="36.75" thickBot="1">
      <c r="A2010" s="18" t="s">
        <v>6896</v>
      </c>
      <c r="B2010" s="18">
        <v>20003478082</v>
      </c>
      <c r="C2010" s="18" t="s">
        <v>6221</v>
      </c>
      <c r="D2010" s="19">
        <v>45826.406944444447</v>
      </c>
      <c r="E2010" s="19">
        <v>45839.486805555556</v>
      </c>
      <c r="F2010" s="18">
        <v>180</v>
      </c>
      <c r="G2010" s="19">
        <v>45853.396527777775</v>
      </c>
      <c r="H2010" s="18" t="s">
        <v>236</v>
      </c>
      <c r="I2010" s="18" t="s">
        <v>10</v>
      </c>
      <c r="J2010" s="18" t="s">
        <v>4017</v>
      </c>
      <c r="K2010" s="20"/>
    </row>
    <row r="2011" spans="1:11" ht="54.75" thickBot="1">
      <c r="A2011" s="18" t="s">
        <v>6897</v>
      </c>
      <c r="B2011" s="18">
        <v>20002885103</v>
      </c>
      <c r="C2011" s="18" t="s">
        <v>6898</v>
      </c>
      <c r="D2011" s="19">
        <v>45783.689583333333</v>
      </c>
      <c r="E2011" s="19">
        <v>45839.623611111114</v>
      </c>
      <c r="F2011" s="18">
        <v>850</v>
      </c>
      <c r="G2011" s="18" t="s">
        <v>10</v>
      </c>
      <c r="H2011" s="18" t="s">
        <v>178</v>
      </c>
      <c r="I2011" s="18" t="s">
        <v>10</v>
      </c>
      <c r="J2011" s="18" t="s">
        <v>4017</v>
      </c>
      <c r="K2011" s="20"/>
    </row>
    <row r="2012" spans="1:11" ht="72.75" thickBot="1">
      <c r="A2012" s="18" t="s">
        <v>6899</v>
      </c>
      <c r="B2012" s="18">
        <v>20022586721</v>
      </c>
      <c r="C2012" s="18" t="s">
        <v>6900</v>
      </c>
      <c r="D2012" s="19">
        <v>45827.418749999997</v>
      </c>
      <c r="E2012" s="19">
        <v>45839.697222222225</v>
      </c>
      <c r="F2012" s="18">
        <v>40</v>
      </c>
      <c r="G2012" s="19">
        <v>45863.395138888889</v>
      </c>
      <c r="H2012" s="18" t="s">
        <v>2657</v>
      </c>
      <c r="I2012" s="18" t="s">
        <v>10</v>
      </c>
      <c r="J2012" s="18" t="s">
        <v>4017</v>
      </c>
      <c r="K2012" s="20"/>
    </row>
    <row r="2013" spans="1:11" ht="36.75" thickBot="1">
      <c r="A2013" s="18" t="s">
        <v>6901</v>
      </c>
      <c r="B2013" s="18">
        <v>20017263383</v>
      </c>
      <c r="C2013" s="18" t="s">
        <v>6902</v>
      </c>
      <c r="D2013" s="19">
        <v>45839.754166666666</v>
      </c>
      <c r="E2013" s="18" t="s">
        <v>10</v>
      </c>
      <c r="F2013" s="18">
        <v>725</v>
      </c>
      <c r="G2013" s="18" t="s">
        <v>10</v>
      </c>
      <c r="H2013" s="18" t="s">
        <v>178</v>
      </c>
      <c r="I2013" s="18" t="s">
        <v>10</v>
      </c>
      <c r="J2013" s="18" t="s">
        <v>4017</v>
      </c>
      <c r="K2013" s="20"/>
    </row>
    <row r="2014" spans="1:11" ht="36.75" thickBot="1">
      <c r="A2014" s="18" t="s">
        <v>6903</v>
      </c>
      <c r="B2014" s="18">
        <v>20023575607</v>
      </c>
      <c r="C2014" s="18" t="s">
        <v>6904</v>
      </c>
      <c r="D2014" s="19">
        <v>45831.689583333333</v>
      </c>
      <c r="E2014" s="19">
        <v>45840.409722222219</v>
      </c>
      <c r="F2014" s="18">
        <v>260</v>
      </c>
      <c r="G2014" s="19">
        <v>45925.448611111111</v>
      </c>
      <c r="H2014" s="18" t="s">
        <v>2654</v>
      </c>
      <c r="I2014" s="18" t="s">
        <v>10</v>
      </c>
      <c r="J2014" s="18" t="s">
        <v>4017</v>
      </c>
      <c r="K2014" s="20"/>
    </row>
    <row r="2015" spans="1:11" ht="36.75" thickBot="1">
      <c r="A2015" s="18" t="s">
        <v>6905</v>
      </c>
      <c r="B2015" s="18">
        <v>20028265694</v>
      </c>
      <c r="C2015" s="18" t="s">
        <v>6906</v>
      </c>
      <c r="D2015" s="19">
        <v>45840.445138888892</v>
      </c>
      <c r="E2015" s="18" t="s">
        <v>10</v>
      </c>
      <c r="F2015" s="18">
        <v>400</v>
      </c>
      <c r="G2015" s="18" t="s">
        <v>10</v>
      </c>
      <c r="H2015" s="18" t="s">
        <v>178</v>
      </c>
      <c r="I2015" s="18" t="s">
        <v>10</v>
      </c>
      <c r="J2015" s="18" t="s">
        <v>4017</v>
      </c>
      <c r="K2015" s="20"/>
    </row>
    <row r="2016" spans="1:11" ht="72.75" thickBot="1">
      <c r="A2016" s="18" t="s">
        <v>6907</v>
      </c>
      <c r="B2016" s="18">
        <v>20028194342</v>
      </c>
      <c r="C2016" s="18" t="s">
        <v>6451</v>
      </c>
      <c r="D2016" s="19">
        <v>45824.648611111108</v>
      </c>
      <c r="E2016" s="19">
        <v>45840.450694444444</v>
      </c>
      <c r="F2016" s="18">
        <v>20</v>
      </c>
      <c r="G2016" s="19">
        <v>45875.364583333336</v>
      </c>
      <c r="H2016" s="18" t="s">
        <v>2688</v>
      </c>
      <c r="I2016" s="18" t="s">
        <v>10</v>
      </c>
      <c r="J2016" s="18" t="s">
        <v>4017</v>
      </c>
      <c r="K2016" s="20"/>
    </row>
    <row r="2017" spans="1:11" ht="72.75" thickBot="1">
      <c r="A2017" s="18" t="s">
        <v>6908</v>
      </c>
      <c r="B2017" s="18">
        <v>20028194316</v>
      </c>
      <c r="C2017" s="18" t="s">
        <v>6451</v>
      </c>
      <c r="D2017" s="19">
        <v>45824.584722222222</v>
      </c>
      <c r="E2017" s="19">
        <v>45840.466666666667</v>
      </c>
      <c r="F2017" s="18">
        <v>20</v>
      </c>
      <c r="G2017" s="19">
        <v>45875.364583333336</v>
      </c>
      <c r="H2017" s="18" t="s">
        <v>2688</v>
      </c>
      <c r="I2017" s="18" t="s">
        <v>10</v>
      </c>
      <c r="J2017" s="18" t="s">
        <v>4017</v>
      </c>
      <c r="K2017" s="20"/>
    </row>
    <row r="2018" spans="1:11" ht="36.75" thickBot="1">
      <c r="A2018" s="18" t="s">
        <v>6909</v>
      </c>
      <c r="B2018" s="18">
        <v>20018112897</v>
      </c>
      <c r="C2018" s="18" t="s">
        <v>6910</v>
      </c>
      <c r="D2018" s="19">
        <v>45786.866666666669</v>
      </c>
      <c r="E2018" s="19">
        <v>45840.467361111114</v>
      </c>
      <c r="F2018" s="18">
        <v>250</v>
      </c>
      <c r="G2018" s="19">
        <v>45874.585416666669</v>
      </c>
      <c r="H2018" s="18" t="s">
        <v>2654</v>
      </c>
      <c r="I2018" s="18" t="s">
        <v>10</v>
      </c>
      <c r="J2018" s="18" t="s">
        <v>4017</v>
      </c>
      <c r="K2018" s="20"/>
    </row>
    <row r="2019" spans="1:11" ht="72.75" thickBot="1">
      <c r="A2019" s="18" t="s">
        <v>6911</v>
      </c>
      <c r="B2019" s="18">
        <v>20028194365</v>
      </c>
      <c r="C2019" s="18" t="s">
        <v>6451</v>
      </c>
      <c r="D2019" s="19">
        <v>45824.486111111109</v>
      </c>
      <c r="E2019" s="19">
        <v>45840.473611111112</v>
      </c>
      <c r="F2019" s="18">
        <v>20</v>
      </c>
      <c r="G2019" s="19">
        <v>45875.364583333336</v>
      </c>
      <c r="H2019" s="18" t="s">
        <v>2688</v>
      </c>
      <c r="I2019" s="18" t="s">
        <v>10</v>
      </c>
      <c r="J2019" s="18" t="s">
        <v>4017</v>
      </c>
      <c r="K2019" s="20"/>
    </row>
    <row r="2020" spans="1:11" ht="72.75" thickBot="1">
      <c r="A2020" s="18" t="s">
        <v>6912</v>
      </c>
      <c r="B2020" s="18">
        <v>20028194282</v>
      </c>
      <c r="C2020" s="18" t="s">
        <v>6451</v>
      </c>
      <c r="D2020" s="19">
        <v>45806.604166666664</v>
      </c>
      <c r="E2020" s="19">
        <v>45840.493055555555</v>
      </c>
      <c r="F2020" s="18">
        <v>15</v>
      </c>
      <c r="G2020" s="19">
        <v>45875.363888888889</v>
      </c>
      <c r="H2020" s="18" t="s">
        <v>2688</v>
      </c>
      <c r="I2020" s="18" t="s">
        <v>10</v>
      </c>
      <c r="J2020" s="18" t="s">
        <v>4017</v>
      </c>
      <c r="K2020" s="20"/>
    </row>
    <row r="2021" spans="1:11" ht="36.75" thickBot="1">
      <c r="A2021" s="18" t="s">
        <v>6913</v>
      </c>
      <c r="B2021" s="18">
        <v>20028201486</v>
      </c>
      <c r="C2021" s="18" t="s">
        <v>1836</v>
      </c>
      <c r="D2021" s="19">
        <v>45840.566666666666</v>
      </c>
      <c r="E2021" s="18" t="s">
        <v>10</v>
      </c>
      <c r="F2021" s="18">
        <v>30</v>
      </c>
      <c r="G2021" s="19">
        <v>45854.567361111112</v>
      </c>
      <c r="H2021" s="18" t="s">
        <v>2654</v>
      </c>
      <c r="I2021" s="18" t="s">
        <v>10</v>
      </c>
      <c r="J2021" s="18" t="s">
        <v>4017</v>
      </c>
      <c r="K2021" s="20"/>
    </row>
    <row r="2022" spans="1:11" ht="72.75" thickBot="1">
      <c r="A2022" s="18" t="s">
        <v>6914</v>
      </c>
      <c r="B2022" s="18">
        <v>20028024185</v>
      </c>
      <c r="C2022" s="18" t="s">
        <v>6451</v>
      </c>
      <c r="D2022" s="19">
        <v>45840.586111111108</v>
      </c>
      <c r="E2022" s="18" t="s">
        <v>10</v>
      </c>
      <c r="F2022" s="18">
        <v>20</v>
      </c>
      <c r="G2022" s="19">
        <v>45875.364583333336</v>
      </c>
      <c r="H2022" s="18" t="s">
        <v>2688</v>
      </c>
      <c r="I2022" s="18" t="s">
        <v>10</v>
      </c>
      <c r="J2022" s="18" t="s">
        <v>4017</v>
      </c>
      <c r="K2022" s="20"/>
    </row>
    <row r="2023" spans="1:11" ht="36.75" thickBot="1">
      <c r="A2023" s="18" t="s">
        <v>6915</v>
      </c>
      <c r="B2023" s="18">
        <v>20017263383</v>
      </c>
      <c r="C2023" s="18" t="s">
        <v>6902</v>
      </c>
      <c r="D2023" s="19">
        <v>45840.63958333333</v>
      </c>
      <c r="E2023" s="18" t="s">
        <v>10</v>
      </c>
      <c r="F2023" s="18">
        <v>725</v>
      </c>
      <c r="G2023" s="18" t="s">
        <v>10</v>
      </c>
      <c r="H2023" s="18" t="s">
        <v>178</v>
      </c>
      <c r="I2023" s="18" t="s">
        <v>10</v>
      </c>
      <c r="J2023" s="18" t="s">
        <v>4017</v>
      </c>
      <c r="K2023" s="20"/>
    </row>
    <row r="2024" spans="1:11" ht="36.75" thickBot="1">
      <c r="A2024" s="18" t="s">
        <v>6916</v>
      </c>
      <c r="B2024" s="18">
        <v>20003452536</v>
      </c>
      <c r="C2024" s="18" t="s">
        <v>6618</v>
      </c>
      <c r="D2024" s="19">
        <v>45839.563194444447</v>
      </c>
      <c r="E2024" s="19">
        <v>45840.666666666664</v>
      </c>
      <c r="F2024" s="18">
        <v>150</v>
      </c>
      <c r="G2024" s="19">
        <v>45870.427083333336</v>
      </c>
      <c r="H2024" s="18" t="s">
        <v>2654</v>
      </c>
      <c r="I2024" s="18" t="s">
        <v>10</v>
      </c>
      <c r="J2024" s="18" t="s">
        <v>4017</v>
      </c>
      <c r="K2024" s="20"/>
    </row>
    <row r="2025" spans="1:11" ht="36.75" thickBot="1">
      <c r="A2025" s="18" t="s">
        <v>6917</v>
      </c>
      <c r="B2025" s="18">
        <v>20028171602</v>
      </c>
      <c r="C2025" s="18" t="s">
        <v>1836</v>
      </c>
      <c r="D2025" s="19">
        <v>45839.798611111109</v>
      </c>
      <c r="E2025" s="19">
        <v>45840.740972222222</v>
      </c>
      <c r="F2025" s="18">
        <v>30</v>
      </c>
      <c r="G2025" s="19">
        <v>45895.56527777778</v>
      </c>
      <c r="H2025" s="18" t="s">
        <v>2654</v>
      </c>
      <c r="I2025" s="18" t="s">
        <v>10</v>
      </c>
      <c r="J2025" s="18" t="s">
        <v>4017</v>
      </c>
      <c r="K2025" s="20"/>
    </row>
    <row r="2026" spans="1:11" ht="36.75" thickBot="1">
      <c r="A2026" s="18" t="s">
        <v>6918</v>
      </c>
      <c r="B2026" s="18">
        <v>20018463103</v>
      </c>
      <c r="C2026" s="18" t="s">
        <v>6919</v>
      </c>
      <c r="D2026" s="19">
        <v>45816.532638888886</v>
      </c>
      <c r="E2026" s="19">
        <v>45840.854166666664</v>
      </c>
      <c r="F2026" s="18">
        <v>150</v>
      </c>
      <c r="G2026" s="18" t="s">
        <v>10</v>
      </c>
      <c r="H2026" s="18" t="s">
        <v>189</v>
      </c>
      <c r="I2026" s="18" t="s">
        <v>10</v>
      </c>
      <c r="J2026" s="18" t="s">
        <v>4017</v>
      </c>
      <c r="K2026" s="20"/>
    </row>
    <row r="2027" spans="1:11" ht="36.75" thickBot="1">
      <c r="A2027" s="18" t="s">
        <v>6920</v>
      </c>
      <c r="B2027" s="18">
        <v>20025497992</v>
      </c>
      <c r="C2027" s="18" t="s">
        <v>6921</v>
      </c>
      <c r="D2027" s="19">
        <v>45820.859722222223</v>
      </c>
      <c r="E2027" s="19">
        <v>45841.320833333331</v>
      </c>
      <c r="F2027" s="18">
        <v>30</v>
      </c>
      <c r="G2027" s="19">
        <v>45853.681250000001</v>
      </c>
      <c r="H2027" s="18" t="s">
        <v>236</v>
      </c>
      <c r="I2027" s="18" t="s">
        <v>10</v>
      </c>
      <c r="J2027" s="18" t="s">
        <v>4017</v>
      </c>
      <c r="K2027" s="20"/>
    </row>
    <row r="2028" spans="1:11" ht="36.75" thickBot="1">
      <c r="A2028" s="18" t="s">
        <v>6922</v>
      </c>
      <c r="B2028" s="18">
        <v>20003533810</v>
      </c>
      <c r="C2028" s="18" t="s">
        <v>6013</v>
      </c>
      <c r="D2028" s="19">
        <v>45834.413194444445</v>
      </c>
      <c r="E2028" s="19">
        <v>45841.502083333333</v>
      </c>
      <c r="F2028" s="18">
        <v>236</v>
      </c>
      <c r="G2028" s="19">
        <v>45945.421527777777</v>
      </c>
      <c r="H2028" s="18" t="s">
        <v>2654</v>
      </c>
      <c r="I2028" s="18" t="s">
        <v>10</v>
      </c>
      <c r="J2028" s="18" t="s">
        <v>4017</v>
      </c>
      <c r="K2028" s="20"/>
    </row>
    <row r="2029" spans="1:11" ht="36.75" thickBot="1">
      <c r="A2029" s="18" t="s">
        <v>6923</v>
      </c>
      <c r="B2029" s="18">
        <v>20003498137</v>
      </c>
      <c r="C2029" s="18" t="s">
        <v>5706</v>
      </c>
      <c r="D2029" s="19">
        <v>45783.661111111112</v>
      </c>
      <c r="E2029" s="19">
        <v>45841.609722222223</v>
      </c>
      <c r="F2029" s="18">
        <v>800</v>
      </c>
      <c r="G2029" s="19">
        <v>45898.497916666667</v>
      </c>
      <c r="H2029" s="18" t="s">
        <v>2654</v>
      </c>
      <c r="I2029" s="18" t="s">
        <v>10</v>
      </c>
      <c r="J2029" s="18" t="s">
        <v>4017</v>
      </c>
      <c r="K2029" s="20"/>
    </row>
    <row r="2030" spans="1:11" ht="36.75" thickBot="1">
      <c r="A2030" s="18" t="s">
        <v>6924</v>
      </c>
      <c r="B2030" s="18">
        <v>20028253978</v>
      </c>
      <c r="C2030" s="18" t="s">
        <v>6925</v>
      </c>
      <c r="D2030" s="19">
        <v>45841.620138888888</v>
      </c>
      <c r="E2030" s="18" t="s">
        <v>10</v>
      </c>
      <c r="F2030" s="18">
        <v>40</v>
      </c>
      <c r="G2030" s="18" t="s">
        <v>10</v>
      </c>
      <c r="H2030" s="18" t="s">
        <v>178</v>
      </c>
      <c r="I2030" s="18" t="s">
        <v>10</v>
      </c>
      <c r="J2030" s="18" t="s">
        <v>4017</v>
      </c>
      <c r="K2030" s="20"/>
    </row>
    <row r="2031" spans="1:11" ht="36.75" thickBot="1">
      <c r="A2031" s="18" t="s">
        <v>6926</v>
      </c>
      <c r="B2031" s="18">
        <v>20021072908</v>
      </c>
      <c r="C2031" s="18" t="s">
        <v>4135</v>
      </c>
      <c r="D2031" s="19">
        <v>45821.595138888886</v>
      </c>
      <c r="E2031" s="19">
        <v>45841.648611111108</v>
      </c>
      <c r="F2031" s="18">
        <v>360</v>
      </c>
      <c r="G2031" s="19">
        <v>45884.558333333334</v>
      </c>
      <c r="H2031" s="18" t="s">
        <v>2654</v>
      </c>
      <c r="I2031" s="18" t="s">
        <v>10</v>
      </c>
      <c r="J2031" s="18" t="s">
        <v>4017</v>
      </c>
      <c r="K2031" s="20"/>
    </row>
    <row r="2032" spans="1:11" ht="72.75" thickBot="1">
      <c r="A2032" s="18" t="s">
        <v>6927</v>
      </c>
      <c r="B2032" s="18">
        <v>20026062627</v>
      </c>
      <c r="C2032" s="18" t="s">
        <v>5077</v>
      </c>
      <c r="D2032" s="19">
        <v>45819.572916666664</v>
      </c>
      <c r="E2032" s="19">
        <v>45841.663194444445</v>
      </c>
      <c r="F2032" s="18">
        <v>60</v>
      </c>
      <c r="G2032" s="19">
        <v>45986.506944444445</v>
      </c>
      <c r="H2032" s="18" t="s">
        <v>2657</v>
      </c>
      <c r="I2032" s="18" t="s">
        <v>10</v>
      </c>
      <c r="J2032" s="18" t="s">
        <v>4017</v>
      </c>
      <c r="K2032" s="20"/>
    </row>
    <row r="2033" spans="1:11" ht="72.75" thickBot="1">
      <c r="A2033" s="18" t="s">
        <v>6928</v>
      </c>
      <c r="B2033" s="18">
        <v>20018247044</v>
      </c>
      <c r="C2033" s="18" t="s">
        <v>6740</v>
      </c>
      <c r="D2033" s="19">
        <v>45764.821527777778</v>
      </c>
      <c r="E2033" s="19">
        <v>45841.732638888891</v>
      </c>
      <c r="F2033" s="18">
        <v>20</v>
      </c>
      <c r="G2033" s="19">
        <v>45891.48333333333</v>
      </c>
      <c r="H2033" s="18" t="s">
        <v>2657</v>
      </c>
      <c r="I2033" s="18" t="s">
        <v>10</v>
      </c>
      <c r="J2033" s="18" t="s">
        <v>4017</v>
      </c>
      <c r="K2033" s="20"/>
    </row>
    <row r="2034" spans="1:11" ht="72.75" thickBot="1">
      <c r="A2034" s="18" t="s">
        <v>6929</v>
      </c>
      <c r="B2034" s="18">
        <v>20027568745</v>
      </c>
      <c r="C2034" s="18" t="s">
        <v>6930</v>
      </c>
      <c r="D2034" s="19">
        <v>45765.54583333333</v>
      </c>
      <c r="E2034" s="19">
        <v>45841.743055555555</v>
      </c>
      <c r="F2034" s="18">
        <v>20</v>
      </c>
      <c r="G2034" s="19">
        <v>45891.48333333333</v>
      </c>
      <c r="H2034" s="18" t="s">
        <v>2657</v>
      </c>
      <c r="I2034" s="18" t="s">
        <v>10</v>
      </c>
      <c r="J2034" s="18" t="s">
        <v>4017</v>
      </c>
      <c r="K2034" s="20"/>
    </row>
    <row r="2035" spans="1:11" ht="36.75" thickBot="1">
      <c r="A2035" s="18" t="s">
        <v>6931</v>
      </c>
      <c r="B2035" s="18">
        <v>20003127485</v>
      </c>
      <c r="C2035" s="18" t="s">
        <v>6932</v>
      </c>
      <c r="D2035" s="19">
        <v>45818.718055555553</v>
      </c>
      <c r="E2035" s="19">
        <v>45841.746527777781</v>
      </c>
      <c r="F2035" s="18">
        <v>300</v>
      </c>
      <c r="G2035" s="19">
        <v>45856.601388888892</v>
      </c>
      <c r="H2035" s="18" t="s">
        <v>236</v>
      </c>
      <c r="I2035" s="18" t="s">
        <v>10</v>
      </c>
      <c r="J2035" s="18" t="s">
        <v>4017</v>
      </c>
      <c r="K2035" s="20"/>
    </row>
    <row r="2036" spans="1:11" ht="36.75" thickBot="1">
      <c r="A2036" s="18" t="s">
        <v>6933</v>
      </c>
      <c r="B2036" s="18">
        <v>20026543341</v>
      </c>
      <c r="C2036" s="18" t="s">
        <v>6934</v>
      </c>
      <c r="D2036" s="19">
        <v>45803.474305555559</v>
      </c>
      <c r="E2036" s="19">
        <v>45842.402083333334</v>
      </c>
      <c r="F2036" s="18">
        <v>750</v>
      </c>
      <c r="G2036" s="19">
        <v>45847.567361111112</v>
      </c>
      <c r="H2036" s="18" t="s">
        <v>2654</v>
      </c>
      <c r="I2036" s="18" t="s">
        <v>10</v>
      </c>
      <c r="J2036" s="18" t="s">
        <v>4017</v>
      </c>
      <c r="K2036" s="20"/>
    </row>
    <row r="2037" spans="1:11" ht="36.75" thickBot="1">
      <c r="A2037" s="18" t="s">
        <v>6935</v>
      </c>
      <c r="B2037" s="18">
        <v>20003548286</v>
      </c>
      <c r="C2037" s="18" t="s">
        <v>6936</v>
      </c>
      <c r="D2037" s="19">
        <v>45821.661111111112</v>
      </c>
      <c r="E2037" s="19">
        <v>45842.477083333331</v>
      </c>
      <c r="F2037" s="18">
        <v>50</v>
      </c>
      <c r="G2037" s="18" t="s">
        <v>10</v>
      </c>
      <c r="H2037" s="18" t="s">
        <v>178</v>
      </c>
      <c r="I2037" s="18" t="s">
        <v>10</v>
      </c>
      <c r="J2037" s="18" t="s">
        <v>4017</v>
      </c>
      <c r="K2037" s="20"/>
    </row>
    <row r="2038" spans="1:11" ht="36.75" thickBot="1">
      <c r="A2038" s="18" t="s">
        <v>6937</v>
      </c>
      <c r="B2038" s="18">
        <v>20028661386</v>
      </c>
      <c r="C2038" s="18" t="s">
        <v>6938</v>
      </c>
      <c r="D2038" s="19">
        <v>45842.589583333334</v>
      </c>
      <c r="E2038" s="18" t="s">
        <v>10</v>
      </c>
      <c r="F2038" s="18">
        <v>150</v>
      </c>
      <c r="G2038" s="18" t="s">
        <v>10</v>
      </c>
      <c r="H2038" s="18" t="s">
        <v>178</v>
      </c>
      <c r="I2038" s="18" t="s">
        <v>10</v>
      </c>
      <c r="J2038" s="18" t="s">
        <v>4017</v>
      </c>
      <c r="K2038" s="20"/>
    </row>
    <row r="2039" spans="1:11" ht="72.75" thickBot="1">
      <c r="A2039" s="18" t="s">
        <v>6939</v>
      </c>
      <c r="B2039" s="18">
        <v>20025071685</v>
      </c>
      <c r="C2039" s="18" t="s">
        <v>6940</v>
      </c>
      <c r="D2039" s="19">
        <v>45803.620833333334</v>
      </c>
      <c r="E2039" s="19">
        <v>45842.604861111111</v>
      </c>
      <c r="F2039" s="18">
        <v>20</v>
      </c>
      <c r="G2039" s="19">
        <v>45891.48333333333</v>
      </c>
      <c r="H2039" s="18" t="s">
        <v>2657</v>
      </c>
      <c r="I2039" s="18" t="s">
        <v>10</v>
      </c>
      <c r="J2039" s="18" t="s">
        <v>4017</v>
      </c>
      <c r="K2039" s="20"/>
    </row>
    <row r="2040" spans="1:11" ht="36.75" thickBot="1">
      <c r="A2040" s="18" t="s">
        <v>6941</v>
      </c>
      <c r="B2040" s="18">
        <v>20002889959</v>
      </c>
      <c r="C2040" s="18" t="s">
        <v>6942</v>
      </c>
      <c r="D2040" s="19">
        <v>45825.734722222223</v>
      </c>
      <c r="E2040" s="19">
        <v>45842.615277777775</v>
      </c>
      <c r="F2040" s="18">
        <v>100</v>
      </c>
      <c r="G2040" s="19">
        <v>45898.6</v>
      </c>
      <c r="H2040" s="18" t="s">
        <v>236</v>
      </c>
      <c r="I2040" s="18" t="s">
        <v>10</v>
      </c>
      <c r="J2040" s="18" t="s">
        <v>4017</v>
      </c>
      <c r="K2040" s="20"/>
    </row>
    <row r="2041" spans="1:11" ht="36.75" thickBot="1">
      <c r="A2041" s="18" t="s">
        <v>6943</v>
      </c>
      <c r="B2041" s="18">
        <v>20003105923</v>
      </c>
      <c r="C2041" s="18" t="s">
        <v>6246</v>
      </c>
      <c r="D2041" s="19">
        <v>45817.48333333333</v>
      </c>
      <c r="E2041" s="19">
        <v>45842.620138888888</v>
      </c>
      <c r="F2041" s="18">
        <v>600</v>
      </c>
      <c r="G2041" s="18" t="s">
        <v>10</v>
      </c>
      <c r="H2041" s="18" t="s">
        <v>178</v>
      </c>
      <c r="I2041" s="18" t="s">
        <v>10</v>
      </c>
      <c r="J2041" s="18" t="s">
        <v>4017</v>
      </c>
      <c r="K2041" s="20"/>
    </row>
    <row r="2042" spans="1:11" ht="54.75" thickBot="1">
      <c r="A2042" s="18" t="s">
        <v>6944</v>
      </c>
      <c r="B2042" s="18">
        <v>20017461953</v>
      </c>
      <c r="C2042" s="18" t="s">
        <v>5249</v>
      </c>
      <c r="D2042" s="19">
        <v>45748.5625</v>
      </c>
      <c r="E2042" s="19">
        <v>45842.62222222222</v>
      </c>
      <c r="F2042" s="18">
        <v>250</v>
      </c>
      <c r="G2042" s="19">
        <v>45860.588194444441</v>
      </c>
      <c r="H2042" s="18" t="s">
        <v>236</v>
      </c>
      <c r="I2042" s="18" t="s">
        <v>10</v>
      </c>
      <c r="J2042" s="18" t="s">
        <v>4017</v>
      </c>
      <c r="K2042" s="20"/>
    </row>
    <row r="2043" spans="1:11" ht="36.75" thickBot="1">
      <c r="A2043" s="18" t="s">
        <v>6945</v>
      </c>
      <c r="B2043" s="18">
        <v>20025649620</v>
      </c>
      <c r="C2043" s="18" t="s">
        <v>6853</v>
      </c>
      <c r="D2043" s="19">
        <v>45842.634027777778</v>
      </c>
      <c r="E2043" s="18" t="s">
        <v>10</v>
      </c>
      <c r="F2043" s="18">
        <v>100</v>
      </c>
      <c r="G2043" s="19">
        <v>45852.545138888891</v>
      </c>
      <c r="H2043" s="18" t="s">
        <v>236</v>
      </c>
      <c r="I2043" s="18" t="s">
        <v>10</v>
      </c>
      <c r="J2043" s="18" t="s">
        <v>4017</v>
      </c>
      <c r="K2043" s="20"/>
    </row>
    <row r="2044" spans="1:11" ht="36.75" thickBot="1">
      <c r="A2044" s="18" t="s">
        <v>6946</v>
      </c>
      <c r="B2044" s="18">
        <v>20019498550</v>
      </c>
      <c r="C2044" s="18" t="s">
        <v>6620</v>
      </c>
      <c r="D2044" s="19">
        <v>45843.567361111112</v>
      </c>
      <c r="E2044" s="18" t="s">
        <v>10</v>
      </c>
      <c r="F2044" s="18">
        <v>120</v>
      </c>
      <c r="G2044" s="18" t="s">
        <v>10</v>
      </c>
      <c r="H2044" s="18" t="s">
        <v>178</v>
      </c>
      <c r="I2044" s="18" t="s">
        <v>10</v>
      </c>
      <c r="J2044" s="18" t="s">
        <v>4017</v>
      </c>
      <c r="K2044" s="20"/>
    </row>
    <row r="2045" spans="1:11" ht="72.75" thickBot="1">
      <c r="A2045" s="18" t="s">
        <v>6947</v>
      </c>
      <c r="B2045" s="18">
        <v>20018162107</v>
      </c>
      <c r="C2045" s="18" t="s">
        <v>4418</v>
      </c>
      <c r="D2045" s="19">
        <v>45831.964583333334</v>
      </c>
      <c r="E2045" s="19">
        <v>45845.057638888888</v>
      </c>
      <c r="F2045" s="18">
        <v>60</v>
      </c>
      <c r="G2045" s="19">
        <v>45869.445138888892</v>
      </c>
      <c r="H2045" s="18" t="s">
        <v>2688</v>
      </c>
      <c r="I2045" s="18" t="s">
        <v>10</v>
      </c>
      <c r="J2045" s="18" t="s">
        <v>4017</v>
      </c>
      <c r="K2045" s="20"/>
    </row>
    <row r="2046" spans="1:11" ht="36.75" thickBot="1">
      <c r="A2046" s="18" t="s">
        <v>6948</v>
      </c>
      <c r="B2046" s="18">
        <v>20003276627</v>
      </c>
      <c r="C2046" s="18" t="s">
        <v>5610</v>
      </c>
      <c r="D2046" s="19">
        <v>45813.321527777778</v>
      </c>
      <c r="E2046" s="19">
        <v>45845.429166666669</v>
      </c>
      <c r="F2046" s="18">
        <v>250</v>
      </c>
      <c r="G2046" s="19">
        <v>45853.401388888888</v>
      </c>
      <c r="H2046" s="18" t="s">
        <v>2654</v>
      </c>
      <c r="I2046" s="18" t="s">
        <v>10</v>
      </c>
      <c r="J2046" s="18" t="s">
        <v>4017</v>
      </c>
      <c r="K2046" s="20"/>
    </row>
    <row r="2047" spans="1:11" ht="36.75" thickBot="1">
      <c r="A2047" s="18" t="s">
        <v>6949</v>
      </c>
      <c r="B2047" s="18">
        <v>20003276681</v>
      </c>
      <c r="C2047" s="18" t="s">
        <v>5612</v>
      </c>
      <c r="D2047" s="19">
        <v>45812.237500000003</v>
      </c>
      <c r="E2047" s="19">
        <v>45845.429861111108</v>
      </c>
      <c r="F2047" s="18">
        <v>350</v>
      </c>
      <c r="G2047" s="19">
        <v>45853.401388888888</v>
      </c>
      <c r="H2047" s="18" t="s">
        <v>2654</v>
      </c>
      <c r="I2047" s="18" t="s">
        <v>10</v>
      </c>
      <c r="J2047" s="18" t="s">
        <v>4017</v>
      </c>
      <c r="K2047" s="20"/>
    </row>
    <row r="2048" spans="1:11" ht="36.75" thickBot="1">
      <c r="A2048" s="18" t="s">
        <v>6950</v>
      </c>
      <c r="B2048" s="18">
        <v>20019297938</v>
      </c>
      <c r="C2048" s="18" t="s">
        <v>6027</v>
      </c>
      <c r="D2048" s="19">
        <v>45804.415277777778</v>
      </c>
      <c r="E2048" s="19">
        <v>45845.48333333333</v>
      </c>
      <c r="F2048" s="18">
        <v>990</v>
      </c>
      <c r="G2048" s="19">
        <v>45852.566666666666</v>
      </c>
      <c r="H2048" s="18" t="s">
        <v>2654</v>
      </c>
      <c r="I2048" s="18" t="s">
        <v>10</v>
      </c>
      <c r="J2048" s="18" t="s">
        <v>4017</v>
      </c>
      <c r="K2048" s="20"/>
    </row>
    <row r="2049" spans="1:11" ht="72.75" thickBot="1">
      <c r="A2049" s="18" t="s">
        <v>6951</v>
      </c>
      <c r="B2049" s="18">
        <v>20023482212</v>
      </c>
      <c r="C2049" s="18" t="s">
        <v>6952</v>
      </c>
      <c r="D2049" s="19">
        <v>45792.181944444441</v>
      </c>
      <c r="E2049" s="19">
        <v>45845.546527777777</v>
      </c>
      <c r="F2049" s="18">
        <v>200</v>
      </c>
      <c r="G2049" s="19">
        <v>45859.56527777778</v>
      </c>
      <c r="H2049" s="18" t="s">
        <v>2657</v>
      </c>
      <c r="I2049" s="18" t="s">
        <v>10</v>
      </c>
      <c r="J2049" s="18" t="s">
        <v>4017</v>
      </c>
      <c r="K2049" s="20"/>
    </row>
    <row r="2050" spans="1:11" ht="72.75" thickBot="1">
      <c r="A2050" s="18" t="s">
        <v>6953</v>
      </c>
      <c r="B2050" s="18">
        <v>20018259491</v>
      </c>
      <c r="C2050" s="18" t="s">
        <v>6952</v>
      </c>
      <c r="D2050" s="19">
        <v>45792.161111111112</v>
      </c>
      <c r="E2050" s="19">
        <v>45845.547222222223</v>
      </c>
      <c r="F2050" s="18">
        <v>200</v>
      </c>
      <c r="G2050" s="19">
        <v>45859.56527777778</v>
      </c>
      <c r="H2050" s="18" t="s">
        <v>2657</v>
      </c>
      <c r="I2050" s="18" t="s">
        <v>10</v>
      </c>
      <c r="J2050" s="18" t="s">
        <v>4017</v>
      </c>
      <c r="K2050" s="20"/>
    </row>
    <row r="2051" spans="1:11" ht="36.75" thickBot="1">
      <c r="A2051" s="18" t="s">
        <v>6954</v>
      </c>
      <c r="B2051" s="18">
        <v>20022289062</v>
      </c>
      <c r="C2051" s="18" t="s">
        <v>5317</v>
      </c>
      <c r="D2051" s="19">
        <v>45833.448611111111</v>
      </c>
      <c r="E2051" s="19">
        <v>45845.665277777778</v>
      </c>
      <c r="F2051" s="18">
        <v>300</v>
      </c>
      <c r="G2051" s="18" t="s">
        <v>10</v>
      </c>
      <c r="H2051" s="18" t="s">
        <v>178</v>
      </c>
      <c r="I2051" s="18" t="s">
        <v>10</v>
      </c>
      <c r="J2051" s="18" t="s">
        <v>4017</v>
      </c>
      <c r="K2051" s="20"/>
    </row>
    <row r="2052" spans="1:11" ht="36.75" thickBot="1">
      <c r="A2052" s="18" t="s">
        <v>6955</v>
      </c>
      <c r="B2052" s="18">
        <v>20021951664</v>
      </c>
      <c r="C2052" s="18" t="s">
        <v>6711</v>
      </c>
      <c r="D2052" s="19">
        <v>45834.834027777775</v>
      </c>
      <c r="E2052" s="19">
        <v>45845.718055555553</v>
      </c>
      <c r="F2052" s="18">
        <v>30</v>
      </c>
      <c r="G2052" s="19">
        <v>45853.470833333333</v>
      </c>
      <c r="H2052" s="18" t="s">
        <v>2654</v>
      </c>
      <c r="I2052" s="18" t="s">
        <v>10</v>
      </c>
      <c r="J2052" s="18" t="s">
        <v>4017</v>
      </c>
      <c r="K2052" s="20"/>
    </row>
    <row r="2053" spans="1:11" ht="36.75" thickBot="1">
      <c r="A2053" s="18" t="s">
        <v>6956</v>
      </c>
      <c r="B2053" s="18">
        <v>20021951667</v>
      </c>
      <c r="C2053" s="18" t="s">
        <v>6711</v>
      </c>
      <c r="D2053" s="19">
        <v>45834.825694444444</v>
      </c>
      <c r="E2053" s="19">
        <v>45845.71875</v>
      </c>
      <c r="F2053" s="18">
        <v>30</v>
      </c>
      <c r="G2053" s="19">
        <v>45853.466666666667</v>
      </c>
      <c r="H2053" s="18" t="s">
        <v>2654</v>
      </c>
      <c r="I2053" s="18" t="s">
        <v>10</v>
      </c>
      <c r="J2053" s="18" t="s">
        <v>4017</v>
      </c>
      <c r="K2053" s="20"/>
    </row>
    <row r="2054" spans="1:11" ht="72.75" thickBot="1">
      <c r="A2054" s="18" t="s">
        <v>6957</v>
      </c>
      <c r="B2054" s="18">
        <v>20018516912</v>
      </c>
      <c r="C2054" s="18" t="s">
        <v>4341</v>
      </c>
      <c r="D2054" s="19">
        <v>45840.661111111112</v>
      </c>
      <c r="E2054" s="19">
        <v>45845.782638888886</v>
      </c>
      <c r="F2054" s="18">
        <v>70</v>
      </c>
      <c r="G2054" s="19">
        <v>45847.633333333331</v>
      </c>
      <c r="H2054" s="18" t="s">
        <v>2657</v>
      </c>
      <c r="I2054" s="18" t="s">
        <v>10</v>
      </c>
      <c r="J2054" s="18" t="s">
        <v>4017</v>
      </c>
      <c r="K2054" s="20"/>
    </row>
    <row r="2055" spans="1:11" ht="36.75" thickBot="1">
      <c r="A2055" s="18" t="s">
        <v>6958</v>
      </c>
      <c r="B2055" s="18">
        <v>20027963365</v>
      </c>
      <c r="C2055" s="18" t="s">
        <v>5241</v>
      </c>
      <c r="D2055" s="19">
        <v>45834.684027777781</v>
      </c>
      <c r="E2055" s="19">
        <v>45846.393750000003</v>
      </c>
      <c r="F2055" s="18">
        <v>60</v>
      </c>
      <c r="G2055" s="19">
        <v>45860.580555555556</v>
      </c>
      <c r="H2055" s="18" t="s">
        <v>236</v>
      </c>
      <c r="I2055" s="18" t="s">
        <v>10</v>
      </c>
      <c r="J2055" s="18" t="s">
        <v>4017</v>
      </c>
      <c r="K2055" s="20"/>
    </row>
    <row r="2056" spans="1:11" ht="36.75" thickBot="1">
      <c r="A2056" s="18" t="s">
        <v>6959</v>
      </c>
      <c r="B2056" s="18">
        <v>20027866853</v>
      </c>
      <c r="C2056" s="18" t="s">
        <v>5635</v>
      </c>
      <c r="D2056" s="19">
        <v>45846.519444444442</v>
      </c>
      <c r="E2056" s="18" t="s">
        <v>10</v>
      </c>
      <c r="F2056" s="18">
        <v>250</v>
      </c>
      <c r="G2056" s="18" t="s">
        <v>10</v>
      </c>
      <c r="H2056" s="18" t="s">
        <v>178</v>
      </c>
      <c r="I2056" s="18" t="s">
        <v>10</v>
      </c>
      <c r="J2056" s="18" t="s">
        <v>4017</v>
      </c>
      <c r="K2056" s="20"/>
    </row>
    <row r="2057" spans="1:11" ht="36.75" thickBot="1">
      <c r="A2057" s="18" t="s">
        <v>6960</v>
      </c>
      <c r="B2057" s="18">
        <v>20028661386</v>
      </c>
      <c r="C2057" s="18" t="s">
        <v>6938</v>
      </c>
      <c r="D2057" s="19">
        <v>45846.593055555553</v>
      </c>
      <c r="E2057" s="18" t="s">
        <v>10</v>
      </c>
      <c r="F2057" s="18">
        <v>150</v>
      </c>
      <c r="G2057" s="18" t="s">
        <v>10</v>
      </c>
      <c r="H2057" s="18" t="s">
        <v>189</v>
      </c>
      <c r="I2057" s="18" t="s">
        <v>10</v>
      </c>
      <c r="J2057" s="18" t="s">
        <v>4017</v>
      </c>
      <c r="K2057" s="20"/>
    </row>
    <row r="2058" spans="1:11" ht="72.75" thickBot="1">
      <c r="A2058" s="18" t="s">
        <v>6961</v>
      </c>
      <c r="B2058" s="18">
        <v>20002857519</v>
      </c>
      <c r="C2058" s="18" t="s">
        <v>6910</v>
      </c>
      <c r="D2058" s="19">
        <v>45786.85</v>
      </c>
      <c r="E2058" s="19">
        <v>45846.709722222222</v>
      </c>
      <c r="F2058" s="18">
        <v>100</v>
      </c>
      <c r="G2058" s="19">
        <v>45874.585416666669</v>
      </c>
      <c r="H2058" s="18" t="s">
        <v>2688</v>
      </c>
      <c r="I2058" s="18" t="s">
        <v>10</v>
      </c>
      <c r="J2058" s="18" t="s">
        <v>4017</v>
      </c>
      <c r="K2058" s="20"/>
    </row>
    <row r="2059" spans="1:11" ht="36.75" thickBot="1">
      <c r="A2059" s="18" t="s">
        <v>6962</v>
      </c>
      <c r="B2059" s="18">
        <v>20010794579</v>
      </c>
      <c r="C2059" s="18" t="s">
        <v>4508</v>
      </c>
      <c r="D2059" s="19">
        <v>45829.885416666664</v>
      </c>
      <c r="E2059" s="19">
        <v>45846.75277777778</v>
      </c>
      <c r="F2059" s="18">
        <v>600</v>
      </c>
      <c r="G2059" s="19">
        <v>45919.585416666669</v>
      </c>
      <c r="H2059" s="18" t="s">
        <v>2654</v>
      </c>
      <c r="I2059" s="18" t="s">
        <v>10</v>
      </c>
      <c r="J2059" s="18" t="s">
        <v>4017</v>
      </c>
      <c r="K2059" s="20"/>
    </row>
    <row r="2060" spans="1:11" ht="72.75" thickBot="1">
      <c r="A2060" s="18" t="s">
        <v>6963</v>
      </c>
      <c r="B2060" s="18">
        <v>20003517942</v>
      </c>
      <c r="C2060" s="18" t="s">
        <v>6723</v>
      </c>
      <c r="D2060" s="19">
        <v>45833.606249999997</v>
      </c>
      <c r="E2060" s="19">
        <v>45846.784722222219</v>
      </c>
      <c r="F2060" s="18">
        <v>100</v>
      </c>
      <c r="G2060" s="19">
        <v>45847.668749999997</v>
      </c>
      <c r="H2060" s="18" t="s">
        <v>2688</v>
      </c>
      <c r="I2060" s="18" t="s">
        <v>10</v>
      </c>
      <c r="J2060" s="18" t="s">
        <v>4017</v>
      </c>
      <c r="K2060" s="20"/>
    </row>
    <row r="2061" spans="1:11" ht="36.75" thickBot="1">
      <c r="A2061" s="18" t="s">
        <v>6964</v>
      </c>
      <c r="B2061" s="18">
        <v>20027480925</v>
      </c>
      <c r="C2061" s="18" t="s">
        <v>6965</v>
      </c>
      <c r="D2061" s="19">
        <v>45841.502083333333</v>
      </c>
      <c r="E2061" s="19">
        <v>45847.416666666664</v>
      </c>
      <c r="F2061" s="18">
        <v>66.599999999999994</v>
      </c>
      <c r="G2061" s="19">
        <v>45868.556250000001</v>
      </c>
      <c r="H2061" s="18" t="s">
        <v>236</v>
      </c>
      <c r="I2061" s="18" t="s">
        <v>10</v>
      </c>
      <c r="J2061" s="18" t="s">
        <v>4017</v>
      </c>
      <c r="K2061" s="20"/>
    </row>
    <row r="2062" spans="1:11" ht="36.75" thickBot="1">
      <c r="A2062" s="18" t="s">
        <v>6966</v>
      </c>
      <c r="B2062" s="18">
        <v>20003503334</v>
      </c>
      <c r="C2062" s="18" t="s">
        <v>5786</v>
      </c>
      <c r="D2062" s="19">
        <v>45730.502083333333</v>
      </c>
      <c r="E2062" s="19">
        <v>45847.440972222219</v>
      </c>
      <c r="F2062" s="18">
        <v>250</v>
      </c>
      <c r="G2062" s="18" t="s">
        <v>10</v>
      </c>
      <c r="H2062" s="18" t="s">
        <v>189</v>
      </c>
      <c r="I2062" s="18" t="s">
        <v>10</v>
      </c>
      <c r="J2062" s="18" t="s">
        <v>4017</v>
      </c>
      <c r="K2062" s="20"/>
    </row>
    <row r="2063" spans="1:11" ht="54.75" thickBot="1">
      <c r="A2063" s="18" t="s">
        <v>6967</v>
      </c>
      <c r="B2063" s="18">
        <v>20022238156</v>
      </c>
      <c r="C2063" s="18" t="s">
        <v>6968</v>
      </c>
      <c r="D2063" s="19">
        <v>45811.631249999999</v>
      </c>
      <c r="E2063" s="19">
        <v>45847.579861111109</v>
      </c>
      <c r="F2063" s="18">
        <v>200</v>
      </c>
      <c r="G2063" s="19">
        <v>45853.569444444445</v>
      </c>
      <c r="H2063" s="18" t="s">
        <v>2654</v>
      </c>
      <c r="I2063" s="18" t="s">
        <v>10</v>
      </c>
      <c r="J2063" s="18" t="s">
        <v>4017</v>
      </c>
      <c r="K2063" s="20"/>
    </row>
    <row r="2064" spans="1:11" ht="36.75" thickBot="1">
      <c r="A2064" s="18" t="s">
        <v>6969</v>
      </c>
      <c r="B2064" s="18">
        <v>20019357251</v>
      </c>
      <c r="C2064" s="18" t="s">
        <v>6232</v>
      </c>
      <c r="D2064" s="19">
        <v>45807.431250000001</v>
      </c>
      <c r="E2064" s="19">
        <v>45847.580555555556</v>
      </c>
      <c r="F2064" s="18">
        <v>250</v>
      </c>
      <c r="G2064" s="19">
        <v>45853.636805555558</v>
      </c>
      <c r="H2064" s="18" t="s">
        <v>2654</v>
      </c>
      <c r="I2064" s="18" t="s">
        <v>10</v>
      </c>
      <c r="J2064" s="18" t="s">
        <v>4017</v>
      </c>
      <c r="K2064" s="20"/>
    </row>
    <row r="2065" spans="1:11" ht="54.75" thickBot="1">
      <c r="A2065" s="18" t="s">
        <v>6970</v>
      </c>
      <c r="B2065" s="18">
        <v>20003473892</v>
      </c>
      <c r="C2065" s="18" t="s">
        <v>6971</v>
      </c>
      <c r="D2065" s="19">
        <v>45847.581250000003</v>
      </c>
      <c r="E2065" s="18" t="s">
        <v>10</v>
      </c>
      <c r="F2065" s="18">
        <v>300</v>
      </c>
      <c r="G2065" s="18" t="s">
        <v>10</v>
      </c>
      <c r="H2065" s="18" t="s">
        <v>178</v>
      </c>
      <c r="I2065" s="18" t="s">
        <v>10</v>
      </c>
      <c r="J2065" s="18" t="s">
        <v>4017</v>
      </c>
      <c r="K2065" s="20"/>
    </row>
    <row r="2066" spans="1:11" ht="36.75" thickBot="1">
      <c r="A2066" s="18" t="s">
        <v>6972</v>
      </c>
      <c r="B2066" s="18">
        <v>20002850710</v>
      </c>
      <c r="C2066" s="18" t="s">
        <v>6973</v>
      </c>
      <c r="D2066" s="19">
        <v>45842.736111111109</v>
      </c>
      <c r="E2066" s="19">
        <v>45847.679166666669</v>
      </c>
      <c r="F2066" s="18">
        <v>50</v>
      </c>
      <c r="G2066" s="19">
        <v>45853.561805555553</v>
      </c>
      <c r="H2066" s="18" t="s">
        <v>236</v>
      </c>
      <c r="I2066" s="18" t="s">
        <v>10</v>
      </c>
      <c r="J2066" s="18" t="s">
        <v>4017</v>
      </c>
      <c r="K2066" s="20"/>
    </row>
    <row r="2067" spans="1:11" ht="36.75" thickBot="1">
      <c r="A2067" s="18" t="s">
        <v>6974</v>
      </c>
      <c r="B2067" s="18">
        <v>20003220177</v>
      </c>
      <c r="C2067" s="18" t="s">
        <v>6975</v>
      </c>
      <c r="D2067" s="19">
        <v>45846.585416666669</v>
      </c>
      <c r="E2067" s="19">
        <v>45847.720833333333</v>
      </c>
      <c r="F2067" s="18">
        <v>30</v>
      </c>
      <c r="G2067" s="19">
        <v>45856.35833333333</v>
      </c>
      <c r="H2067" s="18" t="s">
        <v>236</v>
      </c>
      <c r="I2067" s="18" t="s">
        <v>10</v>
      </c>
      <c r="J2067" s="18" t="s">
        <v>4017</v>
      </c>
      <c r="K2067" s="20"/>
    </row>
    <row r="2068" spans="1:11" ht="54.75" thickBot="1">
      <c r="A2068" s="18" t="s">
        <v>6976</v>
      </c>
      <c r="B2068" s="18">
        <v>20018502107</v>
      </c>
      <c r="C2068" s="18" t="s">
        <v>6484</v>
      </c>
      <c r="D2068" s="19">
        <v>45847.731944444444</v>
      </c>
      <c r="E2068" s="18" t="s">
        <v>10</v>
      </c>
      <c r="F2068" s="18">
        <v>20</v>
      </c>
      <c r="G2068" s="19">
        <v>45912.619444444441</v>
      </c>
      <c r="H2068" s="18" t="s">
        <v>2654</v>
      </c>
      <c r="I2068" s="18" t="s">
        <v>10</v>
      </c>
      <c r="J2068" s="18" t="s">
        <v>4017</v>
      </c>
      <c r="K2068" s="20"/>
    </row>
    <row r="2069" spans="1:11" ht="36.75" thickBot="1">
      <c r="A2069" s="18" t="s">
        <v>6977</v>
      </c>
      <c r="B2069" s="18">
        <v>20003592895</v>
      </c>
      <c r="C2069" s="18" t="s">
        <v>5239</v>
      </c>
      <c r="D2069" s="19">
        <v>45808.629166666666</v>
      </c>
      <c r="E2069" s="19">
        <v>45848.60833333333</v>
      </c>
      <c r="F2069" s="18">
        <v>960</v>
      </c>
      <c r="G2069" s="18" t="s">
        <v>10</v>
      </c>
      <c r="H2069" s="18" t="s">
        <v>189</v>
      </c>
      <c r="I2069" s="18" t="s">
        <v>10</v>
      </c>
      <c r="J2069" s="18" t="s">
        <v>4017</v>
      </c>
      <c r="K2069" s="20"/>
    </row>
    <row r="2070" spans="1:11" ht="36.75" thickBot="1">
      <c r="A2070" s="18" t="s">
        <v>6978</v>
      </c>
      <c r="B2070" s="18">
        <v>20003416233</v>
      </c>
      <c r="C2070" s="18" t="s">
        <v>6979</v>
      </c>
      <c r="D2070" s="19">
        <v>45848.612500000003</v>
      </c>
      <c r="E2070" s="18" t="s">
        <v>10</v>
      </c>
      <c r="F2070" s="18">
        <v>60</v>
      </c>
      <c r="G2070" s="19">
        <v>45854.500694444447</v>
      </c>
      <c r="H2070" s="18" t="s">
        <v>236</v>
      </c>
      <c r="I2070" s="18" t="s">
        <v>10</v>
      </c>
      <c r="J2070" s="18" t="s">
        <v>4017</v>
      </c>
      <c r="K2070" s="20"/>
    </row>
    <row r="2071" spans="1:11" ht="36.75" thickBot="1">
      <c r="A2071" s="18" t="s">
        <v>6980</v>
      </c>
      <c r="B2071" s="18">
        <v>20023698413</v>
      </c>
      <c r="C2071" s="18" t="s">
        <v>6981</v>
      </c>
      <c r="D2071" s="19">
        <v>45848.658333333333</v>
      </c>
      <c r="E2071" s="18" t="s">
        <v>10</v>
      </c>
      <c r="F2071" s="18">
        <v>100</v>
      </c>
      <c r="G2071" s="19">
        <v>45854.494444444441</v>
      </c>
      <c r="H2071" s="18" t="s">
        <v>236</v>
      </c>
      <c r="I2071" s="18" t="s">
        <v>10</v>
      </c>
      <c r="J2071" s="18" t="s">
        <v>4017</v>
      </c>
      <c r="K2071" s="20"/>
    </row>
    <row r="2072" spans="1:11" ht="36.75" thickBot="1">
      <c r="A2072" s="18" t="s">
        <v>6982</v>
      </c>
      <c r="B2072" s="18">
        <v>20027766901</v>
      </c>
      <c r="C2072" s="18" t="s">
        <v>863</v>
      </c>
      <c r="D2072" s="19">
        <v>45848.693055555559</v>
      </c>
      <c r="E2072" s="18" t="s">
        <v>10</v>
      </c>
      <c r="F2072" s="18">
        <v>50</v>
      </c>
      <c r="G2072" s="18" t="s">
        <v>10</v>
      </c>
      <c r="H2072" s="18" t="s">
        <v>178</v>
      </c>
      <c r="I2072" s="18" t="s">
        <v>10</v>
      </c>
      <c r="J2072" s="18" t="s">
        <v>4017</v>
      </c>
      <c r="K2072" s="20"/>
    </row>
    <row r="2073" spans="1:11" ht="36.75" thickBot="1">
      <c r="A2073" s="18" t="s">
        <v>6983</v>
      </c>
      <c r="B2073" s="18">
        <v>20003177570</v>
      </c>
      <c r="C2073" s="18" t="s">
        <v>4493</v>
      </c>
      <c r="D2073" s="19">
        <v>45828.678472222222</v>
      </c>
      <c r="E2073" s="19">
        <v>45849.472916666666</v>
      </c>
      <c r="F2073" s="18">
        <v>810</v>
      </c>
      <c r="G2073" s="19">
        <v>45898.555555555555</v>
      </c>
      <c r="H2073" s="18" t="s">
        <v>2654</v>
      </c>
      <c r="I2073" s="18" t="s">
        <v>10</v>
      </c>
      <c r="J2073" s="18" t="s">
        <v>4017</v>
      </c>
      <c r="K2073" s="20"/>
    </row>
    <row r="2074" spans="1:11" ht="54.75" thickBot="1">
      <c r="A2074" s="18" t="s">
        <v>6984</v>
      </c>
      <c r="B2074" s="18">
        <v>20002875464</v>
      </c>
      <c r="C2074" s="18" t="s">
        <v>6985</v>
      </c>
      <c r="D2074" s="19">
        <v>45849.621527777781</v>
      </c>
      <c r="E2074" s="18" t="s">
        <v>10</v>
      </c>
      <c r="F2074" s="18">
        <v>20</v>
      </c>
      <c r="G2074" s="19">
        <v>45912.619444444441</v>
      </c>
      <c r="H2074" s="18" t="s">
        <v>2654</v>
      </c>
      <c r="I2074" s="18" t="s">
        <v>10</v>
      </c>
      <c r="J2074" s="18" t="s">
        <v>4017</v>
      </c>
      <c r="K2074" s="20"/>
    </row>
    <row r="2075" spans="1:11" ht="54.75" thickBot="1">
      <c r="A2075" s="18" t="s">
        <v>6986</v>
      </c>
      <c r="B2075" s="18">
        <v>20019476299</v>
      </c>
      <c r="C2075" s="18" t="s">
        <v>6520</v>
      </c>
      <c r="D2075" s="19">
        <v>45849.628472222219</v>
      </c>
      <c r="E2075" s="18" t="s">
        <v>10</v>
      </c>
      <c r="F2075" s="18">
        <v>20</v>
      </c>
      <c r="G2075" s="19">
        <v>45912.619444444441</v>
      </c>
      <c r="H2075" s="18" t="s">
        <v>2654</v>
      </c>
      <c r="I2075" s="18" t="s">
        <v>10</v>
      </c>
      <c r="J2075" s="18" t="s">
        <v>4017</v>
      </c>
      <c r="K2075" s="20"/>
    </row>
    <row r="2076" spans="1:11" ht="54.75" thickBot="1">
      <c r="A2076" s="18" t="s">
        <v>6987</v>
      </c>
      <c r="B2076" s="18">
        <v>20020332833</v>
      </c>
      <c r="C2076" s="18" t="s">
        <v>6522</v>
      </c>
      <c r="D2076" s="19">
        <v>45849.672222222223</v>
      </c>
      <c r="E2076" s="18" t="s">
        <v>10</v>
      </c>
      <c r="F2076" s="18">
        <v>20</v>
      </c>
      <c r="G2076" s="19">
        <v>45912.619444444441</v>
      </c>
      <c r="H2076" s="18" t="s">
        <v>2654</v>
      </c>
      <c r="I2076" s="18" t="s">
        <v>10</v>
      </c>
      <c r="J2076" s="18" t="s">
        <v>4017</v>
      </c>
      <c r="K2076" s="20"/>
    </row>
    <row r="2077" spans="1:11" ht="54.75" thickBot="1">
      <c r="A2077" s="18" t="s">
        <v>6988</v>
      </c>
      <c r="B2077" s="18">
        <v>20020576268</v>
      </c>
      <c r="C2077" s="18" t="s">
        <v>6526</v>
      </c>
      <c r="D2077" s="19">
        <v>45849.679166666669</v>
      </c>
      <c r="E2077" s="18" t="s">
        <v>10</v>
      </c>
      <c r="F2077" s="18">
        <v>20</v>
      </c>
      <c r="G2077" s="19">
        <v>45912.619444444441</v>
      </c>
      <c r="H2077" s="18" t="s">
        <v>2654</v>
      </c>
      <c r="I2077" s="18" t="s">
        <v>10</v>
      </c>
      <c r="J2077" s="18" t="s">
        <v>4017</v>
      </c>
      <c r="K2077" s="20"/>
    </row>
    <row r="2078" spans="1:11" ht="54.75" thickBot="1">
      <c r="A2078" s="18" t="s">
        <v>6989</v>
      </c>
      <c r="B2078" s="18">
        <v>20024402824</v>
      </c>
      <c r="C2078" s="18" t="s">
        <v>6529</v>
      </c>
      <c r="D2078" s="19">
        <v>45849.686805555553</v>
      </c>
      <c r="E2078" s="18" t="s">
        <v>10</v>
      </c>
      <c r="F2078" s="18">
        <v>20</v>
      </c>
      <c r="G2078" s="19">
        <v>45912.619444444441</v>
      </c>
      <c r="H2078" s="18" t="s">
        <v>2654</v>
      </c>
      <c r="I2078" s="18" t="s">
        <v>10</v>
      </c>
      <c r="J2078" s="18" t="s">
        <v>4017</v>
      </c>
      <c r="K2078" s="20"/>
    </row>
    <row r="2079" spans="1:11" ht="54.75" thickBot="1">
      <c r="A2079" s="18" t="s">
        <v>6990</v>
      </c>
      <c r="B2079" s="18">
        <v>20024638206</v>
      </c>
      <c r="C2079" s="18" t="s">
        <v>6532</v>
      </c>
      <c r="D2079" s="19">
        <v>45849.694444444445</v>
      </c>
      <c r="E2079" s="18" t="s">
        <v>10</v>
      </c>
      <c r="F2079" s="18">
        <v>20</v>
      </c>
      <c r="G2079" s="19">
        <v>45912.619444444441</v>
      </c>
      <c r="H2079" s="18" t="s">
        <v>2654</v>
      </c>
      <c r="I2079" s="18" t="s">
        <v>10</v>
      </c>
      <c r="J2079" s="18" t="s">
        <v>4017</v>
      </c>
      <c r="K2079" s="20"/>
    </row>
    <row r="2080" spans="1:11" ht="54.75" thickBot="1">
      <c r="A2080" s="18" t="s">
        <v>6991</v>
      </c>
      <c r="B2080" s="18">
        <v>20025407702</v>
      </c>
      <c r="C2080" s="18" t="s">
        <v>6498</v>
      </c>
      <c r="D2080" s="19">
        <v>45849.707638888889</v>
      </c>
      <c r="E2080" s="18" t="s">
        <v>10</v>
      </c>
      <c r="F2080" s="18">
        <v>20</v>
      </c>
      <c r="G2080" s="19">
        <v>45912.619444444441</v>
      </c>
      <c r="H2080" s="18" t="s">
        <v>2654</v>
      </c>
      <c r="I2080" s="18" t="s">
        <v>10</v>
      </c>
      <c r="J2080" s="18" t="s">
        <v>4017</v>
      </c>
      <c r="K2080" s="20"/>
    </row>
    <row r="2081" spans="1:11" ht="54.75" thickBot="1">
      <c r="A2081" s="18" t="s">
        <v>6992</v>
      </c>
      <c r="B2081" s="18">
        <v>20025493960</v>
      </c>
      <c r="C2081" s="18" t="s">
        <v>6534</v>
      </c>
      <c r="D2081" s="19">
        <v>45849.71597222222</v>
      </c>
      <c r="E2081" s="18" t="s">
        <v>10</v>
      </c>
      <c r="F2081" s="18">
        <v>20</v>
      </c>
      <c r="G2081" s="19">
        <v>45912.619444444441</v>
      </c>
      <c r="H2081" s="18" t="s">
        <v>2654</v>
      </c>
      <c r="I2081" s="18" t="s">
        <v>10</v>
      </c>
      <c r="J2081" s="18" t="s">
        <v>4017</v>
      </c>
      <c r="K2081" s="20"/>
    </row>
    <row r="2082" spans="1:11" ht="54.75" thickBot="1">
      <c r="A2082" s="18" t="s">
        <v>6993</v>
      </c>
      <c r="B2082" s="18">
        <v>20025772405</v>
      </c>
      <c r="C2082" s="18" t="s">
        <v>6536</v>
      </c>
      <c r="D2082" s="19">
        <v>45849.723611111112</v>
      </c>
      <c r="E2082" s="18" t="s">
        <v>10</v>
      </c>
      <c r="F2082" s="18">
        <v>20</v>
      </c>
      <c r="G2082" s="19">
        <v>45912.619444444441</v>
      </c>
      <c r="H2082" s="18" t="s">
        <v>2654</v>
      </c>
      <c r="I2082" s="18" t="s">
        <v>10</v>
      </c>
      <c r="J2082" s="18" t="s">
        <v>4017</v>
      </c>
      <c r="K2082" s="20"/>
    </row>
    <row r="2083" spans="1:11" ht="72.75" thickBot="1">
      <c r="A2083" s="18" t="s">
        <v>6994</v>
      </c>
      <c r="B2083" s="18">
        <v>20025710403</v>
      </c>
      <c r="C2083" s="18" t="s">
        <v>6538</v>
      </c>
      <c r="D2083" s="19">
        <v>45849.731249999997</v>
      </c>
      <c r="E2083" s="18" t="s">
        <v>10</v>
      </c>
      <c r="F2083" s="18">
        <v>20</v>
      </c>
      <c r="G2083" s="18" t="s">
        <v>10</v>
      </c>
      <c r="H2083" s="18" t="s">
        <v>178</v>
      </c>
      <c r="I2083" s="18" t="s">
        <v>10</v>
      </c>
      <c r="J2083" s="18" t="s">
        <v>4017</v>
      </c>
      <c r="K2083" s="20"/>
    </row>
    <row r="2084" spans="1:11" ht="72.75" thickBot="1">
      <c r="A2084" s="18" t="s">
        <v>6995</v>
      </c>
      <c r="B2084" s="18">
        <v>20025928968</v>
      </c>
      <c r="C2084" s="18" t="s">
        <v>6541</v>
      </c>
      <c r="D2084" s="19">
        <v>45849.740972222222</v>
      </c>
      <c r="E2084" s="18" t="s">
        <v>10</v>
      </c>
      <c r="F2084" s="18">
        <v>20</v>
      </c>
      <c r="G2084" s="19">
        <v>45912.619444444441</v>
      </c>
      <c r="H2084" s="18" t="s">
        <v>2654</v>
      </c>
      <c r="I2084" s="18" t="s">
        <v>10</v>
      </c>
      <c r="J2084" s="18" t="s">
        <v>4017</v>
      </c>
      <c r="K2084" s="20"/>
    </row>
    <row r="2085" spans="1:11" ht="36.75" thickBot="1">
      <c r="A2085" s="18" t="s">
        <v>6996</v>
      </c>
      <c r="B2085" s="18">
        <v>20025105256</v>
      </c>
      <c r="C2085" s="18" t="s">
        <v>4245</v>
      </c>
      <c r="D2085" s="19">
        <v>45845.405555555553</v>
      </c>
      <c r="E2085" s="19">
        <v>45850.427777777775</v>
      </c>
      <c r="F2085" s="18">
        <v>50</v>
      </c>
      <c r="G2085" s="19">
        <v>45940.564583333333</v>
      </c>
      <c r="H2085" s="18" t="s">
        <v>2654</v>
      </c>
      <c r="I2085" s="18" t="s">
        <v>10</v>
      </c>
      <c r="J2085" s="18" t="s">
        <v>4017</v>
      </c>
      <c r="K2085" s="20"/>
    </row>
    <row r="2086" spans="1:11" ht="36.75" thickBot="1">
      <c r="A2086" s="18" t="s">
        <v>6997</v>
      </c>
      <c r="B2086" s="18">
        <v>20020345333</v>
      </c>
      <c r="C2086" s="18" t="s">
        <v>4167</v>
      </c>
      <c r="D2086" s="19">
        <v>45850.683333333334</v>
      </c>
      <c r="E2086" s="18" t="s">
        <v>10</v>
      </c>
      <c r="F2086" s="18">
        <v>96</v>
      </c>
      <c r="G2086" s="18" t="s">
        <v>10</v>
      </c>
      <c r="H2086" s="18" t="s">
        <v>178</v>
      </c>
      <c r="I2086" s="18" t="s">
        <v>10</v>
      </c>
      <c r="J2086" s="18" t="s">
        <v>4017</v>
      </c>
      <c r="K2086" s="20"/>
    </row>
    <row r="2087" spans="1:11" ht="54.75" thickBot="1">
      <c r="A2087" s="18" t="s">
        <v>6998</v>
      </c>
      <c r="B2087" s="18">
        <v>20019874767</v>
      </c>
      <c r="C2087" s="18" t="s">
        <v>6999</v>
      </c>
      <c r="D2087" s="19">
        <v>45850.982638888891</v>
      </c>
      <c r="E2087" s="18" t="s">
        <v>10</v>
      </c>
      <c r="F2087" s="18">
        <v>625</v>
      </c>
      <c r="G2087" s="18" t="s">
        <v>10</v>
      </c>
      <c r="H2087" s="18" t="s">
        <v>178</v>
      </c>
      <c r="I2087" s="18" t="s">
        <v>10</v>
      </c>
      <c r="J2087" s="18" t="s">
        <v>4017</v>
      </c>
      <c r="K2087" s="20"/>
    </row>
    <row r="2088" spans="1:11" ht="36.75" thickBot="1">
      <c r="A2088" s="18" t="s">
        <v>7000</v>
      </c>
      <c r="B2088" s="18">
        <v>20022715231</v>
      </c>
      <c r="C2088" s="18" t="s">
        <v>7001</v>
      </c>
      <c r="D2088" s="19">
        <v>45832.464583333334</v>
      </c>
      <c r="E2088" s="19">
        <v>45852.365972222222</v>
      </c>
      <c r="F2088" s="18">
        <v>400</v>
      </c>
      <c r="G2088" s="18" t="s">
        <v>10</v>
      </c>
      <c r="H2088" s="18" t="s">
        <v>189</v>
      </c>
      <c r="I2088" s="18" t="s">
        <v>10</v>
      </c>
      <c r="J2088" s="18" t="s">
        <v>4017</v>
      </c>
      <c r="K2088" s="20"/>
    </row>
    <row r="2089" spans="1:11" ht="36.75" thickBot="1">
      <c r="A2089" s="18" t="s">
        <v>7002</v>
      </c>
      <c r="B2089" s="18">
        <v>20020969856</v>
      </c>
      <c r="C2089" s="18" t="s">
        <v>7003</v>
      </c>
      <c r="D2089" s="19">
        <v>45831.521527777775</v>
      </c>
      <c r="E2089" s="19">
        <v>45852.384722222225</v>
      </c>
      <c r="F2089" s="18">
        <v>300</v>
      </c>
      <c r="G2089" s="18" t="s">
        <v>10</v>
      </c>
      <c r="H2089" s="18" t="s">
        <v>178</v>
      </c>
      <c r="I2089" s="18" t="s">
        <v>10</v>
      </c>
      <c r="J2089" s="18" t="s">
        <v>4017</v>
      </c>
      <c r="K2089" s="20"/>
    </row>
    <row r="2090" spans="1:11" ht="36.75" thickBot="1">
      <c r="A2090" s="18" t="s">
        <v>7004</v>
      </c>
      <c r="B2090" s="18">
        <v>20003276525</v>
      </c>
      <c r="C2090" s="18" t="s">
        <v>5607</v>
      </c>
      <c r="D2090" s="19">
        <v>45764.498611111114</v>
      </c>
      <c r="E2090" s="19">
        <v>45852.40902777778</v>
      </c>
      <c r="F2090" s="18">
        <v>350</v>
      </c>
      <c r="G2090" s="19">
        <v>45867.414583333331</v>
      </c>
      <c r="H2090" s="18" t="s">
        <v>2654</v>
      </c>
      <c r="I2090" s="18" t="s">
        <v>10</v>
      </c>
      <c r="J2090" s="18" t="s">
        <v>4017</v>
      </c>
      <c r="K2090" s="20"/>
    </row>
    <row r="2091" spans="1:11" ht="36.75" thickBot="1">
      <c r="A2091" s="18" t="s">
        <v>7005</v>
      </c>
      <c r="B2091" s="18">
        <v>20002776739</v>
      </c>
      <c r="C2091" s="18" t="s">
        <v>7006</v>
      </c>
      <c r="D2091" s="19">
        <v>45852.472222222219</v>
      </c>
      <c r="E2091" s="18" t="s">
        <v>10</v>
      </c>
      <c r="F2091" s="18">
        <v>100</v>
      </c>
      <c r="G2091" s="18" t="s">
        <v>10</v>
      </c>
      <c r="H2091" s="18" t="s">
        <v>178</v>
      </c>
      <c r="I2091" s="18" t="s">
        <v>10</v>
      </c>
      <c r="J2091" s="18" t="s">
        <v>4017</v>
      </c>
      <c r="K2091" s="20"/>
    </row>
    <row r="2092" spans="1:11" ht="36.75" thickBot="1">
      <c r="A2092" s="18" t="s">
        <v>7007</v>
      </c>
      <c r="B2092" s="18">
        <v>20003194319</v>
      </c>
      <c r="C2092" s="18" t="s">
        <v>7008</v>
      </c>
      <c r="D2092" s="19">
        <v>45852.481249999997</v>
      </c>
      <c r="E2092" s="18" t="s">
        <v>10</v>
      </c>
      <c r="F2092" s="18">
        <v>190</v>
      </c>
      <c r="G2092" s="18" t="s">
        <v>10</v>
      </c>
      <c r="H2092" s="18" t="s">
        <v>178</v>
      </c>
      <c r="I2092" s="18" t="s">
        <v>10</v>
      </c>
      <c r="J2092" s="18" t="s">
        <v>4017</v>
      </c>
      <c r="K2092" s="20"/>
    </row>
    <row r="2093" spans="1:11" ht="72.75" thickBot="1">
      <c r="A2093" s="18" t="s">
        <v>7009</v>
      </c>
      <c r="B2093" s="18">
        <v>20025928969</v>
      </c>
      <c r="C2093" s="18" t="s">
        <v>6545</v>
      </c>
      <c r="D2093" s="19">
        <v>45852.572222222225</v>
      </c>
      <c r="E2093" s="18" t="s">
        <v>10</v>
      </c>
      <c r="F2093" s="18">
        <v>20</v>
      </c>
      <c r="G2093" s="19">
        <v>45912.619444444441</v>
      </c>
      <c r="H2093" s="18" t="s">
        <v>2654</v>
      </c>
      <c r="I2093" s="18" t="s">
        <v>10</v>
      </c>
      <c r="J2093" s="18" t="s">
        <v>4017</v>
      </c>
      <c r="K2093" s="20"/>
    </row>
    <row r="2094" spans="1:11" ht="54.75" thickBot="1">
      <c r="A2094" s="18" t="s">
        <v>7010</v>
      </c>
      <c r="B2094" s="18">
        <v>20025985973</v>
      </c>
      <c r="C2094" s="18" t="s">
        <v>6547</v>
      </c>
      <c r="D2094" s="19">
        <v>45852.577777777777</v>
      </c>
      <c r="E2094" s="18" t="s">
        <v>10</v>
      </c>
      <c r="F2094" s="18">
        <v>20</v>
      </c>
      <c r="G2094" s="19">
        <v>45912.620138888888</v>
      </c>
      <c r="H2094" s="18" t="s">
        <v>2654</v>
      </c>
      <c r="I2094" s="18" t="s">
        <v>10</v>
      </c>
      <c r="J2094" s="18" t="s">
        <v>4017</v>
      </c>
      <c r="K2094" s="20"/>
    </row>
    <row r="2095" spans="1:11" ht="72.75" thickBot="1">
      <c r="A2095" s="18" t="s">
        <v>7011</v>
      </c>
      <c r="B2095" s="18">
        <v>20022636021</v>
      </c>
      <c r="C2095" s="18" t="s">
        <v>7012</v>
      </c>
      <c r="D2095" s="19">
        <v>45850.940972222219</v>
      </c>
      <c r="E2095" s="19">
        <v>45852.584722222222</v>
      </c>
      <c r="F2095" s="18">
        <v>286</v>
      </c>
      <c r="G2095" s="19">
        <v>45891.615972222222</v>
      </c>
      <c r="H2095" s="18" t="s">
        <v>2657</v>
      </c>
      <c r="I2095" s="18" t="s">
        <v>10</v>
      </c>
      <c r="J2095" s="18" t="s">
        <v>4017</v>
      </c>
      <c r="K2095" s="20"/>
    </row>
    <row r="2096" spans="1:11" ht="54.75" thickBot="1">
      <c r="A2096" s="18" t="s">
        <v>7013</v>
      </c>
      <c r="B2096" s="18">
        <v>20024423981</v>
      </c>
      <c r="C2096" s="18" t="s">
        <v>6560</v>
      </c>
      <c r="D2096" s="19">
        <v>45852.586111111108</v>
      </c>
      <c r="E2096" s="18" t="s">
        <v>10</v>
      </c>
      <c r="F2096" s="18">
        <v>15</v>
      </c>
      <c r="G2096" s="19">
        <v>45912.619444444441</v>
      </c>
      <c r="H2096" s="18" t="s">
        <v>2654</v>
      </c>
      <c r="I2096" s="18" t="s">
        <v>10</v>
      </c>
      <c r="J2096" s="18" t="s">
        <v>4017</v>
      </c>
      <c r="K2096" s="20"/>
    </row>
    <row r="2097" spans="1:11" ht="36.75" thickBot="1">
      <c r="A2097" s="18" t="s">
        <v>7014</v>
      </c>
      <c r="B2097" s="18">
        <v>20016676066</v>
      </c>
      <c r="C2097" s="18" t="s">
        <v>6635</v>
      </c>
      <c r="D2097" s="19">
        <v>45852.601388888892</v>
      </c>
      <c r="E2097" s="18" t="s">
        <v>10</v>
      </c>
      <c r="F2097" s="18">
        <v>800</v>
      </c>
      <c r="G2097" s="19">
        <v>45889.545138888891</v>
      </c>
      <c r="H2097" s="18" t="s">
        <v>2654</v>
      </c>
      <c r="I2097" s="18" t="s">
        <v>10</v>
      </c>
      <c r="J2097" s="18" t="s">
        <v>4017</v>
      </c>
      <c r="K2097" s="20"/>
    </row>
    <row r="2098" spans="1:11" ht="72.75" thickBot="1">
      <c r="A2098" s="18" t="s">
        <v>7015</v>
      </c>
      <c r="B2098" s="18">
        <v>20025004687</v>
      </c>
      <c r="C2098" s="18" t="s">
        <v>7016</v>
      </c>
      <c r="D2098" s="19">
        <v>45852.672222222223</v>
      </c>
      <c r="E2098" s="18" t="s">
        <v>10</v>
      </c>
      <c r="F2098" s="18">
        <v>15</v>
      </c>
      <c r="G2098" s="19">
        <v>45912.619444444441</v>
      </c>
      <c r="H2098" s="18" t="s">
        <v>2654</v>
      </c>
      <c r="I2098" s="18" t="s">
        <v>10</v>
      </c>
      <c r="J2098" s="18" t="s">
        <v>4017</v>
      </c>
      <c r="K2098" s="20"/>
    </row>
    <row r="2099" spans="1:11" ht="36.75" thickBot="1">
      <c r="A2099" s="18" t="s">
        <v>7017</v>
      </c>
      <c r="B2099" s="18">
        <v>20003313274</v>
      </c>
      <c r="C2099" s="18" t="s">
        <v>4068</v>
      </c>
      <c r="D2099" s="19">
        <v>45846.497916666667</v>
      </c>
      <c r="E2099" s="19">
        <v>45852.67291666667</v>
      </c>
      <c r="F2099" s="18">
        <v>180</v>
      </c>
      <c r="G2099" s="19">
        <v>45860.473611111112</v>
      </c>
      <c r="H2099" s="18" t="s">
        <v>236</v>
      </c>
      <c r="I2099" s="18" t="s">
        <v>10</v>
      </c>
      <c r="J2099" s="18" t="s">
        <v>4017</v>
      </c>
      <c r="K2099" s="20"/>
    </row>
    <row r="2100" spans="1:11" ht="54.75" thickBot="1">
      <c r="A2100" s="18" t="s">
        <v>7018</v>
      </c>
      <c r="B2100" s="18">
        <v>20025198071</v>
      </c>
      <c r="C2100" s="18" t="s">
        <v>7019</v>
      </c>
      <c r="D2100" s="19">
        <v>45852.701388888891</v>
      </c>
      <c r="E2100" s="18" t="s">
        <v>10</v>
      </c>
      <c r="F2100" s="18">
        <v>15</v>
      </c>
      <c r="G2100" s="19">
        <v>45912.619444444441</v>
      </c>
      <c r="H2100" s="18" t="s">
        <v>2654</v>
      </c>
      <c r="I2100" s="18" t="s">
        <v>10</v>
      </c>
      <c r="J2100" s="18" t="s">
        <v>4017</v>
      </c>
      <c r="K2100" s="20"/>
    </row>
    <row r="2101" spans="1:11" ht="36.75" thickBot="1">
      <c r="A2101" s="18" t="s">
        <v>7020</v>
      </c>
      <c r="B2101" s="18">
        <v>20002943440</v>
      </c>
      <c r="C2101" s="18" t="s">
        <v>7021</v>
      </c>
      <c r="D2101" s="19">
        <v>45841.59652777778</v>
      </c>
      <c r="E2101" s="19">
        <v>45852.704861111109</v>
      </c>
      <c r="F2101" s="18">
        <v>150</v>
      </c>
      <c r="G2101" s="18" t="s">
        <v>10</v>
      </c>
      <c r="H2101" s="18" t="s">
        <v>178</v>
      </c>
      <c r="I2101" s="18" t="s">
        <v>10</v>
      </c>
      <c r="J2101" s="18" t="s">
        <v>4017</v>
      </c>
      <c r="K2101" s="1"/>
    </row>
    <row r="2102" spans="1:11" ht="72.75" thickBot="1">
      <c r="A2102" s="18" t="s">
        <v>7022</v>
      </c>
      <c r="B2102" s="18">
        <v>20025220830</v>
      </c>
      <c r="C2102" s="18" t="s">
        <v>7023</v>
      </c>
      <c r="D2102" s="19">
        <v>45852.71597222222</v>
      </c>
      <c r="E2102" s="18" t="s">
        <v>10</v>
      </c>
      <c r="F2102" s="18">
        <v>15</v>
      </c>
      <c r="G2102" s="19">
        <v>45912.619444444441</v>
      </c>
      <c r="H2102" s="18" t="s">
        <v>2654</v>
      </c>
      <c r="I2102" s="18" t="s">
        <v>10</v>
      </c>
      <c r="J2102" s="18" t="s">
        <v>4017</v>
      </c>
      <c r="K2102" s="20"/>
    </row>
    <row r="2103" spans="1:11" ht="54.75" thickBot="1">
      <c r="A2103" s="18" t="s">
        <v>7024</v>
      </c>
      <c r="B2103" s="18">
        <v>20025220826</v>
      </c>
      <c r="C2103" s="18" t="s">
        <v>7025</v>
      </c>
      <c r="D2103" s="19">
        <v>45852.731249999997</v>
      </c>
      <c r="E2103" s="18" t="s">
        <v>10</v>
      </c>
      <c r="F2103" s="18">
        <v>15</v>
      </c>
      <c r="G2103" s="19">
        <v>45912.619444444441</v>
      </c>
      <c r="H2103" s="18" t="s">
        <v>2654</v>
      </c>
      <c r="I2103" s="18" t="s">
        <v>10</v>
      </c>
      <c r="J2103" s="18" t="s">
        <v>4017</v>
      </c>
      <c r="K2103" s="20"/>
    </row>
    <row r="2104" spans="1:11" ht="36.75" thickBot="1">
      <c r="A2104" s="18" t="s">
        <v>7026</v>
      </c>
      <c r="B2104" s="18">
        <v>20019789766</v>
      </c>
      <c r="C2104" s="18" t="s">
        <v>7027</v>
      </c>
      <c r="D2104" s="19">
        <v>45852.734027777777</v>
      </c>
      <c r="E2104" s="18" t="s">
        <v>10</v>
      </c>
      <c r="F2104" s="18">
        <v>223.2</v>
      </c>
      <c r="G2104" s="18" t="s">
        <v>10</v>
      </c>
      <c r="H2104" s="18" t="s">
        <v>178</v>
      </c>
      <c r="I2104" s="18" t="s">
        <v>10</v>
      </c>
      <c r="J2104" s="18" t="s">
        <v>4017</v>
      </c>
      <c r="K2104" s="20"/>
    </row>
    <row r="2105" spans="1:11" ht="54.75" thickBot="1">
      <c r="A2105" s="18" t="s">
        <v>7028</v>
      </c>
      <c r="B2105" s="18">
        <v>20025479444</v>
      </c>
      <c r="C2105" s="18" t="s">
        <v>7029</v>
      </c>
      <c r="D2105" s="19">
        <v>45852.740972222222</v>
      </c>
      <c r="E2105" s="18" t="s">
        <v>10</v>
      </c>
      <c r="F2105" s="18">
        <v>15</v>
      </c>
      <c r="G2105" s="19">
        <v>45912.619444444441</v>
      </c>
      <c r="H2105" s="18" t="s">
        <v>2654</v>
      </c>
      <c r="I2105" s="18" t="s">
        <v>10</v>
      </c>
      <c r="J2105" s="18" t="s">
        <v>4017</v>
      </c>
      <c r="K2105" s="20"/>
    </row>
    <row r="2106" spans="1:11" ht="54.75" thickBot="1">
      <c r="A2106" s="18" t="s">
        <v>7030</v>
      </c>
      <c r="B2106" s="18">
        <v>20025461183</v>
      </c>
      <c r="C2106" s="18" t="s">
        <v>7031</v>
      </c>
      <c r="D2106" s="19">
        <v>45852.74722222222</v>
      </c>
      <c r="E2106" s="18" t="s">
        <v>10</v>
      </c>
      <c r="F2106" s="18">
        <v>15</v>
      </c>
      <c r="G2106" s="19">
        <v>45912.619444444441</v>
      </c>
      <c r="H2106" s="18" t="s">
        <v>2654</v>
      </c>
      <c r="I2106" s="18" t="s">
        <v>10</v>
      </c>
      <c r="J2106" s="18" t="s">
        <v>4017</v>
      </c>
      <c r="K2106" s="20"/>
    </row>
    <row r="2107" spans="1:11" ht="36.75" thickBot="1">
      <c r="A2107" s="18" t="s">
        <v>7032</v>
      </c>
      <c r="B2107" s="18">
        <v>20003186085</v>
      </c>
      <c r="C2107" s="18" t="s">
        <v>4626</v>
      </c>
      <c r="D2107" s="19">
        <v>45829.670138888891</v>
      </c>
      <c r="E2107" s="19">
        <v>45852.75277777778</v>
      </c>
      <c r="F2107" s="18">
        <v>875</v>
      </c>
      <c r="G2107" s="19">
        <v>45898.555555555555</v>
      </c>
      <c r="H2107" s="18" t="s">
        <v>2654</v>
      </c>
      <c r="I2107" s="18" t="s">
        <v>10</v>
      </c>
      <c r="J2107" s="18" t="s">
        <v>4017</v>
      </c>
      <c r="K2107" s="20"/>
    </row>
    <row r="2108" spans="1:11" ht="36.75" thickBot="1">
      <c r="A2108" s="18" t="s">
        <v>7033</v>
      </c>
      <c r="B2108" s="18">
        <v>20003042988</v>
      </c>
      <c r="C2108" s="18" t="s">
        <v>4415</v>
      </c>
      <c r="D2108" s="19">
        <v>45827.491666666669</v>
      </c>
      <c r="E2108" s="19">
        <v>45853.398611111108</v>
      </c>
      <c r="F2108" s="18">
        <v>350</v>
      </c>
      <c r="G2108" s="19">
        <v>45875.408333333333</v>
      </c>
      <c r="H2108" s="18" t="s">
        <v>2654</v>
      </c>
      <c r="I2108" s="18" t="s">
        <v>10</v>
      </c>
      <c r="J2108" s="18" t="s">
        <v>4017</v>
      </c>
      <c r="K2108" s="20"/>
    </row>
    <row r="2109" spans="1:11" ht="72.75" thickBot="1">
      <c r="A2109" s="18" t="s">
        <v>7034</v>
      </c>
      <c r="B2109" s="18">
        <v>20025529086</v>
      </c>
      <c r="C2109" s="18" t="s">
        <v>7035</v>
      </c>
      <c r="D2109" s="19">
        <v>45853.423611111109</v>
      </c>
      <c r="E2109" s="18" t="s">
        <v>10</v>
      </c>
      <c r="F2109" s="18">
        <v>15</v>
      </c>
      <c r="G2109" s="19">
        <v>45912.619444444441</v>
      </c>
      <c r="H2109" s="18" t="s">
        <v>2654</v>
      </c>
      <c r="I2109" s="18" t="s">
        <v>10</v>
      </c>
      <c r="J2109" s="18" t="s">
        <v>4017</v>
      </c>
      <c r="K2109" s="20"/>
    </row>
    <row r="2110" spans="1:11" ht="72.75" thickBot="1">
      <c r="A2110" s="18" t="s">
        <v>7036</v>
      </c>
      <c r="B2110" s="18">
        <v>20025714389</v>
      </c>
      <c r="C2110" s="18" t="s">
        <v>7037</v>
      </c>
      <c r="D2110" s="19">
        <v>45853.429861111108</v>
      </c>
      <c r="E2110" s="18" t="s">
        <v>10</v>
      </c>
      <c r="F2110" s="18">
        <v>15</v>
      </c>
      <c r="G2110" s="19">
        <v>45912.619444444441</v>
      </c>
      <c r="H2110" s="18" t="s">
        <v>2654</v>
      </c>
      <c r="I2110" s="18" t="s">
        <v>10</v>
      </c>
      <c r="J2110" s="18" t="s">
        <v>4017</v>
      </c>
      <c r="K2110" s="20"/>
    </row>
    <row r="2111" spans="1:11" ht="72.75" thickBot="1">
      <c r="A2111" s="18" t="s">
        <v>7038</v>
      </c>
      <c r="B2111" s="18">
        <v>20025710403</v>
      </c>
      <c r="C2111" s="18" t="s">
        <v>6538</v>
      </c>
      <c r="D2111" s="19">
        <v>45853.443055555559</v>
      </c>
      <c r="E2111" s="18" t="s">
        <v>10</v>
      </c>
      <c r="F2111" s="18">
        <v>20</v>
      </c>
      <c r="G2111" s="19">
        <v>45912.619444444441</v>
      </c>
      <c r="H2111" s="18" t="s">
        <v>2654</v>
      </c>
      <c r="I2111" s="18" t="s">
        <v>10</v>
      </c>
      <c r="J2111" s="18" t="s">
        <v>4017</v>
      </c>
      <c r="K2111" s="20"/>
    </row>
    <row r="2112" spans="1:11" ht="54.75" thickBot="1">
      <c r="A2112" s="18" t="s">
        <v>7039</v>
      </c>
      <c r="B2112" s="18">
        <v>20028194278</v>
      </c>
      <c r="C2112" s="18" t="s">
        <v>7040</v>
      </c>
      <c r="D2112" s="19">
        <v>45815.695138888892</v>
      </c>
      <c r="E2112" s="19">
        <v>45853.486805555556</v>
      </c>
      <c r="F2112" s="18">
        <v>700</v>
      </c>
      <c r="G2112" s="18" t="s">
        <v>10</v>
      </c>
      <c r="H2112" s="18" t="s">
        <v>178</v>
      </c>
      <c r="I2112" s="18" t="s">
        <v>10</v>
      </c>
      <c r="J2112" s="18" t="s">
        <v>4017</v>
      </c>
      <c r="K2112" s="20"/>
    </row>
    <row r="2113" spans="1:11" ht="36.75" thickBot="1">
      <c r="A2113" s="18" t="s">
        <v>7041</v>
      </c>
      <c r="B2113" s="18">
        <v>20003458055</v>
      </c>
      <c r="C2113" s="18" t="s">
        <v>7042</v>
      </c>
      <c r="D2113" s="19">
        <v>45850.723611111112</v>
      </c>
      <c r="E2113" s="19">
        <v>45853.561805555553</v>
      </c>
      <c r="F2113" s="18">
        <v>100</v>
      </c>
      <c r="G2113" s="18" t="s">
        <v>10</v>
      </c>
      <c r="H2113" s="18" t="s">
        <v>178</v>
      </c>
      <c r="I2113" s="18" t="s">
        <v>10</v>
      </c>
      <c r="J2113" s="18" t="s">
        <v>4017</v>
      </c>
      <c r="K2113" s="20"/>
    </row>
    <row r="2114" spans="1:11" ht="36.75" thickBot="1">
      <c r="A2114" s="18" t="s">
        <v>7043</v>
      </c>
      <c r="B2114" s="18">
        <v>20019588861</v>
      </c>
      <c r="C2114" s="18" t="s">
        <v>4542</v>
      </c>
      <c r="D2114" s="19">
        <v>45852.453472222223</v>
      </c>
      <c r="E2114" s="19">
        <v>45853.59375</v>
      </c>
      <c r="F2114" s="18">
        <v>200</v>
      </c>
      <c r="G2114" s="19">
        <v>45860.474999999999</v>
      </c>
      <c r="H2114" s="18" t="s">
        <v>2654</v>
      </c>
      <c r="I2114" s="18" t="s">
        <v>10</v>
      </c>
      <c r="J2114" s="18" t="s">
        <v>4017</v>
      </c>
      <c r="K2114" s="20"/>
    </row>
    <row r="2115" spans="1:11" ht="36.75" thickBot="1">
      <c r="A2115" s="18" t="s">
        <v>7044</v>
      </c>
      <c r="B2115" s="18">
        <v>20021581390</v>
      </c>
      <c r="C2115" s="18" t="s">
        <v>7045</v>
      </c>
      <c r="D2115" s="19">
        <v>45838.606249999997</v>
      </c>
      <c r="E2115" s="19">
        <v>45853.620833333334</v>
      </c>
      <c r="F2115" s="18">
        <v>575</v>
      </c>
      <c r="G2115" s="19">
        <v>45870.384722222225</v>
      </c>
      <c r="H2115" s="18" t="s">
        <v>2654</v>
      </c>
      <c r="I2115" s="18" t="s">
        <v>10</v>
      </c>
      <c r="J2115" s="18" t="s">
        <v>4017</v>
      </c>
      <c r="K2115" s="20"/>
    </row>
    <row r="2116" spans="1:11" ht="36.75" thickBot="1">
      <c r="A2116" s="18" t="s">
        <v>7046</v>
      </c>
      <c r="B2116" s="18">
        <v>20002853805</v>
      </c>
      <c r="C2116" s="18" t="s">
        <v>7047</v>
      </c>
      <c r="D2116" s="19">
        <v>45853.65902777778</v>
      </c>
      <c r="E2116" s="18" t="s">
        <v>10</v>
      </c>
      <c r="F2116" s="18">
        <v>100</v>
      </c>
      <c r="G2116" s="18" t="s">
        <v>10</v>
      </c>
      <c r="H2116" s="18" t="s">
        <v>178</v>
      </c>
      <c r="I2116" s="18" t="s">
        <v>10</v>
      </c>
      <c r="J2116" s="18" t="s">
        <v>4017</v>
      </c>
      <c r="K2116" s="20"/>
    </row>
    <row r="2117" spans="1:11" ht="54.75" thickBot="1">
      <c r="A2117" s="18" t="s">
        <v>7048</v>
      </c>
      <c r="B2117" s="18">
        <v>20003160152</v>
      </c>
      <c r="C2117" s="18" t="s">
        <v>6155</v>
      </c>
      <c r="D2117" s="19">
        <v>45835.643750000003</v>
      </c>
      <c r="E2117" s="19">
        <v>45853.725694444445</v>
      </c>
      <c r="F2117" s="18">
        <v>950</v>
      </c>
      <c r="G2117" s="19">
        <v>45947.643750000003</v>
      </c>
      <c r="H2117" s="18" t="s">
        <v>2654</v>
      </c>
      <c r="I2117" s="18" t="s">
        <v>10</v>
      </c>
      <c r="J2117" s="18" t="s">
        <v>4017</v>
      </c>
      <c r="K2117" s="20"/>
    </row>
    <row r="2118" spans="1:11" ht="36.75" thickBot="1">
      <c r="A2118" s="18" t="s">
        <v>7049</v>
      </c>
      <c r="B2118" s="18">
        <v>20002724836</v>
      </c>
      <c r="C2118" s="18" t="s">
        <v>7050</v>
      </c>
      <c r="D2118" s="19">
        <v>45854.377083333333</v>
      </c>
      <c r="E2118" s="18" t="s">
        <v>10</v>
      </c>
      <c r="F2118" s="18">
        <v>20</v>
      </c>
      <c r="G2118" s="18" t="s">
        <v>10</v>
      </c>
      <c r="H2118" s="18" t="s">
        <v>178</v>
      </c>
      <c r="I2118" s="18" t="s">
        <v>10</v>
      </c>
      <c r="J2118" s="18" t="s">
        <v>4017</v>
      </c>
      <c r="K2118" s="20"/>
    </row>
    <row r="2119" spans="1:11" ht="72.75" thickBot="1">
      <c r="A2119" s="18" t="s">
        <v>7051</v>
      </c>
      <c r="B2119" s="18">
        <v>20025940589</v>
      </c>
      <c r="C2119" s="18" t="s">
        <v>6543</v>
      </c>
      <c r="D2119" s="19">
        <v>45852.497916666667</v>
      </c>
      <c r="E2119" s="19">
        <v>45854.413888888892</v>
      </c>
      <c r="F2119" s="18">
        <v>20</v>
      </c>
      <c r="G2119" s="19">
        <v>45912.619444444441</v>
      </c>
      <c r="H2119" s="18" t="s">
        <v>2654</v>
      </c>
      <c r="I2119" s="18" t="s">
        <v>10</v>
      </c>
      <c r="J2119" s="18" t="s">
        <v>4017</v>
      </c>
      <c r="K2119" s="20"/>
    </row>
    <row r="2120" spans="1:11" ht="36.75" thickBot="1">
      <c r="A2120" s="18" t="s">
        <v>7052</v>
      </c>
      <c r="B2120" s="18">
        <v>20020694800</v>
      </c>
      <c r="C2120" s="18" t="s">
        <v>6323</v>
      </c>
      <c r="D2120" s="19">
        <v>45821.490277777775</v>
      </c>
      <c r="E2120" s="19">
        <v>45854.415277777778</v>
      </c>
      <c r="F2120" s="18">
        <v>50</v>
      </c>
      <c r="G2120" s="18" t="s">
        <v>10</v>
      </c>
      <c r="H2120" s="18" t="s">
        <v>178</v>
      </c>
      <c r="I2120" s="18" t="s">
        <v>10</v>
      </c>
      <c r="J2120" s="18" t="s">
        <v>4017</v>
      </c>
      <c r="K2120" s="20"/>
    </row>
    <row r="2121" spans="1:11" ht="36.75" thickBot="1">
      <c r="A2121" s="18" t="s">
        <v>7053</v>
      </c>
      <c r="B2121" s="18">
        <v>20003194319</v>
      </c>
      <c r="C2121" s="18" t="s">
        <v>7008</v>
      </c>
      <c r="D2121" s="19">
        <v>45854.420138888891</v>
      </c>
      <c r="E2121" s="18" t="s">
        <v>10</v>
      </c>
      <c r="F2121" s="18">
        <v>190</v>
      </c>
      <c r="G2121" s="19">
        <v>45856.568749999999</v>
      </c>
      <c r="H2121" s="18" t="s">
        <v>236</v>
      </c>
      <c r="I2121" s="18" t="s">
        <v>10</v>
      </c>
      <c r="J2121" s="18" t="s">
        <v>4017</v>
      </c>
      <c r="K2121" s="20"/>
    </row>
    <row r="2122" spans="1:11" ht="54.75" thickBot="1">
      <c r="A2122" s="18" t="s">
        <v>7054</v>
      </c>
      <c r="B2122" s="18">
        <v>20024866401</v>
      </c>
      <c r="C2122" s="18" t="s">
        <v>6562</v>
      </c>
      <c r="D2122" s="19">
        <v>45852.601388888892</v>
      </c>
      <c r="E2122" s="19">
        <v>45854.429861111108</v>
      </c>
      <c r="F2122" s="18">
        <v>15</v>
      </c>
      <c r="G2122" s="19">
        <v>45912.619444444441</v>
      </c>
      <c r="H2122" s="18" t="s">
        <v>2654</v>
      </c>
      <c r="I2122" s="18" t="s">
        <v>10</v>
      </c>
      <c r="J2122" s="18" t="s">
        <v>4017</v>
      </c>
      <c r="K2122" s="20"/>
    </row>
    <row r="2123" spans="1:11" ht="72.75" thickBot="1">
      <c r="A2123" s="18" t="s">
        <v>7055</v>
      </c>
      <c r="B2123" s="18">
        <v>20024956316</v>
      </c>
      <c r="C2123" s="18" t="s">
        <v>6564</v>
      </c>
      <c r="D2123" s="19">
        <v>45852.634722222225</v>
      </c>
      <c r="E2123" s="19">
        <v>45854.431250000001</v>
      </c>
      <c r="F2123" s="18">
        <v>15</v>
      </c>
      <c r="G2123" s="19">
        <v>45912.619444444441</v>
      </c>
      <c r="H2123" s="18" t="s">
        <v>2654</v>
      </c>
      <c r="I2123" s="18" t="s">
        <v>10</v>
      </c>
      <c r="J2123" s="18" t="s">
        <v>4017</v>
      </c>
      <c r="K2123" s="20"/>
    </row>
    <row r="2124" spans="1:11" ht="72.75" thickBot="1">
      <c r="A2124" s="18" t="s">
        <v>7056</v>
      </c>
      <c r="B2124" s="18">
        <v>20024956318</v>
      </c>
      <c r="C2124" s="18" t="s">
        <v>7057</v>
      </c>
      <c r="D2124" s="19">
        <v>45852.661111111112</v>
      </c>
      <c r="E2124" s="19">
        <v>45854.431944444441</v>
      </c>
      <c r="F2124" s="18">
        <v>15</v>
      </c>
      <c r="G2124" s="19">
        <v>45912.619444444441</v>
      </c>
      <c r="H2124" s="18" t="s">
        <v>2654</v>
      </c>
      <c r="I2124" s="18" t="s">
        <v>10</v>
      </c>
      <c r="J2124" s="18" t="s">
        <v>4017</v>
      </c>
      <c r="K2124" s="20"/>
    </row>
    <row r="2125" spans="1:11" ht="54.75" thickBot="1">
      <c r="A2125" s="18" t="s">
        <v>7058</v>
      </c>
      <c r="B2125" s="18">
        <v>20025054846</v>
      </c>
      <c r="C2125" s="18" t="s">
        <v>7059</v>
      </c>
      <c r="D2125" s="19">
        <v>45852.679166666669</v>
      </c>
      <c r="E2125" s="19">
        <v>45854.43472222222</v>
      </c>
      <c r="F2125" s="18">
        <v>15</v>
      </c>
      <c r="G2125" s="19">
        <v>45912.619444444441</v>
      </c>
      <c r="H2125" s="18" t="s">
        <v>2654</v>
      </c>
      <c r="I2125" s="18" t="s">
        <v>10</v>
      </c>
      <c r="J2125" s="18" t="s">
        <v>4017</v>
      </c>
      <c r="K2125" s="20"/>
    </row>
    <row r="2126" spans="1:11" ht="72.75" thickBot="1">
      <c r="A2126" s="18" t="s">
        <v>7060</v>
      </c>
      <c r="B2126" s="18">
        <v>20025134649</v>
      </c>
      <c r="C2126" s="18" t="s">
        <v>7061</v>
      </c>
      <c r="D2126" s="19">
        <v>45852.694444444445</v>
      </c>
      <c r="E2126" s="19">
        <v>45854.435416666667</v>
      </c>
      <c r="F2126" s="18">
        <v>15</v>
      </c>
      <c r="G2126" s="19">
        <v>45912.619444444441</v>
      </c>
      <c r="H2126" s="18" t="s">
        <v>2654</v>
      </c>
      <c r="I2126" s="18" t="s">
        <v>10</v>
      </c>
      <c r="J2126" s="18" t="s">
        <v>4017</v>
      </c>
      <c r="K2126" s="20"/>
    </row>
    <row r="2127" spans="1:11" ht="54.75" thickBot="1">
      <c r="A2127" s="18" t="s">
        <v>7062</v>
      </c>
      <c r="B2127" s="18">
        <v>20025200800</v>
      </c>
      <c r="C2127" s="18" t="s">
        <v>7063</v>
      </c>
      <c r="D2127" s="19">
        <v>45852.708333333336</v>
      </c>
      <c r="E2127" s="19">
        <v>45854.436805555553</v>
      </c>
      <c r="F2127" s="18">
        <v>15</v>
      </c>
      <c r="G2127" s="19">
        <v>45912.619444444441</v>
      </c>
      <c r="H2127" s="18" t="s">
        <v>2654</v>
      </c>
      <c r="I2127" s="18" t="s">
        <v>10</v>
      </c>
      <c r="J2127" s="18" t="s">
        <v>4017</v>
      </c>
      <c r="K2127" s="20"/>
    </row>
    <row r="2128" spans="1:11" ht="54.75" thickBot="1">
      <c r="A2128" s="18" t="s">
        <v>7064</v>
      </c>
      <c r="B2128" s="18">
        <v>20025736829</v>
      </c>
      <c r="C2128" s="18" t="s">
        <v>7065</v>
      </c>
      <c r="D2128" s="19">
        <v>45853.436111111114</v>
      </c>
      <c r="E2128" s="19">
        <v>45854.438194444447</v>
      </c>
      <c r="F2128" s="18">
        <v>15</v>
      </c>
      <c r="G2128" s="19">
        <v>45912.619444444441</v>
      </c>
      <c r="H2128" s="18" t="s">
        <v>2654</v>
      </c>
      <c r="I2128" s="18" t="s">
        <v>10</v>
      </c>
      <c r="J2128" s="18" t="s">
        <v>4017</v>
      </c>
      <c r="K2128" s="20"/>
    </row>
    <row r="2129" spans="1:11" ht="36.75" thickBot="1">
      <c r="A2129" s="18" t="s">
        <v>7066</v>
      </c>
      <c r="B2129" s="18">
        <v>20024513515</v>
      </c>
      <c r="C2129" s="18" t="s">
        <v>7021</v>
      </c>
      <c r="D2129" s="19">
        <v>45841.644444444442</v>
      </c>
      <c r="E2129" s="19">
        <v>45854.469444444447</v>
      </c>
      <c r="F2129" s="18">
        <v>200</v>
      </c>
      <c r="G2129" s="19">
        <v>45925.443055555559</v>
      </c>
      <c r="H2129" s="18" t="s">
        <v>2654</v>
      </c>
      <c r="I2129" s="18" t="s">
        <v>10</v>
      </c>
      <c r="J2129" s="18" t="s">
        <v>4017</v>
      </c>
      <c r="K2129" s="20"/>
    </row>
    <row r="2130" spans="1:11" ht="36.75" thickBot="1">
      <c r="A2130" s="18" t="s">
        <v>7067</v>
      </c>
      <c r="B2130" s="18">
        <v>20002943440</v>
      </c>
      <c r="C2130" s="18" t="s">
        <v>7021</v>
      </c>
      <c r="D2130" s="19">
        <v>45853.447222222225</v>
      </c>
      <c r="E2130" s="19">
        <v>45854.478472222225</v>
      </c>
      <c r="F2130" s="18">
        <v>150</v>
      </c>
      <c r="G2130" s="19">
        <v>45947.418749999997</v>
      </c>
      <c r="H2130" s="18" t="s">
        <v>2654</v>
      </c>
      <c r="I2130" s="18" t="s">
        <v>10</v>
      </c>
      <c r="J2130" s="18" t="s">
        <v>4017</v>
      </c>
      <c r="K2130" s="20"/>
    </row>
    <row r="2131" spans="1:11" ht="36.75" thickBot="1">
      <c r="A2131" s="18" t="s">
        <v>7068</v>
      </c>
      <c r="B2131" s="18">
        <v>20022437329</v>
      </c>
      <c r="C2131" s="18" t="s">
        <v>4544</v>
      </c>
      <c r="D2131" s="19">
        <v>45854.588888888888</v>
      </c>
      <c r="E2131" s="18" t="s">
        <v>10</v>
      </c>
      <c r="F2131" s="18">
        <v>300</v>
      </c>
      <c r="G2131" s="19">
        <v>45868.415277777778</v>
      </c>
      <c r="H2131" s="18" t="s">
        <v>2654</v>
      </c>
      <c r="I2131" s="18" t="s">
        <v>10</v>
      </c>
      <c r="J2131" s="18" t="s">
        <v>4017</v>
      </c>
      <c r="K2131" s="20"/>
    </row>
    <row r="2132" spans="1:11" ht="36.75" thickBot="1">
      <c r="A2132" s="18" t="s">
        <v>7069</v>
      </c>
      <c r="B2132" s="18">
        <v>20017843273</v>
      </c>
      <c r="C2132" s="18" t="s">
        <v>4544</v>
      </c>
      <c r="D2132" s="19">
        <v>45854.609027777777</v>
      </c>
      <c r="E2132" s="18" t="s">
        <v>10</v>
      </c>
      <c r="F2132" s="18">
        <v>425</v>
      </c>
      <c r="G2132" s="19">
        <v>45868.415277777778</v>
      </c>
      <c r="H2132" s="18" t="s">
        <v>2654</v>
      </c>
      <c r="I2132" s="18" t="s">
        <v>10</v>
      </c>
      <c r="J2132" s="18" t="s">
        <v>4017</v>
      </c>
      <c r="K2132" s="20"/>
    </row>
    <row r="2133" spans="1:11" ht="72.75" thickBot="1">
      <c r="A2133" s="18" t="s">
        <v>7070</v>
      </c>
      <c r="B2133" s="18">
        <v>20028489392</v>
      </c>
      <c r="C2133" s="18" t="s">
        <v>7071</v>
      </c>
      <c r="D2133" s="19">
        <v>45854.65347222222</v>
      </c>
      <c r="E2133" s="18" t="s">
        <v>10</v>
      </c>
      <c r="F2133" s="18">
        <v>550</v>
      </c>
      <c r="G2133" s="18" t="s">
        <v>10</v>
      </c>
      <c r="H2133" s="18" t="s">
        <v>178</v>
      </c>
      <c r="I2133" s="18" t="s">
        <v>10</v>
      </c>
      <c r="J2133" s="18" t="s">
        <v>4017</v>
      </c>
      <c r="K2133" s="20"/>
    </row>
    <row r="2134" spans="1:11" ht="36.75" thickBot="1">
      <c r="A2134" s="18" t="s">
        <v>7072</v>
      </c>
      <c r="B2134" s="18">
        <v>20002914592</v>
      </c>
      <c r="C2134" s="18" t="s">
        <v>6711</v>
      </c>
      <c r="D2134" s="19">
        <v>45854.675000000003</v>
      </c>
      <c r="E2134" s="18" t="s">
        <v>10</v>
      </c>
      <c r="F2134" s="18">
        <v>100</v>
      </c>
      <c r="G2134" s="19">
        <v>45859.551388888889</v>
      </c>
      <c r="H2134" s="18" t="s">
        <v>2654</v>
      </c>
      <c r="I2134" s="18" t="s">
        <v>10</v>
      </c>
      <c r="J2134" s="18" t="s">
        <v>4017</v>
      </c>
      <c r="K2134" s="20"/>
    </row>
    <row r="2135" spans="1:11" ht="36.75" thickBot="1">
      <c r="A2135" s="18" t="s">
        <v>7073</v>
      </c>
      <c r="B2135" s="18">
        <v>20003447944</v>
      </c>
      <c r="C2135" s="18" t="s">
        <v>6475</v>
      </c>
      <c r="D2135" s="19">
        <v>45821.756249999999</v>
      </c>
      <c r="E2135" s="19">
        <v>45854.683333333334</v>
      </c>
      <c r="F2135" s="18">
        <v>300</v>
      </c>
      <c r="G2135" s="19">
        <v>45863.561111111114</v>
      </c>
      <c r="H2135" s="18" t="s">
        <v>2654</v>
      </c>
      <c r="I2135" s="18" t="s">
        <v>10</v>
      </c>
      <c r="J2135" s="18" t="s">
        <v>4017</v>
      </c>
      <c r="K2135" s="20"/>
    </row>
    <row r="2136" spans="1:11" ht="36.75" thickBot="1">
      <c r="A2136" s="18" t="s">
        <v>7074</v>
      </c>
      <c r="B2136" s="18">
        <v>20025844718</v>
      </c>
      <c r="C2136" s="18" t="s">
        <v>7075</v>
      </c>
      <c r="D2136" s="19">
        <v>45855.127083333333</v>
      </c>
      <c r="E2136" s="18" t="s">
        <v>10</v>
      </c>
      <c r="F2136" s="18">
        <v>250</v>
      </c>
      <c r="G2136" s="18" t="s">
        <v>10</v>
      </c>
      <c r="H2136" s="18" t="s">
        <v>178</v>
      </c>
      <c r="I2136" s="18" t="s">
        <v>10</v>
      </c>
      <c r="J2136" s="18" t="s">
        <v>4017</v>
      </c>
      <c r="K2136" s="20"/>
    </row>
    <row r="2137" spans="1:11" ht="36.75" thickBot="1">
      <c r="A2137" s="18" t="s">
        <v>7076</v>
      </c>
      <c r="B2137" s="18">
        <v>20003294835</v>
      </c>
      <c r="C2137" s="18" t="s">
        <v>6336</v>
      </c>
      <c r="D2137" s="19">
        <v>45855.339583333334</v>
      </c>
      <c r="E2137" s="18" t="s">
        <v>10</v>
      </c>
      <c r="F2137" s="18">
        <v>50</v>
      </c>
      <c r="G2137" s="18" t="s">
        <v>10</v>
      </c>
      <c r="H2137" s="18" t="s">
        <v>178</v>
      </c>
      <c r="I2137" s="18" t="s">
        <v>10</v>
      </c>
      <c r="J2137" s="18" t="s">
        <v>4017</v>
      </c>
      <c r="K2137" s="20"/>
    </row>
    <row r="2138" spans="1:11" ht="36.75" thickBot="1">
      <c r="A2138" s="18" t="s">
        <v>7077</v>
      </c>
      <c r="B2138" s="18">
        <v>20003035844</v>
      </c>
      <c r="C2138" s="18" t="s">
        <v>6659</v>
      </c>
      <c r="D2138" s="19">
        <v>45834.702777777777</v>
      </c>
      <c r="E2138" s="19">
        <v>45855.394444444442</v>
      </c>
      <c r="F2138" s="18">
        <v>450</v>
      </c>
      <c r="G2138" s="19">
        <v>45859.605555555558</v>
      </c>
      <c r="H2138" s="18" t="s">
        <v>2654</v>
      </c>
      <c r="I2138" s="18" t="s">
        <v>10</v>
      </c>
      <c r="J2138" s="18" t="s">
        <v>4017</v>
      </c>
      <c r="K2138" s="20"/>
    </row>
    <row r="2139" spans="1:11" ht="36.75" thickBot="1">
      <c r="A2139" s="18" t="s">
        <v>7078</v>
      </c>
      <c r="B2139" s="18">
        <v>20003513276</v>
      </c>
      <c r="C2139" s="18" t="s">
        <v>7079</v>
      </c>
      <c r="D2139" s="19">
        <v>45855.434027777781</v>
      </c>
      <c r="E2139" s="18" t="s">
        <v>10</v>
      </c>
      <c r="F2139" s="18">
        <v>30</v>
      </c>
      <c r="G2139" s="18" t="s">
        <v>10</v>
      </c>
      <c r="H2139" s="18" t="s">
        <v>178</v>
      </c>
      <c r="I2139" s="18" t="s">
        <v>10</v>
      </c>
      <c r="J2139" s="18" t="s">
        <v>4017</v>
      </c>
      <c r="K2139" s="20"/>
    </row>
    <row r="2140" spans="1:11" ht="36.75" thickBot="1">
      <c r="A2140" s="18" t="s">
        <v>7080</v>
      </c>
      <c r="B2140" s="18">
        <v>20025492757</v>
      </c>
      <c r="C2140" s="18" t="s">
        <v>7081</v>
      </c>
      <c r="D2140" s="19">
        <v>45855.447916666664</v>
      </c>
      <c r="E2140" s="18" t="s">
        <v>10</v>
      </c>
      <c r="F2140" s="18">
        <v>820</v>
      </c>
      <c r="G2140" s="18" t="s">
        <v>10</v>
      </c>
      <c r="H2140" s="18" t="s">
        <v>178</v>
      </c>
      <c r="I2140" s="18" t="s">
        <v>10</v>
      </c>
      <c r="J2140" s="18" t="s">
        <v>4017</v>
      </c>
      <c r="K2140" s="20"/>
    </row>
    <row r="2141" spans="1:11" ht="54.75" thickBot="1">
      <c r="A2141" s="18" t="s">
        <v>7082</v>
      </c>
      <c r="B2141" s="18">
        <v>20003171610</v>
      </c>
      <c r="C2141" s="18" t="s">
        <v>5850</v>
      </c>
      <c r="D2141" s="19">
        <v>45831.762499999997</v>
      </c>
      <c r="E2141" s="19">
        <v>45855.459722222222</v>
      </c>
      <c r="F2141" s="18">
        <v>810</v>
      </c>
      <c r="G2141" s="19">
        <v>45877.463194444441</v>
      </c>
      <c r="H2141" s="18" t="s">
        <v>2654</v>
      </c>
      <c r="I2141" s="18" t="s">
        <v>10</v>
      </c>
      <c r="J2141" s="18" t="s">
        <v>4017</v>
      </c>
      <c r="K2141" s="20"/>
    </row>
    <row r="2142" spans="1:11" ht="36.75" thickBot="1">
      <c r="A2142" s="18" t="s">
        <v>7083</v>
      </c>
      <c r="B2142" s="18">
        <v>20019115235</v>
      </c>
      <c r="C2142" s="18" t="s">
        <v>7084</v>
      </c>
      <c r="D2142" s="19">
        <v>45854.861111111109</v>
      </c>
      <c r="E2142" s="19">
        <v>45855.547222222223</v>
      </c>
      <c r="F2142" s="18">
        <v>100</v>
      </c>
      <c r="G2142" s="19">
        <v>45859.545138888891</v>
      </c>
      <c r="H2142" s="18" t="s">
        <v>236</v>
      </c>
      <c r="I2142" s="18" t="s">
        <v>10</v>
      </c>
      <c r="J2142" s="18" t="s">
        <v>4017</v>
      </c>
      <c r="K2142" s="20"/>
    </row>
    <row r="2143" spans="1:11" ht="36.75" thickBot="1">
      <c r="A2143" s="18" t="s">
        <v>7085</v>
      </c>
      <c r="B2143" s="18">
        <v>20028661474</v>
      </c>
      <c r="C2143" s="18" t="s">
        <v>7086</v>
      </c>
      <c r="D2143" s="19">
        <v>45842.683333333334</v>
      </c>
      <c r="E2143" s="19">
        <v>45855.584027777775</v>
      </c>
      <c r="F2143" s="18">
        <v>30</v>
      </c>
      <c r="G2143" s="19">
        <v>45884.55972222222</v>
      </c>
      <c r="H2143" s="18" t="s">
        <v>236</v>
      </c>
      <c r="I2143" s="18" t="s">
        <v>10</v>
      </c>
      <c r="J2143" s="18" t="s">
        <v>4017</v>
      </c>
      <c r="K2143" s="20"/>
    </row>
    <row r="2144" spans="1:11" ht="54.75" thickBot="1">
      <c r="A2144" s="18" t="s">
        <v>7087</v>
      </c>
      <c r="B2144" s="18">
        <v>20027382778</v>
      </c>
      <c r="C2144" s="18" t="s">
        <v>7088</v>
      </c>
      <c r="D2144" s="19">
        <v>45854.626388888886</v>
      </c>
      <c r="E2144" s="19">
        <v>45855.594444444447</v>
      </c>
      <c r="F2144" s="18">
        <v>30</v>
      </c>
      <c r="G2144" s="19">
        <v>45883.556250000001</v>
      </c>
      <c r="H2144" s="18" t="s">
        <v>2654</v>
      </c>
      <c r="I2144" s="18" t="s">
        <v>10</v>
      </c>
      <c r="J2144" s="18" t="s">
        <v>4017</v>
      </c>
      <c r="K2144" s="20"/>
    </row>
    <row r="2145" spans="1:11" ht="36.75" thickBot="1">
      <c r="A2145" s="18" t="s">
        <v>7089</v>
      </c>
      <c r="B2145" s="18">
        <v>20026216664</v>
      </c>
      <c r="C2145" s="18" t="s">
        <v>7090</v>
      </c>
      <c r="D2145" s="19">
        <v>45853.521527777775</v>
      </c>
      <c r="E2145" s="19">
        <v>45855.752083333333</v>
      </c>
      <c r="F2145" s="18">
        <v>50</v>
      </c>
      <c r="G2145" s="19">
        <v>45867.576388888891</v>
      </c>
      <c r="H2145" s="18" t="s">
        <v>236</v>
      </c>
      <c r="I2145" s="18" t="s">
        <v>10</v>
      </c>
      <c r="J2145" s="18" t="s">
        <v>4017</v>
      </c>
      <c r="K2145" s="20"/>
    </row>
    <row r="2146" spans="1:11" ht="36.75" thickBot="1">
      <c r="A2146" s="18" t="s">
        <v>7091</v>
      </c>
      <c r="B2146" s="18">
        <v>20003560253</v>
      </c>
      <c r="C2146" s="18" t="s">
        <v>6140</v>
      </c>
      <c r="D2146" s="19">
        <v>45755.493055555555</v>
      </c>
      <c r="E2146" s="19">
        <v>45856.482638888891</v>
      </c>
      <c r="F2146" s="18">
        <v>600</v>
      </c>
      <c r="G2146" s="19">
        <v>45873.388888888891</v>
      </c>
      <c r="H2146" s="18" t="s">
        <v>2654</v>
      </c>
      <c r="I2146" s="18" t="s">
        <v>10</v>
      </c>
      <c r="J2146" s="18" t="s">
        <v>4017</v>
      </c>
      <c r="K2146" s="20"/>
    </row>
    <row r="2147" spans="1:11" ht="72.75" thickBot="1">
      <c r="A2147" s="18" t="s">
        <v>7092</v>
      </c>
      <c r="B2147" s="18">
        <v>20003197029</v>
      </c>
      <c r="C2147" s="18" t="s">
        <v>5524</v>
      </c>
      <c r="D2147" s="19">
        <v>45855.720833333333</v>
      </c>
      <c r="E2147" s="19">
        <v>45856.570138888892</v>
      </c>
      <c r="F2147" s="18">
        <v>120</v>
      </c>
      <c r="G2147" s="19">
        <v>45868.387499999997</v>
      </c>
      <c r="H2147" s="18" t="s">
        <v>2688</v>
      </c>
      <c r="I2147" s="18" t="s">
        <v>10</v>
      </c>
      <c r="J2147" s="18" t="s">
        <v>4017</v>
      </c>
      <c r="K2147" s="20"/>
    </row>
    <row r="2148" spans="1:11" ht="36.75" thickBot="1">
      <c r="A2148" s="18" t="s">
        <v>7093</v>
      </c>
      <c r="B2148" s="18">
        <v>20025993428</v>
      </c>
      <c r="C2148" s="18" t="s">
        <v>4542</v>
      </c>
      <c r="D2148" s="19">
        <v>45852.467361111114</v>
      </c>
      <c r="E2148" s="19">
        <v>45856.584027777775</v>
      </c>
      <c r="F2148" s="18">
        <v>90</v>
      </c>
      <c r="G2148" s="19">
        <v>45870.611111111109</v>
      </c>
      <c r="H2148" s="18" t="s">
        <v>2654</v>
      </c>
      <c r="I2148" s="18" t="s">
        <v>10</v>
      </c>
      <c r="J2148" s="18" t="s">
        <v>4017</v>
      </c>
      <c r="K2148" s="20"/>
    </row>
    <row r="2149" spans="1:11" ht="36.75" thickBot="1">
      <c r="A2149" s="18" t="s">
        <v>7094</v>
      </c>
      <c r="B2149" s="18">
        <v>20019622628</v>
      </c>
      <c r="C2149" s="18" t="s">
        <v>4424</v>
      </c>
      <c r="D2149" s="19">
        <v>45824.682638888888</v>
      </c>
      <c r="E2149" s="19">
        <v>45856.709722222222</v>
      </c>
      <c r="F2149" s="18">
        <v>550</v>
      </c>
      <c r="G2149" s="19">
        <v>45870.61041666667</v>
      </c>
      <c r="H2149" s="18" t="s">
        <v>2654</v>
      </c>
      <c r="I2149" s="18" t="s">
        <v>10</v>
      </c>
      <c r="J2149" s="18" t="s">
        <v>4017</v>
      </c>
      <c r="K2149" s="20"/>
    </row>
    <row r="2150" spans="1:11" ht="36.75" thickBot="1">
      <c r="A2150" s="18" t="s">
        <v>7095</v>
      </c>
      <c r="B2150" s="18">
        <v>20003233807</v>
      </c>
      <c r="C2150" s="18" t="s">
        <v>6057</v>
      </c>
      <c r="D2150" s="19">
        <v>45770.425694444442</v>
      </c>
      <c r="E2150" s="19">
        <v>45857.447916666664</v>
      </c>
      <c r="F2150" s="18">
        <v>450</v>
      </c>
      <c r="G2150" s="19">
        <v>45924.598611111112</v>
      </c>
      <c r="H2150" s="18" t="s">
        <v>2654</v>
      </c>
      <c r="I2150" s="18" t="s">
        <v>10</v>
      </c>
      <c r="J2150" s="18" t="s">
        <v>4017</v>
      </c>
      <c r="K2150" s="20"/>
    </row>
    <row r="2151" spans="1:11" ht="72.75" thickBot="1">
      <c r="A2151" s="18" t="s">
        <v>7096</v>
      </c>
      <c r="B2151" s="18">
        <v>20003237556</v>
      </c>
      <c r="C2151" s="18" t="s">
        <v>6084</v>
      </c>
      <c r="D2151" s="19">
        <v>45857.901388888888</v>
      </c>
      <c r="E2151" s="18" t="s">
        <v>10</v>
      </c>
      <c r="F2151" s="18">
        <v>150</v>
      </c>
      <c r="G2151" s="19">
        <v>45891.615972222222</v>
      </c>
      <c r="H2151" s="18" t="s">
        <v>2657</v>
      </c>
      <c r="I2151" s="18" t="s">
        <v>10</v>
      </c>
      <c r="J2151" s="18" t="s">
        <v>4017</v>
      </c>
      <c r="K2151" s="20"/>
    </row>
    <row r="2152" spans="1:11" ht="36.75" thickBot="1">
      <c r="A2152" s="18" t="s">
        <v>7097</v>
      </c>
      <c r="B2152" s="18">
        <v>20026593487</v>
      </c>
      <c r="C2152" s="18" t="s">
        <v>7098</v>
      </c>
      <c r="D2152" s="19">
        <v>45859.493055555555</v>
      </c>
      <c r="E2152" s="18" t="s">
        <v>10</v>
      </c>
      <c r="F2152" s="18">
        <v>450</v>
      </c>
      <c r="G2152" s="18" t="s">
        <v>10</v>
      </c>
      <c r="H2152" s="18" t="s">
        <v>178</v>
      </c>
      <c r="I2152" s="18" t="s">
        <v>10</v>
      </c>
      <c r="J2152" s="18" t="s">
        <v>4017</v>
      </c>
      <c r="K2152" s="20"/>
    </row>
    <row r="2153" spans="1:11" ht="36.75" thickBot="1">
      <c r="A2153" s="18" t="s">
        <v>7099</v>
      </c>
      <c r="B2153" s="18">
        <v>20003162600</v>
      </c>
      <c r="C2153" s="18" t="s">
        <v>4107</v>
      </c>
      <c r="D2153" s="19">
        <v>45859.555555555555</v>
      </c>
      <c r="E2153" s="18" t="s">
        <v>10</v>
      </c>
      <c r="F2153" s="18">
        <v>900</v>
      </c>
      <c r="G2153" s="18" t="s">
        <v>10</v>
      </c>
      <c r="H2153" s="18" t="s">
        <v>178</v>
      </c>
      <c r="I2153" s="18" t="s">
        <v>10</v>
      </c>
      <c r="J2153" s="18" t="s">
        <v>4017</v>
      </c>
      <c r="K2153" s="20"/>
    </row>
    <row r="2154" spans="1:11" ht="36.75" thickBot="1">
      <c r="A2154" s="18" t="s">
        <v>7100</v>
      </c>
      <c r="B2154" s="18">
        <v>20024008421</v>
      </c>
      <c r="C2154" s="18" t="s">
        <v>7101</v>
      </c>
      <c r="D2154" s="19">
        <v>45859.570833333331</v>
      </c>
      <c r="E2154" s="18" t="s">
        <v>10</v>
      </c>
      <c r="F2154" s="18">
        <v>180</v>
      </c>
      <c r="G2154" s="18" t="s">
        <v>10</v>
      </c>
      <c r="H2154" s="18" t="s">
        <v>178</v>
      </c>
      <c r="I2154" s="18" t="s">
        <v>10</v>
      </c>
      <c r="J2154" s="18" t="s">
        <v>4017</v>
      </c>
      <c r="K2154" s="20"/>
    </row>
    <row r="2155" spans="1:11" ht="36.75" thickBot="1">
      <c r="A2155" s="18" t="s">
        <v>7102</v>
      </c>
      <c r="B2155" s="18">
        <v>20003284093</v>
      </c>
      <c r="C2155" s="18" t="s">
        <v>6243</v>
      </c>
      <c r="D2155" s="19">
        <v>45859.668749999997</v>
      </c>
      <c r="E2155" s="18" t="s">
        <v>10</v>
      </c>
      <c r="F2155" s="18">
        <v>800</v>
      </c>
      <c r="G2155" s="18" t="s">
        <v>10</v>
      </c>
      <c r="H2155" s="18" t="s">
        <v>178</v>
      </c>
      <c r="I2155" s="18" t="s">
        <v>10</v>
      </c>
      <c r="J2155" s="18" t="s">
        <v>4017</v>
      </c>
      <c r="K2155" s="20"/>
    </row>
    <row r="2156" spans="1:11" ht="36.75" thickBot="1">
      <c r="A2156" s="18" t="s">
        <v>7103</v>
      </c>
      <c r="B2156" s="18">
        <v>20003190479</v>
      </c>
      <c r="C2156" s="18" t="s">
        <v>7104</v>
      </c>
      <c r="D2156" s="19">
        <v>45859.71597222222</v>
      </c>
      <c r="E2156" s="18" t="s">
        <v>10</v>
      </c>
      <c r="F2156" s="18">
        <v>170</v>
      </c>
      <c r="G2156" s="19">
        <v>45861.62777777778</v>
      </c>
      <c r="H2156" s="18" t="s">
        <v>236</v>
      </c>
      <c r="I2156" s="18" t="s">
        <v>10</v>
      </c>
      <c r="J2156" s="18" t="s">
        <v>4017</v>
      </c>
      <c r="K2156" s="20"/>
    </row>
    <row r="2157" spans="1:11" ht="36.75" thickBot="1">
      <c r="A2157" s="18" t="s">
        <v>7105</v>
      </c>
      <c r="B2157" s="18">
        <v>20026491303</v>
      </c>
      <c r="C2157" s="18" t="s">
        <v>6672</v>
      </c>
      <c r="D2157" s="19">
        <v>45845.710416666669</v>
      </c>
      <c r="E2157" s="19">
        <v>45859.793055555558</v>
      </c>
      <c r="F2157" s="18">
        <v>30</v>
      </c>
      <c r="G2157" s="19">
        <v>45888.804861111108</v>
      </c>
      <c r="H2157" s="18" t="s">
        <v>236</v>
      </c>
      <c r="I2157" s="18" t="s">
        <v>10</v>
      </c>
      <c r="J2157" s="18" t="s">
        <v>4017</v>
      </c>
      <c r="K2157" s="20"/>
    </row>
    <row r="2158" spans="1:11" ht="36.75" thickBot="1">
      <c r="A2158" s="18" t="s">
        <v>7106</v>
      </c>
      <c r="B2158" s="18">
        <v>20028350372</v>
      </c>
      <c r="C2158" s="18" t="s">
        <v>1836</v>
      </c>
      <c r="D2158" s="19">
        <v>45857</v>
      </c>
      <c r="E2158" s="19">
        <v>45859.85833333333</v>
      </c>
      <c r="F2158" s="18">
        <v>30</v>
      </c>
      <c r="G2158" s="18" t="s">
        <v>10</v>
      </c>
      <c r="H2158" s="18" t="s">
        <v>189</v>
      </c>
      <c r="I2158" s="18" t="s">
        <v>10</v>
      </c>
      <c r="J2158" s="18" t="s">
        <v>4017</v>
      </c>
      <c r="K2158" s="20"/>
    </row>
    <row r="2159" spans="1:11" ht="36.75" thickBot="1">
      <c r="A2159" s="18" t="s">
        <v>7107</v>
      </c>
      <c r="B2159" s="18">
        <v>20028371313</v>
      </c>
      <c r="C2159" s="18" t="s">
        <v>1836</v>
      </c>
      <c r="D2159" s="19">
        <v>45856.673611111109</v>
      </c>
      <c r="E2159" s="19">
        <v>45859.859027777777</v>
      </c>
      <c r="F2159" s="18">
        <v>30</v>
      </c>
      <c r="G2159" s="18" t="s">
        <v>10</v>
      </c>
      <c r="H2159" s="18" t="s">
        <v>189</v>
      </c>
      <c r="I2159" s="18" t="s">
        <v>10</v>
      </c>
      <c r="J2159" s="18" t="s">
        <v>4017</v>
      </c>
      <c r="K2159" s="20"/>
    </row>
    <row r="2160" spans="1:11" ht="36.75" thickBot="1">
      <c r="A2160" s="18" t="s">
        <v>7108</v>
      </c>
      <c r="B2160" s="18">
        <v>20028405171</v>
      </c>
      <c r="C2160" s="18" t="s">
        <v>1836</v>
      </c>
      <c r="D2160" s="19">
        <v>45856.868750000001</v>
      </c>
      <c r="E2160" s="19">
        <v>45859.859027777777</v>
      </c>
      <c r="F2160" s="18">
        <v>30</v>
      </c>
      <c r="G2160" s="18" t="s">
        <v>10</v>
      </c>
      <c r="H2160" s="18" t="s">
        <v>189</v>
      </c>
      <c r="I2160" s="18" t="s">
        <v>10</v>
      </c>
      <c r="J2160" s="18" t="s">
        <v>4017</v>
      </c>
      <c r="K2160" s="20"/>
    </row>
    <row r="2161" spans="1:11" ht="36.75" thickBot="1">
      <c r="A2161" s="18" t="s">
        <v>7109</v>
      </c>
      <c r="B2161" s="18">
        <v>20028367961</v>
      </c>
      <c r="C2161" s="18" t="s">
        <v>1836</v>
      </c>
      <c r="D2161" s="19">
        <v>45856.896527777775</v>
      </c>
      <c r="E2161" s="19">
        <v>45859.859722222223</v>
      </c>
      <c r="F2161" s="18">
        <v>30</v>
      </c>
      <c r="G2161" s="18" t="s">
        <v>10</v>
      </c>
      <c r="H2161" s="18" t="s">
        <v>189</v>
      </c>
      <c r="I2161" s="18" t="s">
        <v>10</v>
      </c>
      <c r="J2161" s="18" t="s">
        <v>4017</v>
      </c>
      <c r="K2161" s="20"/>
    </row>
    <row r="2162" spans="1:11" ht="36.75" thickBot="1">
      <c r="A2162" s="18" t="s">
        <v>7110</v>
      </c>
      <c r="B2162" s="18">
        <v>20028257667</v>
      </c>
      <c r="C2162" s="18" t="s">
        <v>1836</v>
      </c>
      <c r="D2162" s="19">
        <v>45856.951388888891</v>
      </c>
      <c r="E2162" s="19">
        <v>45859.86041666667</v>
      </c>
      <c r="F2162" s="18">
        <v>30</v>
      </c>
      <c r="G2162" s="18" t="s">
        <v>10</v>
      </c>
      <c r="H2162" s="18" t="s">
        <v>189</v>
      </c>
      <c r="I2162" s="18" t="s">
        <v>10</v>
      </c>
      <c r="J2162" s="18" t="s">
        <v>4017</v>
      </c>
      <c r="K2162" s="20"/>
    </row>
    <row r="2163" spans="1:11" ht="36.75" thickBot="1">
      <c r="A2163" s="18" t="s">
        <v>7111</v>
      </c>
      <c r="B2163" s="18">
        <v>20028480842</v>
      </c>
      <c r="C2163" s="18" t="s">
        <v>1836</v>
      </c>
      <c r="D2163" s="19">
        <v>45858.915277777778</v>
      </c>
      <c r="E2163" s="19">
        <v>45859.861805555556</v>
      </c>
      <c r="F2163" s="18">
        <v>30</v>
      </c>
      <c r="G2163" s="18" t="s">
        <v>10</v>
      </c>
      <c r="H2163" s="18" t="s">
        <v>189</v>
      </c>
      <c r="I2163" s="18" t="s">
        <v>10</v>
      </c>
      <c r="J2163" s="18" t="s">
        <v>4017</v>
      </c>
      <c r="K2163" s="20"/>
    </row>
    <row r="2164" spans="1:11" ht="72.75" thickBot="1">
      <c r="A2164" s="18" t="s">
        <v>7112</v>
      </c>
      <c r="B2164" s="18">
        <v>20003494356</v>
      </c>
      <c r="C2164" s="18" t="s">
        <v>7113</v>
      </c>
      <c r="D2164" s="19">
        <v>45853.82916666667</v>
      </c>
      <c r="E2164" s="19">
        <v>45859.943055555559</v>
      </c>
      <c r="F2164" s="18">
        <v>500</v>
      </c>
      <c r="G2164" s="19">
        <v>45861.512499999997</v>
      </c>
      <c r="H2164" s="18" t="s">
        <v>2688</v>
      </c>
      <c r="I2164" s="18" t="s">
        <v>10</v>
      </c>
      <c r="J2164" s="18" t="s">
        <v>4017</v>
      </c>
      <c r="K2164" s="20"/>
    </row>
    <row r="2165" spans="1:11" ht="36.75" thickBot="1">
      <c r="A2165" s="18" t="s">
        <v>7114</v>
      </c>
      <c r="B2165" s="18">
        <v>20003495789</v>
      </c>
      <c r="C2165" s="18" t="s">
        <v>7115</v>
      </c>
      <c r="D2165" s="19">
        <v>45859.572222222225</v>
      </c>
      <c r="E2165" s="19">
        <v>45860.345833333333</v>
      </c>
      <c r="F2165" s="18">
        <v>30</v>
      </c>
      <c r="G2165" s="19">
        <v>45884.643750000003</v>
      </c>
      <c r="H2165" s="18" t="s">
        <v>236</v>
      </c>
      <c r="I2165" s="18" t="s">
        <v>10</v>
      </c>
      <c r="J2165" s="18" t="s">
        <v>4017</v>
      </c>
      <c r="K2165" s="20"/>
    </row>
    <row r="2166" spans="1:11" ht="36.75" thickBot="1">
      <c r="A2166" s="18" t="s">
        <v>7116</v>
      </c>
      <c r="B2166" s="18">
        <v>20018330639</v>
      </c>
      <c r="C2166" s="18" t="s">
        <v>5294</v>
      </c>
      <c r="D2166" s="19">
        <v>45840.552083333336</v>
      </c>
      <c r="E2166" s="19">
        <v>45860.419444444444</v>
      </c>
      <c r="F2166" s="18">
        <v>125</v>
      </c>
      <c r="G2166" s="19">
        <v>45888.427777777775</v>
      </c>
      <c r="H2166" s="18" t="s">
        <v>236</v>
      </c>
      <c r="I2166" s="18" t="s">
        <v>10</v>
      </c>
      <c r="J2166" s="18" t="s">
        <v>4017</v>
      </c>
      <c r="K2166" s="20"/>
    </row>
    <row r="2167" spans="1:11" ht="36.75" thickBot="1">
      <c r="A2167" s="18" t="s">
        <v>7117</v>
      </c>
      <c r="B2167" s="18">
        <v>20027136189</v>
      </c>
      <c r="C2167" s="18" t="s">
        <v>4603</v>
      </c>
      <c r="D2167" s="19">
        <v>45860.463194444441</v>
      </c>
      <c r="E2167" s="18" t="s">
        <v>10</v>
      </c>
      <c r="F2167" s="18">
        <v>600</v>
      </c>
      <c r="G2167" s="18" t="s">
        <v>10</v>
      </c>
      <c r="H2167" s="18" t="s">
        <v>178</v>
      </c>
      <c r="I2167" s="18" t="s">
        <v>10</v>
      </c>
      <c r="J2167" s="18" t="s">
        <v>4017</v>
      </c>
      <c r="K2167" s="20"/>
    </row>
    <row r="2168" spans="1:11" ht="36.75" thickBot="1">
      <c r="A2168" s="18" t="s">
        <v>7118</v>
      </c>
      <c r="B2168" s="18">
        <v>20025223213</v>
      </c>
      <c r="C2168" s="18" t="s">
        <v>5653</v>
      </c>
      <c r="D2168" s="19">
        <v>45860.606249999997</v>
      </c>
      <c r="E2168" s="18" t="s">
        <v>10</v>
      </c>
      <c r="F2168" s="18">
        <v>45</v>
      </c>
      <c r="G2168" s="18" t="s">
        <v>10</v>
      </c>
      <c r="H2168" s="18" t="s">
        <v>178</v>
      </c>
      <c r="I2168" s="18" t="s">
        <v>10</v>
      </c>
      <c r="J2168" s="18" t="s">
        <v>4017</v>
      </c>
      <c r="K2168" s="20"/>
    </row>
    <row r="2169" spans="1:11" ht="36.75" thickBot="1">
      <c r="A2169" s="18" t="s">
        <v>7119</v>
      </c>
      <c r="B2169" s="18">
        <v>20003485927</v>
      </c>
      <c r="C2169" s="18" t="s">
        <v>6057</v>
      </c>
      <c r="D2169" s="19">
        <v>45752.643750000003</v>
      </c>
      <c r="E2169" s="19">
        <v>45860.711805555555</v>
      </c>
      <c r="F2169" s="18">
        <v>400</v>
      </c>
      <c r="G2169" s="19">
        <v>45924.598611111112</v>
      </c>
      <c r="H2169" s="18" t="s">
        <v>236</v>
      </c>
      <c r="I2169" s="18" t="s">
        <v>10</v>
      </c>
      <c r="J2169" s="18" t="s">
        <v>4017</v>
      </c>
      <c r="K2169" s="20"/>
    </row>
    <row r="2170" spans="1:11" ht="36.75" thickBot="1">
      <c r="A2170" s="18" t="s">
        <v>7120</v>
      </c>
      <c r="B2170" s="18">
        <v>20027714510</v>
      </c>
      <c r="C2170" s="18" t="s">
        <v>7121</v>
      </c>
      <c r="D2170" s="19">
        <v>45856.070833333331</v>
      </c>
      <c r="E2170" s="19">
        <v>45860.9</v>
      </c>
      <c r="F2170" s="18">
        <v>250</v>
      </c>
      <c r="G2170" s="19">
        <v>45883.454861111109</v>
      </c>
      <c r="H2170" s="18" t="s">
        <v>2654</v>
      </c>
      <c r="I2170" s="18" t="s">
        <v>10</v>
      </c>
      <c r="J2170" s="18" t="s">
        <v>4017</v>
      </c>
      <c r="K2170" s="20"/>
    </row>
    <row r="2171" spans="1:11" ht="36.75" thickBot="1">
      <c r="A2171" s="18" t="s">
        <v>7122</v>
      </c>
      <c r="B2171" s="18">
        <v>20025844718</v>
      </c>
      <c r="C2171" s="18" t="s">
        <v>7075</v>
      </c>
      <c r="D2171" s="19">
        <v>45855.786111111112</v>
      </c>
      <c r="E2171" s="19">
        <v>45860.90625</v>
      </c>
      <c r="F2171" s="18">
        <v>250</v>
      </c>
      <c r="G2171" s="19">
        <v>45869.444444444445</v>
      </c>
      <c r="H2171" s="18" t="s">
        <v>2654</v>
      </c>
      <c r="I2171" s="18" t="s">
        <v>10</v>
      </c>
      <c r="J2171" s="18" t="s">
        <v>4017</v>
      </c>
      <c r="K2171" s="20"/>
    </row>
    <row r="2172" spans="1:11" ht="36.75" thickBot="1">
      <c r="A2172" s="18" t="s">
        <v>7123</v>
      </c>
      <c r="B2172" s="18">
        <v>20003408773</v>
      </c>
      <c r="C2172" s="18" t="s">
        <v>7124</v>
      </c>
      <c r="D2172" s="19">
        <v>45860.955555555556</v>
      </c>
      <c r="E2172" s="18" t="s">
        <v>10</v>
      </c>
      <c r="F2172" s="18">
        <v>150</v>
      </c>
      <c r="G2172" s="18" t="s">
        <v>10</v>
      </c>
      <c r="H2172" s="18" t="s">
        <v>178</v>
      </c>
      <c r="I2172" s="18" t="s">
        <v>10</v>
      </c>
      <c r="J2172" s="18" t="s">
        <v>4017</v>
      </c>
      <c r="K2172" s="20"/>
    </row>
    <row r="2173" spans="1:11" ht="36.75" thickBot="1">
      <c r="A2173" s="18" t="s">
        <v>7125</v>
      </c>
      <c r="B2173" s="18">
        <v>20028430465</v>
      </c>
      <c r="C2173" s="18" t="s">
        <v>1836</v>
      </c>
      <c r="D2173" s="19">
        <v>45860.993750000001</v>
      </c>
      <c r="E2173" s="19">
        <v>45861.446527777778</v>
      </c>
      <c r="F2173" s="18">
        <v>30</v>
      </c>
      <c r="G2173" s="18" t="s">
        <v>10</v>
      </c>
      <c r="H2173" s="18" t="s">
        <v>189</v>
      </c>
      <c r="I2173" s="18" t="s">
        <v>10</v>
      </c>
      <c r="J2173" s="18" t="s">
        <v>4017</v>
      </c>
      <c r="K2173" s="20"/>
    </row>
    <row r="2174" spans="1:11" ht="72.75" thickBot="1">
      <c r="A2174" s="18" t="s">
        <v>7126</v>
      </c>
      <c r="B2174" s="18">
        <v>20016878393</v>
      </c>
      <c r="C2174" s="18" t="s">
        <v>7127</v>
      </c>
      <c r="D2174" s="19">
        <v>45852.729861111111</v>
      </c>
      <c r="E2174" s="19">
        <v>45861.488194444442</v>
      </c>
      <c r="F2174" s="18">
        <v>30</v>
      </c>
      <c r="G2174" s="19">
        <v>45890.472916666666</v>
      </c>
      <c r="H2174" s="18" t="s">
        <v>2688</v>
      </c>
      <c r="I2174" s="18" t="s">
        <v>10</v>
      </c>
      <c r="J2174" s="18" t="s">
        <v>4017</v>
      </c>
      <c r="K2174" s="20"/>
    </row>
    <row r="2175" spans="1:11" ht="36.75" thickBot="1">
      <c r="A2175" s="18" t="s">
        <v>7128</v>
      </c>
      <c r="B2175" s="18">
        <v>20018272384</v>
      </c>
      <c r="C2175" s="18" t="s">
        <v>7129</v>
      </c>
      <c r="D2175" s="19">
        <v>45861.568055555559</v>
      </c>
      <c r="E2175" s="18" t="s">
        <v>10</v>
      </c>
      <c r="F2175" s="18">
        <v>100</v>
      </c>
      <c r="G2175" s="19">
        <v>45884.644444444442</v>
      </c>
      <c r="H2175" s="18" t="s">
        <v>236</v>
      </c>
      <c r="I2175" s="18" t="s">
        <v>10</v>
      </c>
      <c r="J2175" s="18" t="s">
        <v>4017</v>
      </c>
      <c r="K2175" s="20"/>
    </row>
    <row r="2176" spans="1:11" ht="36.75" thickBot="1">
      <c r="A2176" s="18" t="s">
        <v>7130</v>
      </c>
      <c r="B2176" s="18">
        <v>20017477868</v>
      </c>
      <c r="C2176" s="18" t="s">
        <v>4806</v>
      </c>
      <c r="D2176" s="19">
        <v>45841.636805555558</v>
      </c>
      <c r="E2176" s="19">
        <v>45861.635416666664</v>
      </c>
      <c r="F2176" s="18">
        <v>200</v>
      </c>
      <c r="G2176" s="19">
        <v>45877.395833333336</v>
      </c>
      <c r="H2176" s="18" t="s">
        <v>2654</v>
      </c>
      <c r="I2176" s="18" t="s">
        <v>10</v>
      </c>
      <c r="J2176" s="18" t="s">
        <v>4017</v>
      </c>
      <c r="K2176" s="20"/>
    </row>
    <row r="2177" spans="1:11" ht="36.75" thickBot="1">
      <c r="A2177" s="18" t="s">
        <v>7131</v>
      </c>
      <c r="B2177" s="18">
        <v>20028242432</v>
      </c>
      <c r="C2177" s="18" t="s">
        <v>7132</v>
      </c>
      <c r="D2177" s="19">
        <v>45860.70208333333</v>
      </c>
      <c r="E2177" s="19">
        <v>45862.49722222222</v>
      </c>
      <c r="F2177" s="18">
        <v>150</v>
      </c>
      <c r="G2177" s="19">
        <v>45867.381249999999</v>
      </c>
      <c r="H2177" s="18" t="s">
        <v>236</v>
      </c>
      <c r="I2177" s="18" t="s">
        <v>10</v>
      </c>
      <c r="J2177" s="18" t="s">
        <v>4017</v>
      </c>
      <c r="K2177" s="20"/>
    </row>
    <row r="2178" spans="1:11" ht="36.75" thickBot="1">
      <c r="A2178" s="18" t="s">
        <v>7133</v>
      </c>
      <c r="B2178" s="18">
        <v>20003357862</v>
      </c>
      <c r="C2178" s="18" t="s">
        <v>4260</v>
      </c>
      <c r="D2178" s="19">
        <v>45845.581944444442</v>
      </c>
      <c r="E2178" s="19">
        <v>45862.603472222225</v>
      </c>
      <c r="F2178" s="18">
        <v>50</v>
      </c>
      <c r="G2178" s="19">
        <v>45919.588888888888</v>
      </c>
      <c r="H2178" s="18" t="s">
        <v>2654</v>
      </c>
      <c r="I2178" s="18" t="s">
        <v>10</v>
      </c>
      <c r="J2178" s="18" t="s">
        <v>4017</v>
      </c>
      <c r="K2178" s="20"/>
    </row>
    <row r="2179" spans="1:11" ht="36.75" thickBot="1">
      <c r="A2179" s="18" t="s">
        <v>7134</v>
      </c>
      <c r="B2179" s="18">
        <v>20003447346</v>
      </c>
      <c r="C2179" s="18" t="s">
        <v>5874</v>
      </c>
      <c r="D2179" s="19">
        <v>45841.741666666669</v>
      </c>
      <c r="E2179" s="19">
        <v>45862.609722222223</v>
      </c>
      <c r="F2179" s="18">
        <v>300</v>
      </c>
      <c r="G2179" s="19">
        <v>45877.377083333333</v>
      </c>
      <c r="H2179" s="18" t="s">
        <v>2654</v>
      </c>
      <c r="I2179" s="18" t="s">
        <v>10</v>
      </c>
      <c r="J2179" s="18" t="s">
        <v>4017</v>
      </c>
      <c r="K2179" s="20"/>
    </row>
    <row r="2180" spans="1:11" ht="36.75" thickBot="1">
      <c r="A2180" s="18" t="s">
        <v>7135</v>
      </c>
      <c r="B2180" s="18">
        <v>20003108483</v>
      </c>
      <c r="C2180" s="18" t="s">
        <v>4256</v>
      </c>
      <c r="D2180" s="19">
        <v>45845.496527777781</v>
      </c>
      <c r="E2180" s="19">
        <v>45862.61041666667</v>
      </c>
      <c r="F2180" s="18">
        <v>100</v>
      </c>
      <c r="G2180" s="19">
        <v>45919.588888888888</v>
      </c>
      <c r="H2180" s="18" t="s">
        <v>2654</v>
      </c>
      <c r="I2180" s="18" t="s">
        <v>10</v>
      </c>
      <c r="J2180" s="18" t="s">
        <v>4017</v>
      </c>
      <c r="K2180" s="20"/>
    </row>
    <row r="2181" spans="1:11" ht="36.75" thickBot="1">
      <c r="A2181" s="18" t="s">
        <v>7136</v>
      </c>
      <c r="B2181" s="18">
        <v>20028525872</v>
      </c>
      <c r="C2181" s="18" t="s">
        <v>7137</v>
      </c>
      <c r="D2181" s="19">
        <v>45862.667361111111</v>
      </c>
      <c r="E2181" s="18" t="s">
        <v>10</v>
      </c>
      <c r="F2181" s="18">
        <v>50</v>
      </c>
      <c r="G2181" s="18" t="s">
        <v>10</v>
      </c>
      <c r="H2181" s="18" t="s">
        <v>178</v>
      </c>
      <c r="I2181" s="18" t="s">
        <v>10</v>
      </c>
      <c r="J2181" s="18" t="s">
        <v>4017</v>
      </c>
      <c r="K2181" s="20"/>
    </row>
    <row r="2182" spans="1:11" ht="54.75" thickBot="1">
      <c r="A2182" s="18" t="s">
        <v>7138</v>
      </c>
      <c r="B2182" s="18">
        <v>20025849607</v>
      </c>
      <c r="C2182" s="18" t="s">
        <v>7139</v>
      </c>
      <c r="D2182" s="19">
        <v>45862.697222222225</v>
      </c>
      <c r="E2182" s="18" t="s">
        <v>10</v>
      </c>
      <c r="F2182" s="18">
        <v>190</v>
      </c>
      <c r="G2182" s="18" t="s">
        <v>10</v>
      </c>
      <c r="H2182" s="18" t="s">
        <v>178</v>
      </c>
      <c r="I2182" s="18" t="s">
        <v>10</v>
      </c>
      <c r="J2182" s="18" t="s">
        <v>4017</v>
      </c>
      <c r="K2182" s="20"/>
    </row>
    <row r="2183" spans="1:11" ht="36.75" thickBot="1">
      <c r="A2183" s="18" t="s">
        <v>7140</v>
      </c>
      <c r="B2183" s="18">
        <v>20026003767</v>
      </c>
      <c r="C2183" s="18" t="s">
        <v>7141</v>
      </c>
      <c r="D2183" s="19">
        <v>45862.709027777775</v>
      </c>
      <c r="E2183" s="18" t="s">
        <v>10</v>
      </c>
      <c r="F2183" s="18">
        <v>186</v>
      </c>
      <c r="G2183" s="18" t="s">
        <v>10</v>
      </c>
      <c r="H2183" s="18" t="s">
        <v>178</v>
      </c>
      <c r="I2183" s="18" t="s">
        <v>10</v>
      </c>
      <c r="J2183" s="18" t="s">
        <v>4017</v>
      </c>
      <c r="K2183" s="20"/>
    </row>
    <row r="2184" spans="1:11" ht="36.75" thickBot="1">
      <c r="A2184" s="18" t="s">
        <v>7142</v>
      </c>
      <c r="B2184" s="18">
        <v>20027310971</v>
      </c>
      <c r="C2184" s="18" t="s">
        <v>6566</v>
      </c>
      <c r="D2184" s="19">
        <v>45845.606249999997</v>
      </c>
      <c r="E2184" s="19">
        <v>45863.435416666667</v>
      </c>
      <c r="F2184" s="18">
        <v>700</v>
      </c>
      <c r="G2184" s="19">
        <v>45890.388194444444</v>
      </c>
      <c r="H2184" s="18" t="s">
        <v>2654</v>
      </c>
      <c r="I2184" s="18" t="s">
        <v>10</v>
      </c>
      <c r="J2184" s="18" t="s">
        <v>4017</v>
      </c>
      <c r="K2184" s="20"/>
    </row>
    <row r="2185" spans="1:11" ht="36.75" thickBot="1">
      <c r="A2185" s="18" t="s">
        <v>7143</v>
      </c>
      <c r="B2185" s="18">
        <v>20026739668</v>
      </c>
      <c r="C2185" s="18" t="s">
        <v>4260</v>
      </c>
      <c r="D2185" s="19">
        <v>45845.590277777781</v>
      </c>
      <c r="E2185" s="19">
        <v>45863.618055555555</v>
      </c>
      <c r="F2185" s="18">
        <v>200</v>
      </c>
      <c r="G2185" s="19">
        <v>45919.588888888888</v>
      </c>
      <c r="H2185" s="18" t="s">
        <v>2654</v>
      </c>
      <c r="I2185" s="18" t="s">
        <v>10</v>
      </c>
      <c r="J2185" s="18" t="s">
        <v>4017</v>
      </c>
      <c r="K2185" s="20"/>
    </row>
    <row r="2186" spans="1:11" ht="36.75" thickBot="1">
      <c r="A2186" s="18" t="s">
        <v>7144</v>
      </c>
      <c r="B2186" s="18">
        <v>20023728032</v>
      </c>
      <c r="C2186" s="18" t="s">
        <v>4074</v>
      </c>
      <c r="D2186" s="19">
        <v>45849.429861111108</v>
      </c>
      <c r="E2186" s="19">
        <v>45863.632638888892</v>
      </c>
      <c r="F2186" s="18">
        <v>30</v>
      </c>
      <c r="G2186" s="18" t="s">
        <v>10</v>
      </c>
      <c r="H2186" s="18" t="s">
        <v>189</v>
      </c>
      <c r="I2186" s="18" t="s">
        <v>10</v>
      </c>
      <c r="J2186" s="18" t="s">
        <v>4017</v>
      </c>
      <c r="K2186" s="20"/>
    </row>
    <row r="2187" spans="1:11" ht="36.75" thickBot="1">
      <c r="A2187" s="18" t="s">
        <v>7145</v>
      </c>
      <c r="B2187" s="18">
        <v>20003468065</v>
      </c>
      <c r="C2187" s="18" t="s">
        <v>6345</v>
      </c>
      <c r="D2187" s="19">
        <v>45840.595833333333</v>
      </c>
      <c r="E2187" s="19">
        <v>45863.654861111114</v>
      </c>
      <c r="F2187" s="18">
        <v>100</v>
      </c>
      <c r="G2187" s="18" t="s">
        <v>10</v>
      </c>
      <c r="H2187" s="18" t="s">
        <v>178</v>
      </c>
      <c r="I2187" s="18" t="s">
        <v>10</v>
      </c>
      <c r="J2187" s="18" t="s">
        <v>4017</v>
      </c>
      <c r="K2187" s="20"/>
    </row>
    <row r="2188" spans="1:11" ht="36.75" thickBot="1">
      <c r="A2188" s="18" t="s">
        <v>7146</v>
      </c>
      <c r="B2188" s="18">
        <v>20023859100</v>
      </c>
      <c r="C2188" s="18" t="s">
        <v>4215</v>
      </c>
      <c r="D2188" s="19">
        <v>45863.676388888889</v>
      </c>
      <c r="E2188" s="18" t="s">
        <v>10</v>
      </c>
      <c r="F2188" s="18">
        <v>100</v>
      </c>
      <c r="G2188" s="18" t="s">
        <v>10</v>
      </c>
      <c r="H2188" s="18" t="s">
        <v>178</v>
      </c>
      <c r="I2188" s="18" t="s">
        <v>10</v>
      </c>
      <c r="J2188" s="18" t="s">
        <v>4017</v>
      </c>
      <c r="K2188" s="20"/>
    </row>
    <row r="2189" spans="1:11" ht="36.75" thickBot="1">
      <c r="A2189" s="18" t="s">
        <v>7147</v>
      </c>
      <c r="B2189" s="18">
        <v>20002860272</v>
      </c>
      <c r="C2189" s="18" t="s">
        <v>7148</v>
      </c>
      <c r="D2189" s="19">
        <v>45771.690972222219</v>
      </c>
      <c r="E2189" s="19">
        <v>45863.681250000001</v>
      </c>
      <c r="F2189" s="18">
        <v>300</v>
      </c>
      <c r="G2189" s="19">
        <v>45897.393055555556</v>
      </c>
      <c r="H2189" s="18" t="s">
        <v>2654</v>
      </c>
      <c r="I2189" s="18" t="s">
        <v>10</v>
      </c>
      <c r="J2189" s="18" t="s">
        <v>4017</v>
      </c>
      <c r="K2189" s="20"/>
    </row>
    <row r="2190" spans="1:11" ht="36.75" thickBot="1">
      <c r="A2190" s="18" t="s">
        <v>7149</v>
      </c>
      <c r="B2190" s="18">
        <v>20020895239</v>
      </c>
      <c r="C2190" s="18" t="s">
        <v>7150</v>
      </c>
      <c r="D2190" s="19">
        <v>45863.683333333334</v>
      </c>
      <c r="E2190" s="18" t="s">
        <v>10</v>
      </c>
      <c r="F2190" s="18">
        <v>30</v>
      </c>
      <c r="G2190" s="18" t="s">
        <v>10</v>
      </c>
      <c r="H2190" s="18" t="s">
        <v>178</v>
      </c>
      <c r="I2190" s="18" t="s">
        <v>10</v>
      </c>
      <c r="J2190" s="18" t="s">
        <v>4017</v>
      </c>
      <c r="K2190" s="20"/>
    </row>
    <row r="2191" spans="1:11" ht="36.75" thickBot="1">
      <c r="A2191" s="18" t="s">
        <v>7151</v>
      </c>
      <c r="B2191" s="18">
        <v>20003477672</v>
      </c>
      <c r="C2191" s="18" t="s">
        <v>6870</v>
      </c>
      <c r="D2191" s="19">
        <v>45863.713888888888</v>
      </c>
      <c r="E2191" s="18" t="s">
        <v>10</v>
      </c>
      <c r="F2191" s="18">
        <v>100</v>
      </c>
      <c r="G2191" s="18" t="s">
        <v>10</v>
      </c>
      <c r="H2191" s="18" t="s">
        <v>178</v>
      </c>
      <c r="I2191" s="18" t="s">
        <v>10</v>
      </c>
      <c r="J2191" s="18" t="s">
        <v>4017</v>
      </c>
      <c r="K2191" s="20"/>
    </row>
    <row r="2192" spans="1:11" ht="54.75" thickBot="1">
      <c r="A2192" s="18" t="s">
        <v>7152</v>
      </c>
      <c r="B2192" s="18">
        <v>20003437636</v>
      </c>
      <c r="C2192" s="18" t="s">
        <v>6695</v>
      </c>
      <c r="D2192" s="19">
        <v>45864.497916666667</v>
      </c>
      <c r="E2192" s="18" t="s">
        <v>10</v>
      </c>
      <c r="F2192" s="18">
        <v>625</v>
      </c>
      <c r="G2192" s="18" t="s">
        <v>10</v>
      </c>
      <c r="H2192" s="18" t="s">
        <v>178</v>
      </c>
      <c r="I2192" s="18" t="s">
        <v>10</v>
      </c>
      <c r="J2192" s="18" t="s">
        <v>4017</v>
      </c>
      <c r="K2192" s="20"/>
    </row>
    <row r="2193" spans="1:11" ht="54.75" thickBot="1">
      <c r="A2193" s="18" t="s">
        <v>7153</v>
      </c>
      <c r="B2193" s="18">
        <v>20023823315</v>
      </c>
      <c r="C2193" s="18" t="s">
        <v>6695</v>
      </c>
      <c r="D2193" s="19">
        <v>45864.614583333336</v>
      </c>
      <c r="E2193" s="18" t="s">
        <v>10</v>
      </c>
      <c r="F2193" s="18">
        <v>60</v>
      </c>
      <c r="G2193" s="18" t="s">
        <v>10</v>
      </c>
      <c r="H2193" s="18" t="s">
        <v>178</v>
      </c>
      <c r="I2193" s="18" t="s">
        <v>10</v>
      </c>
      <c r="J2193" s="18" t="s">
        <v>4017</v>
      </c>
      <c r="K2193" s="20"/>
    </row>
    <row r="2194" spans="1:11" ht="36.75" thickBot="1">
      <c r="A2194" s="18" t="s">
        <v>7154</v>
      </c>
      <c r="B2194" s="18">
        <v>20020221085</v>
      </c>
      <c r="C2194" s="18" t="s">
        <v>7155</v>
      </c>
      <c r="D2194" s="19">
        <v>45864.649305555555</v>
      </c>
      <c r="E2194" s="18" t="s">
        <v>10</v>
      </c>
      <c r="F2194" s="18">
        <v>200</v>
      </c>
      <c r="G2194" s="18" t="s">
        <v>10</v>
      </c>
      <c r="H2194" s="18" t="s">
        <v>178</v>
      </c>
      <c r="I2194" s="18" t="s">
        <v>10</v>
      </c>
      <c r="J2194" s="18" t="s">
        <v>4017</v>
      </c>
      <c r="K2194" s="20"/>
    </row>
    <row r="2195" spans="1:11" ht="36.75" thickBot="1">
      <c r="A2195" s="18" t="s">
        <v>7156</v>
      </c>
      <c r="B2195" s="18">
        <v>20003459949</v>
      </c>
      <c r="C2195" s="18" t="s">
        <v>4793</v>
      </c>
      <c r="D2195" s="19">
        <v>45864.927083333336</v>
      </c>
      <c r="E2195" s="18" t="s">
        <v>10</v>
      </c>
      <c r="F2195" s="18">
        <v>350</v>
      </c>
      <c r="G2195" s="18" t="s">
        <v>10</v>
      </c>
      <c r="H2195" s="18" t="s">
        <v>178</v>
      </c>
      <c r="I2195" s="18" t="s">
        <v>10</v>
      </c>
      <c r="J2195" s="18" t="s">
        <v>4017</v>
      </c>
      <c r="K2195" s="20"/>
    </row>
    <row r="2196" spans="1:11" ht="72.75" thickBot="1">
      <c r="A2196" s="18" t="s">
        <v>7157</v>
      </c>
      <c r="B2196" s="18">
        <v>20019717237</v>
      </c>
      <c r="C2196" s="18" t="s">
        <v>4793</v>
      </c>
      <c r="D2196" s="19">
        <v>45864.947916666664</v>
      </c>
      <c r="E2196" s="18" t="s">
        <v>10</v>
      </c>
      <c r="F2196" s="18">
        <v>150</v>
      </c>
      <c r="G2196" s="19">
        <v>45898.555555555555</v>
      </c>
      <c r="H2196" s="18" t="s">
        <v>2657</v>
      </c>
      <c r="I2196" s="18" t="s">
        <v>10</v>
      </c>
      <c r="J2196" s="18" t="s">
        <v>4017</v>
      </c>
      <c r="K2196" s="20"/>
    </row>
    <row r="2197" spans="1:11" ht="36.75" thickBot="1">
      <c r="A2197" s="18" t="s">
        <v>7158</v>
      </c>
      <c r="B2197" s="18">
        <v>20003012408</v>
      </c>
      <c r="C2197" s="18" t="s">
        <v>4499</v>
      </c>
      <c r="D2197" s="19">
        <v>45865.95208333333</v>
      </c>
      <c r="E2197" s="18" t="s">
        <v>10</v>
      </c>
      <c r="F2197" s="18">
        <v>51</v>
      </c>
      <c r="G2197" s="18" t="s">
        <v>10</v>
      </c>
      <c r="H2197" s="18" t="s">
        <v>178</v>
      </c>
      <c r="I2197" s="18" t="s">
        <v>10</v>
      </c>
      <c r="J2197" s="18" t="s">
        <v>4017</v>
      </c>
      <c r="K2197" s="20"/>
    </row>
    <row r="2198" spans="1:11" ht="36.75" thickBot="1">
      <c r="A2198" s="18" t="s">
        <v>7159</v>
      </c>
      <c r="B2198" s="18">
        <v>20010773652</v>
      </c>
      <c r="C2198" s="18" t="s">
        <v>6759</v>
      </c>
      <c r="D2198" s="19">
        <v>45866.563888888886</v>
      </c>
      <c r="E2198" s="18" t="s">
        <v>10</v>
      </c>
      <c r="F2198" s="18">
        <v>425</v>
      </c>
      <c r="G2198" s="18" t="s">
        <v>10</v>
      </c>
      <c r="H2198" s="18" t="s">
        <v>178</v>
      </c>
      <c r="I2198" s="18" t="s">
        <v>10</v>
      </c>
      <c r="J2198" s="18" t="s">
        <v>4017</v>
      </c>
      <c r="K2198" s="20"/>
    </row>
    <row r="2199" spans="1:11" ht="36.75" thickBot="1">
      <c r="A2199" s="18" t="s">
        <v>7160</v>
      </c>
      <c r="B2199" s="18">
        <v>20022437693</v>
      </c>
      <c r="C2199" s="18" t="s">
        <v>7161</v>
      </c>
      <c r="D2199" s="19">
        <v>45866.575694444444</v>
      </c>
      <c r="E2199" s="18" t="s">
        <v>10</v>
      </c>
      <c r="F2199" s="18">
        <v>800</v>
      </c>
      <c r="G2199" s="18" t="s">
        <v>10</v>
      </c>
      <c r="H2199" s="18" t="s">
        <v>178</v>
      </c>
      <c r="I2199" s="18" t="s">
        <v>10</v>
      </c>
      <c r="J2199" s="18" t="s">
        <v>4017</v>
      </c>
      <c r="K2199" s="20"/>
    </row>
    <row r="2200" spans="1:11" ht="36.75" thickBot="1">
      <c r="A2200" s="18" t="s">
        <v>7162</v>
      </c>
      <c r="B2200" s="18">
        <v>20003136238</v>
      </c>
      <c r="C2200" s="18" t="s">
        <v>6740</v>
      </c>
      <c r="D2200" s="19">
        <v>45867.599305555559</v>
      </c>
      <c r="E2200" s="18" t="s">
        <v>10</v>
      </c>
      <c r="F2200" s="18">
        <v>600</v>
      </c>
      <c r="G2200" s="18" t="s">
        <v>10</v>
      </c>
      <c r="H2200" s="18" t="s">
        <v>178</v>
      </c>
      <c r="I2200" s="18" t="s">
        <v>10</v>
      </c>
      <c r="J2200" s="18" t="s">
        <v>4017</v>
      </c>
      <c r="K2200" s="20"/>
    </row>
    <row r="2201" spans="1:11" ht="36.75" thickBot="1">
      <c r="A2201" s="21" t="s">
        <v>7163</v>
      </c>
      <c r="B2201" s="21">
        <v>20019554269</v>
      </c>
      <c r="C2201" s="21" t="s">
        <v>4258</v>
      </c>
      <c r="D2201" s="22">
        <v>45845.574305555558</v>
      </c>
      <c r="E2201" s="22">
        <v>45867.599305555559</v>
      </c>
      <c r="F2201" s="21">
        <v>150</v>
      </c>
      <c r="G2201" s="22">
        <v>45919.588888888888</v>
      </c>
      <c r="H2201" s="21" t="s">
        <v>2654</v>
      </c>
      <c r="I2201" s="21" t="s">
        <v>10</v>
      </c>
      <c r="J2201" s="21" t="s">
        <v>4017</v>
      </c>
      <c r="K2201" s="1"/>
    </row>
    <row r="2202" spans="1:11" ht="36.75" thickBot="1">
      <c r="A2202" s="18" t="s">
        <v>7164</v>
      </c>
      <c r="B2202" s="18">
        <v>20017977169</v>
      </c>
      <c r="C2202" s="18" t="s">
        <v>7165</v>
      </c>
      <c r="D2202" s="19">
        <v>45867.887499999997</v>
      </c>
      <c r="E2202" s="18" t="s">
        <v>10</v>
      </c>
      <c r="F2202" s="18">
        <v>150</v>
      </c>
      <c r="G2202" s="18" t="s">
        <v>10</v>
      </c>
      <c r="H2202" s="18" t="s">
        <v>178</v>
      </c>
      <c r="I2202" s="18" t="s">
        <v>10</v>
      </c>
      <c r="J2202" s="18" t="s">
        <v>4017</v>
      </c>
      <c r="K2202" s="20"/>
    </row>
    <row r="2203" spans="1:11" ht="36.75" thickBot="1">
      <c r="A2203" s="18" t="s">
        <v>7166</v>
      </c>
      <c r="B2203" s="18">
        <v>20023476328</v>
      </c>
      <c r="C2203" s="18" t="s">
        <v>7165</v>
      </c>
      <c r="D2203" s="19">
        <v>45867.896527777775</v>
      </c>
      <c r="E2203" s="18" t="s">
        <v>10</v>
      </c>
      <c r="F2203" s="18">
        <v>300</v>
      </c>
      <c r="G2203" s="18" t="s">
        <v>10</v>
      </c>
      <c r="H2203" s="18" t="s">
        <v>178</v>
      </c>
      <c r="I2203" s="18" t="s">
        <v>10</v>
      </c>
      <c r="J2203" s="18" t="s">
        <v>4017</v>
      </c>
      <c r="K2203" s="20"/>
    </row>
    <row r="2204" spans="1:11" ht="54.75" thickBot="1">
      <c r="A2204" s="18" t="s">
        <v>7167</v>
      </c>
      <c r="B2204" s="18">
        <v>20025849607</v>
      </c>
      <c r="C2204" s="18" t="s">
        <v>7139</v>
      </c>
      <c r="D2204" s="19">
        <v>45868.416666666664</v>
      </c>
      <c r="E2204" s="18" t="s">
        <v>10</v>
      </c>
      <c r="F2204" s="18">
        <v>190</v>
      </c>
      <c r="G2204" s="19">
        <v>45884.432638888888</v>
      </c>
      <c r="H2204" s="18" t="s">
        <v>236</v>
      </c>
      <c r="I2204" s="18" t="s">
        <v>10</v>
      </c>
      <c r="J2204" s="18" t="s">
        <v>4017</v>
      </c>
      <c r="K2204" s="20"/>
    </row>
    <row r="2205" spans="1:11" ht="36.75" thickBot="1">
      <c r="A2205" s="18" t="s">
        <v>7168</v>
      </c>
      <c r="B2205" s="18">
        <v>20023374426</v>
      </c>
      <c r="C2205" s="18" t="s">
        <v>7169</v>
      </c>
      <c r="D2205" s="19">
        <v>45868.506944444445</v>
      </c>
      <c r="E2205" s="18" t="s">
        <v>10</v>
      </c>
      <c r="F2205" s="18">
        <v>190</v>
      </c>
      <c r="G2205" s="18" t="s">
        <v>10</v>
      </c>
      <c r="H2205" s="18" t="s">
        <v>178</v>
      </c>
      <c r="I2205" s="18" t="s">
        <v>10</v>
      </c>
      <c r="J2205" s="18" t="s">
        <v>4017</v>
      </c>
      <c r="K2205" s="20"/>
    </row>
    <row r="2206" spans="1:11" ht="72.75" thickBot="1">
      <c r="A2206" s="18" t="s">
        <v>7170</v>
      </c>
      <c r="B2206" s="18">
        <v>20023402295</v>
      </c>
      <c r="C2206" s="18" t="s">
        <v>7171</v>
      </c>
      <c r="D2206" s="19">
        <v>45868.48541666667</v>
      </c>
      <c r="E2206" s="19">
        <v>45868.553472222222</v>
      </c>
      <c r="F2206" s="18">
        <v>225</v>
      </c>
      <c r="G2206" s="19">
        <v>45895.406944444447</v>
      </c>
      <c r="H2206" s="18" t="s">
        <v>2657</v>
      </c>
      <c r="I2206" s="18" t="s">
        <v>10</v>
      </c>
      <c r="J2206" s="18" t="s">
        <v>4017</v>
      </c>
      <c r="K2206" s="20"/>
    </row>
    <row r="2207" spans="1:11" ht="36.75" thickBot="1">
      <c r="A2207" s="18" t="s">
        <v>7172</v>
      </c>
      <c r="B2207" s="18">
        <v>20026593487</v>
      </c>
      <c r="C2207" s="18" t="s">
        <v>7098</v>
      </c>
      <c r="D2207" s="19">
        <v>45867.856944444444</v>
      </c>
      <c r="E2207" s="19">
        <v>45868.663194444445</v>
      </c>
      <c r="F2207" s="18">
        <v>450</v>
      </c>
      <c r="G2207" s="19">
        <v>45894.436111111114</v>
      </c>
      <c r="H2207" s="18" t="s">
        <v>2654</v>
      </c>
      <c r="I2207" s="18" t="s">
        <v>10</v>
      </c>
      <c r="J2207" s="18" t="s">
        <v>4017</v>
      </c>
      <c r="K2207" s="20"/>
    </row>
    <row r="2208" spans="1:11" ht="36.75" thickBot="1">
      <c r="A2208" s="18" t="s">
        <v>7173</v>
      </c>
      <c r="B2208" s="18">
        <v>20024923074</v>
      </c>
      <c r="C2208" s="18" t="s">
        <v>6661</v>
      </c>
      <c r="D2208" s="19">
        <v>45842.508333333331</v>
      </c>
      <c r="E2208" s="19">
        <v>45869.431250000001</v>
      </c>
      <c r="F2208" s="18">
        <v>684</v>
      </c>
      <c r="G2208" s="19">
        <v>45903.439583333333</v>
      </c>
      <c r="H2208" s="18" t="s">
        <v>2654</v>
      </c>
      <c r="I2208" s="18" t="s">
        <v>10</v>
      </c>
      <c r="J2208" s="18" t="s">
        <v>4017</v>
      </c>
      <c r="K2208" s="20"/>
    </row>
    <row r="2209" spans="1:11" ht="36.75" thickBot="1">
      <c r="A2209" s="18" t="s">
        <v>7174</v>
      </c>
      <c r="B2209" s="18">
        <v>20003497700</v>
      </c>
      <c r="C2209" s="18" t="s">
        <v>7175</v>
      </c>
      <c r="D2209" s="19">
        <v>45867.570138888892</v>
      </c>
      <c r="E2209" s="19">
        <v>45869.482638888891</v>
      </c>
      <c r="F2209" s="18">
        <v>250</v>
      </c>
      <c r="G2209" s="18" t="s">
        <v>10</v>
      </c>
      <c r="H2209" s="18" t="s">
        <v>178</v>
      </c>
      <c r="I2209" s="18" t="s">
        <v>10</v>
      </c>
      <c r="J2209" s="18" t="s">
        <v>4017</v>
      </c>
      <c r="K2209" s="20"/>
    </row>
    <row r="2210" spans="1:11" ht="36.75" thickBot="1">
      <c r="A2210" s="18" t="s">
        <v>7176</v>
      </c>
      <c r="B2210" s="18">
        <v>20028525872</v>
      </c>
      <c r="C2210" s="18" t="s">
        <v>7137</v>
      </c>
      <c r="D2210" s="19">
        <v>45867.462500000001</v>
      </c>
      <c r="E2210" s="19">
        <v>45869.561805555553</v>
      </c>
      <c r="F2210" s="18">
        <v>50</v>
      </c>
      <c r="G2210" s="19">
        <v>45894.45416666667</v>
      </c>
      <c r="H2210" s="18" t="s">
        <v>236</v>
      </c>
      <c r="I2210" s="18" t="s">
        <v>10</v>
      </c>
      <c r="J2210" s="18" t="s">
        <v>4017</v>
      </c>
      <c r="K2210" s="20"/>
    </row>
    <row r="2211" spans="1:11" ht="36.75" thickBot="1">
      <c r="A2211" s="18" t="s">
        <v>7177</v>
      </c>
      <c r="B2211" s="18">
        <v>20003428225</v>
      </c>
      <c r="C2211" s="18" t="s">
        <v>5878</v>
      </c>
      <c r="D2211" s="19">
        <v>45867.634027777778</v>
      </c>
      <c r="E2211" s="19">
        <v>45869.611805555556</v>
      </c>
      <c r="F2211" s="18">
        <v>110</v>
      </c>
      <c r="G2211" s="18" t="s">
        <v>10</v>
      </c>
      <c r="H2211" s="18" t="s">
        <v>178</v>
      </c>
      <c r="I2211" s="18" t="s">
        <v>10</v>
      </c>
      <c r="J2211" s="18" t="s">
        <v>4017</v>
      </c>
      <c r="K2211" s="20"/>
    </row>
    <row r="2212" spans="1:11" ht="72.75" thickBot="1">
      <c r="A2212" s="18" t="s">
        <v>7178</v>
      </c>
      <c r="B2212" s="18">
        <v>20025574426</v>
      </c>
      <c r="C2212" s="18" t="s">
        <v>7179</v>
      </c>
      <c r="D2212" s="19">
        <v>45869.472916666666</v>
      </c>
      <c r="E2212" s="19">
        <v>45869.614583333336</v>
      </c>
      <c r="F2212" s="18">
        <v>190</v>
      </c>
      <c r="G2212" s="19">
        <v>45889.399305555555</v>
      </c>
      <c r="H2212" s="18" t="s">
        <v>2657</v>
      </c>
      <c r="I2212" s="18" t="s">
        <v>10</v>
      </c>
      <c r="J2212" s="18" t="s">
        <v>4017</v>
      </c>
      <c r="K2212" s="20"/>
    </row>
    <row r="2213" spans="1:11" ht="36.75" thickBot="1">
      <c r="A2213" s="18" t="s">
        <v>7180</v>
      </c>
      <c r="B2213" s="18">
        <v>20003497700</v>
      </c>
      <c r="C2213" s="18" t="s">
        <v>7175</v>
      </c>
      <c r="D2213" s="19">
        <v>45869.620138888888</v>
      </c>
      <c r="E2213" s="18" t="s">
        <v>10</v>
      </c>
      <c r="F2213" s="18">
        <v>250</v>
      </c>
      <c r="G2213" s="18" t="s">
        <v>10</v>
      </c>
      <c r="H2213" s="18" t="s">
        <v>178</v>
      </c>
      <c r="I2213" s="18" t="s">
        <v>10</v>
      </c>
      <c r="J2213" s="18" t="s">
        <v>4017</v>
      </c>
      <c r="K2213" s="20"/>
    </row>
    <row r="2214" spans="1:11" ht="36.75" thickBot="1">
      <c r="A2214" s="18" t="s">
        <v>7181</v>
      </c>
      <c r="B2214" s="18">
        <v>20003497700</v>
      </c>
      <c r="C2214" s="18" t="s">
        <v>7175</v>
      </c>
      <c r="D2214" s="19">
        <v>45869.663888888892</v>
      </c>
      <c r="E2214" s="18" t="s">
        <v>10</v>
      </c>
      <c r="F2214" s="18">
        <v>250</v>
      </c>
      <c r="G2214" s="19">
        <v>45884.598611111112</v>
      </c>
      <c r="H2214" s="18" t="s">
        <v>2654</v>
      </c>
      <c r="I2214" s="18" t="s">
        <v>10</v>
      </c>
      <c r="J2214" s="18" t="s">
        <v>4017</v>
      </c>
      <c r="K2214" s="20"/>
    </row>
    <row r="2215" spans="1:11" ht="72.75" thickBot="1">
      <c r="A2215" s="18" t="s">
        <v>7182</v>
      </c>
      <c r="B2215" s="18">
        <v>20028489329</v>
      </c>
      <c r="C2215" s="18" t="s">
        <v>7183</v>
      </c>
      <c r="D2215" s="19">
        <v>45856.602777777778</v>
      </c>
      <c r="E2215" s="19">
        <v>45869.684027777781</v>
      </c>
      <c r="F2215" s="18">
        <v>550</v>
      </c>
      <c r="G2215" s="18" t="s">
        <v>10</v>
      </c>
      <c r="H2215" s="18" t="s">
        <v>189</v>
      </c>
      <c r="I2215" s="18" t="s">
        <v>10</v>
      </c>
      <c r="J2215" s="18" t="s">
        <v>4017</v>
      </c>
      <c r="K2215" s="20"/>
    </row>
    <row r="2216" spans="1:11" ht="36.75" thickBot="1">
      <c r="A2216" s="18" t="s">
        <v>7184</v>
      </c>
      <c r="B2216" s="18">
        <v>20020895239</v>
      </c>
      <c r="C2216" s="18" t="s">
        <v>7185</v>
      </c>
      <c r="D2216" s="19">
        <v>45870.459027777775</v>
      </c>
      <c r="E2216" s="18" t="s">
        <v>10</v>
      </c>
      <c r="F2216" s="18">
        <v>30</v>
      </c>
      <c r="G2216" s="18" t="s">
        <v>10</v>
      </c>
      <c r="H2216" s="18" t="s">
        <v>178</v>
      </c>
      <c r="I2216" s="18" t="s">
        <v>10</v>
      </c>
      <c r="J2216" s="18" t="s">
        <v>4017</v>
      </c>
      <c r="K2216" s="20"/>
    </row>
    <row r="2217" spans="1:11" ht="36.75" thickBot="1">
      <c r="A2217" s="18" t="s">
        <v>7186</v>
      </c>
      <c r="B2217" s="18">
        <v>20019112918</v>
      </c>
      <c r="C2217" s="18" t="s">
        <v>7187</v>
      </c>
      <c r="D2217" s="19">
        <v>45857.614583333336</v>
      </c>
      <c r="E2217" s="19">
        <v>45870.523611111108</v>
      </c>
      <c r="F2217" s="18">
        <v>60</v>
      </c>
      <c r="G2217" s="19">
        <v>45916.611111111109</v>
      </c>
      <c r="H2217" s="18" t="s">
        <v>236</v>
      </c>
      <c r="I2217" s="18" t="s">
        <v>10</v>
      </c>
      <c r="J2217" s="18" t="s">
        <v>4017</v>
      </c>
      <c r="K2217" s="20"/>
    </row>
    <row r="2218" spans="1:11" ht="36.75" thickBot="1">
      <c r="A2218" s="18" t="s">
        <v>7188</v>
      </c>
      <c r="B2218" s="18">
        <v>20019498550</v>
      </c>
      <c r="C2218" s="18" t="s">
        <v>6620</v>
      </c>
      <c r="D2218" s="19">
        <v>45853.684027777781</v>
      </c>
      <c r="E2218" s="19">
        <v>45870.573611111111</v>
      </c>
      <c r="F2218" s="18">
        <v>120</v>
      </c>
      <c r="G2218" s="19">
        <v>45885.413194444445</v>
      </c>
      <c r="H2218" s="18" t="s">
        <v>236</v>
      </c>
      <c r="I2218" s="18" t="s">
        <v>10</v>
      </c>
      <c r="J2218" s="18" t="s">
        <v>4017</v>
      </c>
      <c r="K2218" s="20"/>
    </row>
    <row r="2219" spans="1:11" ht="36.75" thickBot="1">
      <c r="A2219" s="18" t="s">
        <v>7189</v>
      </c>
      <c r="B2219" s="18">
        <v>20026473623</v>
      </c>
      <c r="C2219" s="18" t="s">
        <v>3496</v>
      </c>
      <c r="D2219" s="19">
        <v>45870.646527777775</v>
      </c>
      <c r="E2219" s="18" t="s">
        <v>10</v>
      </c>
      <c r="F2219" s="18">
        <v>50</v>
      </c>
      <c r="G2219" s="18" t="s">
        <v>10</v>
      </c>
      <c r="H2219" s="18" t="s">
        <v>178</v>
      </c>
      <c r="I2219" s="18" t="s">
        <v>10</v>
      </c>
      <c r="J2219" s="18" t="s">
        <v>4017</v>
      </c>
      <c r="K2219" s="20"/>
    </row>
    <row r="2220" spans="1:11" ht="72.75" thickBot="1">
      <c r="A2220" s="18" t="s">
        <v>7190</v>
      </c>
      <c r="B2220" s="18">
        <v>20019874767</v>
      </c>
      <c r="C2220" s="18" t="s">
        <v>6999</v>
      </c>
      <c r="D2220" s="19">
        <v>45871.681944444441</v>
      </c>
      <c r="E2220" s="18" t="s">
        <v>10</v>
      </c>
      <c r="F2220" s="18">
        <v>625</v>
      </c>
      <c r="G2220" s="19">
        <v>45919.585416666669</v>
      </c>
      <c r="H2220" s="18" t="s">
        <v>2657</v>
      </c>
      <c r="I2220" s="18" t="s">
        <v>10</v>
      </c>
      <c r="J2220" s="18" t="s">
        <v>4017</v>
      </c>
      <c r="K2220" s="20"/>
    </row>
    <row r="2221" spans="1:11" ht="36.75" thickBot="1">
      <c r="A2221" s="18" t="s">
        <v>7191</v>
      </c>
      <c r="B2221" s="18">
        <v>20002773466</v>
      </c>
      <c r="C2221" s="18" t="s">
        <v>4375</v>
      </c>
      <c r="D2221" s="19">
        <v>45871.770833333336</v>
      </c>
      <c r="E2221" s="18" t="s">
        <v>10</v>
      </c>
      <c r="F2221" s="18">
        <v>450</v>
      </c>
      <c r="G2221" s="18" t="s">
        <v>10</v>
      </c>
      <c r="H2221" s="18" t="s">
        <v>178</v>
      </c>
      <c r="I2221" s="18" t="s">
        <v>10</v>
      </c>
      <c r="J2221" s="18" t="s">
        <v>4017</v>
      </c>
      <c r="K2221" s="20"/>
    </row>
    <row r="2222" spans="1:11" ht="72.75" thickBot="1">
      <c r="A2222" s="18" t="s">
        <v>7192</v>
      </c>
      <c r="B2222" s="18">
        <v>20027984892</v>
      </c>
      <c r="C2222" s="18" t="s">
        <v>6624</v>
      </c>
      <c r="D2222" s="19">
        <v>45846.419444444444</v>
      </c>
      <c r="E2222" s="19">
        <v>45872.260416666664</v>
      </c>
      <c r="F2222" s="18">
        <v>30</v>
      </c>
      <c r="G2222" s="19">
        <v>45958.486805555556</v>
      </c>
      <c r="H2222" s="18" t="s">
        <v>2657</v>
      </c>
      <c r="I2222" s="18" t="s">
        <v>10</v>
      </c>
      <c r="J2222" s="18" t="s">
        <v>4017</v>
      </c>
      <c r="K2222" s="20"/>
    </row>
    <row r="2223" spans="1:11" ht="36.75" thickBot="1">
      <c r="A2223" s="18" t="s">
        <v>7193</v>
      </c>
      <c r="B2223" s="18">
        <v>20003133388</v>
      </c>
      <c r="C2223" s="18" t="s">
        <v>6616</v>
      </c>
      <c r="D2223" s="19">
        <v>45868.444444444445</v>
      </c>
      <c r="E2223" s="19">
        <v>45873.413194444445</v>
      </c>
      <c r="F2223" s="18">
        <v>150</v>
      </c>
      <c r="G2223" s="19">
        <v>45924.423611111109</v>
      </c>
      <c r="H2223" s="18" t="s">
        <v>2654</v>
      </c>
      <c r="I2223" s="18" t="s">
        <v>10</v>
      </c>
      <c r="J2223" s="18" t="s">
        <v>4017</v>
      </c>
      <c r="K2223" s="20"/>
    </row>
    <row r="2224" spans="1:11" ht="36.75" thickBot="1">
      <c r="A2224" s="18" t="s">
        <v>7194</v>
      </c>
      <c r="B2224" s="18">
        <v>20024052409</v>
      </c>
      <c r="C2224" s="18" t="s">
        <v>5074</v>
      </c>
      <c r="D2224" s="19">
        <v>45873.543749999997</v>
      </c>
      <c r="E2224" s="18" t="s">
        <v>10</v>
      </c>
      <c r="F2224" s="18">
        <v>30</v>
      </c>
      <c r="G2224" s="18" t="s">
        <v>10</v>
      </c>
      <c r="H2224" s="18" t="s">
        <v>178</v>
      </c>
      <c r="I2224" s="18" t="s">
        <v>10</v>
      </c>
      <c r="J2224" s="18" t="s">
        <v>4017</v>
      </c>
      <c r="K2224" s="20"/>
    </row>
    <row r="2225" spans="1:11" ht="36.75" thickBot="1">
      <c r="A2225" s="18" t="s">
        <v>7195</v>
      </c>
      <c r="B2225" s="18">
        <v>20024052409</v>
      </c>
      <c r="C2225" s="18" t="s">
        <v>5074</v>
      </c>
      <c r="D2225" s="19">
        <v>45874.438194444447</v>
      </c>
      <c r="E2225" s="18" t="s">
        <v>10</v>
      </c>
      <c r="F2225" s="18">
        <v>30</v>
      </c>
      <c r="G2225" s="18" t="s">
        <v>10</v>
      </c>
      <c r="H2225" s="18" t="s">
        <v>178</v>
      </c>
      <c r="I2225" s="18" t="s">
        <v>10</v>
      </c>
      <c r="J2225" s="18" t="s">
        <v>4017</v>
      </c>
      <c r="K2225" s="20"/>
    </row>
    <row r="2226" spans="1:11" ht="36.75" thickBot="1">
      <c r="A2226" s="18" t="s">
        <v>7196</v>
      </c>
      <c r="B2226" s="18">
        <v>20028307511</v>
      </c>
      <c r="C2226" s="18" t="s">
        <v>7197</v>
      </c>
      <c r="D2226" s="19">
        <v>45874.451388888891</v>
      </c>
      <c r="E2226" s="18" t="s">
        <v>10</v>
      </c>
      <c r="F2226" s="18">
        <v>30</v>
      </c>
      <c r="G2226" s="18" t="s">
        <v>10</v>
      </c>
      <c r="H2226" s="18" t="s">
        <v>178</v>
      </c>
      <c r="I2226" s="18" t="s">
        <v>10</v>
      </c>
      <c r="J2226" s="18" t="s">
        <v>4017</v>
      </c>
      <c r="K2226" s="20"/>
    </row>
    <row r="2227" spans="1:11" ht="36.75" thickBot="1">
      <c r="A2227" s="18" t="s">
        <v>7198</v>
      </c>
      <c r="B2227" s="18">
        <v>20021549552</v>
      </c>
      <c r="C2227" s="18" t="s">
        <v>7199</v>
      </c>
      <c r="D2227" s="19">
        <v>45874.495833333334</v>
      </c>
      <c r="E2227" s="18" t="s">
        <v>10</v>
      </c>
      <c r="F2227" s="18">
        <v>190</v>
      </c>
      <c r="G2227" s="18" t="s">
        <v>10</v>
      </c>
      <c r="H2227" s="18" t="s">
        <v>178</v>
      </c>
      <c r="I2227" s="18" t="s">
        <v>10</v>
      </c>
      <c r="J2227" s="18" t="s">
        <v>4017</v>
      </c>
      <c r="K2227" s="20"/>
    </row>
    <row r="2228" spans="1:11" ht="36.75" thickBot="1">
      <c r="A2228" s="18" t="s">
        <v>7200</v>
      </c>
      <c r="B2228" s="18">
        <v>20021549552</v>
      </c>
      <c r="C2228" s="18" t="s">
        <v>7199</v>
      </c>
      <c r="D2228" s="19">
        <v>45874.560416666667</v>
      </c>
      <c r="E2228" s="18" t="s">
        <v>10</v>
      </c>
      <c r="F2228" s="18">
        <v>190</v>
      </c>
      <c r="G2228" s="19">
        <v>45883.495138888888</v>
      </c>
      <c r="H2228" s="18" t="s">
        <v>2654</v>
      </c>
      <c r="I2228" s="18" t="s">
        <v>10</v>
      </c>
      <c r="J2228" s="18" t="s">
        <v>4017</v>
      </c>
      <c r="K2228" s="20"/>
    </row>
    <row r="2229" spans="1:11" ht="36.75" thickBot="1">
      <c r="A2229" s="18" t="s">
        <v>7201</v>
      </c>
      <c r="B2229" s="18">
        <v>20003438118</v>
      </c>
      <c r="C2229" s="18" t="s">
        <v>7202</v>
      </c>
      <c r="D2229" s="19">
        <v>45874.705555555556</v>
      </c>
      <c r="E2229" s="18" t="s">
        <v>10</v>
      </c>
      <c r="F2229" s="18">
        <v>76</v>
      </c>
      <c r="G2229" s="18" t="s">
        <v>10</v>
      </c>
      <c r="H2229" s="18" t="s">
        <v>178</v>
      </c>
      <c r="I2229" s="18" t="s">
        <v>10</v>
      </c>
      <c r="J2229" s="18" t="s">
        <v>4017</v>
      </c>
      <c r="K2229" s="20"/>
    </row>
    <row r="2230" spans="1:11" ht="36.75" thickBot="1">
      <c r="A2230" s="18" t="s">
        <v>7203</v>
      </c>
      <c r="B2230" s="18">
        <v>20024052409</v>
      </c>
      <c r="C2230" s="18" t="s">
        <v>5074</v>
      </c>
      <c r="D2230" s="19">
        <v>45874.716666666667</v>
      </c>
      <c r="E2230" s="18" t="s">
        <v>10</v>
      </c>
      <c r="F2230" s="18">
        <v>30</v>
      </c>
      <c r="G2230" s="19">
        <v>45882.650694444441</v>
      </c>
      <c r="H2230" s="18" t="s">
        <v>236</v>
      </c>
      <c r="I2230" s="18" t="s">
        <v>10</v>
      </c>
      <c r="J2230" s="18" t="s">
        <v>4017</v>
      </c>
      <c r="K2230" s="20"/>
    </row>
    <row r="2231" spans="1:11" ht="36.75" thickBot="1">
      <c r="A2231" s="18" t="s">
        <v>7204</v>
      </c>
      <c r="B2231" s="18">
        <v>20026003767</v>
      </c>
      <c r="C2231" s="18" t="s">
        <v>7141</v>
      </c>
      <c r="D2231" s="19">
        <v>45874.465277777781</v>
      </c>
      <c r="E2231" s="19">
        <v>45875.438194444447</v>
      </c>
      <c r="F2231" s="18">
        <v>180</v>
      </c>
      <c r="G2231" s="19">
        <v>45895.546527777777</v>
      </c>
      <c r="H2231" s="18" t="s">
        <v>236</v>
      </c>
      <c r="I2231" s="18" t="s">
        <v>10</v>
      </c>
      <c r="J2231" s="18" t="s">
        <v>4017</v>
      </c>
      <c r="K2231" s="20"/>
    </row>
    <row r="2232" spans="1:11" ht="36.75" thickBot="1">
      <c r="A2232" s="18" t="s">
        <v>7205</v>
      </c>
      <c r="B2232" s="18">
        <v>20017305594</v>
      </c>
      <c r="C2232" s="18" t="s">
        <v>6362</v>
      </c>
      <c r="D2232" s="19">
        <v>45855.990277777775</v>
      </c>
      <c r="E2232" s="19">
        <v>45875.536805555559</v>
      </c>
      <c r="F2232" s="18">
        <v>36</v>
      </c>
      <c r="G2232" s="18" t="s">
        <v>10</v>
      </c>
      <c r="H2232" s="18" t="s">
        <v>178</v>
      </c>
      <c r="I2232" s="18" t="s">
        <v>10</v>
      </c>
      <c r="J2232" s="18" t="s">
        <v>4017</v>
      </c>
      <c r="K2232" s="20"/>
    </row>
    <row r="2233" spans="1:11" ht="36.75" thickBot="1">
      <c r="A2233" s="18" t="s">
        <v>7206</v>
      </c>
      <c r="B2233" s="18">
        <v>20226823121</v>
      </c>
      <c r="C2233" s="18" t="s">
        <v>5958</v>
      </c>
      <c r="D2233" s="19">
        <v>45875.69027777778</v>
      </c>
      <c r="E2233" s="18" t="s">
        <v>10</v>
      </c>
      <c r="F2233" s="18">
        <v>30</v>
      </c>
      <c r="G2233" s="18" t="s">
        <v>10</v>
      </c>
      <c r="H2233" s="18" t="s">
        <v>178</v>
      </c>
      <c r="I2233" s="18" t="s">
        <v>10</v>
      </c>
      <c r="J2233" s="18" t="s">
        <v>4017</v>
      </c>
      <c r="K2233" s="20"/>
    </row>
    <row r="2234" spans="1:11" ht="36.75" thickBot="1">
      <c r="A2234" s="18" t="s">
        <v>7207</v>
      </c>
      <c r="B2234" s="18">
        <v>20020895239</v>
      </c>
      <c r="C2234" s="18" t="s">
        <v>7185</v>
      </c>
      <c r="D2234" s="19">
        <v>45874.46597222222</v>
      </c>
      <c r="E2234" s="19">
        <v>45876.386805555558</v>
      </c>
      <c r="F2234" s="18">
        <v>30</v>
      </c>
      <c r="G2234" s="19">
        <v>45884.5625</v>
      </c>
      <c r="H2234" s="18" t="s">
        <v>236</v>
      </c>
      <c r="I2234" s="18" t="s">
        <v>10</v>
      </c>
      <c r="J2234" s="18" t="s">
        <v>4017</v>
      </c>
      <c r="K2234" s="20"/>
    </row>
    <row r="2235" spans="1:11" ht="36.75" thickBot="1">
      <c r="A2235" s="18" t="s">
        <v>7208</v>
      </c>
      <c r="B2235" s="18">
        <v>20003177410</v>
      </c>
      <c r="C2235" s="18" t="s">
        <v>7209</v>
      </c>
      <c r="D2235" s="19">
        <v>45832.500694444447</v>
      </c>
      <c r="E2235" s="19">
        <v>45876.5</v>
      </c>
      <c r="F2235" s="18">
        <v>450</v>
      </c>
      <c r="G2235" s="18" t="s">
        <v>10</v>
      </c>
      <c r="H2235" s="18" t="s">
        <v>178</v>
      </c>
      <c r="I2235" s="18" t="s">
        <v>10</v>
      </c>
      <c r="J2235" s="18" t="s">
        <v>4017</v>
      </c>
      <c r="K2235" s="20"/>
    </row>
    <row r="2236" spans="1:11" ht="72.75" thickBot="1">
      <c r="A2236" s="18" t="s">
        <v>7210</v>
      </c>
      <c r="B2236" s="18">
        <v>20003458055</v>
      </c>
      <c r="C2236" s="18" t="s">
        <v>7042</v>
      </c>
      <c r="D2236" s="19">
        <v>45874.67291666667</v>
      </c>
      <c r="E2236" s="19">
        <v>45876.665277777778</v>
      </c>
      <c r="F2236" s="18">
        <v>100</v>
      </c>
      <c r="G2236" s="19">
        <v>45919.470138888886</v>
      </c>
      <c r="H2236" s="18" t="s">
        <v>2688</v>
      </c>
      <c r="I2236" s="18" t="s">
        <v>10</v>
      </c>
      <c r="J2236" s="18" t="s">
        <v>4017</v>
      </c>
      <c r="K2236" s="20"/>
    </row>
    <row r="2237" spans="1:11" ht="36.75" thickBot="1">
      <c r="A2237" s="18" t="s">
        <v>7211</v>
      </c>
      <c r="B2237" s="18">
        <v>20020694800</v>
      </c>
      <c r="C2237" s="18" t="s">
        <v>6323</v>
      </c>
      <c r="D2237" s="19">
        <v>45874.472916666666</v>
      </c>
      <c r="E2237" s="19">
        <v>45876.667361111111</v>
      </c>
      <c r="F2237" s="18">
        <v>50</v>
      </c>
      <c r="G2237" s="18" t="s">
        <v>10</v>
      </c>
      <c r="H2237" s="18" t="s">
        <v>178</v>
      </c>
      <c r="I2237" s="18" t="s">
        <v>10</v>
      </c>
      <c r="J2237" s="18" t="s">
        <v>4017</v>
      </c>
      <c r="K2237" s="20"/>
    </row>
    <row r="2238" spans="1:11" ht="36.75" thickBot="1">
      <c r="A2238" s="18" t="s">
        <v>7212</v>
      </c>
      <c r="B2238" s="18">
        <v>20026327562</v>
      </c>
      <c r="C2238" s="18" t="s">
        <v>5503</v>
      </c>
      <c r="D2238" s="19">
        <v>45855.392361111109</v>
      </c>
      <c r="E2238" s="19">
        <v>45877.366666666669</v>
      </c>
      <c r="F2238" s="18">
        <v>125</v>
      </c>
      <c r="G2238" s="19">
        <v>45895.474305555559</v>
      </c>
      <c r="H2238" s="18" t="s">
        <v>236</v>
      </c>
      <c r="I2238" s="18" t="s">
        <v>10</v>
      </c>
      <c r="J2238" s="18" t="s">
        <v>4017</v>
      </c>
      <c r="K2238" s="20"/>
    </row>
    <row r="2239" spans="1:11" ht="36.75" thickBot="1">
      <c r="A2239" s="18" t="s">
        <v>7213</v>
      </c>
      <c r="B2239" s="18">
        <v>20003428225</v>
      </c>
      <c r="C2239" s="18" t="s">
        <v>5878</v>
      </c>
      <c r="D2239" s="19">
        <v>45869.68472222222</v>
      </c>
      <c r="E2239" s="19">
        <v>45877.472916666666</v>
      </c>
      <c r="F2239" s="18">
        <v>110</v>
      </c>
      <c r="G2239" s="19">
        <v>45884.580555555556</v>
      </c>
      <c r="H2239" s="18" t="s">
        <v>236</v>
      </c>
      <c r="I2239" s="18" t="s">
        <v>10</v>
      </c>
      <c r="J2239" s="18" t="s">
        <v>4017</v>
      </c>
      <c r="K2239" s="20"/>
    </row>
    <row r="2240" spans="1:11" ht="72.75" thickBot="1">
      <c r="A2240" s="18" t="s">
        <v>7214</v>
      </c>
      <c r="B2240" s="18">
        <v>20003457955</v>
      </c>
      <c r="C2240" s="18" t="s">
        <v>7215</v>
      </c>
      <c r="D2240" s="19">
        <v>45876.564583333333</v>
      </c>
      <c r="E2240" s="19">
        <v>45877.481944444444</v>
      </c>
      <c r="F2240" s="18">
        <v>100</v>
      </c>
      <c r="G2240" s="19">
        <v>45905.436805555553</v>
      </c>
      <c r="H2240" s="18" t="s">
        <v>2657</v>
      </c>
      <c r="I2240" s="18" t="s">
        <v>10</v>
      </c>
      <c r="J2240" s="18" t="s">
        <v>4017</v>
      </c>
      <c r="K2240" s="20"/>
    </row>
    <row r="2241" spans="1:11" ht="36.75" thickBot="1">
      <c r="A2241" s="18" t="s">
        <v>7216</v>
      </c>
      <c r="B2241" s="18">
        <v>20028074456</v>
      </c>
      <c r="C2241" s="18" t="s">
        <v>5141</v>
      </c>
      <c r="D2241" s="19">
        <v>45814.672222222223</v>
      </c>
      <c r="E2241" s="19">
        <v>45877.55972222222</v>
      </c>
      <c r="F2241" s="18">
        <v>900</v>
      </c>
      <c r="G2241" s="18" t="s">
        <v>10</v>
      </c>
      <c r="H2241" s="18" t="s">
        <v>178</v>
      </c>
      <c r="I2241" s="18" t="s">
        <v>10</v>
      </c>
      <c r="J2241" s="18" t="s">
        <v>4017</v>
      </c>
      <c r="K2241" s="20"/>
    </row>
    <row r="2242" spans="1:11" ht="36.75" thickBot="1">
      <c r="A2242" s="18" t="s">
        <v>7217</v>
      </c>
      <c r="B2242" s="18">
        <v>20020221085</v>
      </c>
      <c r="C2242" s="18" t="s">
        <v>7155</v>
      </c>
      <c r="D2242" s="19">
        <v>45880.621527777781</v>
      </c>
      <c r="E2242" s="18" t="s">
        <v>10</v>
      </c>
      <c r="F2242" s="18">
        <v>400</v>
      </c>
      <c r="G2242" s="18" t="s">
        <v>10</v>
      </c>
      <c r="H2242" s="18" t="s">
        <v>178</v>
      </c>
      <c r="I2242" s="18" t="s">
        <v>10</v>
      </c>
      <c r="J2242" s="18" t="s">
        <v>4017</v>
      </c>
      <c r="K2242" s="20"/>
    </row>
    <row r="2243" spans="1:11" ht="36.75" thickBot="1">
      <c r="A2243" s="18" t="s">
        <v>7218</v>
      </c>
      <c r="B2243" s="18">
        <v>20002901305</v>
      </c>
      <c r="C2243" s="18" t="s">
        <v>7219</v>
      </c>
      <c r="D2243" s="19">
        <v>45836.65625</v>
      </c>
      <c r="E2243" s="19">
        <v>45880.712500000001</v>
      </c>
      <c r="F2243" s="18">
        <v>250</v>
      </c>
      <c r="G2243" s="19">
        <v>45884.486111111109</v>
      </c>
      <c r="H2243" s="18" t="s">
        <v>2654</v>
      </c>
      <c r="I2243" s="18" t="s">
        <v>10</v>
      </c>
      <c r="J2243" s="18" t="s">
        <v>4017</v>
      </c>
      <c r="K2243" s="20"/>
    </row>
    <row r="2244" spans="1:11" ht="72.75" thickBot="1">
      <c r="A2244" s="18" t="s">
        <v>7220</v>
      </c>
      <c r="B2244" s="18">
        <v>20003408773</v>
      </c>
      <c r="C2244" s="18" t="s">
        <v>7124</v>
      </c>
      <c r="D2244" s="19">
        <v>45866.676388888889</v>
      </c>
      <c r="E2244" s="19">
        <v>45881.317361111112</v>
      </c>
      <c r="F2244" s="18">
        <v>150</v>
      </c>
      <c r="G2244" s="19">
        <v>45911.448611111111</v>
      </c>
      <c r="H2244" s="18" t="s">
        <v>2688</v>
      </c>
      <c r="I2244" s="18" t="s">
        <v>10</v>
      </c>
      <c r="J2244" s="18" t="s">
        <v>4017</v>
      </c>
      <c r="K2244" s="20"/>
    </row>
    <row r="2245" spans="1:11" ht="36.75" thickBot="1">
      <c r="A2245" s="18" t="s">
        <v>7221</v>
      </c>
      <c r="B2245" s="18">
        <v>20003308185</v>
      </c>
      <c r="C2245" s="18" t="s">
        <v>7222</v>
      </c>
      <c r="D2245" s="19">
        <v>45881.555555555555</v>
      </c>
      <c r="E2245" s="18" t="s">
        <v>10</v>
      </c>
      <c r="F2245" s="18">
        <v>800</v>
      </c>
      <c r="G2245" s="18" t="s">
        <v>10</v>
      </c>
      <c r="H2245" s="18" t="s">
        <v>178</v>
      </c>
      <c r="I2245" s="18" t="s">
        <v>10</v>
      </c>
      <c r="J2245" s="18" t="s">
        <v>4017</v>
      </c>
      <c r="K2245" s="20"/>
    </row>
    <row r="2246" spans="1:11" ht="36.75" thickBot="1">
      <c r="A2246" s="18" t="s">
        <v>7223</v>
      </c>
      <c r="B2246" s="18">
        <v>20028245490</v>
      </c>
      <c r="C2246" s="18" t="s">
        <v>6579</v>
      </c>
      <c r="D2246" s="19">
        <v>45870.681944444441</v>
      </c>
      <c r="E2246" s="19">
        <v>45882.400000000001</v>
      </c>
      <c r="F2246" s="18">
        <v>80</v>
      </c>
      <c r="G2246" s="19">
        <v>45890.395138888889</v>
      </c>
      <c r="H2246" s="18" t="s">
        <v>236</v>
      </c>
      <c r="I2246" s="18" t="s">
        <v>10</v>
      </c>
      <c r="J2246" s="18" t="s">
        <v>4017</v>
      </c>
      <c r="K2246" s="20"/>
    </row>
    <row r="2247" spans="1:11" ht="36.75" thickBot="1">
      <c r="A2247" s="18" t="s">
        <v>7224</v>
      </c>
      <c r="B2247" s="18">
        <v>20020694800</v>
      </c>
      <c r="C2247" s="18" t="s">
        <v>6323</v>
      </c>
      <c r="D2247" s="19">
        <v>45877.413888888892</v>
      </c>
      <c r="E2247" s="19">
        <v>45882.495833333334</v>
      </c>
      <c r="F2247" s="18">
        <v>100</v>
      </c>
      <c r="G2247" s="19">
        <v>45894.354166666664</v>
      </c>
      <c r="H2247" s="18" t="s">
        <v>2654</v>
      </c>
      <c r="I2247" s="18" t="s">
        <v>10</v>
      </c>
      <c r="J2247" s="18" t="s">
        <v>4017</v>
      </c>
      <c r="K2247" s="20"/>
    </row>
    <row r="2248" spans="1:11" ht="36.75" thickBot="1">
      <c r="A2248" s="18" t="s">
        <v>7225</v>
      </c>
      <c r="B2248" s="18">
        <v>20028467102</v>
      </c>
      <c r="C2248" s="18" t="s">
        <v>7226</v>
      </c>
      <c r="D2248" s="19">
        <v>45863.727777777778</v>
      </c>
      <c r="E2248" s="19">
        <v>45882.60833333333</v>
      </c>
      <c r="F2248" s="18">
        <v>400</v>
      </c>
      <c r="G2248" s="18" t="s">
        <v>10</v>
      </c>
      <c r="H2248" s="18" t="s">
        <v>178</v>
      </c>
      <c r="I2248" s="18" t="s">
        <v>10</v>
      </c>
      <c r="J2248" s="18" t="s">
        <v>4017</v>
      </c>
      <c r="K2248" s="20"/>
    </row>
    <row r="2249" spans="1:11" ht="36.75" thickBot="1">
      <c r="A2249" s="18" t="s">
        <v>7227</v>
      </c>
      <c r="B2249" s="18">
        <v>20003403529</v>
      </c>
      <c r="C2249" s="18" t="s">
        <v>5151</v>
      </c>
      <c r="D2249" s="19">
        <v>45786.599305555559</v>
      </c>
      <c r="E2249" s="19">
        <v>45882.774305555555</v>
      </c>
      <c r="F2249" s="18">
        <v>800</v>
      </c>
      <c r="G2249" s="19">
        <v>45932.595138888886</v>
      </c>
      <c r="H2249" s="18" t="s">
        <v>236</v>
      </c>
      <c r="I2249" s="18" t="s">
        <v>10</v>
      </c>
      <c r="J2249" s="18" t="s">
        <v>4017</v>
      </c>
      <c r="K2249" s="20"/>
    </row>
    <row r="2250" spans="1:11" ht="36.75" thickBot="1">
      <c r="A2250" s="18" t="s">
        <v>7228</v>
      </c>
      <c r="B2250" s="18">
        <v>20017248953</v>
      </c>
      <c r="C2250" s="18" t="s">
        <v>4510</v>
      </c>
      <c r="D2250" s="19">
        <v>45883.421527777777</v>
      </c>
      <c r="E2250" s="18" t="s">
        <v>10</v>
      </c>
      <c r="F2250" s="18">
        <v>880</v>
      </c>
      <c r="G2250" s="18" t="s">
        <v>10</v>
      </c>
      <c r="H2250" s="18" t="s">
        <v>178</v>
      </c>
      <c r="I2250" s="18" t="s">
        <v>10</v>
      </c>
      <c r="J2250" s="18" t="s">
        <v>4017</v>
      </c>
      <c r="K2250" s="20"/>
    </row>
    <row r="2251" spans="1:11" ht="54.75" thickBot="1">
      <c r="A2251" s="18" t="s">
        <v>7229</v>
      </c>
      <c r="B2251" s="18">
        <v>20024989549</v>
      </c>
      <c r="C2251" s="18" t="s">
        <v>7230</v>
      </c>
      <c r="D2251" s="19">
        <v>45877.519444444442</v>
      </c>
      <c r="E2251" s="19">
        <v>45883.459722222222</v>
      </c>
      <c r="F2251" s="18">
        <v>30</v>
      </c>
      <c r="G2251" s="19">
        <v>45890.546527777777</v>
      </c>
      <c r="H2251" s="18" t="s">
        <v>2654</v>
      </c>
      <c r="I2251" s="18" t="s">
        <v>10</v>
      </c>
      <c r="J2251" s="18" t="s">
        <v>4017</v>
      </c>
      <c r="K2251" s="20"/>
    </row>
    <row r="2252" spans="1:11" ht="54.75" thickBot="1">
      <c r="A2252" s="18" t="s">
        <v>7231</v>
      </c>
      <c r="B2252" s="18">
        <v>20026217197</v>
      </c>
      <c r="C2252" s="18" t="s">
        <v>7232</v>
      </c>
      <c r="D2252" s="19">
        <v>45877.808333333334</v>
      </c>
      <c r="E2252" s="19">
        <v>45883.481249999997</v>
      </c>
      <c r="F2252" s="18">
        <v>30</v>
      </c>
      <c r="G2252" s="19">
        <v>45890.546527777777</v>
      </c>
      <c r="H2252" s="18" t="s">
        <v>2654</v>
      </c>
      <c r="I2252" s="18" t="s">
        <v>10</v>
      </c>
      <c r="J2252" s="18" t="s">
        <v>4017</v>
      </c>
      <c r="K2252" s="20"/>
    </row>
    <row r="2253" spans="1:11" ht="54.75" thickBot="1">
      <c r="A2253" s="18" t="s">
        <v>7233</v>
      </c>
      <c r="B2253" s="18">
        <v>20025245973</v>
      </c>
      <c r="C2253" s="18" t="s">
        <v>7234</v>
      </c>
      <c r="D2253" s="19">
        <v>45877.871527777781</v>
      </c>
      <c r="E2253" s="19">
        <v>45883.48333333333</v>
      </c>
      <c r="F2253" s="18">
        <v>30</v>
      </c>
      <c r="G2253" s="19">
        <v>45890.546527777777</v>
      </c>
      <c r="H2253" s="18" t="s">
        <v>2654</v>
      </c>
      <c r="I2253" s="18" t="s">
        <v>10</v>
      </c>
      <c r="J2253" s="18" t="s">
        <v>4017</v>
      </c>
      <c r="K2253" s="20"/>
    </row>
    <row r="2254" spans="1:11" ht="54.75" thickBot="1">
      <c r="A2254" s="18" t="s">
        <v>7235</v>
      </c>
      <c r="B2254" s="18">
        <v>20025237644</v>
      </c>
      <c r="C2254" s="18" t="s">
        <v>7236</v>
      </c>
      <c r="D2254" s="19">
        <v>45879.915972222225</v>
      </c>
      <c r="E2254" s="19">
        <v>45883.48541666667</v>
      </c>
      <c r="F2254" s="18">
        <v>30</v>
      </c>
      <c r="G2254" s="19">
        <v>45890.546527777777</v>
      </c>
      <c r="H2254" s="18" t="s">
        <v>2654</v>
      </c>
      <c r="I2254" s="18" t="s">
        <v>10</v>
      </c>
      <c r="J2254" s="18" t="s">
        <v>4017</v>
      </c>
      <c r="K2254" s="20"/>
    </row>
    <row r="2255" spans="1:11" ht="36.75" thickBot="1">
      <c r="A2255" s="18" t="s">
        <v>7237</v>
      </c>
      <c r="B2255" s="18">
        <v>20020969856</v>
      </c>
      <c r="C2255" s="18" t="s">
        <v>7003</v>
      </c>
      <c r="D2255" s="19">
        <v>45880.487500000003</v>
      </c>
      <c r="E2255" s="19">
        <v>45883.581250000003</v>
      </c>
      <c r="F2255" s="18">
        <v>300</v>
      </c>
      <c r="G2255" s="19">
        <v>45896.536111111112</v>
      </c>
      <c r="H2255" s="18" t="s">
        <v>2654</v>
      </c>
      <c r="I2255" s="18" t="s">
        <v>10</v>
      </c>
      <c r="J2255" s="18" t="s">
        <v>4017</v>
      </c>
      <c r="K2255" s="20"/>
    </row>
    <row r="2256" spans="1:11" ht="72.75" thickBot="1">
      <c r="A2256" s="18" t="s">
        <v>7238</v>
      </c>
      <c r="B2256" s="18">
        <v>20003118712</v>
      </c>
      <c r="C2256" s="18" t="s">
        <v>5487</v>
      </c>
      <c r="D2256" s="19">
        <v>45799.379861111112</v>
      </c>
      <c r="E2256" s="19">
        <v>45883.655555555553</v>
      </c>
      <c r="F2256" s="18">
        <v>875</v>
      </c>
      <c r="G2256" s="19">
        <v>45910.459722222222</v>
      </c>
      <c r="H2256" s="18" t="s">
        <v>2688</v>
      </c>
      <c r="I2256" s="18" t="s">
        <v>10</v>
      </c>
      <c r="J2256" s="18" t="s">
        <v>4017</v>
      </c>
      <c r="K2256" s="20"/>
    </row>
    <row r="2257" spans="1:11" ht="36.75" thickBot="1">
      <c r="A2257" s="18" t="s">
        <v>7239</v>
      </c>
      <c r="B2257" s="18">
        <v>20003290098</v>
      </c>
      <c r="C2257" s="18" t="s">
        <v>5085</v>
      </c>
      <c r="D2257" s="19">
        <v>45868.633333333331</v>
      </c>
      <c r="E2257" s="19">
        <v>45883.660416666666</v>
      </c>
      <c r="F2257" s="18">
        <v>540</v>
      </c>
      <c r="G2257" s="19">
        <v>45924.423611111109</v>
      </c>
      <c r="H2257" s="18" t="s">
        <v>2654</v>
      </c>
      <c r="I2257" s="18" t="s">
        <v>10</v>
      </c>
      <c r="J2257" s="18" t="s">
        <v>4017</v>
      </c>
      <c r="K2257" s="20"/>
    </row>
    <row r="2258" spans="1:11" ht="36.75" thickBot="1">
      <c r="A2258" s="18" t="s">
        <v>7240</v>
      </c>
      <c r="B2258" s="18">
        <v>20027653474</v>
      </c>
      <c r="C2258" s="18" t="s">
        <v>7241</v>
      </c>
      <c r="D2258" s="19">
        <v>45883.484027777777</v>
      </c>
      <c r="E2258" s="19">
        <v>45883.691666666666</v>
      </c>
      <c r="F2258" s="18">
        <v>175</v>
      </c>
      <c r="G2258" s="19">
        <v>45894.425000000003</v>
      </c>
      <c r="H2258" s="18" t="s">
        <v>236</v>
      </c>
      <c r="I2258" s="18" t="s">
        <v>10</v>
      </c>
      <c r="J2258" s="18" t="s">
        <v>4017</v>
      </c>
      <c r="K2258" s="20"/>
    </row>
    <row r="2259" spans="1:11" ht="36.75" thickBot="1">
      <c r="A2259" s="18" t="s">
        <v>7242</v>
      </c>
      <c r="B2259" s="18">
        <v>20003287196</v>
      </c>
      <c r="C2259" s="18" t="s">
        <v>5559</v>
      </c>
      <c r="D2259" s="19">
        <v>45884.462500000001</v>
      </c>
      <c r="E2259" s="18" t="s">
        <v>10</v>
      </c>
      <c r="F2259" s="18">
        <v>340</v>
      </c>
      <c r="G2259" s="18" t="s">
        <v>10</v>
      </c>
      <c r="H2259" s="18" t="s">
        <v>178</v>
      </c>
      <c r="I2259" s="18" t="s">
        <v>10</v>
      </c>
      <c r="J2259" s="18" t="s">
        <v>4017</v>
      </c>
      <c r="K2259" s="20"/>
    </row>
    <row r="2260" spans="1:11" ht="36.75" thickBot="1">
      <c r="A2260" s="18" t="s">
        <v>7243</v>
      </c>
      <c r="B2260" s="18">
        <v>20003497621</v>
      </c>
      <c r="C2260" s="18" t="s">
        <v>4209</v>
      </c>
      <c r="D2260" s="19">
        <v>45884.65902777778</v>
      </c>
      <c r="E2260" s="18" t="s">
        <v>10</v>
      </c>
      <c r="F2260" s="18">
        <v>600</v>
      </c>
      <c r="G2260" s="18" t="s">
        <v>10</v>
      </c>
      <c r="H2260" s="18" t="s">
        <v>178</v>
      </c>
      <c r="I2260" s="18" t="s">
        <v>10</v>
      </c>
      <c r="J2260" s="18" t="s">
        <v>4017</v>
      </c>
      <c r="K2260" s="20"/>
    </row>
    <row r="2261" spans="1:11" ht="36.75" thickBot="1">
      <c r="A2261" s="18" t="s">
        <v>7244</v>
      </c>
      <c r="B2261" s="18">
        <v>20027766901</v>
      </c>
      <c r="C2261" s="18" t="s">
        <v>863</v>
      </c>
      <c r="D2261" s="19">
        <v>45884.228472222225</v>
      </c>
      <c r="E2261" s="19">
        <v>45884.682638888888</v>
      </c>
      <c r="F2261" s="18">
        <v>50</v>
      </c>
      <c r="G2261" s="18" t="s">
        <v>10</v>
      </c>
      <c r="H2261" s="18" t="s">
        <v>189</v>
      </c>
      <c r="I2261" s="18" t="s">
        <v>10</v>
      </c>
      <c r="J2261" s="18" t="s">
        <v>4017</v>
      </c>
      <c r="K2261" s="20"/>
    </row>
    <row r="2262" spans="1:11" ht="36.75" thickBot="1">
      <c r="A2262" s="18" t="s">
        <v>7245</v>
      </c>
      <c r="B2262" s="18">
        <v>20028041002</v>
      </c>
      <c r="C2262" s="18" t="s">
        <v>7246</v>
      </c>
      <c r="D2262" s="19">
        <v>45885.006944444445</v>
      </c>
      <c r="E2262" s="18" t="s">
        <v>10</v>
      </c>
      <c r="F2262" s="18">
        <v>30</v>
      </c>
      <c r="G2262" s="18" t="s">
        <v>10</v>
      </c>
      <c r="H2262" s="18" t="s">
        <v>189</v>
      </c>
      <c r="I2262" s="18" t="s">
        <v>10</v>
      </c>
      <c r="J2262" s="18" t="s">
        <v>4017</v>
      </c>
      <c r="K2262" s="20"/>
    </row>
    <row r="2263" spans="1:11" ht="36.75" thickBot="1">
      <c r="A2263" s="18" t="s">
        <v>7247</v>
      </c>
      <c r="B2263" s="18">
        <v>20024661334</v>
      </c>
      <c r="C2263" s="18" t="s">
        <v>7248</v>
      </c>
      <c r="D2263" s="19">
        <v>45878.71597222222</v>
      </c>
      <c r="E2263" s="19">
        <v>45885.48333333333</v>
      </c>
      <c r="F2263" s="18">
        <v>30</v>
      </c>
      <c r="G2263" s="18" t="s">
        <v>10</v>
      </c>
      <c r="H2263" s="18" t="s">
        <v>178</v>
      </c>
      <c r="I2263" s="18" t="s">
        <v>10</v>
      </c>
      <c r="J2263" s="18" t="s">
        <v>4017</v>
      </c>
      <c r="K2263" s="20"/>
    </row>
    <row r="2264" spans="1:11" ht="36.75" thickBot="1">
      <c r="A2264" s="18" t="s">
        <v>7249</v>
      </c>
      <c r="B2264" s="18">
        <v>20022815184</v>
      </c>
      <c r="C2264" s="18" t="s">
        <v>7250</v>
      </c>
      <c r="D2264" s="19">
        <v>45885.525694444441</v>
      </c>
      <c r="E2264" s="18" t="s">
        <v>10</v>
      </c>
      <c r="F2264" s="18">
        <v>50</v>
      </c>
      <c r="G2264" s="18" t="s">
        <v>10</v>
      </c>
      <c r="H2264" s="18" t="s">
        <v>178</v>
      </c>
      <c r="I2264" s="18" t="s">
        <v>10</v>
      </c>
      <c r="J2264" s="18" t="s">
        <v>4017</v>
      </c>
      <c r="K2264" s="20"/>
    </row>
    <row r="2265" spans="1:11" ht="72.75" thickBot="1">
      <c r="A2265" s="18" t="s">
        <v>7251</v>
      </c>
      <c r="B2265" s="18">
        <v>20003423783</v>
      </c>
      <c r="C2265" s="18" t="s">
        <v>5262</v>
      </c>
      <c r="D2265" s="19">
        <v>45885.740972222222</v>
      </c>
      <c r="E2265" s="18" t="s">
        <v>10</v>
      </c>
      <c r="F2265" s="18">
        <v>100</v>
      </c>
      <c r="G2265" s="19">
        <v>45919.585416666669</v>
      </c>
      <c r="H2265" s="18" t="s">
        <v>2688</v>
      </c>
      <c r="I2265" s="18" t="s">
        <v>10</v>
      </c>
      <c r="J2265" s="18" t="s">
        <v>4017</v>
      </c>
      <c r="K2265" s="20"/>
    </row>
    <row r="2266" spans="1:11" ht="36.75" thickBot="1">
      <c r="A2266" s="18" t="s">
        <v>7252</v>
      </c>
      <c r="B2266" s="18">
        <v>20026840156</v>
      </c>
      <c r="C2266" s="18" t="s">
        <v>7253</v>
      </c>
      <c r="D2266" s="19">
        <v>45881.484722222223</v>
      </c>
      <c r="E2266" s="19">
        <v>45887.333333333336</v>
      </c>
      <c r="F2266" s="18">
        <v>50</v>
      </c>
      <c r="G2266" s="19">
        <v>45890.468055555553</v>
      </c>
      <c r="H2266" s="18" t="s">
        <v>236</v>
      </c>
      <c r="I2266" s="18" t="s">
        <v>10</v>
      </c>
      <c r="J2266" s="18" t="s">
        <v>4017</v>
      </c>
      <c r="K2266" s="20"/>
    </row>
    <row r="2267" spans="1:11" ht="36.75" thickBot="1">
      <c r="A2267" s="18" t="s">
        <v>7254</v>
      </c>
      <c r="B2267" s="18">
        <v>20003128060</v>
      </c>
      <c r="C2267" s="18" t="s">
        <v>7255</v>
      </c>
      <c r="D2267" s="19">
        <v>45769.589583333334</v>
      </c>
      <c r="E2267" s="19">
        <v>45887.581250000003</v>
      </c>
      <c r="F2267" s="18">
        <v>600</v>
      </c>
      <c r="G2267" s="19">
        <v>45903.595138888886</v>
      </c>
      <c r="H2267" s="18" t="s">
        <v>2654</v>
      </c>
      <c r="I2267" s="18" t="s">
        <v>10</v>
      </c>
      <c r="J2267" s="18" t="s">
        <v>4017</v>
      </c>
      <c r="K2267" s="20"/>
    </row>
    <row r="2268" spans="1:11" ht="72.75" thickBot="1">
      <c r="A2268" s="18" t="s">
        <v>7256</v>
      </c>
      <c r="B2268" s="18">
        <v>20002719489</v>
      </c>
      <c r="C2268" s="18" t="s">
        <v>7257</v>
      </c>
      <c r="D2268" s="19">
        <v>45871.833333333336</v>
      </c>
      <c r="E2268" s="19">
        <v>45887.669444444444</v>
      </c>
      <c r="F2268" s="18">
        <v>800</v>
      </c>
      <c r="G2268" s="19">
        <v>45891.615972222222</v>
      </c>
      <c r="H2268" s="18" t="s">
        <v>2688</v>
      </c>
      <c r="I2268" s="18" t="s">
        <v>10</v>
      </c>
      <c r="J2268" s="18" t="s">
        <v>4017</v>
      </c>
      <c r="K2268" s="20"/>
    </row>
    <row r="2269" spans="1:11" ht="36.75" thickBot="1">
      <c r="A2269" s="18" t="s">
        <v>7258</v>
      </c>
      <c r="B2269" s="18">
        <v>20003149291</v>
      </c>
      <c r="C2269" s="18" t="s">
        <v>7259</v>
      </c>
      <c r="D2269" s="19">
        <v>45884.636805555558</v>
      </c>
      <c r="E2269" s="19">
        <v>45887.707638888889</v>
      </c>
      <c r="F2269" s="18">
        <v>200</v>
      </c>
      <c r="G2269" s="19">
        <v>45895.400694444441</v>
      </c>
      <c r="H2269" s="18" t="s">
        <v>2654</v>
      </c>
      <c r="I2269" s="18" t="s">
        <v>10</v>
      </c>
      <c r="J2269" s="18" t="s">
        <v>4017</v>
      </c>
      <c r="K2269" s="20"/>
    </row>
    <row r="2270" spans="1:11" ht="36.75" thickBot="1">
      <c r="A2270" s="18" t="s">
        <v>7260</v>
      </c>
      <c r="B2270" s="18">
        <v>20003116041</v>
      </c>
      <c r="C2270" s="18" t="s">
        <v>4360</v>
      </c>
      <c r="D2270" s="19">
        <v>45814.438888888886</v>
      </c>
      <c r="E2270" s="19">
        <v>45888.365972222222</v>
      </c>
      <c r="F2270" s="18">
        <v>850</v>
      </c>
      <c r="G2270" s="19">
        <v>45959.494444444441</v>
      </c>
      <c r="H2270" s="18" t="s">
        <v>2654</v>
      </c>
      <c r="I2270" s="18" t="s">
        <v>10</v>
      </c>
      <c r="J2270" s="18" t="s">
        <v>4017</v>
      </c>
      <c r="K2270" s="20"/>
    </row>
    <row r="2271" spans="1:11" ht="36.75" thickBot="1">
      <c r="A2271" s="18" t="s">
        <v>7261</v>
      </c>
      <c r="B2271" s="18">
        <v>20003089344</v>
      </c>
      <c r="C2271" s="18" t="s">
        <v>5331</v>
      </c>
      <c r="D2271" s="19">
        <v>45850.646527777775</v>
      </c>
      <c r="E2271" s="19">
        <v>45888.576388888891</v>
      </c>
      <c r="F2271" s="18">
        <v>436</v>
      </c>
      <c r="G2271" s="19">
        <v>45925.45</v>
      </c>
      <c r="H2271" s="18" t="s">
        <v>2654</v>
      </c>
      <c r="I2271" s="18" t="s">
        <v>10</v>
      </c>
      <c r="J2271" s="18" t="s">
        <v>4017</v>
      </c>
      <c r="K2271" s="20"/>
    </row>
    <row r="2272" spans="1:11" ht="72.75" thickBot="1">
      <c r="A2272" s="18" t="s">
        <v>7262</v>
      </c>
      <c r="B2272" s="18">
        <v>20022337090</v>
      </c>
      <c r="C2272" s="18" t="s">
        <v>7263</v>
      </c>
      <c r="D2272" s="19">
        <v>45880.477083333331</v>
      </c>
      <c r="E2272" s="19">
        <v>45888.619444444441</v>
      </c>
      <c r="F2272" s="18">
        <v>150</v>
      </c>
      <c r="G2272" s="19">
        <v>45897.431250000001</v>
      </c>
      <c r="H2272" s="18" t="s">
        <v>2688</v>
      </c>
      <c r="I2272" s="18" t="s">
        <v>10</v>
      </c>
      <c r="J2272" s="18" t="s">
        <v>4017</v>
      </c>
      <c r="K2272" s="20"/>
    </row>
    <row r="2273" spans="1:11" ht="36.75" thickBot="1">
      <c r="A2273" s="18" t="s">
        <v>7264</v>
      </c>
      <c r="B2273" s="18">
        <v>20019284401</v>
      </c>
      <c r="C2273" s="18" t="s">
        <v>7265</v>
      </c>
      <c r="D2273" s="19">
        <v>45888.686111111114</v>
      </c>
      <c r="E2273" s="18" t="s">
        <v>10</v>
      </c>
      <c r="F2273" s="18">
        <v>400</v>
      </c>
      <c r="G2273" s="18" t="s">
        <v>10</v>
      </c>
      <c r="H2273" s="18" t="s">
        <v>178</v>
      </c>
      <c r="I2273" s="18" t="s">
        <v>10</v>
      </c>
      <c r="J2273" s="18" t="s">
        <v>4017</v>
      </c>
      <c r="K2273" s="20"/>
    </row>
    <row r="2274" spans="1:11" ht="36.75" thickBot="1">
      <c r="A2274" s="18" t="s">
        <v>7266</v>
      </c>
      <c r="B2274" s="18">
        <v>20018591856</v>
      </c>
      <c r="C2274" s="18" t="s">
        <v>4117</v>
      </c>
      <c r="D2274" s="19">
        <v>45876.636111111111</v>
      </c>
      <c r="E2274" s="19">
        <v>45888.762499999997</v>
      </c>
      <c r="F2274" s="18">
        <v>50</v>
      </c>
      <c r="G2274" s="18" t="s">
        <v>10</v>
      </c>
      <c r="H2274" s="18" t="s">
        <v>178</v>
      </c>
      <c r="I2274" s="18" t="s">
        <v>10</v>
      </c>
      <c r="J2274" s="18" t="s">
        <v>4017</v>
      </c>
      <c r="K2274" s="20"/>
    </row>
    <row r="2275" spans="1:11" ht="54.75" thickBot="1">
      <c r="A2275" s="18" t="s">
        <v>7267</v>
      </c>
      <c r="B2275" s="18">
        <v>20019670572</v>
      </c>
      <c r="C2275" s="18" t="s">
        <v>7268</v>
      </c>
      <c r="D2275" s="19">
        <v>45867.657638888886</v>
      </c>
      <c r="E2275" s="19">
        <v>45889.425000000003</v>
      </c>
      <c r="F2275" s="18">
        <v>400</v>
      </c>
      <c r="G2275" s="19">
        <v>45910.476388888892</v>
      </c>
      <c r="H2275" s="18" t="s">
        <v>2654</v>
      </c>
      <c r="I2275" s="18" t="s">
        <v>10</v>
      </c>
      <c r="J2275" s="18" t="s">
        <v>4017</v>
      </c>
      <c r="K2275" s="20"/>
    </row>
    <row r="2276" spans="1:11" ht="36.75" thickBot="1">
      <c r="A2276" s="18" t="s">
        <v>7269</v>
      </c>
      <c r="B2276" s="18">
        <v>20028591678</v>
      </c>
      <c r="C2276" s="18" t="s">
        <v>7270</v>
      </c>
      <c r="D2276" s="19">
        <v>45883.633333333331</v>
      </c>
      <c r="E2276" s="19">
        <v>45889.45208333333</v>
      </c>
      <c r="F2276" s="18">
        <v>50</v>
      </c>
      <c r="G2276" s="19">
        <v>45904.459722222222</v>
      </c>
      <c r="H2276" s="18" t="s">
        <v>236</v>
      </c>
      <c r="I2276" s="18" t="s">
        <v>10</v>
      </c>
      <c r="J2276" s="18" t="s">
        <v>4017</v>
      </c>
      <c r="K2276" s="20"/>
    </row>
    <row r="2277" spans="1:11" ht="36.75" thickBot="1">
      <c r="A2277" s="18" t="s">
        <v>7271</v>
      </c>
      <c r="B2277" s="18">
        <v>20028225620</v>
      </c>
      <c r="C2277" s="18" t="s">
        <v>7272</v>
      </c>
      <c r="D2277" s="19">
        <v>45888.390277777777</v>
      </c>
      <c r="E2277" s="19">
        <v>45889.549305555556</v>
      </c>
      <c r="F2277" s="18">
        <v>100</v>
      </c>
      <c r="G2277" s="19">
        <v>45915.618750000001</v>
      </c>
      <c r="H2277" s="18" t="s">
        <v>236</v>
      </c>
      <c r="I2277" s="18" t="s">
        <v>10</v>
      </c>
      <c r="J2277" s="18" t="s">
        <v>4017</v>
      </c>
      <c r="K2277" s="20"/>
    </row>
    <row r="2278" spans="1:11" ht="36.75" thickBot="1">
      <c r="A2278" s="18" t="s">
        <v>7273</v>
      </c>
      <c r="B2278" s="18">
        <v>20023401809</v>
      </c>
      <c r="C2278" s="18" t="s">
        <v>7274</v>
      </c>
      <c r="D2278" s="19">
        <v>45888.588194444441</v>
      </c>
      <c r="E2278" s="19">
        <v>45889.563194444447</v>
      </c>
      <c r="F2278" s="18">
        <v>70</v>
      </c>
      <c r="G2278" s="18" t="s">
        <v>10</v>
      </c>
      <c r="H2278" s="18" t="s">
        <v>178</v>
      </c>
      <c r="I2278" s="18" t="s">
        <v>10</v>
      </c>
      <c r="J2278" s="18" t="s">
        <v>4017</v>
      </c>
      <c r="K2278" s="20"/>
    </row>
    <row r="2279" spans="1:11" ht="36.75" thickBot="1">
      <c r="A2279" s="18" t="s">
        <v>7275</v>
      </c>
      <c r="B2279" s="18">
        <v>20003348515</v>
      </c>
      <c r="C2279" s="18" t="s">
        <v>7276</v>
      </c>
      <c r="D2279" s="19">
        <v>45875.445138888892</v>
      </c>
      <c r="E2279" s="19">
        <v>45889.570833333331</v>
      </c>
      <c r="F2279" s="18">
        <v>100</v>
      </c>
      <c r="G2279" s="19">
        <v>45896.625</v>
      </c>
      <c r="H2279" s="18" t="s">
        <v>236</v>
      </c>
      <c r="I2279" s="18" t="s">
        <v>10</v>
      </c>
      <c r="J2279" s="18" t="s">
        <v>4017</v>
      </c>
      <c r="K2279" s="20"/>
    </row>
    <row r="2280" spans="1:11" ht="36.75" thickBot="1">
      <c r="A2280" s="18" t="s">
        <v>7277</v>
      </c>
      <c r="B2280" s="18">
        <v>20003173445</v>
      </c>
      <c r="C2280" s="18" t="s">
        <v>6902</v>
      </c>
      <c r="D2280" s="19">
        <v>45869.775694444441</v>
      </c>
      <c r="E2280" s="19">
        <v>45889.597222222219</v>
      </c>
      <c r="F2280" s="18">
        <v>725</v>
      </c>
      <c r="G2280" s="19">
        <v>45897.469444444447</v>
      </c>
      <c r="H2280" s="18" t="s">
        <v>2654</v>
      </c>
      <c r="I2280" s="18" t="s">
        <v>10</v>
      </c>
      <c r="J2280" s="18" t="s">
        <v>4017</v>
      </c>
      <c r="K2280" s="20"/>
    </row>
    <row r="2281" spans="1:11" ht="36.75" thickBot="1">
      <c r="A2281" s="18" t="s">
        <v>7278</v>
      </c>
      <c r="B2281" s="18">
        <v>20023401809</v>
      </c>
      <c r="C2281" s="18" t="s">
        <v>7274</v>
      </c>
      <c r="D2281" s="19">
        <v>45889.629166666666</v>
      </c>
      <c r="E2281" s="18" t="s">
        <v>10</v>
      </c>
      <c r="F2281" s="18">
        <v>70</v>
      </c>
      <c r="G2281" s="19">
        <v>45923.6</v>
      </c>
      <c r="H2281" s="18" t="s">
        <v>236</v>
      </c>
      <c r="I2281" s="18" t="s">
        <v>10</v>
      </c>
      <c r="J2281" s="18" t="s">
        <v>4017</v>
      </c>
      <c r="K2281" s="20"/>
    </row>
    <row r="2282" spans="1:11" ht="36.75" thickBot="1">
      <c r="A2282" s="18" t="s">
        <v>7279</v>
      </c>
      <c r="B2282" s="18">
        <v>20003477672</v>
      </c>
      <c r="C2282" s="18" t="s">
        <v>6870</v>
      </c>
      <c r="D2282" s="19">
        <v>45887.706944444442</v>
      </c>
      <c r="E2282" s="19">
        <v>45889.636805555558</v>
      </c>
      <c r="F2282" s="18">
        <v>100</v>
      </c>
      <c r="G2282" s="18" t="s">
        <v>10</v>
      </c>
      <c r="H2282" s="18" t="s">
        <v>178</v>
      </c>
      <c r="I2282" s="18" t="s">
        <v>10</v>
      </c>
      <c r="J2282" s="18" t="s">
        <v>4017</v>
      </c>
      <c r="K2282" s="20"/>
    </row>
    <row r="2283" spans="1:11" ht="36.75" thickBot="1">
      <c r="A2283" s="18" t="s">
        <v>7280</v>
      </c>
      <c r="B2283" s="18">
        <v>20003203963</v>
      </c>
      <c r="C2283" s="18" t="s">
        <v>4624</v>
      </c>
      <c r="D2283" s="19">
        <v>45890.362500000003</v>
      </c>
      <c r="E2283" s="18" t="s">
        <v>10</v>
      </c>
      <c r="F2283" s="18">
        <v>390</v>
      </c>
      <c r="G2283" s="18" t="s">
        <v>10</v>
      </c>
      <c r="H2283" s="18" t="s">
        <v>178</v>
      </c>
      <c r="I2283" s="18" t="s">
        <v>10</v>
      </c>
      <c r="J2283" s="18" t="s">
        <v>4017</v>
      </c>
      <c r="K2283" s="20"/>
    </row>
    <row r="2284" spans="1:11" ht="36.75" thickBot="1">
      <c r="A2284" s="18" t="s">
        <v>7281</v>
      </c>
      <c r="B2284" s="18">
        <v>20003129575</v>
      </c>
      <c r="C2284" s="18" t="s">
        <v>4856</v>
      </c>
      <c r="D2284" s="19">
        <v>45833.482638888891</v>
      </c>
      <c r="E2284" s="19">
        <v>45890.407638888886</v>
      </c>
      <c r="F2284" s="18">
        <v>775</v>
      </c>
      <c r="G2284" s="19">
        <v>45930.680555555555</v>
      </c>
      <c r="H2284" s="18" t="s">
        <v>2651</v>
      </c>
      <c r="I2284" s="18" t="s">
        <v>10</v>
      </c>
      <c r="J2284" s="18" t="s">
        <v>4017</v>
      </c>
      <c r="K2284" s="20"/>
    </row>
    <row r="2285" spans="1:11" ht="36.75" thickBot="1">
      <c r="A2285" s="18" t="s">
        <v>7282</v>
      </c>
      <c r="B2285" s="18">
        <v>20028467102</v>
      </c>
      <c r="C2285" s="18" t="s">
        <v>7226</v>
      </c>
      <c r="D2285" s="19">
        <v>45890.455555555556</v>
      </c>
      <c r="E2285" s="18" t="s">
        <v>10</v>
      </c>
      <c r="F2285" s="18">
        <v>400</v>
      </c>
      <c r="G2285" s="18" t="s">
        <v>10</v>
      </c>
      <c r="H2285" s="18" t="s">
        <v>178</v>
      </c>
      <c r="I2285" s="18" t="s">
        <v>10</v>
      </c>
      <c r="J2285" s="18" t="s">
        <v>4017</v>
      </c>
      <c r="K2285" s="20"/>
    </row>
    <row r="2286" spans="1:11" ht="36.75" thickBot="1">
      <c r="A2286" s="18" t="s">
        <v>7283</v>
      </c>
      <c r="B2286" s="18">
        <v>20028253978</v>
      </c>
      <c r="C2286" s="18" t="s">
        <v>6925</v>
      </c>
      <c r="D2286" s="19">
        <v>45890.700694444444</v>
      </c>
      <c r="E2286" s="18" t="s">
        <v>10</v>
      </c>
      <c r="F2286" s="18">
        <v>40</v>
      </c>
      <c r="G2286" s="19">
        <v>45894.436111111114</v>
      </c>
      <c r="H2286" s="18" t="s">
        <v>236</v>
      </c>
      <c r="I2286" s="18" t="s">
        <v>10</v>
      </c>
      <c r="J2286" s="18" t="s">
        <v>4017</v>
      </c>
      <c r="K2286" s="20"/>
    </row>
    <row r="2287" spans="1:11" ht="36.75" thickBot="1">
      <c r="A2287" s="18" t="s">
        <v>7284</v>
      </c>
      <c r="B2287" s="18">
        <v>20003177410</v>
      </c>
      <c r="C2287" s="18" t="s">
        <v>7285</v>
      </c>
      <c r="D2287" s="19">
        <v>45855.407638888886</v>
      </c>
      <c r="E2287" s="19">
        <v>45890.865972222222</v>
      </c>
      <c r="F2287" s="18">
        <v>450</v>
      </c>
      <c r="G2287" s="19">
        <v>45925.440972222219</v>
      </c>
      <c r="H2287" s="18" t="s">
        <v>2654</v>
      </c>
      <c r="I2287" s="18" t="s">
        <v>10</v>
      </c>
      <c r="J2287" s="18" t="s">
        <v>4017</v>
      </c>
      <c r="K2287" s="20"/>
    </row>
    <row r="2288" spans="1:11" ht="54.75" thickBot="1">
      <c r="A2288" s="18" t="s">
        <v>7286</v>
      </c>
      <c r="B2288" s="18">
        <v>20020786217</v>
      </c>
      <c r="C2288" s="18" t="s">
        <v>6097</v>
      </c>
      <c r="D2288" s="19">
        <v>45835.700694444444</v>
      </c>
      <c r="E2288" s="19">
        <v>45891.36041666667</v>
      </c>
      <c r="F2288" s="18">
        <v>720</v>
      </c>
      <c r="G2288" s="19">
        <v>45917.659722222219</v>
      </c>
      <c r="H2288" s="18" t="s">
        <v>2654</v>
      </c>
      <c r="I2288" s="18" t="s">
        <v>10</v>
      </c>
      <c r="J2288" s="18" t="s">
        <v>4017</v>
      </c>
      <c r="K2288" s="20"/>
    </row>
    <row r="2289" spans="1:11" ht="36.75" thickBot="1">
      <c r="A2289" s="18" t="s">
        <v>7287</v>
      </c>
      <c r="B2289" s="18">
        <v>20002853805</v>
      </c>
      <c r="C2289" s="18" t="s">
        <v>7047</v>
      </c>
      <c r="D2289" s="19">
        <v>45863.476388888892</v>
      </c>
      <c r="E2289" s="19">
        <v>45891.430555555555</v>
      </c>
      <c r="F2289" s="18">
        <v>100</v>
      </c>
      <c r="G2289" s="18" t="s">
        <v>10</v>
      </c>
      <c r="H2289" s="18" t="s">
        <v>178</v>
      </c>
      <c r="I2289" s="18" t="s">
        <v>10</v>
      </c>
      <c r="J2289" s="18" t="s">
        <v>4017</v>
      </c>
      <c r="K2289" s="20"/>
    </row>
    <row r="2290" spans="1:11" ht="36.75" thickBot="1">
      <c r="A2290" s="18" t="s">
        <v>7288</v>
      </c>
      <c r="B2290" s="18">
        <v>20020602210</v>
      </c>
      <c r="C2290" s="18" t="s">
        <v>4371</v>
      </c>
      <c r="D2290" s="19">
        <v>45871.738888888889</v>
      </c>
      <c r="E2290" s="19">
        <v>45891.45208333333</v>
      </c>
      <c r="F2290" s="18">
        <v>750</v>
      </c>
      <c r="G2290" s="19">
        <v>45919.585416666669</v>
      </c>
      <c r="H2290" s="18" t="s">
        <v>2654</v>
      </c>
      <c r="I2290" s="18" t="s">
        <v>10</v>
      </c>
      <c r="J2290" s="18" t="s">
        <v>4017</v>
      </c>
      <c r="K2290" s="20"/>
    </row>
    <row r="2291" spans="1:11" ht="36.75" thickBot="1">
      <c r="A2291" s="18" t="s">
        <v>7289</v>
      </c>
      <c r="B2291" s="18">
        <v>20027927624</v>
      </c>
      <c r="C2291" s="18" t="s">
        <v>7290</v>
      </c>
      <c r="D2291" s="19">
        <v>45878.004166666666</v>
      </c>
      <c r="E2291" s="19">
        <v>45891.604861111111</v>
      </c>
      <c r="F2291" s="18">
        <v>200</v>
      </c>
      <c r="G2291" s="19">
        <v>45923.701388888891</v>
      </c>
      <c r="H2291" s="18" t="s">
        <v>2654</v>
      </c>
      <c r="I2291" s="18" t="s">
        <v>10</v>
      </c>
      <c r="J2291" s="18" t="s">
        <v>4017</v>
      </c>
      <c r="K2291" s="20"/>
    </row>
    <row r="2292" spans="1:11" ht="72.75" thickBot="1">
      <c r="A2292" s="18" t="s">
        <v>7291</v>
      </c>
      <c r="B2292" s="18">
        <v>20003504858</v>
      </c>
      <c r="C2292" s="18" t="s">
        <v>4510</v>
      </c>
      <c r="D2292" s="19">
        <v>45861.478472222225</v>
      </c>
      <c r="E2292" s="19">
        <v>45891.65902777778</v>
      </c>
      <c r="F2292" s="18">
        <v>800</v>
      </c>
      <c r="G2292" s="19">
        <v>45905.486805555556</v>
      </c>
      <c r="H2292" s="18" t="s">
        <v>2657</v>
      </c>
      <c r="I2292" s="18" t="s">
        <v>10</v>
      </c>
      <c r="J2292" s="18" t="s">
        <v>4017</v>
      </c>
      <c r="K2292" s="20"/>
    </row>
    <row r="2293" spans="1:11" ht="54.75" thickBot="1">
      <c r="A2293" s="18" t="s">
        <v>7292</v>
      </c>
      <c r="B2293" s="18">
        <v>20025449526</v>
      </c>
      <c r="C2293" s="18" t="s">
        <v>7293</v>
      </c>
      <c r="D2293" s="19">
        <v>45891.706944444442</v>
      </c>
      <c r="E2293" s="18" t="s">
        <v>10</v>
      </c>
      <c r="F2293" s="18">
        <v>30</v>
      </c>
      <c r="G2293" s="18" t="s">
        <v>10</v>
      </c>
      <c r="H2293" s="18" t="s">
        <v>178</v>
      </c>
      <c r="I2293" s="18" t="s">
        <v>10</v>
      </c>
      <c r="J2293" s="18" t="s">
        <v>4017</v>
      </c>
      <c r="K2293" s="20"/>
    </row>
    <row r="2294" spans="1:11" ht="72.75" thickBot="1">
      <c r="A2294" s="18" t="s">
        <v>7294</v>
      </c>
      <c r="B2294" s="18">
        <v>20025749539</v>
      </c>
      <c r="C2294" s="18" t="s">
        <v>7295</v>
      </c>
      <c r="D2294" s="19">
        <v>45891.61041666667</v>
      </c>
      <c r="E2294" s="19">
        <v>45891.71597222222</v>
      </c>
      <c r="F2294" s="18">
        <v>30</v>
      </c>
      <c r="G2294" s="19">
        <v>45971.572916666664</v>
      </c>
      <c r="H2294" s="18" t="s">
        <v>2654</v>
      </c>
      <c r="I2294" s="18" t="s">
        <v>10</v>
      </c>
      <c r="J2294" s="18" t="s">
        <v>4017</v>
      </c>
      <c r="K2294" s="20"/>
    </row>
    <row r="2295" spans="1:11" ht="54.75" thickBot="1">
      <c r="A2295" s="18" t="s">
        <v>7296</v>
      </c>
      <c r="B2295" s="18">
        <v>20026728500</v>
      </c>
      <c r="C2295" s="18" t="s">
        <v>7297</v>
      </c>
      <c r="D2295" s="19">
        <v>45891.633333333331</v>
      </c>
      <c r="E2295" s="19">
        <v>45891.719444444447</v>
      </c>
      <c r="F2295" s="18">
        <v>30</v>
      </c>
      <c r="G2295" s="19">
        <v>45971.572916666664</v>
      </c>
      <c r="H2295" s="18" t="s">
        <v>2654</v>
      </c>
      <c r="I2295" s="18" t="s">
        <v>10</v>
      </c>
      <c r="J2295" s="18" t="s">
        <v>4017</v>
      </c>
      <c r="K2295" s="20"/>
    </row>
    <row r="2296" spans="1:11" ht="54.75" thickBot="1">
      <c r="A2296" s="18" t="s">
        <v>7298</v>
      </c>
      <c r="B2296" s="18">
        <v>20025828876</v>
      </c>
      <c r="C2296" s="18" t="s">
        <v>7299</v>
      </c>
      <c r="D2296" s="19">
        <v>45891.67291666667</v>
      </c>
      <c r="E2296" s="19">
        <v>45891.726388888892</v>
      </c>
      <c r="F2296" s="18">
        <v>30</v>
      </c>
      <c r="G2296" s="19">
        <v>45971.572916666664</v>
      </c>
      <c r="H2296" s="18" t="s">
        <v>2654</v>
      </c>
      <c r="I2296" s="18" t="s">
        <v>10</v>
      </c>
      <c r="J2296" s="18" t="s">
        <v>4017</v>
      </c>
      <c r="K2296" s="20"/>
    </row>
    <row r="2297" spans="1:11" ht="36.75" thickBot="1">
      <c r="A2297" s="18" t="s">
        <v>7300</v>
      </c>
      <c r="B2297" s="18">
        <v>20018155106</v>
      </c>
      <c r="C2297" s="18" t="s">
        <v>5436</v>
      </c>
      <c r="D2297" s="19">
        <v>45865.041666666664</v>
      </c>
      <c r="E2297" s="19">
        <v>45891.861111111109</v>
      </c>
      <c r="F2297" s="18">
        <v>250</v>
      </c>
      <c r="G2297" s="19">
        <v>45919.585416666669</v>
      </c>
      <c r="H2297" s="18" t="s">
        <v>2654</v>
      </c>
      <c r="I2297" s="18" t="s">
        <v>10</v>
      </c>
      <c r="J2297" s="18" t="s">
        <v>4017</v>
      </c>
      <c r="K2297" s="20"/>
    </row>
    <row r="2298" spans="1:11" ht="54.75" thickBot="1">
      <c r="A2298" s="18" t="s">
        <v>7301</v>
      </c>
      <c r="B2298" s="18">
        <v>20025768778</v>
      </c>
      <c r="C2298" s="18" t="s">
        <v>7293</v>
      </c>
      <c r="D2298" s="19">
        <v>45892.443055555559</v>
      </c>
      <c r="E2298" s="18" t="s">
        <v>10</v>
      </c>
      <c r="F2298" s="18">
        <v>30</v>
      </c>
      <c r="G2298" s="18" t="s">
        <v>10</v>
      </c>
      <c r="H2298" s="18" t="s">
        <v>178</v>
      </c>
      <c r="I2298" s="18" t="s">
        <v>10</v>
      </c>
      <c r="J2298" s="18" t="s">
        <v>4017</v>
      </c>
      <c r="K2298" s="20"/>
    </row>
    <row r="2299" spans="1:11" ht="72.75" thickBot="1">
      <c r="A2299" s="18" t="s">
        <v>7302</v>
      </c>
      <c r="B2299" s="18">
        <v>20022815184</v>
      </c>
      <c r="C2299" s="18" t="s">
        <v>7250</v>
      </c>
      <c r="D2299" s="19">
        <v>45890.527777777781</v>
      </c>
      <c r="E2299" s="19">
        <v>45892.498611111114</v>
      </c>
      <c r="F2299" s="18">
        <v>50</v>
      </c>
      <c r="G2299" s="19">
        <v>45924.606944444444</v>
      </c>
      <c r="H2299" s="18" t="s">
        <v>2688</v>
      </c>
      <c r="I2299" s="18" t="s">
        <v>10</v>
      </c>
      <c r="J2299" s="18" t="s">
        <v>4017</v>
      </c>
      <c r="K2299" s="20"/>
    </row>
    <row r="2300" spans="1:11" ht="36.75" thickBot="1">
      <c r="A2300" s="18" t="s">
        <v>7303</v>
      </c>
      <c r="B2300" s="18">
        <v>20003105923</v>
      </c>
      <c r="C2300" s="18" t="s">
        <v>6246</v>
      </c>
      <c r="D2300" s="19">
        <v>45892.664583333331</v>
      </c>
      <c r="E2300" s="18" t="s">
        <v>10</v>
      </c>
      <c r="F2300" s="18">
        <v>600</v>
      </c>
      <c r="G2300" s="18" t="s">
        <v>10</v>
      </c>
      <c r="H2300" s="18" t="s">
        <v>178</v>
      </c>
      <c r="I2300" s="18" t="s">
        <v>10</v>
      </c>
      <c r="J2300" s="18" t="s">
        <v>4017</v>
      </c>
      <c r="K2300" s="20"/>
    </row>
    <row r="2301" spans="1:11" ht="36.75" thickBot="1">
      <c r="A2301" s="21" t="s">
        <v>7304</v>
      </c>
      <c r="B2301" s="21">
        <v>20021461727</v>
      </c>
      <c r="C2301" s="21" t="s">
        <v>7305</v>
      </c>
      <c r="D2301" s="22">
        <v>45883.977083333331</v>
      </c>
      <c r="E2301" s="22">
        <v>45893.856944444444</v>
      </c>
      <c r="F2301" s="21">
        <v>300</v>
      </c>
      <c r="G2301" s="21" t="s">
        <v>10</v>
      </c>
      <c r="H2301" s="21" t="s">
        <v>178</v>
      </c>
      <c r="I2301" s="21" t="s">
        <v>10</v>
      </c>
      <c r="J2301" s="21" t="s">
        <v>4017</v>
      </c>
      <c r="K2301" s="1"/>
    </row>
    <row r="2302" spans="1:11" ht="36.75" thickBot="1">
      <c r="A2302" s="21" t="s">
        <v>7306</v>
      </c>
      <c r="B2302" s="21">
        <v>20017079828</v>
      </c>
      <c r="C2302" s="21" t="s">
        <v>5555</v>
      </c>
      <c r="D2302" s="22">
        <v>45849.722222222219</v>
      </c>
      <c r="E2302" s="22">
        <v>45894.423611111109</v>
      </c>
      <c r="F2302" s="21">
        <v>700</v>
      </c>
      <c r="G2302" s="22">
        <v>45898.559027777781</v>
      </c>
      <c r="H2302" s="21" t="s">
        <v>2654</v>
      </c>
      <c r="I2302" s="21" t="s">
        <v>10</v>
      </c>
      <c r="J2302" s="21" t="s">
        <v>4017</v>
      </c>
      <c r="K2302" s="20"/>
    </row>
    <row r="2303" spans="1:11" ht="72.75" thickBot="1">
      <c r="A2303" s="18" t="s">
        <v>7307</v>
      </c>
      <c r="B2303" s="18">
        <v>20019622170</v>
      </c>
      <c r="C2303" s="18" t="s">
        <v>7308</v>
      </c>
      <c r="D2303" s="19">
        <v>45882.595138888886</v>
      </c>
      <c r="E2303" s="19">
        <v>45894.438888888886</v>
      </c>
      <c r="F2303" s="18">
        <v>50</v>
      </c>
      <c r="G2303" s="19">
        <v>45912.385416666664</v>
      </c>
      <c r="H2303" s="18" t="s">
        <v>2688</v>
      </c>
      <c r="I2303" s="18" t="s">
        <v>10</v>
      </c>
      <c r="J2303" s="18" t="s">
        <v>4017</v>
      </c>
      <c r="K2303" s="20"/>
    </row>
    <row r="2304" spans="1:11" ht="54.75" thickBot="1">
      <c r="A2304" s="18" t="s">
        <v>7309</v>
      </c>
      <c r="B2304" s="18">
        <v>20025768778</v>
      </c>
      <c r="C2304" s="18" t="s">
        <v>7310</v>
      </c>
      <c r="D2304" s="19">
        <v>45892.456944444442</v>
      </c>
      <c r="E2304" s="19">
        <v>45894.454861111109</v>
      </c>
      <c r="F2304" s="18">
        <v>30</v>
      </c>
      <c r="G2304" s="19">
        <v>45897.586805555555</v>
      </c>
      <c r="H2304" s="18" t="s">
        <v>2654</v>
      </c>
      <c r="I2304" s="18" t="s">
        <v>10</v>
      </c>
      <c r="J2304" s="18" t="s">
        <v>4017</v>
      </c>
      <c r="K2304" s="20"/>
    </row>
    <row r="2305" spans="1:11" ht="36.75" thickBot="1">
      <c r="A2305" s="18" t="s">
        <v>7311</v>
      </c>
      <c r="B2305" s="18">
        <v>20002891125</v>
      </c>
      <c r="C2305" s="18" t="s">
        <v>7312</v>
      </c>
      <c r="D2305" s="19">
        <v>45882.479166666664</v>
      </c>
      <c r="E2305" s="19">
        <v>45894.456250000003</v>
      </c>
      <c r="F2305" s="18">
        <v>40</v>
      </c>
      <c r="G2305" s="19">
        <v>45897.479861111111</v>
      </c>
      <c r="H2305" s="18" t="s">
        <v>236</v>
      </c>
      <c r="I2305" s="18" t="s">
        <v>10</v>
      </c>
      <c r="J2305" s="18" t="s">
        <v>4017</v>
      </c>
      <c r="K2305" s="20"/>
    </row>
    <row r="2306" spans="1:11" ht="54.75" thickBot="1">
      <c r="A2306" s="18" t="s">
        <v>7313</v>
      </c>
      <c r="B2306" s="18">
        <v>20025710241</v>
      </c>
      <c r="C2306" s="18" t="s">
        <v>7314</v>
      </c>
      <c r="D2306" s="19">
        <v>45892.470138888886</v>
      </c>
      <c r="E2306" s="19">
        <v>45894.456944444442</v>
      </c>
      <c r="F2306" s="18">
        <v>30</v>
      </c>
      <c r="G2306" s="19">
        <v>45897.586805555555</v>
      </c>
      <c r="H2306" s="18" t="s">
        <v>2654</v>
      </c>
      <c r="I2306" s="18" t="s">
        <v>10</v>
      </c>
      <c r="J2306" s="18" t="s">
        <v>4017</v>
      </c>
      <c r="K2306" s="20"/>
    </row>
    <row r="2307" spans="1:11" ht="54.75" thickBot="1">
      <c r="A2307" s="18" t="s">
        <v>7315</v>
      </c>
      <c r="B2307" s="18">
        <v>20025964589</v>
      </c>
      <c r="C2307" s="18" t="s">
        <v>7316</v>
      </c>
      <c r="D2307" s="19">
        <v>45892.486111111109</v>
      </c>
      <c r="E2307" s="19">
        <v>45894.458333333336</v>
      </c>
      <c r="F2307" s="18">
        <v>30</v>
      </c>
      <c r="G2307" s="19">
        <v>45897.586805555555</v>
      </c>
      <c r="H2307" s="18" t="s">
        <v>2654</v>
      </c>
      <c r="I2307" s="18" t="s">
        <v>10</v>
      </c>
      <c r="J2307" s="18" t="s">
        <v>4017</v>
      </c>
      <c r="K2307" s="20"/>
    </row>
    <row r="2308" spans="1:11" ht="36.75" thickBot="1">
      <c r="A2308" s="18" t="s">
        <v>7317</v>
      </c>
      <c r="B2308" s="18">
        <v>20003513276</v>
      </c>
      <c r="C2308" s="18" t="s">
        <v>7079</v>
      </c>
      <c r="D2308" s="19">
        <v>45895.642361111109</v>
      </c>
      <c r="E2308" s="18" t="s">
        <v>10</v>
      </c>
      <c r="F2308" s="18">
        <v>30</v>
      </c>
      <c r="G2308" s="18" t="s">
        <v>10</v>
      </c>
      <c r="H2308" s="18" t="s">
        <v>178</v>
      </c>
      <c r="I2308" s="18" t="s">
        <v>10</v>
      </c>
      <c r="J2308" s="18" t="s">
        <v>4017</v>
      </c>
      <c r="K2308" s="20"/>
    </row>
    <row r="2309" spans="1:11" ht="36.75" thickBot="1">
      <c r="A2309" s="18" t="s">
        <v>7318</v>
      </c>
      <c r="B2309" s="18">
        <v>20016879057</v>
      </c>
      <c r="C2309" s="18" t="s">
        <v>7319</v>
      </c>
      <c r="D2309" s="19">
        <v>45892.45208333333</v>
      </c>
      <c r="E2309" s="19">
        <v>45895.651388888888</v>
      </c>
      <c r="F2309" s="18">
        <v>30</v>
      </c>
      <c r="G2309" s="19">
        <v>45944.576388888891</v>
      </c>
      <c r="H2309" s="18" t="s">
        <v>2654</v>
      </c>
      <c r="I2309" s="18" t="s">
        <v>10</v>
      </c>
      <c r="J2309" s="18" t="s">
        <v>4017</v>
      </c>
      <c r="K2309" s="20"/>
    </row>
    <row r="2310" spans="1:11" ht="36.75" thickBot="1">
      <c r="A2310" s="18" t="s">
        <v>7320</v>
      </c>
      <c r="B2310" s="18">
        <v>20027937353</v>
      </c>
      <c r="C2310" s="18" t="s">
        <v>7321</v>
      </c>
      <c r="D2310" s="19">
        <v>45895.711111111108</v>
      </c>
      <c r="E2310" s="19">
        <v>45896.457638888889</v>
      </c>
      <c r="F2310" s="18">
        <v>25</v>
      </c>
      <c r="G2310" s="19">
        <v>45917.461805555555</v>
      </c>
      <c r="H2310" s="18" t="s">
        <v>236</v>
      </c>
      <c r="I2310" s="18" t="s">
        <v>10</v>
      </c>
      <c r="J2310" s="18" t="s">
        <v>4017</v>
      </c>
      <c r="K2310" s="20"/>
    </row>
    <row r="2311" spans="1:11" ht="36.75" thickBot="1">
      <c r="A2311" s="18" t="s">
        <v>7322</v>
      </c>
      <c r="B2311" s="18">
        <v>20003438118</v>
      </c>
      <c r="C2311" s="18" t="s">
        <v>5338</v>
      </c>
      <c r="D2311" s="19">
        <v>45877.4375</v>
      </c>
      <c r="E2311" s="19">
        <v>45896.476388888892</v>
      </c>
      <c r="F2311" s="18">
        <v>76</v>
      </c>
      <c r="G2311" s="18" t="s">
        <v>10</v>
      </c>
      <c r="H2311" s="18" t="s">
        <v>178</v>
      </c>
      <c r="I2311" s="18" t="s">
        <v>10</v>
      </c>
      <c r="J2311" s="18" t="s">
        <v>4017</v>
      </c>
      <c r="K2311" s="20"/>
    </row>
    <row r="2312" spans="1:11" ht="54.75" thickBot="1">
      <c r="A2312" s="18" t="s">
        <v>7323</v>
      </c>
      <c r="B2312" s="18">
        <v>20002885103</v>
      </c>
      <c r="C2312" s="18" t="s">
        <v>6898</v>
      </c>
      <c r="D2312" s="19">
        <v>45869.834027777775</v>
      </c>
      <c r="E2312" s="19">
        <v>45896.538194444445</v>
      </c>
      <c r="F2312" s="18">
        <v>850</v>
      </c>
      <c r="G2312" s="19">
        <v>45926.724999999999</v>
      </c>
      <c r="H2312" s="18" t="s">
        <v>2654</v>
      </c>
      <c r="I2312" s="18" t="s">
        <v>10</v>
      </c>
      <c r="J2312" s="18" t="s">
        <v>4017</v>
      </c>
      <c r="K2312" s="20"/>
    </row>
    <row r="2313" spans="1:11" ht="54.75" thickBot="1">
      <c r="A2313" s="18" t="s">
        <v>7324</v>
      </c>
      <c r="B2313" s="18">
        <v>20025449526</v>
      </c>
      <c r="C2313" s="18" t="s">
        <v>7325</v>
      </c>
      <c r="D2313" s="19">
        <v>45896.584027777775</v>
      </c>
      <c r="E2313" s="18" t="s">
        <v>10</v>
      </c>
      <c r="F2313" s="18">
        <v>30</v>
      </c>
      <c r="G2313" s="19">
        <v>45909.442361111112</v>
      </c>
      <c r="H2313" s="18" t="s">
        <v>2654</v>
      </c>
      <c r="I2313" s="18" t="s">
        <v>10</v>
      </c>
      <c r="J2313" s="18" t="s">
        <v>4017</v>
      </c>
      <c r="K2313" s="20"/>
    </row>
    <row r="2314" spans="1:11" ht="36.75" thickBot="1">
      <c r="A2314" s="18" t="s">
        <v>7326</v>
      </c>
      <c r="B2314" s="18">
        <v>20025528959</v>
      </c>
      <c r="C2314" s="18" t="s">
        <v>7327</v>
      </c>
      <c r="D2314" s="19">
        <v>45887.513888888891</v>
      </c>
      <c r="E2314" s="19">
        <v>45896.631249999999</v>
      </c>
      <c r="F2314" s="18">
        <v>300</v>
      </c>
      <c r="G2314" s="19">
        <v>45903.60833333333</v>
      </c>
      <c r="H2314" s="18" t="s">
        <v>2654</v>
      </c>
      <c r="I2314" s="18" t="s">
        <v>10</v>
      </c>
      <c r="J2314" s="18" t="s">
        <v>4017</v>
      </c>
      <c r="K2314" s="20"/>
    </row>
    <row r="2315" spans="1:11" ht="72.75" thickBot="1">
      <c r="A2315" s="18" t="s">
        <v>7328</v>
      </c>
      <c r="B2315" s="18">
        <v>20024376614</v>
      </c>
      <c r="C2315" s="18" t="s">
        <v>7329</v>
      </c>
      <c r="D2315" s="19">
        <v>45894.727777777778</v>
      </c>
      <c r="E2315" s="19">
        <v>45896.695138888892</v>
      </c>
      <c r="F2315" s="18">
        <v>40</v>
      </c>
      <c r="G2315" s="19">
        <v>45925.931944444441</v>
      </c>
      <c r="H2315" s="18" t="s">
        <v>2688</v>
      </c>
      <c r="I2315" s="18" t="s">
        <v>10</v>
      </c>
      <c r="J2315" s="18" t="s">
        <v>4017</v>
      </c>
      <c r="K2315" s="20"/>
    </row>
    <row r="2316" spans="1:11" ht="36.75" thickBot="1">
      <c r="A2316" s="18" t="s">
        <v>7330</v>
      </c>
      <c r="B2316" s="18">
        <v>20027568950</v>
      </c>
      <c r="C2316" s="18" t="s">
        <v>6862</v>
      </c>
      <c r="D2316" s="19">
        <v>45849.710416666669</v>
      </c>
      <c r="E2316" s="19">
        <v>45896.708333333336</v>
      </c>
      <c r="F2316" s="18">
        <v>150</v>
      </c>
      <c r="G2316" s="19">
        <v>45919.430555555555</v>
      </c>
      <c r="H2316" s="18" t="s">
        <v>2654</v>
      </c>
      <c r="I2316" s="18" t="s">
        <v>10</v>
      </c>
      <c r="J2316" s="18" t="s">
        <v>4017</v>
      </c>
      <c r="K2316" s="20"/>
    </row>
    <row r="2317" spans="1:11" ht="36.75" thickBot="1">
      <c r="A2317" s="18" t="s">
        <v>7331</v>
      </c>
      <c r="B2317" s="18">
        <v>20002848609</v>
      </c>
      <c r="C2317" s="18" t="s">
        <v>7332</v>
      </c>
      <c r="D2317" s="19">
        <v>45896.717361111114</v>
      </c>
      <c r="E2317" s="18" t="s">
        <v>10</v>
      </c>
      <c r="F2317" s="18">
        <v>30</v>
      </c>
      <c r="G2317" s="19">
        <v>45902.411805555559</v>
      </c>
      <c r="H2317" s="18" t="s">
        <v>236</v>
      </c>
      <c r="I2317" s="18" t="s">
        <v>10</v>
      </c>
      <c r="J2317" s="18" t="s">
        <v>4017</v>
      </c>
      <c r="K2317" s="20"/>
    </row>
    <row r="2318" spans="1:11" ht="36.75" thickBot="1">
      <c r="A2318" s="18" t="s">
        <v>7333</v>
      </c>
      <c r="B2318" s="18">
        <v>20021603219</v>
      </c>
      <c r="C2318" s="18" t="s">
        <v>5347</v>
      </c>
      <c r="D2318" s="19">
        <v>45884.477777777778</v>
      </c>
      <c r="E2318" s="19">
        <v>45897.390277777777</v>
      </c>
      <c r="F2318" s="18">
        <v>300</v>
      </c>
      <c r="G2318" s="19">
        <v>45947.416666666664</v>
      </c>
      <c r="H2318" s="18" t="s">
        <v>178</v>
      </c>
      <c r="I2318" s="18" t="s">
        <v>10</v>
      </c>
      <c r="J2318" s="18" t="s">
        <v>4017</v>
      </c>
      <c r="K2318" s="20"/>
    </row>
    <row r="2319" spans="1:11" ht="72.75" thickBot="1">
      <c r="A2319" s="18" t="s">
        <v>7334</v>
      </c>
      <c r="B2319" s="18">
        <v>20021804194</v>
      </c>
      <c r="C2319" s="18" t="s">
        <v>7329</v>
      </c>
      <c r="D2319" s="19">
        <v>45894.719444444447</v>
      </c>
      <c r="E2319" s="19">
        <v>45897.401388888888</v>
      </c>
      <c r="F2319" s="18">
        <v>40</v>
      </c>
      <c r="G2319" s="19">
        <v>45925.918055555558</v>
      </c>
      <c r="H2319" s="18" t="s">
        <v>2688</v>
      </c>
      <c r="I2319" s="18" t="s">
        <v>10</v>
      </c>
      <c r="J2319" s="18" t="s">
        <v>4017</v>
      </c>
      <c r="K2319" s="20"/>
    </row>
    <row r="2320" spans="1:11" ht="72.75" thickBot="1">
      <c r="A2320" s="18" t="s">
        <v>7335</v>
      </c>
      <c r="B2320" s="18">
        <v>20023944010</v>
      </c>
      <c r="C2320" s="18" t="s">
        <v>7329</v>
      </c>
      <c r="D2320" s="19">
        <v>45894.707638888889</v>
      </c>
      <c r="E2320" s="19">
        <v>45897.402777777781</v>
      </c>
      <c r="F2320" s="18">
        <v>40</v>
      </c>
      <c r="G2320" s="19">
        <v>45925.915972222225</v>
      </c>
      <c r="H2320" s="18" t="s">
        <v>2688</v>
      </c>
      <c r="I2320" s="18" t="s">
        <v>10</v>
      </c>
      <c r="J2320" s="18" t="s">
        <v>4017</v>
      </c>
      <c r="K2320" s="20"/>
    </row>
    <row r="2321" spans="1:11" ht="36.75" thickBot="1">
      <c r="A2321" s="18" t="s">
        <v>7336</v>
      </c>
      <c r="B2321" s="18">
        <v>20028579328</v>
      </c>
      <c r="C2321" s="18" t="s">
        <v>7337</v>
      </c>
      <c r="D2321" s="19">
        <v>45897.423611111109</v>
      </c>
      <c r="E2321" s="18" t="s">
        <v>10</v>
      </c>
      <c r="F2321" s="18">
        <v>100</v>
      </c>
      <c r="G2321" s="18" t="s">
        <v>10</v>
      </c>
      <c r="H2321" s="18" t="s">
        <v>178</v>
      </c>
      <c r="I2321" s="18" t="s">
        <v>10</v>
      </c>
      <c r="J2321" s="18" t="s">
        <v>4017</v>
      </c>
      <c r="K2321" s="20"/>
    </row>
    <row r="2322" spans="1:11" ht="72.75" thickBot="1">
      <c r="A2322" s="18" t="s">
        <v>7338</v>
      </c>
      <c r="B2322" s="18">
        <v>20020345333</v>
      </c>
      <c r="C2322" s="18" t="s">
        <v>4167</v>
      </c>
      <c r="D2322" s="19">
        <v>45885.737500000003</v>
      </c>
      <c r="E2322" s="19">
        <v>45897.45208333333</v>
      </c>
      <c r="F2322" s="18">
        <v>96</v>
      </c>
      <c r="G2322" s="19">
        <v>45919.368055555555</v>
      </c>
      <c r="H2322" s="18" t="s">
        <v>2688</v>
      </c>
      <c r="I2322" s="18" t="s">
        <v>10</v>
      </c>
      <c r="J2322" s="18" t="s">
        <v>4017</v>
      </c>
      <c r="K2322" s="20"/>
    </row>
    <row r="2323" spans="1:11" ht="36.75" thickBot="1">
      <c r="A2323" s="18" t="s">
        <v>7339</v>
      </c>
      <c r="B2323" s="18">
        <v>20002962295</v>
      </c>
      <c r="C2323" s="18" t="s">
        <v>7340</v>
      </c>
      <c r="D2323" s="19">
        <v>45897.556944444441</v>
      </c>
      <c r="E2323" s="18" t="s">
        <v>10</v>
      </c>
      <c r="F2323" s="18">
        <v>440</v>
      </c>
      <c r="G2323" s="18" t="s">
        <v>10</v>
      </c>
      <c r="H2323" s="18" t="s">
        <v>178</v>
      </c>
      <c r="I2323" s="18" t="s">
        <v>10</v>
      </c>
      <c r="J2323" s="18" t="s">
        <v>4017</v>
      </c>
      <c r="K2323" s="20"/>
    </row>
    <row r="2324" spans="1:11" ht="36.75" thickBot="1">
      <c r="A2324" s="18" t="s">
        <v>7341</v>
      </c>
      <c r="B2324" s="18">
        <v>20003470702</v>
      </c>
      <c r="C2324" s="18" t="s">
        <v>7342</v>
      </c>
      <c r="D2324" s="19">
        <v>45894.629861111112</v>
      </c>
      <c r="E2324" s="19">
        <v>45897.642361111109</v>
      </c>
      <c r="F2324" s="18">
        <v>30</v>
      </c>
      <c r="G2324" s="19">
        <v>45898.659722222219</v>
      </c>
      <c r="H2324" s="18" t="s">
        <v>236</v>
      </c>
      <c r="I2324" s="18" t="s">
        <v>10</v>
      </c>
      <c r="J2324" s="18" t="s">
        <v>4017</v>
      </c>
      <c r="K2324" s="20"/>
    </row>
    <row r="2325" spans="1:11" ht="36.75" thickBot="1">
      <c r="A2325" s="18" t="s">
        <v>7343</v>
      </c>
      <c r="B2325" s="18">
        <v>20027430721</v>
      </c>
      <c r="C2325" s="18" t="s">
        <v>5381</v>
      </c>
      <c r="D2325" s="19">
        <v>45897.625694444447</v>
      </c>
      <c r="E2325" s="19">
        <v>45897.709027777775</v>
      </c>
      <c r="F2325" s="18">
        <v>250</v>
      </c>
      <c r="G2325" s="19">
        <v>45905.414583333331</v>
      </c>
      <c r="H2325" s="18" t="s">
        <v>2654</v>
      </c>
      <c r="I2325" s="18" t="s">
        <v>10</v>
      </c>
      <c r="J2325" s="18" t="s">
        <v>4017</v>
      </c>
      <c r="K2325" s="20"/>
    </row>
    <row r="2326" spans="1:11" ht="36.75" thickBot="1">
      <c r="A2326" s="18" t="s">
        <v>7344</v>
      </c>
      <c r="B2326" s="18">
        <v>20021461658</v>
      </c>
      <c r="C2326" s="18" t="s">
        <v>6477</v>
      </c>
      <c r="D2326" s="19">
        <v>45898.554861111108</v>
      </c>
      <c r="E2326" s="18" t="s">
        <v>10</v>
      </c>
      <c r="F2326" s="18">
        <v>800</v>
      </c>
      <c r="G2326" s="18" t="s">
        <v>10</v>
      </c>
      <c r="H2326" s="18" t="s">
        <v>178</v>
      </c>
      <c r="I2326" s="18" t="s">
        <v>10</v>
      </c>
      <c r="J2326" s="18" t="s">
        <v>4017</v>
      </c>
      <c r="K2326" s="20"/>
    </row>
    <row r="2327" spans="1:11" ht="36.75" thickBot="1">
      <c r="A2327" s="18" t="s">
        <v>7345</v>
      </c>
      <c r="B2327" s="18">
        <v>20023093773</v>
      </c>
      <c r="C2327" s="18" t="s">
        <v>5954</v>
      </c>
      <c r="D2327" s="19">
        <v>45892.587500000001</v>
      </c>
      <c r="E2327" s="19">
        <v>45898.800694444442</v>
      </c>
      <c r="F2327" s="18">
        <v>50</v>
      </c>
      <c r="G2327" s="18" t="s">
        <v>10</v>
      </c>
      <c r="H2327" s="18" t="s">
        <v>189</v>
      </c>
      <c r="I2327" s="18" t="s">
        <v>10</v>
      </c>
      <c r="J2327" s="18" t="s">
        <v>4017</v>
      </c>
      <c r="K2327" s="20"/>
    </row>
    <row r="2328" spans="1:11" ht="36.75" thickBot="1">
      <c r="A2328" s="18" t="s">
        <v>7346</v>
      </c>
      <c r="B2328" s="18">
        <v>20003527645</v>
      </c>
      <c r="C2328" s="18" t="s">
        <v>7347</v>
      </c>
      <c r="D2328" s="19">
        <v>45896.865277777775</v>
      </c>
      <c r="E2328" s="19">
        <v>45898.819444444445</v>
      </c>
      <c r="F2328" s="18">
        <v>450</v>
      </c>
      <c r="G2328" s="19">
        <v>45916.525694444441</v>
      </c>
      <c r="H2328" s="18" t="s">
        <v>2654</v>
      </c>
      <c r="I2328" s="18" t="s">
        <v>10</v>
      </c>
      <c r="J2328" s="18" t="s">
        <v>4017</v>
      </c>
      <c r="K2328" s="20"/>
    </row>
    <row r="2329" spans="1:11" ht="36.75" thickBot="1">
      <c r="A2329" s="18" t="s">
        <v>7348</v>
      </c>
      <c r="B2329" s="18">
        <v>20023859100</v>
      </c>
      <c r="C2329" s="18" t="s">
        <v>4215</v>
      </c>
      <c r="D2329" s="19">
        <v>45881.974305555559</v>
      </c>
      <c r="E2329" s="19">
        <v>45898.966666666667</v>
      </c>
      <c r="F2329" s="18">
        <v>120</v>
      </c>
      <c r="G2329" s="18" t="s">
        <v>10</v>
      </c>
      <c r="H2329" s="18" t="s">
        <v>178</v>
      </c>
      <c r="I2329" s="18" t="s">
        <v>10</v>
      </c>
      <c r="J2329" s="18" t="s">
        <v>4017</v>
      </c>
      <c r="K2329" s="20"/>
    </row>
    <row r="2330" spans="1:11" ht="36.75" thickBot="1">
      <c r="A2330" s="18" t="s">
        <v>7349</v>
      </c>
      <c r="B2330" s="18">
        <v>20003529679</v>
      </c>
      <c r="C2330" s="18" t="s">
        <v>5672</v>
      </c>
      <c r="D2330" s="19">
        <v>45895.616666666669</v>
      </c>
      <c r="E2330" s="19">
        <v>45901.422222222223</v>
      </c>
      <c r="F2330" s="18">
        <v>50</v>
      </c>
      <c r="G2330" s="18" t="s">
        <v>10</v>
      </c>
      <c r="H2330" s="18" t="s">
        <v>189</v>
      </c>
      <c r="I2330" s="18" t="s">
        <v>10</v>
      </c>
      <c r="J2330" s="18" t="s">
        <v>4017</v>
      </c>
      <c r="K2330" s="20"/>
    </row>
    <row r="2331" spans="1:11" ht="36.75" thickBot="1">
      <c r="A2331" s="18" t="s">
        <v>7350</v>
      </c>
      <c r="B2331" s="18">
        <v>20003127065</v>
      </c>
      <c r="C2331" s="18" t="s">
        <v>5448</v>
      </c>
      <c r="D2331" s="19">
        <v>45870.581944444442</v>
      </c>
      <c r="E2331" s="19">
        <v>45901.45208333333</v>
      </c>
      <c r="F2331" s="18">
        <v>710</v>
      </c>
      <c r="G2331" s="19">
        <v>45947.414583333331</v>
      </c>
      <c r="H2331" s="18" t="s">
        <v>2654</v>
      </c>
      <c r="I2331" s="18" t="s">
        <v>10</v>
      </c>
      <c r="J2331" s="18" t="s">
        <v>4017</v>
      </c>
      <c r="K2331" s="20"/>
    </row>
    <row r="2332" spans="1:11" ht="36.75" thickBot="1">
      <c r="A2332" s="18" t="s">
        <v>7351</v>
      </c>
      <c r="B2332" s="18">
        <v>20021919584</v>
      </c>
      <c r="C2332" s="18" t="s">
        <v>6667</v>
      </c>
      <c r="D2332" s="19">
        <v>45901.604166666664</v>
      </c>
      <c r="E2332" s="18" t="s">
        <v>10</v>
      </c>
      <c r="F2332" s="18">
        <v>350</v>
      </c>
      <c r="G2332" s="18" t="s">
        <v>10</v>
      </c>
      <c r="H2332" s="18" t="s">
        <v>178</v>
      </c>
      <c r="I2332" s="18" t="s">
        <v>10</v>
      </c>
      <c r="J2332" s="18" t="s">
        <v>4017</v>
      </c>
      <c r="K2332" s="20"/>
    </row>
    <row r="2333" spans="1:11" ht="36.75" thickBot="1">
      <c r="A2333" s="18" t="s">
        <v>7352</v>
      </c>
      <c r="B2333" s="18">
        <v>20028267898</v>
      </c>
      <c r="C2333" s="18" t="s">
        <v>7353</v>
      </c>
      <c r="D2333" s="19">
        <v>45894.482638888891</v>
      </c>
      <c r="E2333" s="19">
        <v>45901.65902777778</v>
      </c>
      <c r="F2333" s="18">
        <v>30</v>
      </c>
      <c r="G2333" s="18" t="s">
        <v>10</v>
      </c>
      <c r="H2333" s="18" t="s">
        <v>189</v>
      </c>
      <c r="I2333" s="18" t="s">
        <v>10</v>
      </c>
      <c r="J2333" s="18" t="s">
        <v>4017</v>
      </c>
      <c r="K2333" s="20"/>
    </row>
    <row r="2334" spans="1:11" ht="36.75" thickBot="1">
      <c r="A2334" s="18" t="s">
        <v>7354</v>
      </c>
      <c r="B2334" s="18">
        <v>20025929965</v>
      </c>
      <c r="C2334" s="18" t="s">
        <v>7355</v>
      </c>
      <c r="D2334" s="19">
        <v>45894.572916666664</v>
      </c>
      <c r="E2334" s="19">
        <v>45901.665277777778</v>
      </c>
      <c r="F2334" s="18">
        <v>30</v>
      </c>
      <c r="G2334" s="18" t="s">
        <v>10</v>
      </c>
      <c r="H2334" s="18" t="s">
        <v>178</v>
      </c>
      <c r="I2334" s="18" t="s">
        <v>10</v>
      </c>
      <c r="J2334" s="18" t="s">
        <v>4017</v>
      </c>
      <c r="K2334" s="20"/>
    </row>
    <row r="2335" spans="1:11" ht="72.75" thickBot="1">
      <c r="A2335" s="18" t="s">
        <v>7356</v>
      </c>
      <c r="B2335" s="18">
        <v>20018950093</v>
      </c>
      <c r="C2335" s="18" t="s">
        <v>4624</v>
      </c>
      <c r="D2335" s="19">
        <v>45891.393055555556</v>
      </c>
      <c r="E2335" s="19">
        <v>45901.705555555556</v>
      </c>
      <c r="F2335" s="18">
        <v>180</v>
      </c>
      <c r="G2335" s="19">
        <v>45954.459722222222</v>
      </c>
      <c r="H2335" s="18" t="s">
        <v>2657</v>
      </c>
      <c r="I2335" s="18" t="s">
        <v>10</v>
      </c>
      <c r="J2335" s="18" t="s">
        <v>4017</v>
      </c>
      <c r="K2335" s="20"/>
    </row>
    <row r="2336" spans="1:11" ht="54.75" thickBot="1">
      <c r="A2336" s="18" t="s">
        <v>7357</v>
      </c>
      <c r="B2336" s="18">
        <v>20018450206</v>
      </c>
      <c r="C2336" s="18" t="s">
        <v>6747</v>
      </c>
      <c r="D2336" s="19">
        <v>45901.758333333331</v>
      </c>
      <c r="E2336" s="18" t="s">
        <v>10</v>
      </c>
      <c r="F2336" s="18">
        <v>20</v>
      </c>
      <c r="G2336" s="18" t="s">
        <v>10</v>
      </c>
      <c r="H2336" s="18" t="s">
        <v>178</v>
      </c>
      <c r="I2336" s="18" t="s">
        <v>10</v>
      </c>
      <c r="J2336" s="18" t="s">
        <v>4017</v>
      </c>
      <c r="K2336" s="20"/>
    </row>
    <row r="2337" spans="1:11" ht="54.75" thickBot="1">
      <c r="A2337" s="18" t="s">
        <v>7358</v>
      </c>
      <c r="B2337" s="18">
        <v>20003556310</v>
      </c>
      <c r="C2337" s="18" t="s">
        <v>7359</v>
      </c>
      <c r="D2337" s="19">
        <v>45901.835416666669</v>
      </c>
      <c r="E2337" s="18" t="s">
        <v>10</v>
      </c>
      <c r="F2337" s="18">
        <v>15</v>
      </c>
      <c r="G2337" s="18" t="s">
        <v>10</v>
      </c>
      <c r="H2337" s="18" t="s">
        <v>178</v>
      </c>
      <c r="I2337" s="18" t="s">
        <v>10</v>
      </c>
      <c r="J2337" s="18" t="s">
        <v>4017</v>
      </c>
      <c r="K2337" s="20"/>
    </row>
    <row r="2338" spans="1:11" ht="54.75" thickBot="1">
      <c r="A2338" s="18" t="s">
        <v>7360</v>
      </c>
      <c r="B2338" s="18">
        <v>20003253944</v>
      </c>
      <c r="C2338" s="18" t="s">
        <v>7361</v>
      </c>
      <c r="D2338" s="19">
        <v>45901.870833333334</v>
      </c>
      <c r="E2338" s="18" t="s">
        <v>10</v>
      </c>
      <c r="F2338" s="18">
        <v>20</v>
      </c>
      <c r="G2338" s="18" t="s">
        <v>10</v>
      </c>
      <c r="H2338" s="18" t="s">
        <v>178</v>
      </c>
      <c r="I2338" s="18" t="s">
        <v>10</v>
      </c>
      <c r="J2338" s="18" t="s">
        <v>4017</v>
      </c>
      <c r="K2338" s="20"/>
    </row>
    <row r="2339" spans="1:11" ht="36.75" thickBot="1">
      <c r="A2339" s="18" t="s">
        <v>7362</v>
      </c>
      <c r="B2339" s="18">
        <v>20003111676</v>
      </c>
      <c r="C2339" s="18" t="s">
        <v>7363</v>
      </c>
      <c r="D2339" s="19">
        <v>45868.739583333336</v>
      </c>
      <c r="E2339" s="19">
        <v>45901.931944444441</v>
      </c>
      <c r="F2339" s="18">
        <v>470</v>
      </c>
      <c r="G2339" s="18" t="s">
        <v>10</v>
      </c>
      <c r="H2339" s="18" t="s">
        <v>189</v>
      </c>
      <c r="I2339" s="18" t="s">
        <v>10</v>
      </c>
      <c r="J2339" s="18" t="s">
        <v>4017</v>
      </c>
      <c r="K2339" s="20"/>
    </row>
    <row r="2340" spans="1:11" ht="54.75" thickBot="1">
      <c r="A2340" s="18" t="s">
        <v>7364</v>
      </c>
      <c r="B2340" s="18">
        <v>20020335685</v>
      </c>
      <c r="C2340" s="18" t="s">
        <v>7365</v>
      </c>
      <c r="D2340" s="19">
        <v>45902.262499999997</v>
      </c>
      <c r="E2340" s="18" t="s">
        <v>10</v>
      </c>
      <c r="F2340" s="18">
        <v>20</v>
      </c>
      <c r="G2340" s="18" t="s">
        <v>10</v>
      </c>
      <c r="H2340" s="18" t="s">
        <v>178</v>
      </c>
      <c r="I2340" s="18" t="s">
        <v>10</v>
      </c>
      <c r="J2340" s="18" t="s">
        <v>4017</v>
      </c>
      <c r="K2340" s="20"/>
    </row>
    <row r="2341" spans="1:11" ht="54.75" thickBot="1">
      <c r="A2341" s="18" t="s">
        <v>7366</v>
      </c>
      <c r="B2341" s="18">
        <v>20025028214</v>
      </c>
      <c r="C2341" s="18" t="s">
        <v>7367</v>
      </c>
      <c r="D2341" s="19">
        <v>45902.314583333333</v>
      </c>
      <c r="E2341" s="18" t="s">
        <v>10</v>
      </c>
      <c r="F2341" s="18">
        <v>15</v>
      </c>
      <c r="G2341" s="18" t="s">
        <v>10</v>
      </c>
      <c r="H2341" s="18" t="s">
        <v>178</v>
      </c>
      <c r="I2341" s="18" t="s">
        <v>10</v>
      </c>
      <c r="J2341" s="18" t="s">
        <v>4017</v>
      </c>
      <c r="K2341" s="20"/>
    </row>
    <row r="2342" spans="1:11" ht="36.75" thickBot="1">
      <c r="A2342" s="18" t="s">
        <v>7368</v>
      </c>
      <c r="B2342" s="18">
        <v>20002655554</v>
      </c>
      <c r="C2342" s="18" t="s">
        <v>7369</v>
      </c>
      <c r="D2342" s="19">
        <v>45902.474999999999</v>
      </c>
      <c r="E2342" s="18" t="s">
        <v>10</v>
      </c>
      <c r="F2342" s="18">
        <v>100</v>
      </c>
      <c r="G2342" s="18" t="s">
        <v>10</v>
      </c>
      <c r="H2342" s="18" t="s">
        <v>178</v>
      </c>
      <c r="I2342" s="18" t="s">
        <v>10</v>
      </c>
      <c r="J2342" s="18" t="s">
        <v>4017</v>
      </c>
      <c r="K2342" s="20"/>
    </row>
    <row r="2343" spans="1:11" ht="54.75" thickBot="1">
      <c r="A2343" s="18" t="s">
        <v>7370</v>
      </c>
      <c r="B2343" s="18">
        <v>20003054929</v>
      </c>
      <c r="C2343" s="18" t="s">
        <v>5599</v>
      </c>
      <c r="D2343" s="19">
        <v>45852.731249999997</v>
      </c>
      <c r="E2343" s="19">
        <v>45902.490972222222</v>
      </c>
      <c r="F2343" s="18">
        <v>800</v>
      </c>
      <c r="G2343" s="19">
        <v>45926.586805555555</v>
      </c>
      <c r="H2343" s="18" t="s">
        <v>2654</v>
      </c>
      <c r="I2343" s="18" t="s">
        <v>10</v>
      </c>
      <c r="J2343" s="18" t="s">
        <v>4017</v>
      </c>
      <c r="K2343" s="20"/>
    </row>
    <row r="2344" spans="1:11" ht="54.75" thickBot="1">
      <c r="A2344" s="18" t="s">
        <v>7371</v>
      </c>
      <c r="B2344" s="18">
        <v>20003473892</v>
      </c>
      <c r="C2344" s="18" t="s">
        <v>5599</v>
      </c>
      <c r="D2344" s="19">
        <v>45880.677083333336</v>
      </c>
      <c r="E2344" s="19">
        <v>45902.492361111108</v>
      </c>
      <c r="F2344" s="18">
        <v>300</v>
      </c>
      <c r="G2344" s="19">
        <v>45926.586805555555</v>
      </c>
      <c r="H2344" s="18" t="s">
        <v>2654</v>
      </c>
      <c r="I2344" s="18" t="s">
        <v>10</v>
      </c>
      <c r="J2344" s="18" t="s">
        <v>4017</v>
      </c>
      <c r="K2344" s="20"/>
    </row>
    <row r="2345" spans="1:11" ht="36.75" thickBot="1">
      <c r="A2345" s="18" t="s">
        <v>7372</v>
      </c>
      <c r="B2345" s="18">
        <v>20002923400</v>
      </c>
      <c r="C2345" s="18" t="s">
        <v>6460</v>
      </c>
      <c r="D2345" s="19">
        <v>45828.413888888892</v>
      </c>
      <c r="E2345" s="19">
        <v>45902.670138888891</v>
      </c>
      <c r="F2345" s="18">
        <v>800</v>
      </c>
      <c r="G2345" s="18" t="s">
        <v>10</v>
      </c>
      <c r="H2345" s="18" t="s">
        <v>178</v>
      </c>
      <c r="I2345" s="18" t="s">
        <v>10</v>
      </c>
      <c r="J2345" s="18" t="s">
        <v>4017</v>
      </c>
      <c r="K2345" s="20"/>
    </row>
    <row r="2346" spans="1:11" ht="36.75" thickBot="1">
      <c r="A2346" s="18" t="s">
        <v>7373</v>
      </c>
      <c r="B2346" s="18">
        <v>20020221085</v>
      </c>
      <c r="C2346" s="18" t="s">
        <v>7155</v>
      </c>
      <c r="D2346" s="19">
        <v>45902.671527777777</v>
      </c>
      <c r="E2346" s="18" t="s">
        <v>10</v>
      </c>
      <c r="F2346" s="18">
        <v>400</v>
      </c>
      <c r="G2346" s="18" t="s">
        <v>10</v>
      </c>
      <c r="H2346" s="18" t="s">
        <v>178</v>
      </c>
      <c r="I2346" s="18" t="s">
        <v>10</v>
      </c>
      <c r="J2346" s="18" t="s">
        <v>4017</v>
      </c>
      <c r="K2346" s="20"/>
    </row>
    <row r="2347" spans="1:11" ht="36.75" thickBot="1">
      <c r="A2347" s="18" t="s">
        <v>7374</v>
      </c>
      <c r="B2347" s="18">
        <v>20002879621</v>
      </c>
      <c r="C2347" s="18" t="s">
        <v>7375</v>
      </c>
      <c r="D2347" s="19">
        <v>45847.40347222222</v>
      </c>
      <c r="E2347" s="19">
        <v>45902.719444444447</v>
      </c>
      <c r="F2347" s="18">
        <v>800</v>
      </c>
      <c r="G2347" s="18" t="s">
        <v>10</v>
      </c>
      <c r="H2347" s="18" t="s">
        <v>178</v>
      </c>
      <c r="I2347" s="18" t="s">
        <v>10</v>
      </c>
      <c r="J2347" s="18" t="s">
        <v>4017</v>
      </c>
      <c r="K2347" s="20"/>
    </row>
    <row r="2348" spans="1:11" ht="36.75" thickBot="1">
      <c r="A2348" s="18" t="s">
        <v>7376</v>
      </c>
      <c r="B2348" s="18">
        <v>20003287196</v>
      </c>
      <c r="C2348" s="18" t="s">
        <v>5559</v>
      </c>
      <c r="D2348" s="19">
        <v>45903.479861111111</v>
      </c>
      <c r="E2348" s="18" t="s">
        <v>10</v>
      </c>
      <c r="F2348" s="18">
        <v>340</v>
      </c>
      <c r="G2348" s="19">
        <v>45974.465277777781</v>
      </c>
      <c r="H2348" s="18" t="s">
        <v>2654</v>
      </c>
      <c r="I2348" s="18" t="s">
        <v>10</v>
      </c>
      <c r="J2348" s="18" t="s">
        <v>4017</v>
      </c>
      <c r="K2348" s="20"/>
    </row>
    <row r="2349" spans="1:11" ht="36.75" thickBot="1">
      <c r="A2349" s="18" t="s">
        <v>7377</v>
      </c>
      <c r="B2349" s="18">
        <v>20025929965</v>
      </c>
      <c r="C2349" s="18" t="s">
        <v>7355</v>
      </c>
      <c r="D2349" s="19">
        <v>45903.49722222222</v>
      </c>
      <c r="E2349" s="18" t="s">
        <v>10</v>
      </c>
      <c r="F2349" s="18">
        <v>30</v>
      </c>
      <c r="G2349" s="18" t="s">
        <v>10</v>
      </c>
      <c r="H2349" s="18" t="s">
        <v>189</v>
      </c>
      <c r="I2349" s="18" t="s">
        <v>10</v>
      </c>
      <c r="J2349" s="18" t="s">
        <v>4017</v>
      </c>
      <c r="K2349" s="20"/>
    </row>
    <row r="2350" spans="1:11" ht="36.75" thickBot="1">
      <c r="A2350" s="18" t="s">
        <v>7378</v>
      </c>
      <c r="B2350" s="18">
        <v>20027866853</v>
      </c>
      <c r="C2350" s="18" t="s">
        <v>5635</v>
      </c>
      <c r="D2350" s="19">
        <v>45903.574305555558</v>
      </c>
      <c r="E2350" s="18" t="s">
        <v>10</v>
      </c>
      <c r="F2350" s="18">
        <v>250</v>
      </c>
      <c r="G2350" s="18" t="s">
        <v>10</v>
      </c>
      <c r="H2350" s="18" t="s">
        <v>178</v>
      </c>
      <c r="I2350" s="18" t="s">
        <v>10</v>
      </c>
      <c r="J2350" s="18" t="s">
        <v>4017</v>
      </c>
      <c r="K2350" s="20"/>
    </row>
    <row r="2351" spans="1:11" ht="36.75" thickBot="1">
      <c r="A2351" s="18" t="s">
        <v>7379</v>
      </c>
      <c r="B2351" s="18">
        <v>20003135315</v>
      </c>
      <c r="C2351" s="18" t="s">
        <v>7380</v>
      </c>
      <c r="D2351" s="19">
        <v>45898.439583333333</v>
      </c>
      <c r="E2351" s="19">
        <v>45903.607638888891</v>
      </c>
      <c r="F2351" s="18">
        <v>250</v>
      </c>
      <c r="G2351" s="19">
        <v>45947.420138888891</v>
      </c>
      <c r="H2351" s="18" t="s">
        <v>2654</v>
      </c>
      <c r="I2351" s="18" t="s">
        <v>10</v>
      </c>
      <c r="J2351" s="18" t="s">
        <v>4017</v>
      </c>
      <c r="K2351" s="20"/>
    </row>
    <row r="2352" spans="1:11" ht="36.75" thickBot="1">
      <c r="A2352" s="18" t="s">
        <v>7381</v>
      </c>
      <c r="B2352" s="18">
        <v>20003376768</v>
      </c>
      <c r="C2352" s="18" t="s">
        <v>7382</v>
      </c>
      <c r="D2352" s="19">
        <v>45891.724999999999</v>
      </c>
      <c r="E2352" s="19">
        <v>45903.67083333333</v>
      </c>
      <c r="F2352" s="18">
        <v>450</v>
      </c>
      <c r="G2352" s="18" t="s">
        <v>10</v>
      </c>
      <c r="H2352" s="18" t="s">
        <v>189</v>
      </c>
      <c r="I2352" s="18" t="s">
        <v>10</v>
      </c>
      <c r="J2352" s="18" t="s">
        <v>4017</v>
      </c>
      <c r="K2352" s="20"/>
    </row>
    <row r="2353" spans="1:11" ht="36.75" thickBot="1">
      <c r="A2353" s="18" t="s">
        <v>7383</v>
      </c>
      <c r="B2353" s="18">
        <v>20028529531</v>
      </c>
      <c r="C2353" s="18" t="s">
        <v>7384</v>
      </c>
      <c r="D2353" s="19">
        <v>45892.902083333334</v>
      </c>
      <c r="E2353" s="19">
        <v>45903.69027777778</v>
      </c>
      <c r="F2353" s="18">
        <v>100</v>
      </c>
      <c r="G2353" s="19">
        <v>45912.370833333334</v>
      </c>
      <c r="H2353" s="18" t="s">
        <v>236</v>
      </c>
      <c r="I2353" s="18" t="s">
        <v>10</v>
      </c>
      <c r="J2353" s="18" t="s">
        <v>4017</v>
      </c>
      <c r="K2353" s="20"/>
    </row>
    <row r="2354" spans="1:11" ht="36.75" thickBot="1">
      <c r="A2354" s="18" t="s">
        <v>7385</v>
      </c>
      <c r="B2354" s="18">
        <v>20022724784</v>
      </c>
      <c r="C2354" s="18" t="s">
        <v>4420</v>
      </c>
      <c r="D2354" s="19">
        <v>45883.583333333336</v>
      </c>
      <c r="E2354" s="19">
        <v>45903.712500000001</v>
      </c>
      <c r="F2354" s="18">
        <v>770</v>
      </c>
      <c r="G2354" s="19">
        <v>45917.399305555555</v>
      </c>
      <c r="H2354" s="18" t="s">
        <v>2654</v>
      </c>
      <c r="I2354" s="18" t="s">
        <v>10</v>
      </c>
      <c r="J2354" s="18" t="s">
        <v>4017</v>
      </c>
      <c r="K2354" s="20"/>
    </row>
    <row r="2355" spans="1:11" ht="54.75" thickBot="1">
      <c r="A2355" s="18" t="s">
        <v>7386</v>
      </c>
      <c r="B2355" s="18">
        <v>20002873664</v>
      </c>
      <c r="C2355" s="18" t="s">
        <v>5775</v>
      </c>
      <c r="D2355" s="19">
        <v>45899.712500000001</v>
      </c>
      <c r="E2355" s="19">
        <v>45904.627083333333</v>
      </c>
      <c r="F2355" s="18">
        <v>150</v>
      </c>
      <c r="G2355" s="18" t="s">
        <v>10</v>
      </c>
      <c r="H2355" s="18" t="s">
        <v>189</v>
      </c>
      <c r="I2355" s="18" t="s">
        <v>10</v>
      </c>
      <c r="J2355" s="18" t="s">
        <v>4017</v>
      </c>
      <c r="K2355" s="20"/>
    </row>
    <row r="2356" spans="1:11" ht="36.75" thickBot="1">
      <c r="A2356" s="18" t="s">
        <v>7387</v>
      </c>
      <c r="B2356" s="18">
        <v>20010781845</v>
      </c>
      <c r="C2356" s="18" t="s">
        <v>7388</v>
      </c>
      <c r="D2356" s="19">
        <v>45898.692361111112</v>
      </c>
      <c r="E2356" s="19">
        <v>45905.39166666667</v>
      </c>
      <c r="F2356" s="18">
        <v>30</v>
      </c>
      <c r="G2356" s="18" t="s">
        <v>10</v>
      </c>
      <c r="H2356" s="18" t="s">
        <v>189</v>
      </c>
      <c r="I2356" s="18" t="s">
        <v>10</v>
      </c>
      <c r="J2356" s="18" t="s">
        <v>4017</v>
      </c>
      <c r="K2356" s="20"/>
    </row>
    <row r="2357" spans="1:11" ht="36.75" thickBot="1">
      <c r="A2357" s="18" t="s">
        <v>7389</v>
      </c>
      <c r="B2357" s="18">
        <v>20002655554</v>
      </c>
      <c r="C2357" s="18" t="s">
        <v>7369</v>
      </c>
      <c r="D2357" s="19">
        <v>45905.497916666667</v>
      </c>
      <c r="E2357" s="18" t="s">
        <v>10</v>
      </c>
      <c r="F2357" s="18">
        <v>100</v>
      </c>
      <c r="G2357" s="18" t="s">
        <v>10</v>
      </c>
      <c r="H2357" s="18" t="s">
        <v>178</v>
      </c>
      <c r="I2357" s="18" t="s">
        <v>10</v>
      </c>
      <c r="J2357" s="18" t="s">
        <v>4017</v>
      </c>
      <c r="K2357" s="20"/>
    </row>
    <row r="2358" spans="1:11" ht="36.75" thickBot="1">
      <c r="A2358" s="18" t="s">
        <v>7390</v>
      </c>
      <c r="B2358" s="18">
        <v>20002720445</v>
      </c>
      <c r="C2358" s="18" t="s">
        <v>3744</v>
      </c>
      <c r="D2358" s="19">
        <v>45905.598611111112</v>
      </c>
      <c r="E2358" s="18" t="s">
        <v>10</v>
      </c>
      <c r="F2358" s="18">
        <v>15</v>
      </c>
      <c r="G2358" s="18" t="s">
        <v>10</v>
      </c>
      <c r="H2358" s="18" t="s">
        <v>178</v>
      </c>
      <c r="I2358" s="18" t="s">
        <v>10</v>
      </c>
      <c r="J2358" s="18" t="s">
        <v>4017</v>
      </c>
      <c r="K2358" s="20"/>
    </row>
    <row r="2359" spans="1:11" ht="36.75" thickBot="1">
      <c r="A2359" s="18" t="s">
        <v>7391</v>
      </c>
      <c r="B2359" s="18">
        <v>20003126795</v>
      </c>
      <c r="C2359" s="18" t="s">
        <v>6570</v>
      </c>
      <c r="D2359" s="19">
        <v>45891.969444444447</v>
      </c>
      <c r="E2359" s="19">
        <v>45905.62777777778</v>
      </c>
      <c r="F2359" s="18">
        <v>800</v>
      </c>
      <c r="G2359" s="18" t="s">
        <v>10</v>
      </c>
      <c r="H2359" s="18" t="s">
        <v>178</v>
      </c>
      <c r="I2359" s="18" t="s">
        <v>10</v>
      </c>
      <c r="J2359" s="18" t="s">
        <v>4017</v>
      </c>
      <c r="K2359" s="20"/>
    </row>
    <row r="2360" spans="1:11" ht="36.75" thickBot="1">
      <c r="A2360" s="18" t="s">
        <v>7392</v>
      </c>
      <c r="B2360" s="18">
        <v>20028451554</v>
      </c>
      <c r="C2360" s="18" t="s">
        <v>7393</v>
      </c>
      <c r="D2360" s="19">
        <v>45905.695833333331</v>
      </c>
      <c r="E2360" s="18" t="s">
        <v>10</v>
      </c>
      <c r="F2360" s="18">
        <v>400</v>
      </c>
      <c r="G2360" s="18" t="s">
        <v>10</v>
      </c>
      <c r="H2360" s="18" t="s">
        <v>178</v>
      </c>
      <c r="I2360" s="18" t="s">
        <v>10</v>
      </c>
      <c r="J2360" s="18" t="s">
        <v>4017</v>
      </c>
      <c r="K2360" s="20"/>
    </row>
    <row r="2361" spans="1:11" ht="36.75" thickBot="1">
      <c r="A2361" s="18" t="s">
        <v>7394</v>
      </c>
      <c r="B2361" s="18">
        <v>20021632090</v>
      </c>
      <c r="C2361" s="18" t="s">
        <v>7395</v>
      </c>
      <c r="D2361" s="19">
        <v>45906.79583333333</v>
      </c>
      <c r="E2361" s="18" t="s">
        <v>10</v>
      </c>
      <c r="F2361" s="18">
        <v>500</v>
      </c>
      <c r="G2361" s="18" t="s">
        <v>10</v>
      </c>
      <c r="H2361" s="18" t="s">
        <v>178</v>
      </c>
      <c r="I2361" s="18" t="s">
        <v>10</v>
      </c>
      <c r="J2361" s="18" t="s">
        <v>4017</v>
      </c>
      <c r="K2361" s="20"/>
    </row>
    <row r="2362" spans="1:11" ht="54.75" thickBot="1">
      <c r="A2362" s="18" t="s">
        <v>7396</v>
      </c>
      <c r="B2362" s="18">
        <v>20024843608</v>
      </c>
      <c r="C2362" s="18" t="s">
        <v>7397</v>
      </c>
      <c r="D2362" s="19">
        <v>45908.392361111109</v>
      </c>
      <c r="E2362" s="18" t="s">
        <v>10</v>
      </c>
      <c r="F2362" s="18">
        <v>15</v>
      </c>
      <c r="G2362" s="18" t="s">
        <v>10</v>
      </c>
      <c r="H2362" s="18" t="s">
        <v>178</v>
      </c>
      <c r="I2362" s="18" t="s">
        <v>10</v>
      </c>
      <c r="J2362" s="18" t="s">
        <v>4017</v>
      </c>
      <c r="K2362" s="20"/>
    </row>
    <row r="2363" spans="1:11" ht="72.75" thickBot="1">
      <c r="A2363" s="18" t="s">
        <v>7398</v>
      </c>
      <c r="B2363" s="18">
        <v>20018591856</v>
      </c>
      <c r="C2363" s="18" t="s">
        <v>4117</v>
      </c>
      <c r="D2363" s="19">
        <v>45903.724305555559</v>
      </c>
      <c r="E2363" s="19">
        <v>45908.671527777777</v>
      </c>
      <c r="F2363" s="18">
        <v>50</v>
      </c>
      <c r="G2363" s="19">
        <v>45917.54791666667</v>
      </c>
      <c r="H2363" s="18" t="s">
        <v>2688</v>
      </c>
      <c r="I2363" s="18" t="s">
        <v>10</v>
      </c>
      <c r="J2363" s="18" t="s">
        <v>4017</v>
      </c>
      <c r="K2363" s="20"/>
    </row>
    <row r="2364" spans="1:11" ht="36.75" thickBot="1">
      <c r="A2364" s="18" t="s">
        <v>7399</v>
      </c>
      <c r="B2364" s="18">
        <v>20002655554</v>
      </c>
      <c r="C2364" s="18" t="s">
        <v>7369</v>
      </c>
      <c r="D2364" s="19">
        <v>45909.652777777781</v>
      </c>
      <c r="E2364" s="18" t="s">
        <v>10</v>
      </c>
      <c r="F2364" s="18">
        <v>100</v>
      </c>
      <c r="G2364" s="19">
        <v>45922.401388888888</v>
      </c>
      <c r="H2364" s="18" t="s">
        <v>236</v>
      </c>
      <c r="I2364" s="18" t="s">
        <v>10</v>
      </c>
      <c r="J2364" s="18" t="s">
        <v>4017</v>
      </c>
      <c r="K2364" s="20"/>
    </row>
    <row r="2365" spans="1:11" ht="54.75" thickBot="1">
      <c r="A2365" s="18" t="s">
        <v>7400</v>
      </c>
      <c r="B2365" s="18">
        <v>20003426397</v>
      </c>
      <c r="C2365" s="18" t="s">
        <v>7401</v>
      </c>
      <c r="D2365" s="19">
        <v>45909.654166666667</v>
      </c>
      <c r="E2365" s="18" t="s">
        <v>10</v>
      </c>
      <c r="F2365" s="18">
        <v>30</v>
      </c>
      <c r="G2365" s="18" t="s">
        <v>10</v>
      </c>
      <c r="H2365" s="18" t="s">
        <v>178</v>
      </c>
      <c r="I2365" s="18" t="s">
        <v>10</v>
      </c>
      <c r="J2365" s="18" t="s">
        <v>4017</v>
      </c>
      <c r="K2365" s="20"/>
    </row>
    <row r="2366" spans="1:11" ht="36.75" thickBot="1">
      <c r="A2366" s="18" t="s">
        <v>7402</v>
      </c>
      <c r="B2366" s="18">
        <v>20027714350</v>
      </c>
      <c r="C2366" s="18" t="s">
        <v>6347</v>
      </c>
      <c r="D2366" s="19">
        <v>45909.952777777777</v>
      </c>
      <c r="E2366" s="18" t="s">
        <v>10</v>
      </c>
      <c r="F2366" s="18">
        <v>50</v>
      </c>
      <c r="G2366" s="18" t="s">
        <v>10</v>
      </c>
      <c r="H2366" s="18" t="s">
        <v>178</v>
      </c>
      <c r="I2366" s="18" t="s">
        <v>10</v>
      </c>
      <c r="J2366" s="18" t="s">
        <v>4017</v>
      </c>
      <c r="K2366" s="20"/>
    </row>
    <row r="2367" spans="1:11" ht="36.75" thickBot="1">
      <c r="A2367" s="18" t="s">
        <v>7403</v>
      </c>
      <c r="B2367" s="18">
        <v>20003159543</v>
      </c>
      <c r="C2367" s="18" t="s">
        <v>7404</v>
      </c>
      <c r="D2367" s="19">
        <v>45891.703472222223</v>
      </c>
      <c r="E2367" s="19">
        <v>45910.724999999999</v>
      </c>
      <c r="F2367" s="18">
        <v>850</v>
      </c>
      <c r="G2367" s="18" t="s">
        <v>10</v>
      </c>
      <c r="H2367" s="18" t="s">
        <v>178</v>
      </c>
      <c r="I2367" s="18" t="s">
        <v>10</v>
      </c>
      <c r="J2367" s="18" t="s">
        <v>4017</v>
      </c>
      <c r="K2367" s="20"/>
    </row>
    <row r="2368" spans="1:11" ht="36.75" thickBot="1">
      <c r="A2368" s="18" t="s">
        <v>7405</v>
      </c>
      <c r="B2368" s="18">
        <v>20028004104</v>
      </c>
      <c r="C2368" s="18" t="s">
        <v>7329</v>
      </c>
      <c r="D2368" s="19">
        <v>45910.765972222223</v>
      </c>
      <c r="E2368" s="18" t="s">
        <v>10</v>
      </c>
      <c r="F2368" s="18">
        <v>40</v>
      </c>
      <c r="G2368" s="18" t="s">
        <v>10</v>
      </c>
      <c r="H2368" s="18" t="s">
        <v>178</v>
      </c>
      <c r="I2368" s="18" t="s">
        <v>10</v>
      </c>
      <c r="J2368" s="18" t="s">
        <v>4017</v>
      </c>
      <c r="K2368" s="20"/>
    </row>
    <row r="2369" spans="1:11" ht="36.75" thickBot="1">
      <c r="A2369" s="18" t="s">
        <v>7406</v>
      </c>
      <c r="B2369" s="18">
        <v>20017968105</v>
      </c>
      <c r="C2369" s="18" t="s">
        <v>1836</v>
      </c>
      <c r="D2369" s="19">
        <v>45902.647916666669</v>
      </c>
      <c r="E2369" s="19">
        <v>45911.415277777778</v>
      </c>
      <c r="F2369" s="18">
        <v>30</v>
      </c>
      <c r="G2369" s="18" t="s">
        <v>10</v>
      </c>
      <c r="H2369" s="18" t="s">
        <v>178</v>
      </c>
      <c r="I2369" s="18" t="s">
        <v>10</v>
      </c>
      <c r="J2369" s="18" t="s">
        <v>4017</v>
      </c>
      <c r="K2369" s="20"/>
    </row>
    <row r="2370" spans="1:11" ht="36.75" thickBot="1">
      <c r="A2370" s="18" t="s">
        <v>7407</v>
      </c>
      <c r="B2370" s="18">
        <v>20018453887</v>
      </c>
      <c r="C2370" s="18" t="s">
        <v>7408</v>
      </c>
      <c r="D2370" s="19">
        <v>45911.415972222225</v>
      </c>
      <c r="E2370" s="18" t="s">
        <v>10</v>
      </c>
      <c r="F2370" s="18">
        <v>50</v>
      </c>
      <c r="G2370" s="18" t="s">
        <v>10</v>
      </c>
      <c r="H2370" s="18" t="s">
        <v>178</v>
      </c>
      <c r="I2370" s="18" t="s">
        <v>10</v>
      </c>
      <c r="J2370" s="18" t="s">
        <v>4017</v>
      </c>
      <c r="K2370" s="20"/>
    </row>
    <row r="2371" spans="1:11" ht="36.75" thickBot="1">
      <c r="A2371" s="18" t="s">
        <v>7409</v>
      </c>
      <c r="B2371" s="18">
        <v>20018036065</v>
      </c>
      <c r="C2371" s="18" t="s">
        <v>1836</v>
      </c>
      <c r="D2371" s="19">
        <v>45902.636805555558</v>
      </c>
      <c r="E2371" s="19">
        <v>45911.466666666667</v>
      </c>
      <c r="F2371" s="18">
        <v>30</v>
      </c>
      <c r="G2371" s="18" t="s">
        <v>10</v>
      </c>
      <c r="H2371" s="18" t="s">
        <v>178</v>
      </c>
      <c r="I2371" s="18" t="s">
        <v>10</v>
      </c>
      <c r="J2371" s="18" t="s">
        <v>4017</v>
      </c>
      <c r="K2371" s="20"/>
    </row>
    <row r="2372" spans="1:11" ht="36.75" thickBot="1">
      <c r="A2372" s="18" t="s">
        <v>7410</v>
      </c>
      <c r="B2372" s="18">
        <v>20017935226</v>
      </c>
      <c r="C2372" s="18" t="s">
        <v>1836</v>
      </c>
      <c r="D2372" s="19">
        <v>45902.620833333334</v>
      </c>
      <c r="E2372" s="19">
        <v>45911.468055555553</v>
      </c>
      <c r="F2372" s="18">
        <v>30</v>
      </c>
      <c r="G2372" s="18" t="s">
        <v>10</v>
      </c>
      <c r="H2372" s="18" t="s">
        <v>178</v>
      </c>
      <c r="I2372" s="18" t="s">
        <v>10</v>
      </c>
      <c r="J2372" s="18" t="s">
        <v>4017</v>
      </c>
      <c r="K2372" s="20"/>
    </row>
    <row r="2373" spans="1:11" ht="36.75" thickBot="1">
      <c r="A2373" s="18" t="s">
        <v>7411</v>
      </c>
      <c r="B2373" s="18">
        <v>20017839731</v>
      </c>
      <c r="C2373" s="18" t="s">
        <v>1836</v>
      </c>
      <c r="D2373" s="19">
        <v>45902.599305555559</v>
      </c>
      <c r="E2373" s="19">
        <v>45911.469444444447</v>
      </c>
      <c r="F2373" s="18">
        <v>30</v>
      </c>
      <c r="G2373" s="18" t="s">
        <v>10</v>
      </c>
      <c r="H2373" s="18" t="s">
        <v>178</v>
      </c>
      <c r="I2373" s="18" t="s">
        <v>10</v>
      </c>
      <c r="J2373" s="18" t="s">
        <v>4017</v>
      </c>
      <c r="K2373" s="20"/>
    </row>
    <row r="2374" spans="1:11" ht="36.75" thickBot="1">
      <c r="A2374" s="18" t="s">
        <v>7412</v>
      </c>
      <c r="B2374" s="18">
        <v>20017734385</v>
      </c>
      <c r="C2374" s="18" t="s">
        <v>1836</v>
      </c>
      <c r="D2374" s="19">
        <v>45902.586805555555</v>
      </c>
      <c r="E2374" s="19">
        <v>45911.470138888886</v>
      </c>
      <c r="F2374" s="18">
        <v>30</v>
      </c>
      <c r="G2374" s="18" t="s">
        <v>10</v>
      </c>
      <c r="H2374" s="18" t="s">
        <v>178</v>
      </c>
      <c r="I2374" s="18" t="s">
        <v>10</v>
      </c>
      <c r="J2374" s="18" t="s">
        <v>4017</v>
      </c>
      <c r="K2374" s="20"/>
    </row>
    <row r="2375" spans="1:11" ht="36.75" thickBot="1">
      <c r="A2375" s="18" t="s">
        <v>7413</v>
      </c>
      <c r="B2375" s="18">
        <v>20017688949</v>
      </c>
      <c r="C2375" s="18" t="s">
        <v>1836</v>
      </c>
      <c r="D2375" s="19">
        <v>45902.572916666664</v>
      </c>
      <c r="E2375" s="19">
        <v>45911.47152777778</v>
      </c>
      <c r="F2375" s="18">
        <v>30</v>
      </c>
      <c r="G2375" s="18" t="s">
        <v>10</v>
      </c>
      <c r="H2375" s="18" t="s">
        <v>178</v>
      </c>
      <c r="I2375" s="18" t="s">
        <v>10</v>
      </c>
      <c r="J2375" s="18" t="s">
        <v>4017</v>
      </c>
      <c r="K2375" s="20"/>
    </row>
    <row r="2376" spans="1:11" ht="36.75" thickBot="1">
      <c r="A2376" s="18" t="s">
        <v>7414</v>
      </c>
      <c r="B2376" s="18">
        <v>20017791581</v>
      </c>
      <c r="C2376" s="18" t="s">
        <v>1836</v>
      </c>
      <c r="D2376" s="19">
        <v>45901.677083333336</v>
      </c>
      <c r="E2376" s="19">
        <v>45911.472222222219</v>
      </c>
      <c r="F2376" s="18">
        <v>30</v>
      </c>
      <c r="G2376" s="18" t="s">
        <v>10</v>
      </c>
      <c r="H2376" s="18" t="s">
        <v>178</v>
      </c>
      <c r="I2376" s="18" t="s">
        <v>10</v>
      </c>
      <c r="J2376" s="18" t="s">
        <v>4017</v>
      </c>
      <c r="K2376" s="20"/>
    </row>
    <row r="2377" spans="1:11" ht="36.75" thickBot="1">
      <c r="A2377" s="18" t="s">
        <v>7415</v>
      </c>
      <c r="B2377" s="18">
        <v>20017211154</v>
      </c>
      <c r="C2377" s="18" t="s">
        <v>1836</v>
      </c>
      <c r="D2377" s="19">
        <v>45901.670138888891</v>
      </c>
      <c r="E2377" s="19">
        <v>45911.473611111112</v>
      </c>
      <c r="F2377" s="18">
        <v>30</v>
      </c>
      <c r="G2377" s="18" t="s">
        <v>10</v>
      </c>
      <c r="H2377" s="18" t="s">
        <v>178</v>
      </c>
      <c r="I2377" s="18" t="s">
        <v>10</v>
      </c>
      <c r="J2377" s="18" t="s">
        <v>4017</v>
      </c>
      <c r="K2377" s="20"/>
    </row>
    <row r="2378" spans="1:11" ht="36.75" thickBot="1">
      <c r="A2378" s="18" t="s">
        <v>7416</v>
      </c>
      <c r="B2378" s="18">
        <v>20017816913</v>
      </c>
      <c r="C2378" s="18" t="s">
        <v>1836</v>
      </c>
      <c r="D2378" s="19">
        <v>45901.654861111114</v>
      </c>
      <c r="E2378" s="19">
        <v>45911.474999999999</v>
      </c>
      <c r="F2378" s="18">
        <v>30</v>
      </c>
      <c r="G2378" s="18" t="s">
        <v>10</v>
      </c>
      <c r="H2378" s="18" t="s">
        <v>178</v>
      </c>
      <c r="I2378" s="18" t="s">
        <v>10</v>
      </c>
      <c r="J2378" s="18" t="s">
        <v>4017</v>
      </c>
      <c r="K2378" s="20"/>
    </row>
    <row r="2379" spans="1:11" ht="36.75" thickBot="1">
      <c r="A2379" s="18" t="s">
        <v>7417</v>
      </c>
      <c r="B2379" s="18">
        <v>20017813530</v>
      </c>
      <c r="C2379" s="18" t="s">
        <v>1836</v>
      </c>
      <c r="D2379" s="19">
        <v>45901.645138888889</v>
      </c>
      <c r="E2379" s="19">
        <v>45911.475694444445</v>
      </c>
      <c r="F2379" s="18">
        <v>30</v>
      </c>
      <c r="G2379" s="18" t="s">
        <v>10</v>
      </c>
      <c r="H2379" s="18" t="s">
        <v>178</v>
      </c>
      <c r="I2379" s="18" t="s">
        <v>10</v>
      </c>
      <c r="J2379" s="18" t="s">
        <v>4017</v>
      </c>
      <c r="K2379" s="20"/>
    </row>
    <row r="2380" spans="1:11" ht="36.75" thickBot="1">
      <c r="A2380" s="18" t="s">
        <v>7418</v>
      </c>
      <c r="B2380" s="18">
        <v>20017813525</v>
      </c>
      <c r="C2380" s="18" t="s">
        <v>1836</v>
      </c>
      <c r="D2380" s="19">
        <v>45901.631944444445</v>
      </c>
      <c r="E2380" s="19">
        <v>45911.477083333331</v>
      </c>
      <c r="F2380" s="18">
        <v>30</v>
      </c>
      <c r="G2380" s="18" t="s">
        <v>10</v>
      </c>
      <c r="H2380" s="18" t="s">
        <v>178</v>
      </c>
      <c r="I2380" s="18" t="s">
        <v>10</v>
      </c>
      <c r="J2380" s="18" t="s">
        <v>4017</v>
      </c>
      <c r="K2380" s="20"/>
    </row>
    <row r="2381" spans="1:11" ht="36.75" thickBot="1">
      <c r="A2381" s="18" t="s">
        <v>7419</v>
      </c>
      <c r="B2381" s="18">
        <v>20010793516</v>
      </c>
      <c r="C2381" s="18" t="s">
        <v>1836</v>
      </c>
      <c r="D2381" s="19">
        <v>45901.62222222222</v>
      </c>
      <c r="E2381" s="19">
        <v>45911.477777777778</v>
      </c>
      <c r="F2381" s="18">
        <v>30</v>
      </c>
      <c r="G2381" s="18" t="s">
        <v>10</v>
      </c>
      <c r="H2381" s="18" t="s">
        <v>178</v>
      </c>
      <c r="I2381" s="18" t="s">
        <v>10</v>
      </c>
      <c r="J2381" s="18" t="s">
        <v>4017</v>
      </c>
      <c r="K2381" s="20"/>
    </row>
    <row r="2382" spans="1:11" ht="36.75" thickBot="1">
      <c r="A2382" s="18" t="s">
        <v>7420</v>
      </c>
      <c r="B2382" s="18">
        <v>20017250609</v>
      </c>
      <c r="C2382" s="18" t="s">
        <v>7421</v>
      </c>
      <c r="D2382" s="19">
        <v>45898.482638888891</v>
      </c>
      <c r="E2382" s="19">
        <v>45912.484722222223</v>
      </c>
      <c r="F2382" s="18">
        <v>450</v>
      </c>
      <c r="G2382" s="19">
        <v>45947.417361111111</v>
      </c>
      <c r="H2382" s="18" t="s">
        <v>2654</v>
      </c>
      <c r="I2382" s="18" t="s">
        <v>10</v>
      </c>
      <c r="J2382" s="18" t="s">
        <v>4017</v>
      </c>
      <c r="K2382" s="20"/>
    </row>
    <row r="2383" spans="1:11" ht="36.75" thickBot="1">
      <c r="A2383" s="18" t="s">
        <v>7422</v>
      </c>
      <c r="B2383" s="18">
        <v>20022592486</v>
      </c>
      <c r="C2383" s="18" t="s">
        <v>7423</v>
      </c>
      <c r="D2383" s="19">
        <v>45901.642361111109</v>
      </c>
      <c r="E2383" s="19">
        <v>45912.65625</v>
      </c>
      <c r="F2383" s="18">
        <v>136</v>
      </c>
      <c r="G2383" s="19">
        <v>45936.425000000003</v>
      </c>
      <c r="H2383" s="18" t="s">
        <v>2654</v>
      </c>
      <c r="I2383" s="18" t="s">
        <v>10</v>
      </c>
      <c r="J2383" s="18" t="s">
        <v>4017</v>
      </c>
      <c r="K2383" s="20"/>
    </row>
    <row r="2384" spans="1:11" ht="36.75" thickBot="1">
      <c r="A2384" s="18" t="s">
        <v>7424</v>
      </c>
      <c r="B2384" s="18">
        <v>20002923276</v>
      </c>
      <c r="C2384" s="18" t="s">
        <v>7425</v>
      </c>
      <c r="D2384" s="19">
        <v>45904.337500000001</v>
      </c>
      <c r="E2384" s="19">
        <v>45912.658333333333</v>
      </c>
      <c r="F2384" s="18">
        <v>200</v>
      </c>
      <c r="G2384" s="19">
        <v>45936.424305555556</v>
      </c>
      <c r="H2384" s="18" t="s">
        <v>2654</v>
      </c>
      <c r="I2384" s="18" t="s">
        <v>10</v>
      </c>
      <c r="J2384" s="18" t="s">
        <v>4017</v>
      </c>
      <c r="K2384" s="20"/>
    </row>
    <row r="2385" spans="1:11" ht="36.75" thickBot="1">
      <c r="A2385" s="18" t="s">
        <v>7426</v>
      </c>
      <c r="B2385" s="18">
        <v>20028603070</v>
      </c>
      <c r="C2385" s="18" t="s">
        <v>1836</v>
      </c>
      <c r="D2385" s="19">
        <v>45912.921527777777</v>
      </c>
      <c r="E2385" s="18" t="s">
        <v>10</v>
      </c>
      <c r="F2385" s="18">
        <v>30</v>
      </c>
      <c r="G2385" s="18" t="s">
        <v>10</v>
      </c>
      <c r="H2385" s="18" t="s">
        <v>189</v>
      </c>
      <c r="I2385" s="18" t="s">
        <v>10</v>
      </c>
      <c r="J2385" s="18" t="s">
        <v>4017</v>
      </c>
      <c r="K2385" s="20"/>
    </row>
    <row r="2386" spans="1:11" ht="36.75" thickBot="1">
      <c r="A2386" s="18" t="s">
        <v>7427</v>
      </c>
      <c r="B2386" s="18">
        <v>20028705555</v>
      </c>
      <c r="C2386" s="18" t="s">
        <v>1836</v>
      </c>
      <c r="D2386" s="19">
        <v>45913.461111111108</v>
      </c>
      <c r="E2386" s="18" t="s">
        <v>10</v>
      </c>
      <c r="F2386" s="18">
        <v>30</v>
      </c>
      <c r="G2386" s="18" t="s">
        <v>10</v>
      </c>
      <c r="H2386" s="18" t="s">
        <v>189</v>
      </c>
      <c r="I2386" s="18" t="s">
        <v>10</v>
      </c>
      <c r="J2386" s="18" t="s">
        <v>4017</v>
      </c>
      <c r="K2386" s="20"/>
    </row>
    <row r="2387" spans="1:11" ht="36.75" thickBot="1">
      <c r="A2387" s="18" t="s">
        <v>7428</v>
      </c>
      <c r="B2387" s="18">
        <v>20020948494</v>
      </c>
      <c r="C2387" s="18" t="s">
        <v>6416</v>
      </c>
      <c r="D2387" s="19">
        <v>45902.602083333331</v>
      </c>
      <c r="E2387" s="19">
        <v>45913.661111111112</v>
      </c>
      <c r="F2387" s="18">
        <v>160</v>
      </c>
      <c r="G2387" s="18" t="s">
        <v>10</v>
      </c>
      <c r="H2387" s="18" t="s">
        <v>189</v>
      </c>
      <c r="I2387" s="18" t="s">
        <v>10</v>
      </c>
      <c r="J2387" s="18" t="s">
        <v>4017</v>
      </c>
      <c r="K2387" s="20"/>
    </row>
    <row r="2388" spans="1:11" ht="36.75" thickBot="1">
      <c r="A2388" s="18" t="s">
        <v>7429</v>
      </c>
      <c r="B2388" s="18">
        <v>20028467102</v>
      </c>
      <c r="C2388" s="18" t="s">
        <v>7226</v>
      </c>
      <c r="D2388" s="19">
        <v>45890.60833333333</v>
      </c>
      <c r="E2388" s="19">
        <v>45915.4</v>
      </c>
      <c r="F2388" s="18">
        <v>400</v>
      </c>
      <c r="G2388" s="19">
        <v>45931.413888888892</v>
      </c>
      <c r="H2388" s="18" t="s">
        <v>2654</v>
      </c>
      <c r="I2388" s="18" t="s">
        <v>10</v>
      </c>
      <c r="J2388" s="18" t="s">
        <v>4017</v>
      </c>
      <c r="K2388" s="20"/>
    </row>
    <row r="2389" spans="1:11" ht="36.75" thickBot="1">
      <c r="A2389" s="18" t="s">
        <v>7430</v>
      </c>
      <c r="B2389" s="18">
        <v>20028579328</v>
      </c>
      <c r="C2389" s="18" t="s">
        <v>7431</v>
      </c>
      <c r="D2389" s="19">
        <v>45915.482638888891</v>
      </c>
      <c r="E2389" s="18" t="s">
        <v>10</v>
      </c>
      <c r="F2389" s="18">
        <v>100</v>
      </c>
      <c r="G2389" s="18" t="s">
        <v>10</v>
      </c>
      <c r="H2389" s="18" t="s">
        <v>178</v>
      </c>
      <c r="I2389" s="18" t="s">
        <v>10</v>
      </c>
      <c r="J2389" s="18" t="s">
        <v>4017</v>
      </c>
      <c r="K2389" s="20"/>
    </row>
    <row r="2390" spans="1:11" ht="36.75" thickBot="1">
      <c r="A2390" s="18" t="s">
        <v>7432</v>
      </c>
      <c r="B2390" s="18">
        <v>20026221619</v>
      </c>
      <c r="C2390" s="18" t="s">
        <v>7433</v>
      </c>
      <c r="D2390" s="19">
        <v>45905.448611111111</v>
      </c>
      <c r="E2390" s="19">
        <v>45915.60833333333</v>
      </c>
      <c r="F2390" s="18">
        <v>175</v>
      </c>
      <c r="G2390" s="19">
        <v>45946.42083333333</v>
      </c>
      <c r="H2390" s="18" t="s">
        <v>2654</v>
      </c>
      <c r="I2390" s="18" t="s">
        <v>10</v>
      </c>
      <c r="J2390" s="18" t="s">
        <v>4017</v>
      </c>
      <c r="K2390" s="20"/>
    </row>
    <row r="2391" spans="1:11" ht="36.75" thickBot="1">
      <c r="A2391" s="18" t="s">
        <v>7434</v>
      </c>
      <c r="B2391" s="18">
        <v>20026920648</v>
      </c>
      <c r="C2391" s="18" t="s">
        <v>7435</v>
      </c>
      <c r="D2391" s="19">
        <v>45909.444444444445</v>
      </c>
      <c r="E2391" s="19">
        <v>45915.658333333333</v>
      </c>
      <c r="F2391" s="18">
        <v>50</v>
      </c>
      <c r="G2391" s="18" t="s">
        <v>10</v>
      </c>
      <c r="H2391" s="18" t="s">
        <v>189</v>
      </c>
      <c r="I2391" s="18" t="s">
        <v>10</v>
      </c>
      <c r="J2391" s="18" t="s">
        <v>4017</v>
      </c>
      <c r="K2391" s="20"/>
    </row>
    <row r="2392" spans="1:11" ht="36.75" thickBot="1">
      <c r="A2392" s="18" t="s">
        <v>7436</v>
      </c>
      <c r="B2392" s="18">
        <v>20002853805</v>
      </c>
      <c r="C2392" s="18" t="s">
        <v>7047</v>
      </c>
      <c r="D2392" s="19">
        <v>45915.682638888888</v>
      </c>
      <c r="E2392" s="18" t="s">
        <v>10</v>
      </c>
      <c r="F2392" s="18">
        <v>100</v>
      </c>
      <c r="G2392" s="18" t="s">
        <v>10</v>
      </c>
      <c r="H2392" s="18" t="s">
        <v>178</v>
      </c>
      <c r="I2392" s="18" t="s">
        <v>10</v>
      </c>
      <c r="J2392" s="18" t="s">
        <v>4017</v>
      </c>
      <c r="K2392" s="20"/>
    </row>
    <row r="2393" spans="1:11" ht="36.75" thickBot="1">
      <c r="A2393" s="18" t="s">
        <v>7437</v>
      </c>
      <c r="B2393" s="18">
        <v>20003279938</v>
      </c>
      <c r="C2393" s="18" t="s">
        <v>7148</v>
      </c>
      <c r="D2393" s="19">
        <v>45771.717361111114</v>
      </c>
      <c r="E2393" s="19">
        <v>45915.73541666667</v>
      </c>
      <c r="F2393" s="18">
        <v>800</v>
      </c>
      <c r="G2393" s="19">
        <v>45944.62222222222</v>
      </c>
      <c r="H2393" s="18" t="s">
        <v>2654</v>
      </c>
      <c r="I2393" s="18" t="s">
        <v>10</v>
      </c>
      <c r="J2393" s="18" t="s">
        <v>4017</v>
      </c>
      <c r="K2393" s="20"/>
    </row>
    <row r="2394" spans="1:11" ht="36.75" thickBot="1">
      <c r="A2394" s="18" t="s">
        <v>7438</v>
      </c>
      <c r="B2394" s="18">
        <v>20028367961</v>
      </c>
      <c r="C2394" s="18" t="s">
        <v>1836</v>
      </c>
      <c r="D2394" s="19">
        <v>45915.944444444445</v>
      </c>
      <c r="E2394" s="18" t="s">
        <v>10</v>
      </c>
      <c r="F2394" s="18">
        <v>30</v>
      </c>
      <c r="G2394" s="18" t="s">
        <v>10</v>
      </c>
      <c r="H2394" s="18" t="s">
        <v>189</v>
      </c>
      <c r="I2394" s="18" t="s">
        <v>10</v>
      </c>
      <c r="J2394" s="18" t="s">
        <v>4017</v>
      </c>
      <c r="K2394" s="20"/>
    </row>
    <row r="2395" spans="1:11" ht="36.75" thickBot="1">
      <c r="A2395" s="18" t="s">
        <v>7439</v>
      </c>
      <c r="B2395" s="18">
        <v>20028480842</v>
      </c>
      <c r="C2395" s="18" t="s">
        <v>1836</v>
      </c>
      <c r="D2395" s="19">
        <v>45915.951388888891</v>
      </c>
      <c r="E2395" s="18" t="s">
        <v>10</v>
      </c>
      <c r="F2395" s="18">
        <v>30</v>
      </c>
      <c r="G2395" s="18" t="s">
        <v>10</v>
      </c>
      <c r="H2395" s="18" t="s">
        <v>189</v>
      </c>
      <c r="I2395" s="18" t="s">
        <v>10</v>
      </c>
      <c r="J2395" s="18" t="s">
        <v>4017</v>
      </c>
      <c r="K2395" s="20"/>
    </row>
    <row r="2396" spans="1:11" ht="36.75" thickBot="1">
      <c r="A2396" s="18" t="s">
        <v>7440</v>
      </c>
      <c r="B2396" s="18">
        <v>20028257667</v>
      </c>
      <c r="C2396" s="18" t="s">
        <v>1836</v>
      </c>
      <c r="D2396" s="19">
        <v>45915.956944444442</v>
      </c>
      <c r="E2396" s="18" t="s">
        <v>10</v>
      </c>
      <c r="F2396" s="18">
        <v>30</v>
      </c>
      <c r="G2396" s="18" t="s">
        <v>10</v>
      </c>
      <c r="H2396" s="18" t="s">
        <v>189</v>
      </c>
      <c r="I2396" s="18" t="s">
        <v>10</v>
      </c>
      <c r="J2396" s="18" t="s">
        <v>4017</v>
      </c>
      <c r="K2396" s="20"/>
    </row>
    <row r="2397" spans="1:11" ht="36.75" thickBot="1">
      <c r="A2397" s="18" t="s">
        <v>7441</v>
      </c>
      <c r="B2397" s="18">
        <v>20025892181</v>
      </c>
      <c r="C2397" s="18" t="s">
        <v>7442</v>
      </c>
      <c r="D2397" s="19">
        <v>45911.404166666667</v>
      </c>
      <c r="E2397" s="19">
        <v>45916.7</v>
      </c>
      <c r="F2397" s="18">
        <v>30</v>
      </c>
      <c r="G2397" s="19">
        <v>45926.599305555559</v>
      </c>
      <c r="H2397" s="18" t="s">
        <v>236</v>
      </c>
      <c r="I2397" s="18" t="s">
        <v>10</v>
      </c>
      <c r="J2397" s="18" t="s">
        <v>4017</v>
      </c>
      <c r="K2397" s="20"/>
    </row>
    <row r="2398" spans="1:11" ht="36.75" thickBot="1">
      <c r="A2398" s="18" t="s">
        <v>7443</v>
      </c>
      <c r="B2398" s="18">
        <v>20026543498</v>
      </c>
      <c r="C2398" s="18" t="s">
        <v>6213</v>
      </c>
      <c r="D2398" s="19">
        <v>45897.518055555556</v>
      </c>
      <c r="E2398" s="19">
        <v>45917.396527777775</v>
      </c>
      <c r="F2398" s="18">
        <v>100</v>
      </c>
      <c r="G2398" s="19">
        <v>45937.648611111108</v>
      </c>
      <c r="H2398" s="18" t="s">
        <v>2654</v>
      </c>
      <c r="I2398" s="18" t="s">
        <v>10</v>
      </c>
      <c r="J2398" s="18" t="s">
        <v>4017</v>
      </c>
      <c r="K2398" s="20"/>
    </row>
    <row r="2399" spans="1:11" ht="36.75" thickBot="1">
      <c r="A2399" s="18" t="s">
        <v>7444</v>
      </c>
      <c r="B2399" s="18">
        <v>20023404593</v>
      </c>
      <c r="C2399" s="18" t="s">
        <v>7445</v>
      </c>
      <c r="D2399" s="19">
        <v>45909.409722222219</v>
      </c>
      <c r="E2399" s="19">
        <v>45918.565972222219</v>
      </c>
      <c r="F2399" s="18">
        <v>375</v>
      </c>
      <c r="G2399" s="18" t="s">
        <v>10</v>
      </c>
      <c r="H2399" s="18" t="s">
        <v>189</v>
      </c>
      <c r="I2399" s="18" t="s">
        <v>10</v>
      </c>
      <c r="J2399" s="18" t="s">
        <v>4017</v>
      </c>
      <c r="K2399" s="20"/>
    </row>
    <row r="2400" spans="1:11" ht="36.75" thickBot="1">
      <c r="A2400" s="18" t="s">
        <v>7446</v>
      </c>
      <c r="B2400" s="18">
        <v>20003203963</v>
      </c>
      <c r="C2400" s="18" t="s">
        <v>4624</v>
      </c>
      <c r="D2400" s="19">
        <v>45918.59652777778</v>
      </c>
      <c r="E2400" s="18" t="s">
        <v>10</v>
      </c>
      <c r="F2400" s="18">
        <v>390</v>
      </c>
      <c r="G2400" s="18" t="s">
        <v>10</v>
      </c>
      <c r="H2400" s="18" t="s">
        <v>178</v>
      </c>
      <c r="I2400" s="18" t="s">
        <v>10</v>
      </c>
      <c r="J2400" s="18" t="s">
        <v>4017</v>
      </c>
      <c r="K2400" s="20"/>
    </row>
    <row r="2401" spans="1:11" ht="72.75" thickBot="1">
      <c r="A2401" s="18" t="s">
        <v>7447</v>
      </c>
      <c r="B2401" s="18">
        <v>20017554982</v>
      </c>
      <c r="C2401" s="18" t="s">
        <v>7448</v>
      </c>
      <c r="D2401" s="19">
        <v>45918.620833333334</v>
      </c>
      <c r="E2401" s="18" t="s">
        <v>10</v>
      </c>
      <c r="F2401" s="18">
        <v>50</v>
      </c>
      <c r="G2401" s="18" t="s">
        <v>10</v>
      </c>
      <c r="H2401" s="18" t="s">
        <v>178</v>
      </c>
      <c r="I2401" s="18" t="s">
        <v>10</v>
      </c>
      <c r="J2401" s="18" t="s">
        <v>4017</v>
      </c>
      <c r="K2401" s="1"/>
    </row>
    <row r="2402" spans="1:11" ht="36.75" thickBot="1">
      <c r="A2402" s="18" t="s">
        <v>7449</v>
      </c>
      <c r="B2402" s="18">
        <v>20018453887</v>
      </c>
      <c r="C2402" s="18" t="s">
        <v>7408</v>
      </c>
      <c r="D2402" s="19">
        <v>45919.390972222223</v>
      </c>
      <c r="E2402" s="18" t="s">
        <v>10</v>
      </c>
      <c r="F2402" s="18">
        <v>50</v>
      </c>
      <c r="G2402" s="19">
        <v>45940.643750000003</v>
      </c>
      <c r="H2402" s="18" t="s">
        <v>2654</v>
      </c>
      <c r="I2402" s="18" t="s">
        <v>10</v>
      </c>
      <c r="J2402" s="18" t="s">
        <v>4017</v>
      </c>
      <c r="K2402" s="20"/>
    </row>
    <row r="2403" spans="1:11" ht="36.75" thickBot="1">
      <c r="A2403" s="18" t="s">
        <v>7450</v>
      </c>
      <c r="B2403" s="18">
        <v>20026409097</v>
      </c>
      <c r="C2403" s="18" t="s">
        <v>5283</v>
      </c>
      <c r="D2403" s="19">
        <v>45896.466666666667</v>
      </c>
      <c r="E2403" s="19">
        <v>45919.61041666667</v>
      </c>
      <c r="F2403" s="18">
        <v>50</v>
      </c>
      <c r="G2403" s="18" t="s">
        <v>10</v>
      </c>
      <c r="H2403" s="18" t="s">
        <v>189</v>
      </c>
      <c r="I2403" s="18" t="s">
        <v>10</v>
      </c>
      <c r="J2403" s="18" t="s">
        <v>4017</v>
      </c>
      <c r="K2403" s="20"/>
    </row>
    <row r="2404" spans="1:11" ht="36.75" thickBot="1">
      <c r="A2404" s="18" t="s">
        <v>7451</v>
      </c>
      <c r="B2404" s="18">
        <v>20021984722</v>
      </c>
      <c r="C2404" s="18" t="s">
        <v>5118</v>
      </c>
      <c r="D2404" s="19">
        <v>45919.676388888889</v>
      </c>
      <c r="E2404" s="18" t="s">
        <v>10</v>
      </c>
      <c r="F2404" s="18">
        <v>100</v>
      </c>
      <c r="G2404" s="18" t="s">
        <v>10</v>
      </c>
      <c r="H2404" s="18" t="s">
        <v>178</v>
      </c>
      <c r="I2404" s="18" t="s">
        <v>10</v>
      </c>
      <c r="J2404" s="18" t="s">
        <v>4017</v>
      </c>
      <c r="K2404" s="20"/>
    </row>
    <row r="2405" spans="1:11" ht="36.75" thickBot="1">
      <c r="A2405" s="18" t="s">
        <v>7452</v>
      </c>
      <c r="B2405" s="18">
        <v>20028668980</v>
      </c>
      <c r="C2405" s="18" t="s">
        <v>7453</v>
      </c>
      <c r="D2405" s="19">
        <v>45919.707638888889</v>
      </c>
      <c r="E2405" s="18" t="s">
        <v>10</v>
      </c>
      <c r="F2405" s="18">
        <v>20</v>
      </c>
      <c r="G2405" s="18" t="s">
        <v>10</v>
      </c>
      <c r="H2405" s="18" t="s">
        <v>178</v>
      </c>
      <c r="I2405" s="18" t="s">
        <v>10</v>
      </c>
      <c r="J2405" s="18" t="s">
        <v>4017</v>
      </c>
      <c r="K2405" s="20"/>
    </row>
    <row r="2406" spans="1:11" ht="54.75" thickBot="1">
      <c r="A2406" s="18" t="s">
        <v>7454</v>
      </c>
      <c r="B2406" s="18">
        <v>20018379108</v>
      </c>
      <c r="C2406" s="18" t="s">
        <v>5497</v>
      </c>
      <c r="D2406" s="19">
        <v>45919.751388888886</v>
      </c>
      <c r="E2406" s="18" t="s">
        <v>10</v>
      </c>
      <c r="F2406" s="18">
        <v>625</v>
      </c>
      <c r="G2406" s="18" t="s">
        <v>10</v>
      </c>
      <c r="H2406" s="18" t="s">
        <v>178</v>
      </c>
      <c r="I2406" s="18" t="s">
        <v>10</v>
      </c>
      <c r="J2406" s="18" t="s">
        <v>4017</v>
      </c>
      <c r="K2406" s="20"/>
    </row>
    <row r="2407" spans="1:11" ht="36.75" thickBot="1">
      <c r="A2407" s="18" t="s">
        <v>7455</v>
      </c>
      <c r="B2407" s="18">
        <v>20003139506</v>
      </c>
      <c r="C2407" s="18" t="s">
        <v>7456</v>
      </c>
      <c r="D2407" s="19">
        <v>45919.865277777775</v>
      </c>
      <c r="E2407" s="18" t="s">
        <v>10</v>
      </c>
      <c r="F2407" s="18">
        <v>150</v>
      </c>
      <c r="G2407" s="18" t="s">
        <v>10</v>
      </c>
      <c r="H2407" s="18" t="s">
        <v>178</v>
      </c>
      <c r="I2407" s="18" t="s">
        <v>10</v>
      </c>
      <c r="J2407" s="18" t="s">
        <v>4017</v>
      </c>
      <c r="K2407" s="20"/>
    </row>
    <row r="2408" spans="1:11" ht="36.75" thickBot="1">
      <c r="A2408" s="18" t="s">
        <v>7457</v>
      </c>
      <c r="B2408" s="18">
        <v>20003159908</v>
      </c>
      <c r="C2408" s="18" t="s">
        <v>3349</v>
      </c>
      <c r="D2408" s="19">
        <v>45920.63958333333</v>
      </c>
      <c r="E2408" s="18" t="s">
        <v>10</v>
      </c>
      <c r="F2408" s="18">
        <v>3</v>
      </c>
      <c r="G2408" s="18" t="s">
        <v>10</v>
      </c>
      <c r="H2408" s="18" t="s">
        <v>178</v>
      </c>
      <c r="I2408" s="18" t="s">
        <v>10</v>
      </c>
      <c r="J2408" s="18" t="s">
        <v>4017</v>
      </c>
      <c r="K2408" s="20"/>
    </row>
    <row r="2409" spans="1:11" ht="36.75" thickBot="1">
      <c r="A2409" s="18" t="s">
        <v>7458</v>
      </c>
      <c r="B2409" s="18">
        <v>20003139543</v>
      </c>
      <c r="C2409" s="18" t="s">
        <v>7459</v>
      </c>
      <c r="D2409" s="19">
        <v>45922.697916666664</v>
      </c>
      <c r="E2409" s="18" t="s">
        <v>10</v>
      </c>
      <c r="F2409" s="18">
        <v>500</v>
      </c>
      <c r="G2409" s="18" t="s">
        <v>10</v>
      </c>
      <c r="H2409" s="18" t="s">
        <v>178</v>
      </c>
      <c r="I2409" s="18" t="s">
        <v>10</v>
      </c>
      <c r="J2409" s="18" t="s">
        <v>4017</v>
      </c>
      <c r="K2409" s="20"/>
    </row>
    <row r="2410" spans="1:11" ht="36.75" thickBot="1">
      <c r="A2410" s="18" t="s">
        <v>7460</v>
      </c>
      <c r="B2410" s="18">
        <v>20025492757</v>
      </c>
      <c r="C2410" s="18" t="s">
        <v>7081</v>
      </c>
      <c r="D2410" s="19">
        <v>45909.479166666664</v>
      </c>
      <c r="E2410" s="19">
        <v>45923.597222222219</v>
      </c>
      <c r="F2410" s="18">
        <v>820</v>
      </c>
      <c r="G2410" s="19">
        <v>45937.392361111109</v>
      </c>
      <c r="H2410" s="18" t="s">
        <v>2654</v>
      </c>
      <c r="I2410" s="18" t="s">
        <v>10</v>
      </c>
      <c r="J2410" s="18" t="s">
        <v>4017</v>
      </c>
      <c r="K2410" s="20"/>
    </row>
    <row r="2411" spans="1:11" ht="36.75" thickBot="1">
      <c r="A2411" s="18" t="s">
        <v>7461</v>
      </c>
      <c r="B2411" s="18">
        <v>20028350372</v>
      </c>
      <c r="C2411" s="18" t="s">
        <v>1836</v>
      </c>
      <c r="D2411" s="19">
        <v>45916.552777777775</v>
      </c>
      <c r="E2411" s="19">
        <v>45923.618750000001</v>
      </c>
      <c r="F2411" s="18">
        <v>30</v>
      </c>
      <c r="G2411" s="18" t="s">
        <v>10</v>
      </c>
      <c r="H2411" s="18" t="s">
        <v>189</v>
      </c>
      <c r="I2411" s="18" t="s">
        <v>10</v>
      </c>
      <c r="J2411" s="18" t="s">
        <v>4017</v>
      </c>
      <c r="K2411" s="20"/>
    </row>
    <row r="2412" spans="1:11" ht="36.75" thickBot="1">
      <c r="A2412" s="18" t="s">
        <v>7462</v>
      </c>
      <c r="B2412" s="18">
        <v>20028405171</v>
      </c>
      <c r="C2412" s="18" t="s">
        <v>1836</v>
      </c>
      <c r="D2412" s="19">
        <v>45915.9375</v>
      </c>
      <c r="E2412" s="19">
        <v>45923.62222222222</v>
      </c>
      <c r="F2412" s="18">
        <v>30</v>
      </c>
      <c r="G2412" s="18" t="s">
        <v>10</v>
      </c>
      <c r="H2412" s="18" t="s">
        <v>189</v>
      </c>
      <c r="I2412" s="18" t="s">
        <v>10</v>
      </c>
      <c r="J2412" s="18" t="s">
        <v>4017</v>
      </c>
      <c r="K2412" s="20"/>
    </row>
    <row r="2413" spans="1:11" ht="36.75" thickBot="1">
      <c r="A2413" s="18" t="s">
        <v>7463</v>
      </c>
      <c r="B2413" s="18">
        <v>20028371313</v>
      </c>
      <c r="C2413" s="18" t="s">
        <v>1836</v>
      </c>
      <c r="D2413" s="19">
        <v>45915.929861111108</v>
      </c>
      <c r="E2413" s="19">
        <v>45923.624305555553</v>
      </c>
      <c r="F2413" s="18">
        <v>30</v>
      </c>
      <c r="G2413" s="18" t="s">
        <v>10</v>
      </c>
      <c r="H2413" s="18" t="s">
        <v>189</v>
      </c>
      <c r="I2413" s="18" t="s">
        <v>10</v>
      </c>
      <c r="J2413" s="18" t="s">
        <v>4017</v>
      </c>
      <c r="K2413" s="20"/>
    </row>
    <row r="2414" spans="1:11" ht="36.75" thickBot="1">
      <c r="A2414" s="18" t="s">
        <v>7464</v>
      </c>
      <c r="B2414" s="18">
        <v>20023324439</v>
      </c>
      <c r="C2414" s="18" t="s">
        <v>7465</v>
      </c>
      <c r="D2414" s="19">
        <v>45923.722916666666</v>
      </c>
      <c r="E2414" s="18" t="s">
        <v>10</v>
      </c>
      <c r="F2414" s="18">
        <v>12</v>
      </c>
      <c r="G2414" s="18" t="s">
        <v>10</v>
      </c>
      <c r="H2414" s="18" t="s">
        <v>178</v>
      </c>
      <c r="I2414" s="18" t="s">
        <v>10</v>
      </c>
      <c r="J2414" s="18" t="s">
        <v>4017</v>
      </c>
      <c r="K2414" s="20"/>
    </row>
    <row r="2415" spans="1:11" ht="36.75" thickBot="1">
      <c r="A2415" s="18" t="s">
        <v>7466</v>
      </c>
      <c r="B2415" s="18">
        <v>20028430465</v>
      </c>
      <c r="C2415" s="18" t="s">
        <v>1836</v>
      </c>
      <c r="D2415" s="19">
        <v>45916.55972222222</v>
      </c>
      <c r="E2415" s="19">
        <v>45924.386805555558</v>
      </c>
      <c r="F2415" s="18">
        <v>30</v>
      </c>
      <c r="G2415" s="18" t="s">
        <v>10</v>
      </c>
      <c r="H2415" s="18" t="s">
        <v>189</v>
      </c>
      <c r="I2415" s="18" t="s">
        <v>10</v>
      </c>
      <c r="J2415" s="18" t="s">
        <v>4017</v>
      </c>
      <c r="K2415" s="20"/>
    </row>
    <row r="2416" spans="1:11" ht="36.75" thickBot="1">
      <c r="A2416" s="18" t="s">
        <v>7467</v>
      </c>
      <c r="B2416" s="18">
        <v>20025579044</v>
      </c>
      <c r="C2416" s="18" t="s">
        <v>7468</v>
      </c>
      <c r="D2416" s="19">
        <v>45924.42083333333</v>
      </c>
      <c r="E2416" s="18" t="s">
        <v>10</v>
      </c>
      <c r="F2416" s="18">
        <v>100</v>
      </c>
      <c r="G2416" s="18" t="s">
        <v>10</v>
      </c>
      <c r="H2416" s="18" t="s">
        <v>189</v>
      </c>
      <c r="I2416" s="18" t="s">
        <v>10</v>
      </c>
      <c r="J2416" s="18" t="s">
        <v>4017</v>
      </c>
      <c r="K2416" s="20"/>
    </row>
    <row r="2417" spans="1:11" ht="72.75" thickBot="1">
      <c r="A2417" s="18" t="s">
        <v>7469</v>
      </c>
      <c r="B2417" s="18">
        <v>20003126379</v>
      </c>
      <c r="C2417" s="18" t="s">
        <v>4030</v>
      </c>
      <c r="D2417" s="19">
        <v>45897.73333333333</v>
      </c>
      <c r="E2417" s="19">
        <v>45924.444444444445</v>
      </c>
      <c r="F2417" s="18">
        <v>250</v>
      </c>
      <c r="G2417" s="19">
        <v>45945.422222222223</v>
      </c>
      <c r="H2417" s="18" t="s">
        <v>2657</v>
      </c>
      <c r="I2417" s="18" t="s">
        <v>10</v>
      </c>
      <c r="J2417" s="18" t="s">
        <v>4017</v>
      </c>
      <c r="K2417" s="20"/>
    </row>
    <row r="2418" spans="1:11" ht="54.75" thickBot="1">
      <c r="A2418" s="18" t="s">
        <v>7470</v>
      </c>
      <c r="B2418" s="18">
        <v>20003426397</v>
      </c>
      <c r="C2418" s="18" t="s">
        <v>7401</v>
      </c>
      <c r="D2418" s="19">
        <v>45916.645138888889</v>
      </c>
      <c r="E2418" s="19">
        <v>45924.650694444441</v>
      </c>
      <c r="F2418" s="18">
        <v>30</v>
      </c>
      <c r="G2418" s="18" t="s">
        <v>10</v>
      </c>
      <c r="H2418" s="18" t="s">
        <v>178</v>
      </c>
      <c r="I2418" s="18" t="s">
        <v>10</v>
      </c>
      <c r="J2418" s="18" t="s">
        <v>4017</v>
      </c>
      <c r="K2418" s="20"/>
    </row>
    <row r="2419" spans="1:11" ht="36.75" thickBot="1">
      <c r="A2419" s="18" t="s">
        <v>7471</v>
      </c>
      <c r="B2419" s="18">
        <v>20019252966</v>
      </c>
      <c r="C2419" s="18" t="s">
        <v>7472</v>
      </c>
      <c r="D2419" s="19">
        <v>45918.392361111109</v>
      </c>
      <c r="E2419" s="19">
        <v>45924.683333333334</v>
      </c>
      <c r="F2419" s="18">
        <v>300</v>
      </c>
      <c r="G2419" s="19">
        <v>45937.392361111109</v>
      </c>
      <c r="H2419" s="18" t="s">
        <v>2654</v>
      </c>
      <c r="I2419" s="18" t="s">
        <v>10</v>
      </c>
      <c r="J2419" s="18" t="s">
        <v>4017</v>
      </c>
      <c r="K2419" s="20"/>
    </row>
    <row r="2420" spans="1:11" ht="36.75" thickBot="1">
      <c r="A2420" s="18" t="s">
        <v>7473</v>
      </c>
      <c r="B2420" s="18">
        <v>20027155775</v>
      </c>
      <c r="C2420" s="18" t="s">
        <v>5048</v>
      </c>
      <c r="D2420" s="19">
        <v>45904.365972222222</v>
      </c>
      <c r="E2420" s="19">
        <v>45925.343055555553</v>
      </c>
      <c r="F2420" s="18">
        <v>30</v>
      </c>
      <c r="G2420" s="19">
        <v>45936.478472222225</v>
      </c>
      <c r="H2420" s="18" t="s">
        <v>2654</v>
      </c>
      <c r="I2420" s="18" t="s">
        <v>10</v>
      </c>
      <c r="J2420" s="18" t="s">
        <v>4017</v>
      </c>
      <c r="K2420" s="20"/>
    </row>
    <row r="2421" spans="1:11" ht="36.75" thickBot="1">
      <c r="A2421" s="18" t="s">
        <v>7474</v>
      </c>
      <c r="B2421" s="18">
        <v>20002923400</v>
      </c>
      <c r="C2421" s="18" t="s">
        <v>6460</v>
      </c>
      <c r="D2421" s="19">
        <v>45827.797222222223</v>
      </c>
      <c r="E2421" s="19">
        <v>45925.42083333333</v>
      </c>
      <c r="F2421" s="18">
        <v>800</v>
      </c>
      <c r="G2421" s="18" t="s">
        <v>10</v>
      </c>
      <c r="H2421" s="18" t="s">
        <v>178</v>
      </c>
      <c r="I2421" s="18" t="s">
        <v>10</v>
      </c>
      <c r="J2421" s="18" t="s">
        <v>4017</v>
      </c>
      <c r="K2421" s="20"/>
    </row>
    <row r="2422" spans="1:11" ht="36.75" thickBot="1">
      <c r="A2422" s="18" t="s">
        <v>7475</v>
      </c>
      <c r="B2422" s="18">
        <v>20022623885</v>
      </c>
      <c r="C2422" s="18" t="s">
        <v>7476</v>
      </c>
      <c r="D2422" s="19">
        <v>45925.505555555559</v>
      </c>
      <c r="E2422" s="18" t="s">
        <v>10</v>
      </c>
      <c r="F2422" s="18">
        <v>150</v>
      </c>
      <c r="G2422" s="18" t="s">
        <v>10</v>
      </c>
      <c r="H2422" s="18" t="s">
        <v>178</v>
      </c>
      <c r="I2422" s="18" t="s">
        <v>10</v>
      </c>
      <c r="J2422" s="18" t="s">
        <v>4017</v>
      </c>
      <c r="K2422" s="20"/>
    </row>
    <row r="2423" spans="1:11" ht="36.75" thickBot="1">
      <c r="A2423" s="18" t="s">
        <v>7477</v>
      </c>
      <c r="B2423" s="18">
        <v>20002719438</v>
      </c>
      <c r="C2423" s="18" t="s">
        <v>6740</v>
      </c>
      <c r="D2423" s="19">
        <v>45925.518055555556</v>
      </c>
      <c r="E2423" s="18" t="s">
        <v>10</v>
      </c>
      <c r="F2423" s="18">
        <v>600</v>
      </c>
      <c r="G2423" s="18" t="s">
        <v>10</v>
      </c>
      <c r="H2423" s="18" t="s">
        <v>178</v>
      </c>
      <c r="I2423" s="18" t="s">
        <v>10</v>
      </c>
      <c r="J2423" s="18" t="s">
        <v>4017</v>
      </c>
      <c r="K2423" s="20"/>
    </row>
    <row r="2424" spans="1:11" ht="36.75" thickBot="1">
      <c r="A2424" s="18" t="s">
        <v>7478</v>
      </c>
      <c r="B2424" s="18">
        <v>20002719438</v>
      </c>
      <c r="C2424" s="18" t="s">
        <v>6740</v>
      </c>
      <c r="D2424" s="19">
        <v>45925.640277777777</v>
      </c>
      <c r="E2424" s="18" t="s">
        <v>10</v>
      </c>
      <c r="F2424" s="18">
        <v>600</v>
      </c>
      <c r="G2424" s="18" t="s">
        <v>10</v>
      </c>
      <c r="H2424" s="18" t="s">
        <v>178</v>
      </c>
      <c r="I2424" s="18" t="s">
        <v>10</v>
      </c>
      <c r="J2424" s="18" t="s">
        <v>4017</v>
      </c>
      <c r="K2424" s="20"/>
    </row>
    <row r="2425" spans="1:11" ht="36.75" thickBot="1">
      <c r="A2425" s="18" t="s">
        <v>7479</v>
      </c>
      <c r="B2425" s="18">
        <v>20022962002</v>
      </c>
      <c r="C2425" s="18" t="s">
        <v>7480</v>
      </c>
      <c r="D2425" s="19">
        <v>45925.65625</v>
      </c>
      <c r="E2425" s="18" t="s">
        <v>10</v>
      </c>
      <c r="F2425" s="18">
        <v>30</v>
      </c>
      <c r="G2425" s="18" t="s">
        <v>10</v>
      </c>
      <c r="H2425" s="18" t="s">
        <v>178</v>
      </c>
      <c r="I2425" s="18" t="s">
        <v>10</v>
      </c>
      <c r="J2425" s="18" t="s">
        <v>4017</v>
      </c>
      <c r="K2425" s="20"/>
    </row>
    <row r="2426" spans="1:11" ht="36.75" thickBot="1">
      <c r="A2426" s="18" t="s">
        <v>7481</v>
      </c>
      <c r="B2426" s="18">
        <v>20003010967</v>
      </c>
      <c r="C2426" s="18" t="s">
        <v>7482</v>
      </c>
      <c r="D2426" s="19">
        <v>45925.65625</v>
      </c>
      <c r="E2426" s="18" t="s">
        <v>10</v>
      </c>
      <c r="F2426" s="18">
        <v>900</v>
      </c>
      <c r="G2426" s="18" t="s">
        <v>10</v>
      </c>
      <c r="H2426" s="18" t="s">
        <v>178</v>
      </c>
      <c r="I2426" s="18" t="s">
        <v>10</v>
      </c>
      <c r="J2426" s="18" t="s">
        <v>4017</v>
      </c>
      <c r="K2426" s="20"/>
    </row>
    <row r="2427" spans="1:11" ht="36.75" thickBot="1">
      <c r="A2427" s="18" t="s">
        <v>7483</v>
      </c>
      <c r="B2427" s="18">
        <v>20002962295</v>
      </c>
      <c r="C2427" s="18" t="s">
        <v>7484</v>
      </c>
      <c r="D2427" s="19">
        <v>45926.488194444442</v>
      </c>
      <c r="E2427" s="18" t="s">
        <v>10</v>
      </c>
      <c r="F2427" s="18">
        <v>440</v>
      </c>
      <c r="G2427" s="18" t="s">
        <v>10</v>
      </c>
      <c r="H2427" s="18" t="s">
        <v>178</v>
      </c>
      <c r="I2427" s="18" t="s">
        <v>10</v>
      </c>
      <c r="J2427" s="18" t="s">
        <v>4017</v>
      </c>
      <c r="K2427" s="20"/>
    </row>
    <row r="2428" spans="1:11" ht="36.75" thickBot="1">
      <c r="A2428" s="18" t="s">
        <v>7485</v>
      </c>
      <c r="B2428" s="18">
        <v>20023172456</v>
      </c>
      <c r="C2428" s="18" t="s">
        <v>7486</v>
      </c>
      <c r="D2428" s="19">
        <v>45917.595833333333</v>
      </c>
      <c r="E2428" s="19">
        <v>45926.628472222219</v>
      </c>
      <c r="F2428" s="18">
        <v>90</v>
      </c>
      <c r="G2428" s="19">
        <v>45960.577777777777</v>
      </c>
      <c r="H2428" s="18" t="s">
        <v>2654</v>
      </c>
      <c r="I2428" s="18" t="s">
        <v>10</v>
      </c>
      <c r="J2428" s="18" t="s">
        <v>4017</v>
      </c>
      <c r="K2428" s="20"/>
    </row>
    <row r="2429" spans="1:11" ht="54.75" thickBot="1">
      <c r="A2429" s="18" t="s">
        <v>7487</v>
      </c>
      <c r="B2429" s="18">
        <v>20026079298</v>
      </c>
      <c r="C2429" s="18" t="s">
        <v>7488</v>
      </c>
      <c r="D2429" s="19">
        <v>45903.554166666669</v>
      </c>
      <c r="E2429" s="19">
        <v>45926.647916666669</v>
      </c>
      <c r="F2429" s="18">
        <v>150</v>
      </c>
      <c r="G2429" s="18" t="s">
        <v>10</v>
      </c>
      <c r="H2429" s="18" t="s">
        <v>178</v>
      </c>
      <c r="I2429" s="18" t="s">
        <v>10</v>
      </c>
      <c r="J2429" s="18" t="s">
        <v>4017</v>
      </c>
      <c r="K2429" s="20"/>
    </row>
    <row r="2430" spans="1:11" ht="36.75" thickBot="1">
      <c r="A2430" s="18" t="s">
        <v>7489</v>
      </c>
      <c r="B2430" s="18">
        <v>20003606251</v>
      </c>
      <c r="C2430" s="18" t="s">
        <v>7490</v>
      </c>
      <c r="D2430" s="19">
        <v>45918.423611111109</v>
      </c>
      <c r="E2430" s="19">
        <v>45926.725694444445</v>
      </c>
      <c r="F2430" s="18">
        <v>100</v>
      </c>
      <c r="G2430" s="18" t="s">
        <v>10</v>
      </c>
      <c r="H2430" s="18" t="s">
        <v>178</v>
      </c>
      <c r="I2430" s="18" t="s">
        <v>10</v>
      </c>
      <c r="J2430" s="18" t="s">
        <v>4017</v>
      </c>
      <c r="K2430" s="20"/>
    </row>
    <row r="2431" spans="1:11" ht="36.75" thickBot="1">
      <c r="A2431" s="18" t="s">
        <v>7491</v>
      </c>
      <c r="B2431" s="18">
        <v>20003499901</v>
      </c>
      <c r="C2431" s="18" t="s">
        <v>7492</v>
      </c>
      <c r="D2431" s="19">
        <v>45917.679861111108</v>
      </c>
      <c r="E2431" s="19">
        <v>45927.515972222223</v>
      </c>
      <c r="F2431" s="18">
        <v>110</v>
      </c>
      <c r="G2431" s="19">
        <v>45937.627083333333</v>
      </c>
      <c r="H2431" s="18" t="s">
        <v>236</v>
      </c>
      <c r="I2431" s="18" t="s">
        <v>10</v>
      </c>
      <c r="J2431" s="18" t="s">
        <v>4017</v>
      </c>
      <c r="K2431" s="20"/>
    </row>
    <row r="2432" spans="1:11" ht="36.75" thickBot="1">
      <c r="A2432" s="18" t="s">
        <v>7493</v>
      </c>
      <c r="B2432" s="18">
        <v>20002782542</v>
      </c>
      <c r="C2432" s="18" t="s">
        <v>7494</v>
      </c>
      <c r="D2432" s="19">
        <v>45902.011111111111</v>
      </c>
      <c r="E2432" s="19">
        <v>45927.811805555553</v>
      </c>
      <c r="F2432" s="18">
        <v>33.299999999999997</v>
      </c>
      <c r="G2432" s="18" t="s">
        <v>10</v>
      </c>
      <c r="H2432" s="18" t="s">
        <v>178</v>
      </c>
      <c r="I2432" s="18" t="s">
        <v>10</v>
      </c>
      <c r="J2432" s="18" t="s">
        <v>4017</v>
      </c>
      <c r="K2432" s="20"/>
    </row>
    <row r="2433" spans="1:11" ht="36.75" thickBot="1">
      <c r="A2433" s="18" t="s">
        <v>7495</v>
      </c>
      <c r="B2433" s="18">
        <v>20024661334</v>
      </c>
      <c r="C2433" s="18" t="s">
        <v>7248</v>
      </c>
      <c r="D2433" s="19">
        <v>45928.887499999997</v>
      </c>
      <c r="E2433" s="18" t="s">
        <v>10</v>
      </c>
      <c r="F2433" s="18">
        <v>30</v>
      </c>
      <c r="G2433" s="19">
        <v>45946.393750000003</v>
      </c>
      <c r="H2433" s="18" t="s">
        <v>236</v>
      </c>
      <c r="I2433" s="18" t="s">
        <v>10</v>
      </c>
      <c r="J2433" s="18" t="s">
        <v>4017</v>
      </c>
      <c r="K2433" s="20"/>
    </row>
    <row r="2434" spans="1:11" ht="36.75" thickBot="1">
      <c r="A2434" s="18" t="s">
        <v>7496</v>
      </c>
      <c r="B2434" s="18">
        <v>20026528043</v>
      </c>
      <c r="C2434" s="18" t="s">
        <v>5489</v>
      </c>
      <c r="D2434" s="19">
        <v>45924.568749999999</v>
      </c>
      <c r="E2434" s="19">
        <v>45928.915972222225</v>
      </c>
      <c r="F2434" s="18">
        <v>100</v>
      </c>
      <c r="G2434" s="18" t="s">
        <v>10</v>
      </c>
      <c r="H2434" s="18" t="s">
        <v>189</v>
      </c>
      <c r="I2434" s="18" t="s">
        <v>10</v>
      </c>
      <c r="J2434" s="18" t="s">
        <v>4017</v>
      </c>
      <c r="K2434" s="20"/>
    </row>
    <row r="2435" spans="1:11" ht="36.75" thickBot="1">
      <c r="A2435" s="18" t="s">
        <v>7497</v>
      </c>
      <c r="B2435" s="18">
        <v>20002879621</v>
      </c>
      <c r="C2435" s="18" t="s">
        <v>7375</v>
      </c>
      <c r="D2435" s="19">
        <v>45925.381944444445</v>
      </c>
      <c r="E2435" s="19">
        <v>45929.636111111111</v>
      </c>
      <c r="F2435" s="18">
        <v>800</v>
      </c>
      <c r="G2435" s="19">
        <v>45946.593055555553</v>
      </c>
      <c r="H2435" s="18" t="s">
        <v>2654</v>
      </c>
      <c r="I2435" s="18" t="s">
        <v>10</v>
      </c>
      <c r="J2435" s="18" t="s">
        <v>4017</v>
      </c>
      <c r="K2435" s="20"/>
    </row>
    <row r="2436" spans="1:11" ht="54.75" thickBot="1">
      <c r="A2436" s="18" t="s">
        <v>7498</v>
      </c>
      <c r="B2436" s="18">
        <v>20026079298</v>
      </c>
      <c r="C2436" s="18" t="s">
        <v>7488</v>
      </c>
      <c r="D2436" s="19">
        <v>45926.668749999997</v>
      </c>
      <c r="E2436" s="19">
        <v>45929.663888888892</v>
      </c>
      <c r="F2436" s="18">
        <v>150</v>
      </c>
      <c r="G2436" s="19">
        <v>45975.586805555555</v>
      </c>
      <c r="H2436" s="18" t="s">
        <v>2654</v>
      </c>
      <c r="I2436" s="18" t="s">
        <v>10</v>
      </c>
      <c r="J2436" s="18" t="s">
        <v>4017</v>
      </c>
      <c r="K2436" s="20"/>
    </row>
    <row r="2437" spans="1:11" ht="36.75" thickBot="1">
      <c r="A2437" s="18" t="s">
        <v>7499</v>
      </c>
      <c r="B2437" s="18">
        <v>20016935507</v>
      </c>
      <c r="C2437" s="18" t="s">
        <v>7500</v>
      </c>
      <c r="D2437" s="19">
        <v>45852.563888888886</v>
      </c>
      <c r="E2437" s="19">
        <v>45929.698611111111</v>
      </c>
      <c r="F2437" s="18">
        <v>375</v>
      </c>
      <c r="G2437" s="19">
        <v>45946.593055555553</v>
      </c>
      <c r="H2437" s="18" t="s">
        <v>2654</v>
      </c>
      <c r="I2437" s="18" t="s">
        <v>10</v>
      </c>
      <c r="J2437" s="18" t="s">
        <v>4017</v>
      </c>
      <c r="K2437" s="20"/>
    </row>
    <row r="2438" spans="1:11" ht="36.75" thickBot="1">
      <c r="A2438" s="18" t="s">
        <v>7501</v>
      </c>
      <c r="B2438" s="18">
        <v>20028732424</v>
      </c>
      <c r="C2438" s="18" t="s">
        <v>7502</v>
      </c>
      <c r="D2438" s="19">
        <v>45930.642361111109</v>
      </c>
      <c r="E2438" s="18" t="s">
        <v>10</v>
      </c>
      <c r="F2438" s="18">
        <v>20</v>
      </c>
      <c r="G2438" s="18" t="s">
        <v>10</v>
      </c>
      <c r="H2438" s="18" t="s">
        <v>178</v>
      </c>
      <c r="I2438" s="18" t="s">
        <v>10</v>
      </c>
      <c r="J2438" s="18" t="s">
        <v>4017</v>
      </c>
      <c r="K2438" s="20"/>
    </row>
    <row r="2439" spans="1:11" ht="36.75" thickBot="1">
      <c r="A2439" s="18" t="s">
        <v>7503</v>
      </c>
      <c r="B2439" s="18">
        <v>20002954020</v>
      </c>
      <c r="C2439" s="18" t="s">
        <v>4963</v>
      </c>
      <c r="D2439" s="19">
        <v>45918.642361111109</v>
      </c>
      <c r="E2439" s="19">
        <v>45930.668749999997</v>
      </c>
      <c r="F2439" s="18">
        <v>300</v>
      </c>
      <c r="G2439" s="18" t="s">
        <v>10</v>
      </c>
      <c r="H2439" s="18" t="s">
        <v>178</v>
      </c>
      <c r="I2439" s="18" t="s">
        <v>10</v>
      </c>
      <c r="J2439" s="18" t="s">
        <v>4017</v>
      </c>
      <c r="K2439" s="20"/>
    </row>
    <row r="2440" spans="1:11" ht="36.75" thickBot="1">
      <c r="A2440" s="18" t="s">
        <v>7504</v>
      </c>
      <c r="B2440" s="18">
        <v>20022724573</v>
      </c>
      <c r="C2440" s="18" t="s">
        <v>4420</v>
      </c>
      <c r="D2440" s="19">
        <v>45926.671527777777</v>
      </c>
      <c r="E2440" s="19">
        <v>45930.680555555555</v>
      </c>
      <c r="F2440" s="18">
        <v>300</v>
      </c>
      <c r="G2440" s="19">
        <v>45947.390972222223</v>
      </c>
      <c r="H2440" s="18" t="s">
        <v>2654</v>
      </c>
      <c r="I2440" s="18" t="s">
        <v>10</v>
      </c>
      <c r="J2440" s="18" t="s">
        <v>4017</v>
      </c>
      <c r="K2440" s="20"/>
    </row>
    <row r="2441" spans="1:11" ht="36.75" thickBot="1">
      <c r="A2441" s="18" t="s">
        <v>7505</v>
      </c>
      <c r="B2441" s="18">
        <v>20024411042</v>
      </c>
      <c r="C2441" s="18" t="s">
        <v>7506</v>
      </c>
      <c r="D2441" s="19">
        <v>45923.751388888886</v>
      </c>
      <c r="E2441" s="19">
        <v>45930.697222222225</v>
      </c>
      <c r="F2441" s="18">
        <v>50</v>
      </c>
      <c r="G2441" s="18" t="s">
        <v>10</v>
      </c>
      <c r="H2441" s="18" t="s">
        <v>189</v>
      </c>
      <c r="I2441" s="18" t="s">
        <v>10</v>
      </c>
      <c r="J2441" s="18" t="s">
        <v>4017</v>
      </c>
      <c r="K2441" s="20"/>
    </row>
    <row r="2442" spans="1:11" ht="36.75" thickBot="1">
      <c r="A2442" s="18" t="s">
        <v>7507</v>
      </c>
      <c r="B2442" s="18">
        <v>20028451554</v>
      </c>
      <c r="C2442" s="18" t="s">
        <v>7393</v>
      </c>
      <c r="D2442" s="19">
        <v>45915.540277777778</v>
      </c>
      <c r="E2442" s="19">
        <v>45930.81527777778</v>
      </c>
      <c r="F2442" s="18">
        <v>400</v>
      </c>
      <c r="G2442" s="19">
        <v>45946.481249999997</v>
      </c>
      <c r="H2442" s="18" t="s">
        <v>2654</v>
      </c>
      <c r="I2442" s="18" t="s">
        <v>10</v>
      </c>
      <c r="J2442" s="18" t="s">
        <v>4017</v>
      </c>
      <c r="K2442" s="20"/>
    </row>
    <row r="2443" spans="1:11" ht="36.75" thickBot="1">
      <c r="A2443" s="18" t="s">
        <v>7508</v>
      </c>
      <c r="B2443" s="18">
        <v>20019284401</v>
      </c>
      <c r="C2443" s="18" t="s">
        <v>7509</v>
      </c>
      <c r="D2443" s="19">
        <v>45908.456944444442</v>
      </c>
      <c r="E2443" s="19">
        <v>45931.462500000001</v>
      </c>
      <c r="F2443" s="18">
        <v>420</v>
      </c>
      <c r="G2443" s="18" t="s">
        <v>10</v>
      </c>
      <c r="H2443" s="18" t="s">
        <v>178</v>
      </c>
      <c r="I2443" s="18" t="s">
        <v>10</v>
      </c>
      <c r="J2443" s="18" t="s">
        <v>4017</v>
      </c>
      <c r="K2443" s="20"/>
    </row>
    <row r="2444" spans="1:11" ht="54.75" thickBot="1">
      <c r="A2444" s="18" t="s">
        <v>7510</v>
      </c>
      <c r="B2444" s="18">
        <v>20023823315</v>
      </c>
      <c r="C2444" s="18" t="s">
        <v>6695</v>
      </c>
      <c r="D2444" s="19">
        <v>45910.431944444441</v>
      </c>
      <c r="E2444" s="19">
        <v>45931.538888888892</v>
      </c>
      <c r="F2444" s="18">
        <v>60</v>
      </c>
      <c r="G2444" s="18" t="s">
        <v>10</v>
      </c>
      <c r="H2444" s="18" t="s">
        <v>189</v>
      </c>
      <c r="I2444" s="18" t="s">
        <v>10</v>
      </c>
      <c r="J2444" s="18" t="s">
        <v>4017</v>
      </c>
      <c r="K2444" s="20"/>
    </row>
    <row r="2445" spans="1:11" ht="36.75" thickBot="1">
      <c r="A2445" s="18" t="s">
        <v>7511</v>
      </c>
      <c r="B2445" s="18">
        <v>20003264581</v>
      </c>
      <c r="C2445" s="18" t="s">
        <v>7512</v>
      </c>
      <c r="D2445" s="19">
        <v>45916.461805555555</v>
      </c>
      <c r="E2445" s="19">
        <v>45931.581250000003</v>
      </c>
      <c r="F2445" s="18">
        <v>50</v>
      </c>
      <c r="G2445" s="18" t="s">
        <v>10</v>
      </c>
      <c r="H2445" s="18" t="s">
        <v>178</v>
      </c>
      <c r="I2445" s="18" t="s">
        <v>10</v>
      </c>
      <c r="J2445" s="18" t="s">
        <v>4017</v>
      </c>
      <c r="K2445" s="20"/>
    </row>
    <row r="2446" spans="1:11" ht="36.75" thickBot="1">
      <c r="A2446" s="18" t="s">
        <v>7513</v>
      </c>
      <c r="B2446" s="18">
        <v>20002773059</v>
      </c>
      <c r="C2446" s="18" t="s">
        <v>7514</v>
      </c>
      <c r="D2446" s="19">
        <v>45931.801388888889</v>
      </c>
      <c r="E2446" s="18" t="s">
        <v>10</v>
      </c>
      <c r="F2446" s="18">
        <v>200</v>
      </c>
      <c r="G2446" s="18" t="s">
        <v>10</v>
      </c>
      <c r="H2446" s="18" t="s">
        <v>178</v>
      </c>
      <c r="I2446" s="18" t="s">
        <v>10</v>
      </c>
      <c r="J2446" s="18" t="s">
        <v>4017</v>
      </c>
      <c r="K2446" s="20"/>
    </row>
    <row r="2447" spans="1:11" ht="54.75" thickBot="1">
      <c r="A2447" s="18" t="s">
        <v>7515</v>
      </c>
      <c r="B2447" s="18">
        <v>20017869648</v>
      </c>
      <c r="C2447" s="18" t="s">
        <v>7516</v>
      </c>
      <c r="D2447" s="19">
        <v>45919.729166666664</v>
      </c>
      <c r="E2447" s="19">
        <v>45932.349305555559</v>
      </c>
      <c r="F2447" s="18">
        <v>50</v>
      </c>
      <c r="G2447" s="18" t="s">
        <v>10</v>
      </c>
      <c r="H2447" s="18" t="s">
        <v>178</v>
      </c>
      <c r="I2447" s="18" t="s">
        <v>10</v>
      </c>
      <c r="J2447" s="18" t="s">
        <v>4017</v>
      </c>
      <c r="K2447" s="20"/>
    </row>
    <row r="2448" spans="1:11" ht="54.75" thickBot="1">
      <c r="A2448" s="18" t="s">
        <v>7517</v>
      </c>
      <c r="B2448" s="18">
        <v>20003222153</v>
      </c>
      <c r="C2448" s="18" t="s">
        <v>7516</v>
      </c>
      <c r="D2448" s="19">
        <v>45919.711111111108</v>
      </c>
      <c r="E2448" s="19">
        <v>45932.350694444445</v>
      </c>
      <c r="F2448" s="18">
        <v>150</v>
      </c>
      <c r="G2448" s="18" t="s">
        <v>10</v>
      </c>
      <c r="H2448" s="18" t="s">
        <v>178</v>
      </c>
      <c r="I2448" s="18" t="s">
        <v>10</v>
      </c>
      <c r="J2448" s="18" t="s">
        <v>4017</v>
      </c>
      <c r="K2448" s="20"/>
    </row>
    <row r="2449" spans="1:11" ht="36.75" thickBot="1">
      <c r="A2449" s="18" t="s">
        <v>7518</v>
      </c>
      <c r="B2449" s="18">
        <v>20003512914</v>
      </c>
      <c r="C2449" s="18" t="s">
        <v>7519</v>
      </c>
      <c r="D2449" s="19">
        <v>45923.57916666667</v>
      </c>
      <c r="E2449" s="19">
        <v>45932.363888888889</v>
      </c>
      <c r="F2449" s="18">
        <v>160</v>
      </c>
      <c r="G2449" s="19">
        <v>45958.443055555559</v>
      </c>
      <c r="H2449" s="18" t="s">
        <v>2654</v>
      </c>
      <c r="I2449" s="18" t="s">
        <v>10</v>
      </c>
      <c r="J2449" s="18" t="s">
        <v>4017</v>
      </c>
      <c r="K2449" s="20"/>
    </row>
    <row r="2450" spans="1:11" ht="36.75" thickBot="1">
      <c r="A2450" s="18" t="s">
        <v>7520</v>
      </c>
      <c r="B2450" s="18">
        <v>20003035723</v>
      </c>
      <c r="C2450" s="18" t="s">
        <v>7521</v>
      </c>
      <c r="D2450" s="19">
        <v>45932.646527777775</v>
      </c>
      <c r="E2450" s="18" t="s">
        <v>10</v>
      </c>
      <c r="F2450" s="18">
        <v>190</v>
      </c>
      <c r="G2450" s="18" t="s">
        <v>10</v>
      </c>
      <c r="H2450" s="18" t="s">
        <v>178</v>
      </c>
      <c r="I2450" s="18" t="s">
        <v>10</v>
      </c>
      <c r="J2450" s="18" t="s">
        <v>4017</v>
      </c>
      <c r="K2450" s="20"/>
    </row>
    <row r="2451" spans="1:11" ht="36.75" thickBot="1">
      <c r="A2451" s="18" t="s">
        <v>7522</v>
      </c>
      <c r="B2451" s="18">
        <v>20003361645</v>
      </c>
      <c r="C2451" s="18" t="s">
        <v>3608</v>
      </c>
      <c r="D2451" s="19">
        <v>45918.65</v>
      </c>
      <c r="E2451" s="19">
        <v>45933.706944444442</v>
      </c>
      <c r="F2451" s="18">
        <v>20</v>
      </c>
      <c r="G2451" s="18" t="s">
        <v>10</v>
      </c>
      <c r="H2451" s="18" t="s">
        <v>178</v>
      </c>
      <c r="I2451" s="18" t="s">
        <v>10</v>
      </c>
      <c r="J2451" s="18" t="s">
        <v>4017</v>
      </c>
      <c r="K2451" s="20"/>
    </row>
    <row r="2452" spans="1:11" ht="36.75" thickBot="1">
      <c r="A2452" s="18" t="s">
        <v>7523</v>
      </c>
      <c r="B2452" s="18">
        <v>20003544335</v>
      </c>
      <c r="C2452" s="18" t="s">
        <v>7524</v>
      </c>
      <c r="D2452" s="19">
        <v>45933.77847222222</v>
      </c>
      <c r="E2452" s="18" t="s">
        <v>10</v>
      </c>
      <c r="F2452" s="18">
        <v>150</v>
      </c>
      <c r="G2452" s="18" t="s">
        <v>10</v>
      </c>
      <c r="H2452" s="18" t="s">
        <v>178</v>
      </c>
      <c r="I2452" s="18" t="s">
        <v>10</v>
      </c>
      <c r="J2452" s="18" t="s">
        <v>4017</v>
      </c>
      <c r="K2452" s="20"/>
    </row>
    <row r="2453" spans="1:11" ht="54.75" thickBot="1">
      <c r="A2453" s="18" t="s">
        <v>7525</v>
      </c>
      <c r="B2453" s="18">
        <v>20003437636</v>
      </c>
      <c r="C2453" s="18" t="s">
        <v>6695</v>
      </c>
      <c r="D2453" s="19">
        <v>45909.611805555556</v>
      </c>
      <c r="E2453" s="19">
        <v>45934.434027777781</v>
      </c>
      <c r="F2453" s="18">
        <v>625</v>
      </c>
      <c r="G2453" s="18" t="s">
        <v>10</v>
      </c>
      <c r="H2453" s="18" t="s">
        <v>178</v>
      </c>
      <c r="I2453" s="18" t="s">
        <v>10</v>
      </c>
      <c r="J2453" s="18" t="s">
        <v>4017</v>
      </c>
      <c r="K2453" s="20"/>
    </row>
    <row r="2454" spans="1:11" ht="36.75" thickBot="1">
      <c r="A2454" s="18" t="s">
        <v>7526</v>
      </c>
      <c r="B2454" s="18">
        <v>20020221085</v>
      </c>
      <c r="C2454" s="18" t="s">
        <v>7155</v>
      </c>
      <c r="D2454" s="19">
        <v>45934.609027777777</v>
      </c>
      <c r="E2454" s="18" t="s">
        <v>10</v>
      </c>
      <c r="F2454" s="18">
        <v>400</v>
      </c>
      <c r="G2454" s="18" t="s">
        <v>10</v>
      </c>
      <c r="H2454" s="18" t="s">
        <v>178</v>
      </c>
      <c r="I2454" s="18" t="s">
        <v>10</v>
      </c>
      <c r="J2454" s="18" t="s">
        <v>4017</v>
      </c>
      <c r="K2454" s="20"/>
    </row>
    <row r="2455" spans="1:11" ht="72.75" thickBot="1">
      <c r="A2455" s="18" t="s">
        <v>7527</v>
      </c>
      <c r="B2455" s="18">
        <v>20027866853</v>
      </c>
      <c r="C2455" s="18" t="s">
        <v>5635</v>
      </c>
      <c r="D2455" s="19">
        <v>45934.965277777781</v>
      </c>
      <c r="E2455" s="18" t="s">
        <v>10</v>
      </c>
      <c r="F2455" s="18">
        <v>250</v>
      </c>
      <c r="G2455" s="19">
        <v>45957.45208333333</v>
      </c>
      <c r="H2455" s="18" t="s">
        <v>2657</v>
      </c>
      <c r="I2455" s="18" t="s">
        <v>10</v>
      </c>
      <c r="J2455" s="18" t="s">
        <v>4017</v>
      </c>
      <c r="K2455" s="20"/>
    </row>
    <row r="2456" spans="1:11" ht="72.75" thickBot="1">
      <c r="A2456" s="18" t="s">
        <v>7528</v>
      </c>
      <c r="B2456" s="18">
        <v>20026473722</v>
      </c>
      <c r="C2456" s="18" t="s">
        <v>6622</v>
      </c>
      <c r="D2456" s="19">
        <v>45911.47152777778</v>
      </c>
      <c r="E2456" s="19">
        <v>45935.977777777778</v>
      </c>
      <c r="F2456" s="18">
        <v>25</v>
      </c>
      <c r="G2456" s="19">
        <v>45986.587500000001</v>
      </c>
      <c r="H2456" s="18" t="s">
        <v>2657</v>
      </c>
      <c r="I2456" s="18" t="s">
        <v>10</v>
      </c>
      <c r="J2456" s="18" t="s">
        <v>4017</v>
      </c>
      <c r="K2456" s="20"/>
    </row>
    <row r="2457" spans="1:11" ht="36.75" thickBot="1">
      <c r="A2457" s="18" t="s">
        <v>7529</v>
      </c>
      <c r="B2457" s="18">
        <v>20021461727</v>
      </c>
      <c r="C2457" s="18" t="s">
        <v>7305</v>
      </c>
      <c r="D2457" s="19">
        <v>45916.950694444444</v>
      </c>
      <c r="E2457" s="19">
        <v>45936.021527777775</v>
      </c>
      <c r="F2457" s="18">
        <v>300</v>
      </c>
      <c r="G2457" s="18" t="s">
        <v>10</v>
      </c>
      <c r="H2457" s="18" t="s">
        <v>178</v>
      </c>
      <c r="I2457" s="18" t="s">
        <v>10</v>
      </c>
      <c r="J2457" s="18" t="s">
        <v>4017</v>
      </c>
      <c r="K2457" s="20"/>
    </row>
    <row r="2458" spans="1:11" ht="72.75" thickBot="1">
      <c r="A2458" s="18" t="s">
        <v>7530</v>
      </c>
      <c r="B2458" s="18">
        <v>20003279858</v>
      </c>
      <c r="C2458" s="18" t="s">
        <v>7531</v>
      </c>
      <c r="D2458" s="19">
        <v>45910.708333333336</v>
      </c>
      <c r="E2458" s="19">
        <v>45936.539583333331</v>
      </c>
      <c r="F2458" s="18">
        <v>100</v>
      </c>
      <c r="G2458" s="19">
        <v>45944.49722222222</v>
      </c>
      <c r="H2458" s="18" t="s">
        <v>2688</v>
      </c>
      <c r="I2458" s="18" t="s">
        <v>10</v>
      </c>
      <c r="J2458" s="18" t="s">
        <v>4017</v>
      </c>
      <c r="K2458" s="20"/>
    </row>
    <row r="2459" spans="1:11" ht="54.75" thickBot="1">
      <c r="A2459" s="18" t="s">
        <v>7532</v>
      </c>
      <c r="B2459" s="18">
        <v>20022738594</v>
      </c>
      <c r="C2459" s="18" t="s">
        <v>7533</v>
      </c>
      <c r="D2459" s="19">
        <v>45936.592361111114</v>
      </c>
      <c r="E2459" s="18" t="s">
        <v>10</v>
      </c>
      <c r="F2459" s="18">
        <v>20</v>
      </c>
      <c r="G2459" s="18" t="s">
        <v>10</v>
      </c>
      <c r="H2459" s="18" t="s">
        <v>178</v>
      </c>
      <c r="I2459" s="18" t="s">
        <v>10</v>
      </c>
      <c r="J2459" s="18" t="s">
        <v>4017</v>
      </c>
      <c r="K2459" s="20"/>
    </row>
    <row r="2460" spans="1:11" ht="36.75" thickBot="1">
      <c r="A2460" s="18" t="s">
        <v>7534</v>
      </c>
      <c r="B2460" s="18">
        <v>20021919584</v>
      </c>
      <c r="C2460" s="18" t="s">
        <v>6667</v>
      </c>
      <c r="D2460" s="19">
        <v>45936.634722222225</v>
      </c>
      <c r="E2460" s="18" t="s">
        <v>10</v>
      </c>
      <c r="F2460" s="18">
        <v>350</v>
      </c>
      <c r="G2460" s="18" t="s">
        <v>10</v>
      </c>
      <c r="H2460" s="18" t="s">
        <v>178</v>
      </c>
      <c r="I2460" s="18" t="s">
        <v>10</v>
      </c>
      <c r="J2460" s="18" t="s">
        <v>4017</v>
      </c>
      <c r="K2460" s="20"/>
    </row>
    <row r="2461" spans="1:11" ht="72.75" thickBot="1">
      <c r="A2461" s="18" t="s">
        <v>7535</v>
      </c>
      <c r="B2461" s="18">
        <v>20023762207</v>
      </c>
      <c r="C2461" s="18" t="s">
        <v>7536</v>
      </c>
      <c r="D2461" s="19">
        <v>45931.699305555558</v>
      </c>
      <c r="E2461" s="19">
        <v>45936.70208333333</v>
      </c>
      <c r="F2461" s="18">
        <v>180</v>
      </c>
      <c r="G2461" s="19">
        <v>45945.379861111112</v>
      </c>
      <c r="H2461" s="18" t="s">
        <v>2688</v>
      </c>
      <c r="I2461" s="18" t="s">
        <v>10</v>
      </c>
      <c r="J2461" s="18" t="s">
        <v>4017</v>
      </c>
      <c r="K2461" s="20"/>
    </row>
    <row r="2462" spans="1:11" ht="36.75" thickBot="1">
      <c r="A2462" s="18" t="s">
        <v>7537</v>
      </c>
      <c r="B2462" s="18">
        <v>20016524510</v>
      </c>
      <c r="C2462" s="18" t="s">
        <v>7538</v>
      </c>
      <c r="D2462" s="19">
        <v>45936.774305555555</v>
      </c>
      <c r="E2462" s="18" t="s">
        <v>10</v>
      </c>
      <c r="F2462" s="18">
        <v>400</v>
      </c>
      <c r="G2462" s="18" t="s">
        <v>10</v>
      </c>
      <c r="H2462" s="18" t="s">
        <v>178</v>
      </c>
      <c r="I2462" s="18" t="s">
        <v>10</v>
      </c>
      <c r="J2462" s="18" t="s">
        <v>4017</v>
      </c>
      <c r="K2462" s="20"/>
    </row>
    <row r="2463" spans="1:11" ht="72.75" thickBot="1">
      <c r="A2463" s="18" t="s">
        <v>7539</v>
      </c>
      <c r="B2463" s="18">
        <v>20003487416</v>
      </c>
      <c r="C2463" s="18" t="s">
        <v>7540</v>
      </c>
      <c r="D2463" s="19">
        <v>45937.413888888892</v>
      </c>
      <c r="E2463" s="18" t="s">
        <v>10</v>
      </c>
      <c r="F2463" s="18">
        <v>100</v>
      </c>
      <c r="G2463" s="19">
        <v>45950.394444444442</v>
      </c>
      <c r="H2463" s="18" t="s">
        <v>2657</v>
      </c>
      <c r="I2463" s="18" t="s">
        <v>10</v>
      </c>
      <c r="J2463" s="18" t="s">
        <v>4017</v>
      </c>
      <c r="K2463" s="20"/>
    </row>
    <row r="2464" spans="1:11" ht="36.75" thickBot="1">
      <c r="A2464" s="18" t="s">
        <v>7541</v>
      </c>
      <c r="B2464" s="18">
        <v>20003308185</v>
      </c>
      <c r="C2464" s="18" t="s">
        <v>7542</v>
      </c>
      <c r="D2464" s="19">
        <v>45910.412499999999</v>
      </c>
      <c r="E2464" s="19">
        <v>45937.482638888891</v>
      </c>
      <c r="F2464" s="18">
        <v>800</v>
      </c>
      <c r="G2464" s="18" t="s">
        <v>10</v>
      </c>
      <c r="H2464" s="18" t="s">
        <v>189</v>
      </c>
      <c r="I2464" s="18" t="s">
        <v>10</v>
      </c>
      <c r="J2464" s="18" t="s">
        <v>4017</v>
      </c>
      <c r="K2464" s="20"/>
    </row>
    <row r="2465" spans="1:11" ht="54.75" thickBot="1">
      <c r="A2465" s="18" t="s">
        <v>7543</v>
      </c>
      <c r="B2465" s="18">
        <v>20024450856</v>
      </c>
      <c r="C2465" s="18" t="s">
        <v>7544</v>
      </c>
      <c r="D2465" s="19">
        <v>45937.619444444441</v>
      </c>
      <c r="E2465" s="18" t="s">
        <v>10</v>
      </c>
      <c r="F2465" s="18">
        <v>20</v>
      </c>
      <c r="G2465" s="18" t="s">
        <v>10</v>
      </c>
      <c r="H2465" s="18" t="s">
        <v>178</v>
      </c>
      <c r="I2465" s="18" t="s">
        <v>10</v>
      </c>
      <c r="J2465" s="18" t="s">
        <v>4017</v>
      </c>
      <c r="K2465" s="20"/>
    </row>
    <row r="2466" spans="1:11" ht="36.75" thickBot="1">
      <c r="A2466" s="18" t="s">
        <v>7545</v>
      </c>
      <c r="B2466" s="18">
        <v>20003470219</v>
      </c>
      <c r="C2466" s="18" t="s">
        <v>7546</v>
      </c>
      <c r="D2466" s="19">
        <v>45937.70416666667</v>
      </c>
      <c r="E2466" s="18" t="s">
        <v>10</v>
      </c>
      <c r="F2466" s="18">
        <v>50</v>
      </c>
      <c r="G2466" s="18" t="s">
        <v>10</v>
      </c>
      <c r="H2466" s="18" t="s">
        <v>178</v>
      </c>
      <c r="I2466" s="18" t="s">
        <v>10</v>
      </c>
      <c r="J2466" s="18" t="s">
        <v>4017</v>
      </c>
      <c r="K2466" s="20"/>
    </row>
    <row r="2467" spans="1:11" ht="54.75" thickBot="1">
      <c r="A2467" s="18" t="s">
        <v>7547</v>
      </c>
      <c r="B2467" s="18">
        <v>20028194360</v>
      </c>
      <c r="C2467" s="18" t="s">
        <v>6451</v>
      </c>
      <c r="D2467" s="19">
        <v>45938.647222222222</v>
      </c>
      <c r="E2467" s="18" t="s">
        <v>10</v>
      </c>
      <c r="F2467" s="18">
        <v>70</v>
      </c>
      <c r="G2467" s="18" t="s">
        <v>10</v>
      </c>
      <c r="H2467" s="18" t="s">
        <v>178</v>
      </c>
      <c r="I2467" s="18" t="s">
        <v>10</v>
      </c>
      <c r="J2467" s="18" t="s">
        <v>4017</v>
      </c>
      <c r="K2467" s="20"/>
    </row>
    <row r="2468" spans="1:11" ht="54.75" thickBot="1">
      <c r="A2468" s="18" t="s">
        <v>7548</v>
      </c>
      <c r="B2468" s="18">
        <v>20028194336</v>
      </c>
      <c r="C2468" s="18" t="s">
        <v>6451</v>
      </c>
      <c r="D2468" s="19">
        <v>45938.660416666666</v>
      </c>
      <c r="E2468" s="18" t="s">
        <v>10</v>
      </c>
      <c r="F2468" s="18">
        <v>70</v>
      </c>
      <c r="G2468" s="18" t="s">
        <v>10</v>
      </c>
      <c r="H2468" s="18" t="s">
        <v>178</v>
      </c>
      <c r="I2468" s="18" t="s">
        <v>10</v>
      </c>
      <c r="J2468" s="18" t="s">
        <v>4017</v>
      </c>
      <c r="K2468" s="20"/>
    </row>
    <row r="2469" spans="1:11" ht="36.75" thickBot="1">
      <c r="A2469" s="18" t="s">
        <v>7549</v>
      </c>
      <c r="B2469" s="18">
        <v>20024402456</v>
      </c>
      <c r="C2469" s="18" t="s">
        <v>7550</v>
      </c>
      <c r="D2469" s="19">
        <v>45938.695138888892</v>
      </c>
      <c r="E2469" s="18" t="s">
        <v>10</v>
      </c>
      <c r="F2469" s="18">
        <v>600</v>
      </c>
      <c r="G2469" s="18" t="s">
        <v>10</v>
      </c>
      <c r="H2469" s="18" t="s">
        <v>178</v>
      </c>
      <c r="I2469" s="18" t="s">
        <v>10</v>
      </c>
      <c r="J2469" s="18" t="s">
        <v>4017</v>
      </c>
      <c r="K2469" s="20"/>
    </row>
    <row r="2470" spans="1:11" ht="36.75" thickBot="1">
      <c r="A2470" s="18" t="s">
        <v>7551</v>
      </c>
      <c r="B2470" s="18">
        <v>20018345101</v>
      </c>
      <c r="C2470" s="18" t="s">
        <v>7552</v>
      </c>
      <c r="D2470" s="19">
        <v>45938.707638888889</v>
      </c>
      <c r="E2470" s="18" t="s">
        <v>10</v>
      </c>
      <c r="F2470" s="18">
        <v>150</v>
      </c>
      <c r="G2470" s="18" t="s">
        <v>10</v>
      </c>
      <c r="H2470" s="18" t="s">
        <v>178</v>
      </c>
      <c r="I2470" s="18" t="s">
        <v>10</v>
      </c>
      <c r="J2470" s="18" t="s">
        <v>4017</v>
      </c>
      <c r="K2470" s="20"/>
    </row>
    <row r="2471" spans="1:11" ht="36.75" thickBot="1">
      <c r="A2471" s="18" t="s">
        <v>7553</v>
      </c>
      <c r="B2471" s="18">
        <v>20024109936</v>
      </c>
      <c r="C2471" s="18" t="s">
        <v>7554</v>
      </c>
      <c r="D2471" s="19">
        <v>45938.73541666667</v>
      </c>
      <c r="E2471" s="18" t="s">
        <v>10</v>
      </c>
      <c r="F2471" s="18">
        <v>425</v>
      </c>
      <c r="G2471" s="18" t="s">
        <v>10</v>
      </c>
      <c r="H2471" s="18" t="s">
        <v>178</v>
      </c>
      <c r="I2471" s="18" t="s">
        <v>10</v>
      </c>
      <c r="J2471" s="18" t="s">
        <v>4017</v>
      </c>
      <c r="K2471" s="20"/>
    </row>
    <row r="2472" spans="1:11" ht="36.75" thickBot="1">
      <c r="A2472" s="18" t="s">
        <v>7555</v>
      </c>
      <c r="B2472" s="18">
        <v>20002773466</v>
      </c>
      <c r="C2472" s="18" t="s">
        <v>4375</v>
      </c>
      <c r="D2472" s="19">
        <v>45938.749305555553</v>
      </c>
      <c r="E2472" s="18" t="s">
        <v>10</v>
      </c>
      <c r="F2472" s="18">
        <v>450</v>
      </c>
      <c r="G2472" s="18" t="s">
        <v>10</v>
      </c>
      <c r="H2472" s="18" t="s">
        <v>178</v>
      </c>
      <c r="I2472" s="18" t="s">
        <v>10</v>
      </c>
      <c r="J2472" s="18" t="s">
        <v>4017</v>
      </c>
      <c r="K2472" s="20"/>
    </row>
    <row r="2473" spans="1:11" ht="72.75" thickBot="1">
      <c r="A2473" s="18" t="s">
        <v>7556</v>
      </c>
      <c r="B2473" s="18">
        <v>20003459949</v>
      </c>
      <c r="C2473" s="18" t="s">
        <v>4793</v>
      </c>
      <c r="D2473" s="19">
        <v>45938.797222222223</v>
      </c>
      <c r="E2473" s="18" t="s">
        <v>10</v>
      </c>
      <c r="F2473" s="18">
        <v>350</v>
      </c>
      <c r="G2473" s="19">
        <v>45989.557638888888</v>
      </c>
      <c r="H2473" s="18" t="s">
        <v>2657</v>
      </c>
      <c r="I2473" s="18" t="s">
        <v>10</v>
      </c>
      <c r="J2473" s="18" t="s">
        <v>4017</v>
      </c>
      <c r="K2473" s="20"/>
    </row>
    <row r="2474" spans="1:11" ht="54.75" thickBot="1">
      <c r="A2474" s="18" t="s">
        <v>7557</v>
      </c>
      <c r="B2474" s="18">
        <v>20017809093</v>
      </c>
      <c r="C2474" s="18" t="s">
        <v>7558</v>
      </c>
      <c r="D2474" s="19">
        <v>45926.438888888886</v>
      </c>
      <c r="E2474" s="19">
        <v>45939.397222222222</v>
      </c>
      <c r="F2474" s="18">
        <v>20</v>
      </c>
      <c r="G2474" s="18" t="s">
        <v>10</v>
      </c>
      <c r="H2474" s="18" t="s">
        <v>189</v>
      </c>
      <c r="I2474" s="18" t="s">
        <v>10</v>
      </c>
      <c r="J2474" s="18" t="s">
        <v>4017</v>
      </c>
      <c r="K2474" s="20"/>
    </row>
    <row r="2475" spans="1:11" ht="54.75" thickBot="1">
      <c r="A2475" s="18" t="s">
        <v>7559</v>
      </c>
      <c r="B2475" s="18">
        <v>20021136389</v>
      </c>
      <c r="C2475" s="18" t="s">
        <v>7560</v>
      </c>
      <c r="D2475" s="19">
        <v>45926.604861111111</v>
      </c>
      <c r="E2475" s="19">
        <v>45939.399305555555</v>
      </c>
      <c r="F2475" s="18">
        <v>50</v>
      </c>
      <c r="G2475" s="18" t="s">
        <v>10</v>
      </c>
      <c r="H2475" s="18" t="s">
        <v>189</v>
      </c>
      <c r="I2475" s="18" t="s">
        <v>10</v>
      </c>
      <c r="J2475" s="18" t="s">
        <v>4017</v>
      </c>
      <c r="K2475" s="20"/>
    </row>
    <row r="2476" spans="1:11" ht="36.75" thickBot="1">
      <c r="A2476" s="18" t="s">
        <v>7561</v>
      </c>
      <c r="B2476" s="18">
        <v>20019972494</v>
      </c>
      <c r="C2476" s="18" t="s">
        <v>6629</v>
      </c>
      <c r="D2476" s="19">
        <v>45923.51458333333</v>
      </c>
      <c r="E2476" s="19">
        <v>45939.399305555555</v>
      </c>
      <c r="F2476" s="18">
        <v>399</v>
      </c>
      <c r="G2476" s="19">
        <v>45958.436805555553</v>
      </c>
      <c r="H2476" s="18" t="s">
        <v>2654</v>
      </c>
      <c r="I2476" s="18" t="s">
        <v>10</v>
      </c>
      <c r="J2476" s="18" t="s">
        <v>4017</v>
      </c>
      <c r="K2476" s="20"/>
    </row>
    <row r="2477" spans="1:11" ht="36.75" thickBot="1">
      <c r="A2477" s="18" t="s">
        <v>7562</v>
      </c>
      <c r="B2477" s="18">
        <v>20002853805</v>
      </c>
      <c r="C2477" s="18" t="s">
        <v>7047</v>
      </c>
      <c r="D2477" s="19">
        <v>45939.53402777778</v>
      </c>
      <c r="E2477" s="18" t="s">
        <v>10</v>
      </c>
      <c r="F2477" s="18">
        <v>100</v>
      </c>
      <c r="G2477" s="18" t="s">
        <v>10</v>
      </c>
      <c r="H2477" s="18" t="s">
        <v>178</v>
      </c>
      <c r="I2477" s="18" t="s">
        <v>10</v>
      </c>
      <c r="J2477" s="18" t="s">
        <v>4017</v>
      </c>
      <c r="K2477" s="20"/>
    </row>
    <row r="2478" spans="1:11" ht="36.75" thickBot="1">
      <c r="A2478" s="18" t="s">
        <v>7563</v>
      </c>
      <c r="B2478" s="18">
        <v>20002262025</v>
      </c>
      <c r="C2478" s="18" t="s">
        <v>7564</v>
      </c>
      <c r="D2478" s="19">
        <v>45939.638888888891</v>
      </c>
      <c r="E2478" s="18" t="s">
        <v>10</v>
      </c>
      <c r="F2478" s="18">
        <v>30</v>
      </c>
      <c r="G2478" s="18" t="s">
        <v>10</v>
      </c>
      <c r="H2478" s="18" t="s">
        <v>178</v>
      </c>
      <c r="I2478" s="18" t="s">
        <v>10</v>
      </c>
      <c r="J2478" s="18" t="s">
        <v>4017</v>
      </c>
      <c r="K2478" s="20"/>
    </row>
    <row r="2479" spans="1:11" ht="36.75" thickBot="1">
      <c r="A2479" s="18" t="s">
        <v>7565</v>
      </c>
      <c r="B2479" s="18">
        <v>20002899655</v>
      </c>
      <c r="C2479" s="18" t="s">
        <v>7566</v>
      </c>
      <c r="D2479" s="19">
        <v>45923.842361111114</v>
      </c>
      <c r="E2479" s="19">
        <v>45939.723611111112</v>
      </c>
      <c r="F2479" s="18">
        <v>150</v>
      </c>
      <c r="G2479" s="18" t="s">
        <v>10</v>
      </c>
      <c r="H2479" s="18" t="s">
        <v>189</v>
      </c>
      <c r="I2479" s="18" t="s">
        <v>10</v>
      </c>
      <c r="J2479" s="18" t="s">
        <v>4017</v>
      </c>
      <c r="K2479" s="20"/>
    </row>
    <row r="2480" spans="1:11" ht="36.75" thickBot="1">
      <c r="A2480" s="18" t="s">
        <v>7567</v>
      </c>
      <c r="B2480" s="18">
        <v>20003264581</v>
      </c>
      <c r="C2480" s="18" t="s">
        <v>7512</v>
      </c>
      <c r="D2480" s="19">
        <v>45940.499305555553</v>
      </c>
      <c r="E2480" s="18" t="s">
        <v>10</v>
      </c>
      <c r="F2480" s="18">
        <v>50</v>
      </c>
      <c r="G2480" s="18" t="s">
        <v>10</v>
      </c>
      <c r="H2480" s="18" t="s">
        <v>178</v>
      </c>
      <c r="I2480" s="18" t="s">
        <v>10</v>
      </c>
      <c r="J2480" s="18" t="s">
        <v>4017</v>
      </c>
      <c r="K2480" s="20"/>
    </row>
    <row r="2481" spans="1:11" ht="36.75" thickBot="1">
      <c r="A2481" s="18" t="s">
        <v>7568</v>
      </c>
      <c r="B2481" s="18">
        <v>20022116218</v>
      </c>
      <c r="C2481" s="18" t="s">
        <v>7569</v>
      </c>
      <c r="D2481" s="19">
        <v>45917.807638888888</v>
      </c>
      <c r="E2481" s="19">
        <v>45940.543749999997</v>
      </c>
      <c r="F2481" s="18">
        <v>100</v>
      </c>
      <c r="G2481" s="19">
        <v>45950.597916666666</v>
      </c>
      <c r="H2481" s="18" t="s">
        <v>2654</v>
      </c>
      <c r="I2481" s="18" t="s">
        <v>10</v>
      </c>
      <c r="J2481" s="18" t="s">
        <v>4017</v>
      </c>
      <c r="K2481" s="20"/>
    </row>
    <row r="2482" spans="1:11" ht="36.75" thickBot="1">
      <c r="A2482" s="18" t="s">
        <v>7570</v>
      </c>
      <c r="B2482" s="18">
        <v>20027874828</v>
      </c>
      <c r="C2482" s="18" t="s">
        <v>4911</v>
      </c>
      <c r="D2482" s="19">
        <v>45913.456944444442</v>
      </c>
      <c r="E2482" s="19">
        <v>45940.554861111108</v>
      </c>
      <c r="F2482" s="18">
        <v>70</v>
      </c>
      <c r="G2482" s="19">
        <v>45954.498611111114</v>
      </c>
      <c r="H2482" s="18" t="s">
        <v>2654</v>
      </c>
      <c r="I2482" s="18" t="s">
        <v>10</v>
      </c>
      <c r="J2482" s="18" t="s">
        <v>4017</v>
      </c>
      <c r="K2482" s="20"/>
    </row>
    <row r="2483" spans="1:11" ht="36.75" thickBot="1">
      <c r="A2483" s="18" t="s">
        <v>7571</v>
      </c>
      <c r="B2483" s="18">
        <v>20026980394</v>
      </c>
      <c r="C2483" s="18" t="s">
        <v>7572</v>
      </c>
      <c r="D2483" s="19">
        <v>45916.590277777781</v>
      </c>
      <c r="E2483" s="19">
        <v>45940.597222222219</v>
      </c>
      <c r="F2483" s="18">
        <v>650</v>
      </c>
      <c r="G2483" s="18" t="s">
        <v>10</v>
      </c>
      <c r="H2483" s="18" t="s">
        <v>189</v>
      </c>
      <c r="I2483" s="18" t="s">
        <v>10</v>
      </c>
      <c r="J2483" s="18" t="s">
        <v>4017</v>
      </c>
      <c r="K2483" s="20"/>
    </row>
    <row r="2484" spans="1:11" ht="36.75" thickBot="1">
      <c r="A2484" s="18" t="s">
        <v>7573</v>
      </c>
      <c r="B2484" s="18">
        <v>20022437693</v>
      </c>
      <c r="C2484" s="18" t="s">
        <v>7161</v>
      </c>
      <c r="D2484" s="19">
        <v>45924.640277777777</v>
      </c>
      <c r="E2484" s="19">
        <v>45940.656944444447</v>
      </c>
      <c r="F2484" s="18">
        <v>800</v>
      </c>
      <c r="G2484" s="19">
        <v>45960.581944444442</v>
      </c>
      <c r="H2484" s="18" t="s">
        <v>2654</v>
      </c>
      <c r="I2484" s="18" t="s">
        <v>10</v>
      </c>
      <c r="J2484" s="18" t="s">
        <v>4017</v>
      </c>
      <c r="K2484" s="20"/>
    </row>
    <row r="2485" spans="1:11" ht="36.75" thickBot="1">
      <c r="A2485" s="18" t="s">
        <v>7574</v>
      </c>
      <c r="B2485" s="18">
        <v>20003290222</v>
      </c>
      <c r="C2485" s="18" t="s">
        <v>7575</v>
      </c>
      <c r="D2485" s="19">
        <v>45915.720138888886</v>
      </c>
      <c r="E2485" s="19">
        <v>45940.724305555559</v>
      </c>
      <c r="F2485" s="18">
        <v>650</v>
      </c>
      <c r="G2485" s="18" t="s">
        <v>10</v>
      </c>
      <c r="H2485" s="18" t="s">
        <v>178</v>
      </c>
      <c r="I2485" s="18" t="s">
        <v>10</v>
      </c>
      <c r="J2485" s="18" t="s">
        <v>4017</v>
      </c>
      <c r="K2485" s="20"/>
    </row>
    <row r="2486" spans="1:11" ht="54.75" thickBot="1">
      <c r="A2486" s="18" t="s">
        <v>7576</v>
      </c>
      <c r="B2486" s="18">
        <v>20027381669</v>
      </c>
      <c r="C2486" s="18" t="s">
        <v>7577</v>
      </c>
      <c r="D2486" s="19">
        <v>45944.478472222225</v>
      </c>
      <c r="E2486" s="18" t="s">
        <v>10</v>
      </c>
      <c r="F2486" s="18">
        <v>5</v>
      </c>
      <c r="G2486" s="18" t="s">
        <v>10</v>
      </c>
      <c r="H2486" s="18" t="s">
        <v>178</v>
      </c>
      <c r="I2486" s="18" t="s">
        <v>10</v>
      </c>
      <c r="J2486" s="18" t="s">
        <v>4017</v>
      </c>
      <c r="K2486" s="20"/>
    </row>
    <row r="2487" spans="1:11" ht="54.75" thickBot="1">
      <c r="A2487" s="18" t="s">
        <v>7578</v>
      </c>
      <c r="B2487" s="18">
        <v>20027381669</v>
      </c>
      <c r="C2487" s="18" t="s">
        <v>7579</v>
      </c>
      <c r="D2487" s="19">
        <v>45944.489583333336</v>
      </c>
      <c r="E2487" s="18" t="s">
        <v>10</v>
      </c>
      <c r="F2487" s="18">
        <v>5</v>
      </c>
      <c r="G2487" s="18" t="s">
        <v>10</v>
      </c>
      <c r="H2487" s="18" t="s">
        <v>178</v>
      </c>
      <c r="I2487" s="18" t="s">
        <v>10</v>
      </c>
      <c r="J2487" s="18" t="s">
        <v>4017</v>
      </c>
      <c r="K2487" s="20"/>
    </row>
    <row r="2488" spans="1:11" ht="36.75" thickBot="1">
      <c r="A2488" s="18" t="s">
        <v>7580</v>
      </c>
      <c r="B2488" s="18">
        <v>20017381485</v>
      </c>
      <c r="C2488" s="18" t="s">
        <v>7581</v>
      </c>
      <c r="D2488" s="19">
        <v>45910.443055555559</v>
      </c>
      <c r="E2488" s="19">
        <v>45944.558333333334</v>
      </c>
      <c r="F2488" s="18">
        <v>750</v>
      </c>
      <c r="G2488" s="19">
        <v>45968.414583333331</v>
      </c>
      <c r="H2488" s="18" t="s">
        <v>2654</v>
      </c>
      <c r="I2488" s="18" t="s">
        <v>10</v>
      </c>
      <c r="J2488" s="18" t="s">
        <v>4017</v>
      </c>
      <c r="K2488" s="20"/>
    </row>
    <row r="2489" spans="1:11" ht="54.75" thickBot="1">
      <c r="A2489" s="18" t="s">
        <v>7582</v>
      </c>
      <c r="B2489" s="18">
        <v>20024071677</v>
      </c>
      <c r="C2489" s="18" t="s">
        <v>7583</v>
      </c>
      <c r="D2489" s="19">
        <v>45944.563888888886</v>
      </c>
      <c r="E2489" s="18" t="s">
        <v>10</v>
      </c>
      <c r="F2489" s="18">
        <v>5</v>
      </c>
      <c r="G2489" s="18" t="s">
        <v>10</v>
      </c>
      <c r="H2489" s="18" t="s">
        <v>178</v>
      </c>
      <c r="I2489" s="18" t="s">
        <v>10</v>
      </c>
      <c r="J2489" s="18" t="s">
        <v>4017</v>
      </c>
      <c r="K2489" s="20"/>
    </row>
    <row r="2490" spans="1:11" ht="54.75" thickBot="1">
      <c r="A2490" s="18" t="s">
        <v>7584</v>
      </c>
      <c r="B2490" s="18">
        <v>20003646048</v>
      </c>
      <c r="C2490" s="18" t="s">
        <v>7585</v>
      </c>
      <c r="D2490" s="19">
        <v>45944.59652777778</v>
      </c>
      <c r="E2490" s="18" t="s">
        <v>10</v>
      </c>
      <c r="F2490" s="18">
        <v>5</v>
      </c>
      <c r="G2490" s="18" t="s">
        <v>10</v>
      </c>
      <c r="H2490" s="18" t="s">
        <v>178</v>
      </c>
      <c r="I2490" s="18" t="s">
        <v>10</v>
      </c>
      <c r="J2490" s="18" t="s">
        <v>4017</v>
      </c>
      <c r="K2490" s="20"/>
    </row>
    <row r="2491" spans="1:11" ht="36.75" thickBot="1">
      <c r="A2491" s="18" t="s">
        <v>7586</v>
      </c>
      <c r="B2491" s="18">
        <v>20002835603</v>
      </c>
      <c r="C2491" s="18" t="s">
        <v>7587</v>
      </c>
      <c r="D2491" s="19">
        <v>45944.619444444441</v>
      </c>
      <c r="E2491" s="18" t="s">
        <v>10</v>
      </c>
      <c r="F2491" s="18">
        <v>10</v>
      </c>
      <c r="G2491" s="18" t="s">
        <v>10</v>
      </c>
      <c r="H2491" s="18" t="s">
        <v>178</v>
      </c>
      <c r="I2491" s="18" t="s">
        <v>10</v>
      </c>
      <c r="J2491" s="18" t="s">
        <v>4017</v>
      </c>
      <c r="K2491" s="20"/>
    </row>
    <row r="2492" spans="1:11" ht="36.75" thickBot="1">
      <c r="A2492" s="18" t="s">
        <v>7588</v>
      </c>
      <c r="B2492" s="18">
        <v>20002782542</v>
      </c>
      <c r="C2492" s="18" t="s">
        <v>7494</v>
      </c>
      <c r="D2492" s="19">
        <v>45944.676388888889</v>
      </c>
      <c r="E2492" s="18" t="s">
        <v>10</v>
      </c>
      <c r="F2492" s="18">
        <v>33.299999999999997</v>
      </c>
      <c r="G2492" s="18" t="s">
        <v>10</v>
      </c>
      <c r="H2492" s="18" t="s">
        <v>178</v>
      </c>
      <c r="I2492" s="18" t="s">
        <v>10</v>
      </c>
      <c r="J2492" s="18" t="s">
        <v>4017</v>
      </c>
      <c r="K2492" s="20"/>
    </row>
    <row r="2493" spans="1:11" ht="36.75" thickBot="1">
      <c r="A2493" s="18" t="s">
        <v>7589</v>
      </c>
      <c r="B2493" s="18">
        <v>20022289062</v>
      </c>
      <c r="C2493" s="18" t="s">
        <v>5317</v>
      </c>
      <c r="D2493" s="19">
        <v>45922.444444444445</v>
      </c>
      <c r="E2493" s="19">
        <v>45945.506249999999</v>
      </c>
      <c r="F2493" s="18">
        <v>300</v>
      </c>
      <c r="G2493" s="19">
        <v>45981.499305555553</v>
      </c>
      <c r="H2493" s="18" t="s">
        <v>2654</v>
      </c>
      <c r="I2493" s="18" t="s">
        <v>10</v>
      </c>
      <c r="J2493" s="18" t="s">
        <v>4017</v>
      </c>
      <c r="K2493" s="20"/>
    </row>
    <row r="2494" spans="1:11" ht="36.75" thickBot="1">
      <c r="A2494" s="18" t="s">
        <v>7590</v>
      </c>
      <c r="B2494" s="18">
        <v>20028265694</v>
      </c>
      <c r="C2494" s="18" t="s">
        <v>6906</v>
      </c>
      <c r="D2494" s="19">
        <v>45945.589583333334</v>
      </c>
      <c r="E2494" s="18" t="s">
        <v>10</v>
      </c>
      <c r="F2494" s="18">
        <v>400</v>
      </c>
      <c r="G2494" s="18" t="s">
        <v>10</v>
      </c>
      <c r="H2494" s="18" t="s">
        <v>178</v>
      </c>
      <c r="I2494" s="18" t="s">
        <v>10</v>
      </c>
      <c r="J2494" s="18" t="s">
        <v>4017</v>
      </c>
      <c r="K2494" s="20"/>
    </row>
    <row r="2495" spans="1:11" ht="36.75" thickBot="1">
      <c r="A2495" s="18" t="s">
        <v>7591</v>
      </c>
      <c r="B2495" s="18">
        <v>20028781250</v>
      </c>
      <c r="C2495" s="18" t="s">
        <v>1836</v>
      </c>
      <c r="D2495" s="19">
        <v>45937.620138888888</v>
      </c>
      <c r="E2495" s="19">
        <v>45945.958333333336</v>
      </c>
      <c r="F2495" s="18">
        <v>30</v>
      </c>
      <c r="G2495" s="18" t="s">
        <v>10</v>
      </c>
      <c r="H2495" s="18" t="s">
        <v>189</v>
      </c>
      <c r="I2495" s="18" t="s">
        <v>10</v>
      </c>
      <c r="J2495" s="18" t="s">
        <v>4017</v>
      </c>
      <c r="K2495" s="20"/>
    </row>
    <row r="2496" spans="1:11" ht="36.75" thickBot="1">
      <c r="A2496" s="18" t="s">
        <v>7592</v>
      </c>
      <c r="B2496" s="18">
        <v>20017305594</v>
      </c>
      <c r="C2496" s="18" t="s">
        <v>6362</v>
      </c>
      <c r="D2496" s="19">
        <v>45914.465277777781</v>
      </c>
      <c r="E2496" s="19">
        <v>45946.395833333336</v>
      </c>
      <c r="F2496" s="18">
        <v>36</v>
      </c>
      <c r="G2496" s="18" t="s">
        <v>10</v>
      </c>
      <c r="H2496" s="18" t="s">
        <v>178</v>
      </c>
      <c r="I2496" s="18" t="s">
        <v>10</v>
      </c>
      <c r="J2496" s="18" t="s">
        <v>4017</v>
      </c>
      <c r="K2496" s="20"/>
    </row>
    <row r="2497" spans="1:11" ht="36.75" thickBot="1">
      <c r="A2497" s="18" t="s">
        <v>7593</v>
      </c>
      <c r="B2497" s="18">
        <v>20022575322</v>
      </c>
      <c r="C2497" s="18" t="s">
        <v>7594</v>
      </c>
      <c r="D2497" s="19">
        <v>45911.705555555556</v>
      </c>
      <c r="E2497" s="19">
        <v>45946.418749999997</v>
      </c>
      <c r="F2497" s="18">
        <v>400</v>
      </c>
      <c r="G2497" s="18" t="s">
        <v>10</v>
      </c>
      <c r="H2497" s="18" t="s">
        <v>178</v>
      </c>
      <c r="I2497" s="18" t="s">
        <v>10</v>
      </c>
      <c r="J2497" s="18" t="s">
        <v>4017</v>
      </c>
      <c r="K2497" s="20"/>
    </row>
    <row r="2498" spans="1:11" ht="36.75" thickBot="1">
      <c r="A2498" s="18" t="s">
        <v>7595</v>
      </c>
      <c r="B2498" s="18">
        <v>20002954020</v>
      </c>
      <c r="C2498" s="18" t="s">
        <v>4963</v>
      </c>
      <c r="D2498" s="19">
        <v>45946.654861111114</v>
      </c>
      <c r="E2498" s="18" t="s">
        <v>10</v>
      </c>
      <c r="F2498" s="18">
        <v>300</v>
      </c>
      <c r="G2498" s="18" t="s">
        <v>10</v>
      </c>
      <c r="H2498" s="18" t="s">
        <v>178</v>
      </c>
      <c r="I2498" s="18" t="s">
        <v>10</v>
      </c>
      <c r="J2498" s="18" t="s">
        <v>4017</v>
      </c>
      <c r="K2498" s="20"/>
    </row>
    <row r="2499" spans="1:11" ht="36.75" thickBot="1">
      <c r="A2499" s="18" t="s">
        <v>7596</v>
      </c>
      <c r="B2499" s="18">
        <v>20019343009</v>
      </c>
      <c r="C2499" s="18" t="s">
        <v>7597</v>
      </c>
      <c r="D2499" s="19">
        <v>45946.688888888886</v>
      </c>
      <c r="E2499" s="18" t="s">
        <v>10</v>
      </c>
      <c r="F2499" s="18">
        <v>152.6</v>
      </c>
      <c r="G2499" s="18" t="s">
        <v>10</v>
      </c>
      <c r="H2499" s="18" t="s">
        <v>178</v>
      </c>
      <c r="I2499" s="18" t="s">
        <v>10</v>
      </c>
      <c r="J2499" s="18" t="s">
        <v>4017</v>
      </c>
      <c r="K2499" s="20"/>
    </row>
    <row r="2500" spans="1:11" ht="36.75" thickBot="1">
      <c r="A2500" s="18" t="s">
        <v>7598</v>
      </c>
      <c r="B2500" s="18">
        <v>20002717727</v>
      </c>
      <c r="C2500" s="18" t="s">
        <v>6064</v>
      </c>
      <c r="D2500" s="19">
        <v>45946.69027777778</v>
      </c>
      <c r="E2500" s="18" t="s">
        <v>10</v>
      </c>
      <c r="F2500" s="18">
        <v>30</v>
      </c>
      <c r="G2500" s="18" t="s">
        <v>10</v>
      </c>
      <c r="H2500" s="18" t="s">
        <v>178</v>
      </c>
      <c r="I2500" s="18" t="s">
        <v>10</v>
      </c>
      <c r="J2500" s="18" t="s">
        <v>4017</v>
      </c>
      <c r="K2500" s="20"/>
    </row>
    <row r="2501" spans="1:11" ht="36.75" thickBot="1">
      <c r="A2501" s="21" t="s">
        <v>7599</v>
      </c>
      <c r="B2501" s="21">
        <v>20021797237</v>
      </c>
      <c r="C2501" s="21" t="s">
        <v>7600</v>
      </c>
      <c r="D2501" s="22">
        <v>45946.708333333336</v>
      </c>
      <c r="E2501" s="21" t="s">
        <v>10</v>
      </c>
      <c r="F2501" s="21">
        <v>350</v>
      </c>
      <c r="G2501" s="21" t="s">
        <v>10</v>
      </c>
      <c r="H2501" s="21" t="s">
        <v>178</v>
      </c>
      <c r="I2501" s="21" t="s">
        <v>10</v>
      </c>
      <c r="J2501" s="21" t="s">
        <v>4017</v>
      </c>
      <c r="K2501" s="1"/>
    </row>
    <row r="2502" spans="1:11" ht="36.75" thickBot="1">
      <c r="A2502" s="21" t="s">
        <v>7601</v>
      </c>
      <c r="B2502" s="21">
        <v>20003361645</v>
      </c>
      <c r="C2502" s="21" t="s">
        <v>3608</v>
      </c>
      <c r="D2502" s="22">
        <v>45939.515277777777</v>
      </c>
      <c r="E2502" s="22">
        <v>45946.861111111109</v>
      </c>
      <c r="F2502" s="21">
        <v>20</v>
      </c>
      <c r="G2502" s="21" t="s">
        <v>10</v>
      </c>
      <c r="H2502" s="21" t="s">
        <v>189</v>
      </c>
      <c r="I2502" s="21" t="s">
        <v>10</v>
      </c>
      <c r="J2502" s="21" t="s">
        <v>4017</v>
      </c>
      <c r="K2502" s="20"/>
    </row>
    <row r="2503" spans="1:11" ht="36.75" thickBot="1">
      <c r="A2503" s="18" t="s">
        <v>7602</v>
      </c>
      <c r="B2503" s="18">
        <v>20003442270</v>
      </c>
      <c r="C2503" s="18" t="s">
        <v>7603</v>
      </c>
      <c r="D2503" s="19">
        <v>45946.902777777781</v>
      </c>
      <c r="E2503" s="18" t="s">
        <v>10</v>
      </c>
      <c r="F2503" s="18">
        <v>100</v>
      </c>
      <c r="G2503" s="18" t="s">
        <v>10</v>
      </c>
      <c r="H2503" s="18" t="s">
        <v>178</v>
      </c>
      <c r="I2503" s="18" t="s">
        <v>10</v>
      </c>
      <c r="J2503" s="18" t="s">
        <v>4017</v>
      </c>
      <c r="K2503" s="20"/>
    </row>
    <row r="2504" spans="1:11" ht="36.75" thickBot="1">
      <c r="A2504" s="18" t="s">
        <v>7604</v>
      </c>
      <c r="B2504" s="18">
        <v>20003159543</v>
      </c>
      <c r="C2504" s="18" t="s">
        <v>7404</v>
      </c>
      <c r="D2504" s="19">
        <v>45947.47152777778</v>
      </c>
      <c r="E2504" s="18" t="s">
        <v>10</v>
      </c>
      <c r="F2504" s="18">
        <v>850</v>
      </c>
      <c r="G2504" s="18" t="s">
        <v>10</v>
      </c>
      <c r="H2504" s="18" t="s">
        <v>178</v>
      </c>
      <c r="I2504" s="18" t="s">
        <v>10</v>
      </c>
      <c r="J2504" s="18" t="s">
        <v>4017</v>
      </c>
      <c r="K2504" s="20"/>
    </row>
    <row r="2505" spans="1:11" ht="36.75" thickBot="1">
      <c r="A2505" s="18" t="s">
        <v>7605</v>
      </c>
      <c r="B2505" s="18">
        <v>20027714350</v>
      </c>
      <c r="C2505" s="18" t="s">
        <v>6347</v>
      </c>
      <c r="D2505" s="19">
        <v>45948.873611111114</v>
      </c>
      <c r="E2505" s="18" t="s">
        <v>10</v>
      </c>
      <c r="F2505" s="18">
        <v>50</v>
      </c>
      <c r="G2505" s="18" t="s">
        <v>10</v>
      </c>
      <c r="H2505" s="18" t="s">
        <v>178</v>
      </c>
      <c r="I2505" s="18" t="s">
        <v>10</v>
      </c>
      <c r="J2505" s="18" t="s">
        <v>4017</v>
      </c>
      <c r="K2505" s="20"/>
    </row>
    <row r="2506" spans="1:11" ht="36.75" thickBot="1">
      <c r="A2506" s="18" t="s">
        <v>7606</v>
      </c>
      <c r="B2506" s="18">
        <v>20024681609</v>
      </c>
      <c r="C2506" s="18" t="s">
        <v>7607</v>
      </c>
      <c r="D2506" s="19">
        <v>45936.885416666664</v>
      </c>
      <c r="E2506" s="19">
        <v>45949.647222222222</v>
      </c>
      <c r="F2506" s="18">
        <v>50</v>
      </c>
      <c r="G2506" s="18" t="s">
        <v>10</v>
      </c>
      <c r="H2506" s="18" t="s">
        <v>178</v>
      </c>
      <c r="I2506" s="18" t="s">
        <v>10</v>
      </c>
      <c r="J2506" s="18" t="s">
        <v>4017</v>
      </c>
      <c r="K2506" s="20"/>
    </row>
    <row r="2507" spans="1:11" ht="36.75" thickBot="1">
      <c r="A2507" s="18" t="s">
        <v>7608</v>
      </c>
      <c r="B2507" s="18">
        <v>20024109936</v>
      </c>
      <c r="C2507" s="18" t="s">
        <v>7554</v>
      </c>
      <c r="D2507" s="19">
        <v>45950.413888888892</v>
      </c>
      <c r="E2507" s="18" t="s">
        <v>10</v>
      </c>
      <c r="F2507" s="18">
        <v>425</v>
      </c>
      <c r="G2507" s="18" t="s">
        <v>10</v>
      </c>
      <c r="H2507" s="18" t="s">
        <v>178</v>
      </c>
      <c r="I2507" s="18" t="s">
        <v>10</v>
      </c>
      <c r="J2507" s="18" t="s">
        <v>4017</v>
      </c>
      <c r="K2507" s="20"/>
    </row>
    <row r="2508" spans="1:11" ht="36.75" thickBot="1">
      <c r="A2508" s="18" t="s">
        <v>7612</v>
      </c>
      <c r="B2508" s="18">
        <v>20016663210</v>
      </c>
      <c r="C2508" s="18" t="s">
        <v>7613</v>
      </c>
      <c r="D2508" s="19">
        <v>45951.490972222222</v>
      </c>
      <c r="E2508" s="18" t="s">
        <v>10</v>
      </c>
      <c r="F2508" s="18">
        <v>30</v>
      </c>
      <c r="G2508" s="18" t="s">
        <v>10</v>
      </c>
      <c r="H2508" s="18" t="s">
        <v>178</v>
      </c>
      <c r="I2508" s="18" t="s">
        <v>10</v>
      </c>
      <c r="J2508" s="18" t="s">
        <v>4017</v>
      </c>
      <c r="K2508" s="20"/>
    </row>
    <row r="2509" spans="1:11" ht="36.75" thickBot="1">
      <c r="A2509" s="18" t="s">
        <v>7616</v>
      </c>
      <c r="B2509" s="18">
        <v>20019552656</v>
      </c>
      <c r="C2509" s="18" t="s">
        <v>7617</v>
      </c>
      <c r="D2509" s="19">
        <v>45951.524305555555</v>
      </c>
      <c r="E2509" s="18" t="s">
        <v>10</v>
      </c>
      <c r="F2509" s="18">
        <v>30</v>
      </c>
      <c r="G2509" s="18" t="s">
        <v>10</v>
      </c>
      <c r="H2509" s="18" t="s">
        <v>178</v>
      </c>
      <c r="I2509" s="18" t="s">
        <v>10</v>
      </c>
      <c r="J2509" s="18" t="s">
        <v>4017</v>
      </c>
      <c r="K2509" s="20"/>
    </row>
    <row r="2510" spans="1:11" ht="36.75" thickBot="1">
      <c r="A2510" s="18" t="s">
        <v>7618</v>
      </c>
      <c r="B2510" s="18">
        <v>20019552656</v>
      </c>
      <c r="C2510" s="18" t="s">
        <v>7619</v>
      </c>
      <c r="D2510" s="19">
        <v>45951.535416666666</v>
      </c>
      <c r="E2510" s="18" t="s">
        <v>10</v>
      </c>
      <c r="F2510" s="18">
        <v>50</v>
      </c>
      <c r="G2510" s="18" t="s">
        <v>10</v>
      </c>
      <c r="H2510" s="18" t="s">
        <v>178</v>
      </c>
      <c r="I2510" s="18" t="s">
        <v>10</v>
      </c>
      <c r="J2510" s="18" t="s">
        <v>4017</v>
      </c>
      <c r="K2510" s="20"/>
    </row>
    <row r="2511" spans="1:11" ht="36.75" thickBot="1">
      <c r="A2511" s="18" t="s">
        <v>7620</v>
      </c>
      <c r="B2511" s="18">
        <v>20026883341</v>
      </c>
      <c r="C2511" s="18" t="s">
        <v>7621</v>
      </c>
      <c r="D2511" s="19">
        <v>45951.615972222222</v>
      </c>
      <c r="E2511" s="18" t="s">
        <v>10</v>
      </c>
      <c r="F2511" s="18">
        <v>100</v>
      </c>
      <c r="G2511" s="18" t="s">
        <v>10</v>
      </c>
      <c r="H2511" s="18" t="s">
        <v>178</v>
      </c>
      <c r="I2511" s="18" t="s">
        <v>10</v>
      </c>
      <c r="J2511" s="18" t="s">
        <v>4017</v>
      </c>
      <c r="K2511" s="20"/>
    </row>
    <row r="2512" spans="1:11" ht="36.75" thickBot="1">
      <c r="A2512" s="18" t="s">
        <v>7624</v>
      </c>
      <c r="B2512" s="18">
        <v>20003012408</v>
      </c>
      <c r="C2512" s="18" t="s">
        <v>4499</v>
      </c>
      <c r="D2512" s="19">
        <v>45952.002083333333</v>
      </c>
      <c r="E2512" s="18" t="s">
        <v>10</v>
      </c>
      <c r="F2512" s="18">
        <v>51</v>
      </c>
      <c r="G2512" s="18" t="s">
        <v>10</v>
      </c>
      <c r="H2512" s="18" t="s">
        <v>178</v>
      </c>
      <c r="I2512" s="18" t="s">
        <v>10</v>
      </c>
      <c r="J2512" s="18" t="s">
        <v>4017</v>
      </c>
      <c r="K2512" s="20"/>
    </row>
    <row r="2513" spans="1:11" ht="36.75" thickBot="1">
      <c r="A2513" s="18" t="s">
        <v>7625</v>
      </c>
      <c r="B2513" s="18">
        <v>20020352725</v>
      </c>
      <c r="C2513" s="18" t="s">
        <v>7626</v>
      </c>
      <c r="D2513" s="19">
        <v>45952.408333333333</v>
      </c>
      <c r="E2513" s="18" t="s">
        <v>10</v>
      </c>
      <c r="F2513" s="18">
        <v>900</v>
      </c>
      <c r="G2513" s="18" t="s">
        <v>10</v>
      </c>
      <c r="H2513" s="18" t="s">
        <v>178</v>
      </c>
      <c r="I2513" s="18" t="s">
        <v>10</v>
      </c>
      <c r="J2513" s="18" t="s">
        <v>4017</v>
      </c>
      <c r="K2513" s="20"/>
    </row>
    <row r="2514" spans="1:11" ht="36.75" thickBot="1">
      <c r="A2514" s="18" t="s">
        <v>7627</v>
      </c>
      <c r="B2514" s="18">
        <v>20003607332</v>
      </c>
      <c r="C2514" s="18" t="s">
        <v>7628</v>
      </c>
      <c r="D2514" s="19">
        <v>45945.680555555555</v>
      </c>
      <c r="E2514" s="19">
        <v>45952.55</v>
      </c>
      <c r="F2514" s="18">
        <v>197</v>
      </c>
      <c r="G2514" s="19">
        <v>45965.65902777778</v>
      </c>
      <c r="H2514" s="18" t="s">
        <v>2654</v>
      </c>
      <c r="I2514" s="18" t="s">
        <v>10</v>
      </c>
      <c r="J2514" s="18" t="s">
        <v>4017</v>
      </c>
      <c r="K2514" s="20"/>
    </row>
    <row r="2515" spans="1:11" ht="36.75" thickBot="1">
      <c r="A2515" s="18" t="s">
        <v>7629</v>
      </c>
      <c r="B2515" s="18">
        <v>20018453887</v>
      </c>
      <c r="C2515" s="18" t="s">
        <v>7408</v>
      </c>
      <c r="D2515" s="19">
        <v>45938.634722222225</v>
      </c>
      <c r="E2515" s="19">
        <v>45952.62222222222</v>
      </c>
      <c r="F2515" s="18">
        <v>60</v>
      </c>
      <c r="G2515" s="18" t="s">
        <v>10</v>
      </c>
      <c r="H2515" s="18" t="s">
        <v>189</v>
      </c>
      <c r="I2515" s="18" t="s">
        <v>10</v>
      </c>
      <c r="J2515" s="18" t="s">
        <v>4017</v>
      </c>
      <c r="K2515" s="20"/>
    </row>
    <row r="2516" spans="1:11" ht="36.75" thickBot="1">
      <c r="A2516" s="18" t="s">
        <v>7630</v>
      </c>
      <c r="B2516" s="18">
        <v>20003225463</v>
      </c>
      <c r="C2516" s="18" t="s">
        <v>6656</v>
      </c>
      <c r="D2516" s="19">
        <v>45923.668055555558</v>
      </c>
      <c r="E2516" s="19">
        <v>45952.697916666664</v>
      </c>
      <c r="F2516" s="18">
        <v>300</v>
      </c>
      <c r="G2516" s="19">
        <v>45968.619444444441</v>
      </c>
      <c r="H2516" s="18" t="s">
        <v>2654</v>
      </c>
      <c r="I2516" s="18" t="s">
        <v>10</v>
      </c>
      <c r="J2516" s="18" t="s">
        <v>4017</v>
      </c>
      <c r="K2516" s="20"/>
    </row>
    <row r="2517" spans="1:11" ht="54.75" thickBot="1">
      <c r="A2517" s="18" t="s">
        <v>7631</v>
      </c>
      <c r="B2517" s="18">
        <v>20024858592</v>
      </c>
      <c r="C2517" s="18" t="s">
        <v>7632</v>
      </c>
      <c r="D2517" s="19">
        <v>45940.455555555556</v>
      </c>
      <c r="E2517" s="19">
        <v>45954.443749999999</v>
      </c>
      <c r="F2517" s="18">
        <v>30</v>
      </c>
      <c r="G2517" s="19">
        <v>45972.588888888888</v>
      </c>
      <c r="H2517" s="18" t="s">
        <v>2654</v>
      </c>
      <c r="I2517" s="18" t="s">
        <v>10</v>
      </c>
      <c r="J2517" s="18" t="s">
        <v>4017</v>
      </c>
      <c r="K2517" s="20"/>
    </row>
    <row r="2518" spans="1:11" ht="72.75" thickBot="1">
      <c r="A2518" s="18" t="s">
        <v>7633</v>
      </c>
      <c r="B2518" s="18">
        <v>20003185721</v>
      </c>
      <c r="C2518" s="18" t="s">
        <v>7634</v>
      </c>
      <c r="D2518" s="19">
        <v>45946.57708333333</v>
      </c>
      <c r="E2518" s="19">
        <v>45954.495833333334</v>
      </c>
      <c r="F2518" s="18">
        <v>375</v>
      </c>
      <c r="G2518" s="19">
        <v>45986.606944444444</v>
      </c>
      <c r="H2518" s="18" t="s">
        <v>2657</v>
      </c>
      <c r="I2518" s="18" t="s">
        <v>10</v>
      </c>
      <c r="J2518" s="18" t="s">
        <v>4017</v>
      </c>
      <c r="K2518" s="20"/>
    </row>
    <row r="2519" spans="1:11" ht="36.75" thickBot="1">
      <c r="A2519" s="18" t="s">
        <v>7635</v>
      </c>
      <c r="B2519" s="18">
        <v>20024681609</v>
      </c>
      <c r="C2519" s="18" t="s">
        <v>7607</v>
      </c>
      <c r="D2519" s="19">
        <v>45954.518750000003</v>
      </c>
      <c r="E2519" s="18" t="s">
        <v>10</v>
      </c>
      <c r="F2519" s="18">
        <v>50</v>
      </c>
      <c r="G2519" s="18" t="s">
        <v>10</v>
      </c>
      <c r="H2519" s="18" t="s">
        <v>178</v>
      </c>
      <c r="I2519" s="18" t="s">
        <v>10</v>
      </c>
      <c r="J2519" s="18" t="s">
        <v>4017</v>
      </c>
      <c r="K2519" s="20"/>
    </row>
    <row r="2520" spans="1:11" ht="36.75" thickBot="1">
      <c r="A2520" s="18" t="s">
        <v>7636</v>
      </c>
      <c r="B2520" s="18">
        <v>20017081591</v>
      </c>
      <c r="C2520" s="18" t="s">
        <v>4555</v>
      </c>
      <c r="D2520" s="19">
        <v>45944.390972222223</v>
      </c>
      <c r="E2520" s="19">
        <v>45954.5625</v>
      </c>
      <c r="F2520" s="18">
        <v>30</v>
      </c>
      <c r="G2520" s="19">
        <v>45965.613194444442</v>
      </c>
      <c r="H2520" s="18" t="s">
        <v>2654</v>
      </c>
      <c r="I2520" s="18" t="s">
        <v>10</v>
      </c>
      <c r="J2520" s="18" t="s">
        <v>4017</v>
      </c>
      <c r="K2520" s="20"/>
    </row>
    <row r="2521" spans="1:11" ht="72.75" thickBot="1">
      <c r="A2521" s="18" t="s">
        <v>7637</v>
      </c>
      <c r="B2521" s="18">
        <v>20017081580</v>
      </c>
      <c r="C2521" s="18" t="s">
        <v>4555</v>
      </c>
      <c r="D2521" s="19">
        <v>45944.402083333334</v>
      </c>
      <c r="E2521" s="19">
        <v>45954.576388888891</v>
      </c>
      <c r="F2521" s="18">
        <v>30</v>
      </c>
      <c r="G2521" s="19">
        <v>45964.586805555555</v>
      </c>
      <c r="H2521" s="18" t="s">
        <v>2688</v>
      </c>
      <c r="I2521" s="18" t="s">
        <v>10</v>
      </c>
      <c r="J2521" s="18" t="s">
        <v>4017</v>
      </c>
      <c r="K2521" s="20"/>
    </row>
    <row r="2522" spans="1:11" ht="36.75" thickBot="1">
      <c r="A2522" s="18" t="s">
        <v>7638</v>
      </c>
      <c r="B2522" s="18">
        <v>20003529748</v>
      </c>
      <c r="C2522" s="18" t="s">
        <v>7639</v>
      </c>
      <c r="D2522" s="19">
        <v>45954.761111111111</v>
      </c>
      <c r="E2522" s="18" t="s">
        <v>10</v>
      </c>
      <c r="F2522" s="18">
        <v>220</v>
      </c>
      <c r="G2522" s="18" t="s">
        <v>10</v>
      </c>
      <c r="H2522" s="18" t="s">
        <v>178</v>
      </c>
      <c r="I2522" s="18" t="s">
        <v>10</v>
      </c>
      <c r="J2522" s="18" t="s">
        <v>4017</v>
      </c>
      <c r="K2522" s="20"/>
    </row>
    <row r="2523" spans="1:11" ht="36.75" thickBot="1">
      <c r="A2523" s="18" t="s">
        <v>7640</v>
      </c>
      <c r="B2523" s="18">
        <v>20003173445</v>
      </c>
      <c r="C2523" s="18" t="s">
        <v>7641</v>
      </c>
      <c r="D2523" s="19">
        <v>45955.7</v>
      </c>
      <c r="E2523" s="18" t="s">
        <v>10</v>
      </c>
      <c r="F2523" s="18">
        <v>895</v>
      </c>
      <c r="G2523" s="18" t="s">
        <v>10</v>
      </c>
      <c r="H2523" s="18" t="s">
        <v>178</v>
      </c>
      <c r="I2523" s="18" t="s">
        <v>10</v>
      </c>
      <c r="J2523" s="18" t="s">
        <v>4017</v>
      </c>
      <c r="K2523" s="20"/>
    </row>
    <row r="2524" spans="1:11" ht="36.75" thickBot="1">
      <c r="A2524" s="18" t="s">
        <v>7642</v>
      </c>
      <c r="B2524" s="18">
        <v>20002885547</v>
      </c>
      <c r="C2524" s="18" t="s">
        <v>7643</v>
      </c>
      <c r="D2524" s="19">
        <v>45956.859027777777</v>
      </c>
      <c r="E2524" s="18" t="s">
        <v>10</v>
      </c>
      <c r="F2524" s="18">
        <v>50</v>
      </c>
      <c r="G2524" s="18" t="s">
        <v>10</v>
      </c>
      <c r="H2524" s="18" t="s">
        <v>178</v>
      </c>
      <c r="I2524" s="18" t="s">
        <v>10</v>
      </c>
      <c r="J2524" s="18" t="s">
        <v>4017</v>
      </c>
      <c r="K2524" s="20"/>
    </row>
    <row r="2525" spans="1:11" ht="36.75" thickBot="1">
      <c r="A2525" s="18" t="s">
        <v>7644</v>
      </c>
      <c r="B2525" s="18">
        <v>20017171157</v>
      </c>
      <c r="C2525" s="18" t="s">
        <v>7645</v>
      </c>
      <c r="D2525" s="19">
        <v>45957.40347222222</v>
      </c>
      <c r="E2525" s="18" t="s">
        <v>10</v>
      </c>
      <c r="F2525" s="18">
        <v>50</v>
      </c>
      <c r="G2525" s="18" t="s">
        <v>10</v>
      </c>
      <c r="H2525" s="18" t="s">
        <v>178</v>
      </c>
      <c r="I2525" s="18" t="s">
        <v>10</v>
      </c>
      <c r="J2525" s="18" t="s">
        <v>4017</v>
      </c>
      <c r="K2525" s="20"/>
    </row>
    <row r="2526" spans="1:11" ht="36.75" thickBot="1">
      <c r="A2526" s="18" t="s">
        <v>7646</v>
      </c>
      <c r="B2526" s="18">
        <v>20019832766</v>
      </c>
      <c r="C2526" s="18" t="s">
        <v>6629</v>
      </c>
      <c r="D2526" s="19">
        <v>45923.493750000001</v>
      </c>
      <c r="E2526" s="19">
        <v>45957.411111111112</v>
      </c>
      <c r="F2526" s="18">
        <v>600</v>
      </c>
      <c r="G2526" s="19">
        <v>45974.480555555558</v>
      </c>
      <c r="H2526" s="18" t="s">
        <v>2654</v>
      </c>
      <c r="I2526" s="18" t="s">
        <v>10</v>
      </c>
      <c r="J2526" s="18" t="s">
        <v>4017</v>
      </c>
      <c r="K2526" s="20"/>
    </row>
    <row r="2527" spans="1:11" ht="36.75" thickBot="1">
      <c r="A2527" s="18" t="s">
        <v>7647</v>
      </c>
      <c r="B2527" s="18">
        <v>20028103793</v>
      </c>
      <c r="C2527" s="18" t="s">
        <v>7648</v>
      </c>
      <c r="D2527" s="19">
        <v>45957.503472222219</v>
      </c>
      <c r="E2527" s="18" t="s">
        <v>10</v>
      </c>
      <c r="F2527" s="18">
        <v>50</v>
      </c>
      <c r="G2527" s="18" t="s">
        <v>10</v>
      </c>
      <c r="H2527" s="18" t="s">
        <v>178</v>
      </c>
      <c r="I2527" s="18" t="s">
        <v>10</v>
      </c>
      <c r="J2527" s="18" t="s">
        <v>4017</v>
      </c>
      <c r="K2527" s="20"/>
    </row>
    <row r="2528" spans="1:11" ht="36.75" thickBot="1">
      <c r="A2528" s="18" t="s">
        <v>7649</v>
      </c>
      <c r="B2528" s="18">
        <v>20021673871</v>
      </c>
      <c r="C2528" s="18" t="s">
        <v>7650</v>
      </c>
      <c r="D2528" s="19">
        <v>45957.532638888886</v>
      </c>
      <c r="E2528" s="18" t="s">
        <v>10</v>
      </c>
      <c r="F2528" s="18">
        <v>40</v>
      </c>
      <c r="G2528" s="18" t="s">
        <v>10</v>
      </c>
      <c r="H2528" s="18" t="s">
        <v>178</v>
      </c>
      <c r="I2528" s="18" t="s">
        <v>10</v>
      </c>
      <c r="J2528" s="18" t="s">
        <v>4017</v>
      </c>
      <c r="K2528" s="20"/>
    </row>
    <row r="2529" spans="1:11" ht="72.75" thickBot="1">
      <c r="A2529" s="18" t="s">
        <v>7651</v>
      </c>
      <c r="B2529" s="18">
        <v>20018645839</v>
      </c>
      <c r="C2529" s="18" t="s">
        <v>7652</v>
      </c>
      <c r="D2529" s="19">
        <v>45951.690972222219</v>
      </c>
      <c r="E2529" s="19">
        <v>45957.580555555556</v>
      </c>
      <c r="F2529" s="18">
        <v>100</v>
      </c>
      <c r="G2529" s="19">
        <v>45979.632638888892</v>
      </c>
      <c r="H2529" s="18" t="s">
        <v>2657</v>
      </c>
      <c r="I2529" s="18" t="s">
        <v>10</v>
      </c>
      <c r="J2529" s="18" t="s">
        <v>4017</v>
      </c>
      <c r="K2529" s="20"/>
    </row>
    <row r="2530" spans="1:11" ht="36.75" thickBot="1">
      <c r="A2530" s="18" t="s">
        <v>7653</v>
      </c>
      <c r="B2530" s="18">
        <v>20022575322</v>
      </c>
      <c r="C2530" s="18" t="s">
        <v>7654</v>
      </c>
      <c r="D2530" s="19">
        <v>45957.587500000001</v>
      </c>
      <c r="E2530" s="18" t="s">
        <v>10</v>
      </c>
      <c r="F2530" s="18">
        <v>400</v>
      </c>
      <c r="G2530" s="18" t="s">
        <v>10</v>
      </c>
      <c r="H2530" s="25" t="s">
        <v>2656</v>
      </c>
      <c r="I2530" s="18" t="s">
        <v>10</v>
      </c>
      <c r="J2530" s="18" t="s">
        <v>4017</v>
      </c>
      <c r="K2530" s="20"/>
    </row>
    <row r="2531" spans="1:11" ht="36.75" thickBot="1">
      <c r="A2531" s="18" t="s">
        <v>7655</v>
      </c>
      <c r="B2531" s="18">
        <v>20002851679</v>
      </c>
      <c r="C2531" s="18" t="s">
        <v>7656</v>
      </c>
      <c r="D2531" s="19">
        <v>45957.605555555558</v>
      </c>
      <c r="E2531" s="18" t="s">
        <v>10</v>
      </c>
      <c r="F2531" s="18">
        <v>40</v>
      </c>
      <c r="G2531" s="18" t="s">
        <v>10</v>
      </c>
      <c r="H2531" s="18" t="s">
        <v>178</v>
      </c>
      <c r="I2531" s="18" t="s">
        <v>10</v>
      </c>
      <c r="J2531" s="18" t="s">
        <v>4017</v>
      </c>
      <c r="K2531" s="20"/>
    </row>
    <row r="2532" spans="1:11" ht="72.75" thickBot="1">
      <c r="A2532" s="18" t="s">
        <v>7659</v>
      </c>
      <c r="B2532" s="18">
        <v>20019189066</v>
      </c>
      <c r="C2532" s="18" t="s">
        <v>7660</v>
      </c>
      <c r="D2532" s="19">
        <v>45929.463888888888</v>
      </c>
      <c r="E2532" s="19">
        <v>45957.612500000003</v>
      </c>
      <c r="F2532" s="18">
        <v>80</v>
      </c>
      <c r="G2532" s="19">
        <v>45959.459722222222</v>
      </c>
      <c r="H2532" s="18" t="s">
        <v>2657</v>
      </c>
      <c r="I2532" s="18" t="s">
        <v>10</v>
      </c>
      <c r="J2532" s="18" t="s">
        <v>4017</v>
      </c>
      <c r="K2532" s="20"/>
    </row>
    <row r="2533" spans="1:11" ht="36.75" thickBot="1">
      <c r="A2533" s="18" t="s">
        <v>7661</v>
      </c>
      <c r="B2533" s="18">
        <v>20002962295</v>
      </c>
      <c r="C2533" s="18" t="s">
        <v>7484</v>
      </c>
      <c r="D2533" s="19">
        <v>45957.625694444447</v>
      </c>
      <c r="E2533" s="18" t="s">
        <v>10</v>
      </c>
      <c r="F2533" s="18">
        <v>440</v>
      </c>
      <c r="G2533" s="18" t="s">
        <v>10</v>
      </c>
      <c r="H2533" s="18" t="s">
        <v>178</v>
      </c>
      <c r="I2533" s="18" t="s">
        <v>10</v>
      </c>
      <c r="J2533" s="18" t="s">
        <v>4017</v>
      </c>
      <c r="K2533" s="20"/>
    </row>
    <row r="2534" spans="1:11" ht="36.75" thickBot="1">
      <c r="A2534" s="18" t="s">
        <v>7662</v>
      </c>
      <c r="B2534" s="18">
        <v>20019789766</v>
      </c>
      <c r="C2534" s="18" t="s">
        <v>7027</v>
      </c>
      <c r="D2534" s="19">
        <v>45926.503472222219</v>
      </c>
      <c r="E2534" s="19">
        <v>45958.373611111114</v>
      </c>
      <c r="F2534" s="18">
        <v>223.2</v>
      </c>
      <c r="G2534" s="18" t="s">
        <v>10</v>
      </c>
      <c r="H2534" s="18" t="s">
        <v>235</v>
      </c>
      <c r="I2534" s="18" t="s">
        <v>10</v>
      </c>
      <c r="J2534" s="18" t="s">
        <v>4017</v>
      </c>
      <c r="K2534" s="20"/>
    </row>
    <row r="2535" spans="1:11" ht="36.75" thickBot="1">
      <c r="A2535" s="18" t="s">
        <v>7663</v>
      </c>
      <c r="B2535" s="18">
        <v>20003111347</v>
      </c>
      <c r="C2535" s="18" t="s">
        <v>7664</v>
      </c>
      <c r="D2535" s="19">
        <v>45940.454861111109</v>
      </c>
      <c r="E2535" s="19">
        <v>45958.409722222219</v>
      </c>
      <c r="F2535" s="18">
        <v>80</v>
      </c>
      <c r="G2535" s="18" t="s">
        <v>10</v>
      </c>
      <c r="H2535" s="18" t="s">
        <v>189</v>
      </c>
      <c r="I2535" s="18" t="s">
        <v>10</v>
      </c>
      <c r="J2535" s="18" t="s">
        <v>4017</v>
      </c>
      <c r="K2535" s="20"/>
    </row>
    <row r="2536" spans="1:11" ht="54.75" thickBot="1">
      <c r="A2536" s="18" t="s">
        <v>7665</v>
      </c>
      <c r="B2536" s="18">
        <v>20027410308</v>
      </c>
      <c r="C2536" s="18" t="s">
        <v>7666</v>
      </c>
      <c r="D2536" s="19">
        <v>45958.594444444447</v>
      </c>
      <c r="E2536" s="18" t="s">
        <v>10</v>
      </c>
      <c r="F2536" s="18">
        <v>20</v>
      </c>
      <c r="G2536" s="18" t="s">
        <v>10</v>
      </c>
      <c r="H2536" s="18" t="s">
        <v>178</v>
      </c>
      <c r="I2536" s="18" t="s">
        <v>10</v>
      </c>
      <c r="J2536" s="18" t="s">
        <v>4017</v>
      </c>
      <c r="K2536" s="20"/>
    </row>
    <row r="2537" spans="1:11" ht="36.75" thickBot="1">
      <c r="A2537" s="18" t="s">
        <v>7667</v>
      </c>
      <c r="B2537" s="18">
        <v>20003126795</v>
      </c>
      <c r="C2537" s="18" t="s">
        <v>6570</v>
      </c>
      <c r="D2537" s="19">
        <v>45958.59652777778</v>
      </c>
      <c r="E2537" s="18" t="s">
        <v>10</v>
      </c>
      <c r="F2537" s="18">
        <v>800</v>
      </c>
      <c r="G2537" s="18" t="s">
        <v>10</v>
      </c>
      <c r="H2537" s="25" t="s">
        <v>2656</v>
      </c>
      <c r="I2537" s="18" t="s">
        <v>10</v>
      </c>
      <c r="J2537" s="18" t="s">
        <v>4017</v>
      </c>
      <c r="K2537" s="20"/>
    </row>
    <row r="2538" spans="1:11" ht="36.75" thickBot="1">
      <c r="A2538" s="18" t="s">
        <v>7668</v>
      </c>
      <c r="B2538" s="18">
        <v>20003508303</v>
      </c>
      <c r="C2538" s="18" t="s">
        <v>7669</v>
      </c>
      <c r="D2538" s="19">
        <v>45958.647916666669</v>
      </c>
      <c r="E2538" s="18" t="s">
        <v>10</v>
      </c>
      <c r="F2538" s="18">
        <v>450</v>
      </c>
      <c r="G2538" s="18" t="s">
        <v>10</v>
      </c>
      <c r="H2538" s="18" t="s">
        <v>178</v>
      </c>
      <c r="I2538" s="18" t="s">
        <v>10</v>
      </c>
      <c r="J2538" s="18" t="s">
        <v>4017</v>
      </c>
      <c r="K2538" s="20"/>
    </row>
    <row r="2539" spans="1:11" ht="72.75" thickBot="1">
      <c r="A2539" s="18" t="s">
        <v>7671</v>
      </c>
      <c r="B2539" s="18">
        <v>20027016342</v>
      </c>
      <c r="C2539" s="18" t="s">
        <v>7672</v>
      </c>
      <c r="D2539" s="19">
        <v>45957.881249999999</v>
      </c>
      <c r="E2539" s="19">
        <v>45959.373611111114</v>
      </c>
      <c r="F2539" s="18">
        <v>50</v>
      </c>
      <c r="G2539" s="19">
        <v>45965.431250000001</v>
      </c>
      <c r="H2539" s="18" t="s">
        <v>2688</v>
      </c>
      <c r="I2539" s="18" t="s">
        <v>10</v>
      </c>
      <c r="J2539" s="18" t="s">
        <v>4017</v>
      </c>
      <c r="K2539" s="20"/>
    </row>
    <row r="2540" spans="1:11" ht="36.75" thickBot="1">
      <c r="A2540" s="18" t="s">
        <v>7673</v>
      </c>
      <c r="B2540" s="18">
        <v>20017904813</v>
      </c>
      <c r="C2540" s="18" t="s">
        <v>7674</v>
      </c>
      <c r="D2540" s="19">
        <v>45959.449305555558</v>
      </c>
      <c r="E2540" s="18" t="s">
        <v>10</v>
      </c>
      <c r="F2540" s="18">
        <v>800</v>
      </c>
      <c r="G2540" s="18" t="s">
        <v>10</v>
      </c>
      <c r="H2540" s="25" t="s">
        <v>2656</v>
      </c>
      <c r="I2540" s="18" t="s">
        <v>10</v>
      </c>
      <c r="J2540" s="18" t="s">
        <v>4017</v>
      </c>
      <c r="K2540" s="20"/>
    </row>
    <row r="2541" spans="1:11" ht="36.75" thickBot="1">
      <c r="A2541" s="18" t="s">
        <v>7675</v>
      </c>
      <c r="B2541" s="18">
        <v>20024681609</v>
      </c>
      <c r="C2541" s="18" t="s">
        <v>7607</v>
      </c>
      <c r="D2541" s="19">
        <v>45959.461111111108</v>
      </c>
      <c r="E2541" s="18" t="s">
        <v>10</v>
      </c>
      <c r="F2541" s="18">
        <v>50</v>
      </c>
      <c r="G2541" s="18" t="s">
        <v>10</v>
      </c>
      <c r="H2541" s="18" t="s">
        <v>178</v>
      </c>
      <c r="I2541" s="18" t="s">
        <v>10</v>
      </c>
      <c r="J2541" s="18" t="s">
        <v>4017</v>
      </c>
      <c r="K2541" s="20"/>
    </row>
    <row r="2542" spans="1:11" ht="72.75" thickBot="1">
      <c r="A2542" s="18" t="s">
        <v>7676</v>
      </c>
      <c r="B2542" s="18">
        <v>20028579328</v>
      </c>
      <c r="C2542" s="18" t="s">
        <v>7431</v>
      </c>
      <c r="D2542" s="19">
        <v>45940.484722222223</v>
      </c>
      <c r="E2542" s="19">
        <v>45959.568749999999</v>
      </c>
      <c r="F2542" s="18">
        <v>100</v>
      </c>
      <c r="G2542" s="19">
        <v>45981.581250000003</v>
      </c>
      <c r="H2542" s="18" t="s">
        <v>2657</v>
      </c>
      <c r="I2542" s="18" t="s">
        <v>10</v>
      </c>
      <c r="J2542" s="18" t="s">
        <v>4017</v>
      </c>
      <c r="K2542" s="20"/>
    </row>
    <row r="2543" spans="1:11" ht="36.75" thickBot="1">
      <c r="A2543" s="18" t="s">
        <v>7677</v>
      </c>
      <c r="B2543" s="18">
        <v>20023227690</v>
      </c>
      <c r="C2543" s="18" t="s">
        <v>7678</v>
      </c>
      <c r="D2543" s="19">
        <v>45946.585416666669</v>
      </c>
      <c r="E2543" s="19">
        <v>45959.636111111111</v>
      </c>
      <c r="F2543" s="18">
        <v>200</v>
      </c>
      <c r="G2543" s="19">
        <v>45988.506944444445</v>
      </c>
      <c r="H2543" s="18" t="s">
        <v>2654</v>
      </c>
      <c r="I2543" s="18" t="s">
        <v>10</v>
      </c>
      <c r="J2543" s="18" t="s">
        <v>4017</v>
      </c>
      <c r="K2543" s="20"/>
    </row>
    <row r="2544" spans="1:11" ht="36.75" thickBot="1">
      <c r="A2544" s="18" t="s">
        <v>7679</v>
      </c>
      <c r="B2544" s="18">
        <v>20003203963</v>
      </c>
      <c r="C2544" s="18" t="s">
        <v>4021</v>
      </c>
      <c r="D2544" s="19">
        <v>45959.656944444447</v>
      </c>
      <c r="E2544" s="18" t="s">
        <v>10</v>
      </c>
      <c r="F2544" s="18">
        <v>390</v>
      </c>
      <c r="G2544" s="18" t="s">
        <v>10</v>
      </c>
      <c r="H2544" s="25" t="s">
        <v>2656</v>
      </c>
      <c r="I2544" s="18" t="s">
        <v>10</v>
      </c>
      <c r="J2544" s="18" t="s">
        <v>4017</v>
      </c>
      <c r="K2544" s="20"/>
    </row>
    <row r="2545" spans="1:11" ht="36.75" thickBot="1">
      <c r="A2545" s="18" t="s">
        <v>7680</v>
      </c>
      <c r="B2545" s="18">
        <v>20022321371</v>
      </c>
      <c r="C2545" s="18" t="s">
        <v>6656</v>
      </c>
      <c r="D2545" s="19">
        <v>45923.671527777777</v>
      </c>
      <c r="E2545" s="19">
        <v>45959.663194444445</v>
      </c>
      <c r="F2545" s="18">
        <v>540</v>
      </c>
      <c r="G2545" s="19">
        <v>45968.618055555555</v>
      </c>
      <c r="H2545" s="18" t="s">
        <v>2654</v>
      </c>
      <c r="I2545" s="18" t="s">
        <v>10</v>
      </c>
      <c r="J2545" s="18" t="s">
        <v>4017</v>
      </c>
      <c r="K2545" s="20"/>
    </row>
    <row r="2546" spans="1:11" ht="36.75" thickBot="1">
      <c r="A2546" s="18" t="s">
        <v>7681</v>
      </c>
      <c r="B2546" s="18">
        <v>20021919584</v>
      </c>
      <c r="C2546" s="18" t="s">
        <v>6667</v>
      </c>
      <c r="D2546" s="19">
        <v>45959.705555555556</v>
      </c>
      <c r="E2546" s="18" t="s">
        <v>10</v>
      </c>
      <c r="F2546" s="18">
        <v>350</v>
      </c>
      <c r="G2546" s="18" t="s">
        <v>10</v>
      </c>
      <c r="H2546" s="25" t="s">
        <v>2656</v>
      </c>
      <c r="I2546" s="18" t="s">
        <v>10</v>
      </c>
      <c r="J2546" s="18" t="s">
        <v>4017</v>
      </c>
      <c r="K2546" s="20"/>
    </row>
    <row r="2547" spans="1:11" ht="72.75" thickBot="1">
      <c r="A2547" s="18" t="s">
        <v>7682</v>
      </c>
      <c r="B2547" s="18">
        <v>20003241133</v>
      </c>
      <c r="C2547" s="18" t="s">
        <v>7683</v>
      </c>
      <c r="D2547" s="19">
        <v>45944.505555555559</v>
      </c>
      <c r="E2547" s="19">
        <v>45959.821527777778</v>
      </c>
      <c r="F2547" s="18">
        <v>250</v>
      </c>
      <c r="G2547" s="19">
        <v>45979.48333333333</v>
      </c>
      <c r="H2547" s="18" t="s">
        <v>2657</v>
      </c>
      <c r="I2547" s="18" t="s">
        <v>10</v>
      </c>
      <c r="J2547" s="18" t="s">
        <v>4017</v>
      </c>
      <c r="K2547" s="20"/>
    </row>
    <row r="2548" spans="1:11" ht="72.75" thickBot="1">
      <c r="A2548" s="18" t="s">
        <v>7684</v>
      </c>
      <c r="B2548" s="18">
        <v>20025223213</v>
      </c>
      <c r="C2548" s="18" t="s">
        <v>5653</v>
      </c>
      <c r="D2548" s="19">
        <v>45945.693749999999</v>
      </c>
      <c r="E2548" s="19">
        <v>45960.679861111108</v>
      </c>
      <c r="F2548" s="18">
        <v>45</v>
      </c>
      <c r="G2548" s="19">
        <v>45967.443055555559</v>
      </c>
      <c r="H2548" s="18" t="s">
        <v>2657</v>
      </c>
      <c r="I2548" s="18" t="s">
        <v>10</v>
      </c>
      <c r="J2548" s="18" t="s">
        <v>4017</v>
      </c>
      <c r="K2548" s="20"/>
    </row>
    <row r="2549" spans="1:11" ht="36.75" thickBot="1">
      <c r="A2549" s="18" t="s">
        <v>7685</v>
      </c>
      <c r="B2549" s="18">
        <v>20026563213</v>
      </c>
      <c r="C2549" s="18" t="s">
        <v>7686</v>
      </c>
      <c r="D2549" s="19">
        <v>45937.692361111112</v>
      </c>
      <c r="E2549" s="19">
        <v>45960.720833333333</v>
      </c>
      <c r="F2549" s="18">
        <v>100</v>
      </c>
      <c r="G2549" s="19">
        <v>45972.449305555558</v>
      </c>
      <c r="H2549" s="18" t="s">
        <v>2654</v>
      </c>
      <c r="I2549" s="18" t="s">
        <v>10</v>
      </c>
      <c r="J2549" s="18" t="s">
        <v>4017</v>
      </c>
      <c r="K2549" s="20"/>
    </row>
    <row r="2550" spans="1:11" ht="36.75" thickBot="1">
      <c r="A2550" s="18" t="s">
        <v>7687</v>
      </c>
      <c r="B2550" s="18">
        <v>20003426560</v>
      </c>
      <c r="C2550" s="18" t="s">
        <v>7688</v>
      </c>
      <c r="D2550" s="19">
        <v>45945.584722222222</v>
      </c>
      <c r="E2550" s="19">
        <v>45960.73333333333</v>
      </c>
      <c r="F2550" s="18">
        <v>350</v>
      </c>
      <c r="G2550" s="19">
        <v>45972.44027777778</v>
      </c>
      <c r="H2550" s="18" t="s">
        <v>2654</v>
      </c>
      <c r="I2550" s="18" t="s">
        <v>10</v>
      </c>
      <c r="J2550" s="18" t="s">
        <v>4017</v>
      </c>
      <c r="K2550" s="20"/>
    </row>
    <row r="2551" spans="1:11" ht="72.75" thickBot="1">
      <c r="A2551" s="18" t="s">
        <v>7689</v>
      </c>
      <c r="B2551" s="18">
        <v>20024681609</v>
      </c>
      <c r="C2551" s="18" t="s">
        <v>7607</v>
      </c>
      <c r="D2551" s="19">
        <v>45959.777777777781</v>
      </c>
      <c r="E2551" s="19">
        <v>45960.746527777781</v>
      </c>
      <c r="F2551" s="18">
        <v>50</v>
      </c>
      <c r="G2551" s="19">
        <v>45965.474999999999</v>
      </c>
      <c r="H2551" s="18" t="s">
        <v>2688</v>
      </c>
      <c r="I2551" s="18" t="s">
        <v>10</v>
      </c>
      <c r="J2551" s="18" t="s">
        <v>4017</v>
      </c>
      <c r="K2551" s="20"/>
    </row>
    <row r="2552" spans="1:11" ht="36.75" thickBot="1">
      <c r="A2552" s="18" t="s">
        <v>7690</v>
      </c>
      <c r="B2552" s="18">
        <v>20003497621</v>
      </c>
      <c r="C2552" s="18" t="s">
        <v>4209</v>
      </c>
      <c r="D2552" s="19">
        <v>45961.402083333334</v>
      </c>
      <c r="E2552" s="18" t="s">
        <v>10</v>
      </c>
      <c r="F2552" s="18">
        <v>600</v>
      </c>
      <c r="G2552" s="18" t="s">
        <v>10</v>
      </c>
      <c r="H2552" s="18" t="s">
        <v>178</v>
      </c>
      <c r="I2552" s="18" t="s">
        <v>10</v>
      </c>
      <c r="J2552" s="18" t="s">
        <v>4017</v>
      </c>
      <c r="K2552" s="20"/>
    </row>
    <row r="2553" spans="1:11" ht="36.75" thickBot="1">
      <c r="A2553" s="18" t="s">
        <v>7691</v>
      </c>
      <c r="B2553" s="18">
        <v>20003513276</v>
      </c>
      <c r="C2553" s="18" t="s">
        <v>7079</v>
      </c>
      <c r="D2553" s="19">
        <v>45959.686111111114</v>
      </c>
      <c r="E2553" s="19">
        <v>45961.407638888886</v>
      </c>
      <c r="F2553" s="18">
        <v>30</v>
      </c>
      <c r="G2553" s="18" t="s">
        <v>10</v>
      </c>
      <c r="H2553" s="18" t="s">
        <v>189</v>
      </c>
      <c r="I2553" s="18" t="s">
        <v>10</v>
      </c>
      <c r="J2553" s="18" t="s">
        <v>4017</v>
      </c>
      <c r="K2553" s="20"/>
    </row>
    <row r="2554" spans="1:11" ht="36.75" thickBot="1">
      <c r="A2554" s="18" t="s">
        <v>7694</v>
      </c>
      <c r="B2554" s="18">
        <v>20025975830</v>
      </c>
      <c r="C2554" s="18" t="s">
        <v>7695</v>
      </c>
      <c r="D2554" s="19">
        <v>45951.445833333331</v>
      </c>
      <c r="E2554" s="19">
        <v>45961.427777777775</v>
      </c>
      <c r="F2554" s="18">
        <v>250</v>
      </c>
      <c r="G2554" s="18" t="s">
        <v>10</v>
      </c>
      <c r="H2554" s="18" t="s">
        <v>189</v>
      </c>
      <c r="I2554" s="18" t="s">
        <v>10</v>
      </c>
      <c r="J2554" s="18" t="s">
        <v>4017</v>
      </c>
      <c r="K2554" s="20"/>
    </row>
    <row r="2555" spans="1:11" ht="72.75" thickBot="1">
      <c r="A2555" s="18" t="s">
        <v>7698</v>
      </c>
      <c r="B2555" s="18">
        <v>20003543352</v>
      </c>
      <c r="C2555" s="18" t="s">
        <v>7524</v>
      </c>
      <c r="D2555" s="19">
        <v>45945.609722222223</v>
      </c>
      <c r="E2555" s="19">
        <v>45961.465277777781</v>
      </c>
      <c r="F2555" s="18">
        <v>150</v>
      </c>
      <c r="G2555" s="19">
        <v>45982.491666666669</v>
      </c>
      <c r="H2555" s="18" t="s">
        <v>2657</v>
      </c>
      <c r="I2555" s="18" t="s">
        <v>10</v>
      </c>
      <c r="J2555" s="18" t="s">
        <v>4017</v>
      </c>
      <c r="K2555" s="20"/>
    </row>
    <row r="2556" spans="1:11" ht="72.75" thickBot="1">
      <c r="A2556" s="18" t="s">
        <v>7699</v>
      </c>
      <c r="B2556" s="18">
        <v>20028004104</v>
      </c>
      <c r="C2556" s="18" t="s">
        <v>1334</v>
      </c>
      <c r="D2556" s="19">
        <v>45960.427083333336</v>
      </c>
      <c r="E2556" s="19">
        <v>45961.581944444442</v>
      </c>
      <c r="F2556" s="18">
        <v>40</v>
      </c>
      <c r="G2556" s="19">
        <v>45973.445138888892</v>
      </c>
      <c r="H2556" s="18" t="s">
        <v>2657</v>
      </c>
      <c r="I2556" s="18" t="s">
        <v>10</v>
      </c>
      <c r="J2556" s="18" t="s">
        <v>4017</v>
      </c>
      <c r="K2556" s="20"/>
    </row>
    <row r="2557" spans="1:11" ht="72.75" thickBot="1">
      <c r="A2557" s="18" t="s">
        <v>7700</v>
      </c>
      <c r="B2557" s="18">
        <v>20028007921</v>
      </c>
      <c r="C2557" s="18" t="s">
        <v>7701</v>
      </c>
      <c r="D2557" s="19">
        <v>45940.612500000003</v>
      </c>
      <c r="E2557" s="19">
        <v>45961.638194444444</v>
      </c>
      <c r="F2557" s="18">
        <v>186</v>
      </c>
      <c r="G2557" s="19">
        <v>45965.459722222222</v>
      </c>
      <c r="H2557" s="18" t="s">
        <v>2657</v>
      </c>
      <c r="I2557" s="18" t="s">
        <v>10</v>
      </c>
      <c r="J2557" s="18" t="s">
        <v>4017</v>
      </c>
      <c r="K2557" s="20"/>
    </row>
    <row r="2558" spans="1:11" ht="36.75" thickBot="1">
      <c r="A2558" s="18" t="s">
        <v>7702</v>
      </c>
      <c r="B2558" s="18">
        <v>20003221712</v>
      </c>
      <c r="C2558" s="18" t="s">
        <v>6172</v>
      </c>
      <c r="D2558" s="19">
        <v>45960.74722222222</v>
      </c>
      <c r="E2558" s="19">
        <v>45961.722916666666</v>
      </c>
      <c r="F2558" s="18">
        <v>50</v>
      </c>
      <c r="G2558" s="19">
        <v>45972.597222222219</v>
      </c>
      <c r="H2558" s="18" t="s">
        <v>2654</v>
      </c>
      <c r="I2558" s="18" t="s">
        <v>10</v>
      </c>
      <c r="J2558" s="18" t="s">
        <v>4017</v>
      </c>
      <c r="K2558" s="20"/>
    </row>
    <row r="2559" spans="1:11" ht="36.75" thickBot="1">
      <c r="A2559" s="18" t="s">
        <v>7703</v>
      </c>
      <c r="B2559" s="18">
        <v>20016357134</v>
      </c>
      <c r="C2559" s="18" t="s">
        <v>7704</v>
      </c>
      <c r="D2559" s="19">
        <v>45913.57916666667</v>
      </c>
      <c r="E2559" s="19">
        <v>45964.425000000003</v>
      </c>
      <c r="F2559" s="18">
        <v>800</v>
      </c>
      <c r="G2559" s="19">
        <v>45972.660416666666</v>
      </c>
      <c r="H2559" s="18" t="s">
        <v>2654</v>
      </c>
      <c r="I2559" s="18" t="s">
        <v>10</v>
      </c>
      <c r="J2559" s="18" t="s">
        <v>4017</v>
      </c>
      <c r="K2559" s="20"/>
    </row>
    <row r="2560" spans="1:11" ht="36.75" thickBot="1">
      <c r="A2560" s="18" t="s">
        <v>7705</v>
      </c>
      <c r="B2560" s="18">
        <v>20017941508</v>
      </c>
      <c r="C2560" s="18" t="s">
        <v>7706</v>
      </c>
      <c r="D2560" s="19">
        <v>45913.572916666664</v>
      </c>
      <c r="E2560" s="19">
        <v>45964.425694444442</v>
      </c>
      <c r="F2560" s="18">
        <v>800</v>
      </c>
      <c r="G2560" s="19">
        <v>45972.65902777778</v>
      </c>
      <c r="H2560" s="18" t="s">
        <v>2654</v>
      </c>
      <c r="I2560" s="18" t="s">
        <v>10</v>
      </c>
      <c r="J2560" s="18" t="s">
        <v>4017</v>
      </c>
      <c r="K2560" s="20"/>
    </row>
    <row r="2561" spans="1:11" ht="36.75" thickBot="1">
      <c r="A2561" s="18" t="s">
        <v>7709</v>
      </c>
      <c r="B2561" s="18">
        <v>20021650756</v>
      </c>
      <c r="C2561" s="18" t="s">
        <v>5726</v>
      </c>
      <c r="D2561" s="19">
        <v>45891.67083333333</v>
      </c>
      <c r="E2561" s="19">
        <v>45964.68472222222</v>
      </c>
      <c r="F2561" s="18">
        <v>190</v>
      </c>
      <c r="G2561" s="18" t="s">
        <v>10</v>
      </c>
      <c r="H2561" s="18" t="s">
        <v>189</v>
      </c>
      <c r="I2561" s="18" t="s">
        <v>10</v>
      </c>
      <c r="J2561" s="18" t="s">
        <v>4017</v>
      </c>
      <c r="K2561" s="20"/>
    </row>
    <row r="2562" spans="1:11" ht="36.75" thickBot="1">
      <c r="A2562" s="18" t="s">
        <v>7710</v>
      </c>
      <c r="B2562" s="18">
        <v>20021200082</v>
      </c>
      <c r="C2562" s="18" t="s">
        <v>7711</v>
      </c>
      <c r="D2562" s="19">
        <v>45964.800000000003</v>
      </c>
      <c r="E2562" s="18" t="s">
        <v>10</v>
      </c>
      <c r="F2562" s="18">
        <v>433.3</v>
      </c>
      <c r="G2562" s="18" t="s">
        <v>10</v>
      </c>
      <c r="H2562" s="18" t="s">
        <v>178</v>
      </c>
      <c r="I2562" s="18" t="s">
        <v>10</v>
      </c>
      <c r="J2562" s="18" t="s">
        <v>4017</v>
      </c>
      <c r="K2562" s="20"/>
    </row>
    <row r="2563" spans="1:11" ht="36.75" thickBot="1">
      <c r="A2563" s="18" t="s">
        <v>7712</v>
      </c>
      <c r="B2563" s="18">
        <v>20023859100</v>
      </c>
      <c r="C2563" s="18" t="s">
        <v>4215</v>
      </c>
      <c r="D2563" s="19">
        <v>45964.895138888889</v>
      </c>
      <c r="E2563" s="18" t="s">
        <v>10</v>
      </c>
      <c r="F2563" s="18">
        <v>120</v>
      </c>
      <c r="G2563" s="18" t="s">
        <v>10</v>
      </c>
      <c r="H2563" s="18" t="s">
        <v>178</v>
      </c>
      <c r="I2563" s="18" t="s">
        <v>10</v>
      </c>
      <c r="J2563" s="18" t="s">
        <v>4017</v>
      </c>
      <c r="K2563" s="20"/>
    </row>
    <row r="2564" spans="1:11" ht="54.75" thickBot="1">
      <c r="A2564" s="18" t="s">
        <v>7713</v>
      </c>
      <c r="B2564" s="18">
        <v>20026187971</v>
      </c>
      <c r="C2564" s="18" t="s">
        <v>7714</v>
      </c>
      <c r="D2564" s="19">
        <v>45793.62222222222</v>
      </c>
      <c r="E2564" s="19">
        <v>45965.559027777781</v>
      </c>
      <c r="F2564" s="18">
        <v>800</v>
      </c>
      <c r="G2564" s="19">
        <v>45987.494444444441</v>
      </c>
      <c r="H2564" s="18" t="s">
        <v>2654</v>
      </c>
      <c r="I2564" s="18" t="s">
        <v>10</v>
      </c>
      <c r="J2564" s="18" t="s">
        <v>4017</v>
      </c>
      <c r="K2564" s="20"/>
    </row>
    <row r="2565" spans="1:11" ht="36.75" thickBot="1">
      <c r="A2565" s="18" t="s">
        <v>7715</v>
      </c>
      <c r="B2565" s="18">
        <v>20021603219</v>
      </c>
      <c r="C2565" s="18" t="s">
        <v>5347</v>
      </c>
      <c r="D2565" s="19">
        <v>45964.425694444442</v>
      </c>
      <c r="E2565" s="19">
        <v>45965.717361111114</v>
      </c>
      <c r="F2565" s="18">
        <v>300</v>
      </c>
      <c r="G2565" s="18" t="s">
        <v>10</v>
      </c>
      <c r="H2565" s="18" t="s">
        <v>189</v>
      </c>
      <c r="I2565" s="18" t="s">
        <v>10</v>
      </c>
      <c r="J2565" s="18" t="s">
        <v>4017</v>
      </c>
      <c r="K2565" s="20"/>
    </row>
    <row r="2566" spans="1:11" ht="36.75" thickBot="1">
      <c r="A2566" s="18" t="s">
        <v>7716</v>
      </c>
      <c r="B2566" s="18">
        <v>20020924519</v>
      </c>
      <c r="C2566" s="18" t="s">
        <v>216</v>
      </c>
      <c r="D2566" s="19">
        <v>45965.969444444447</v>
      </c>
      <c r="E2566" s="18" t="s">
        <v>10</v>
      </c>
      <c r="F2566" s="18">
        <v>27</v>
      </c>
      <c r="G2566" s="18" t="s">
        <v>10</v>
      </c>
      <c r="H2566" s="18" t="s">
        <v>235</v>
      </c>
      <c r="I2566" s="18" t="s">
        <v>10</v>
      </c>
      <c r="J2566" s="18" t="s">
        <v>4017</v>
      </c>
      <c r="K2566" s="20"/>
    </row>
    <row r="2567" spans="1:11" ht="36.75" thickBot="1">
      <c r="A2567" s="18" t="s">
        <v>7720</v>
      </c>
      <c r="B2567" s="18">
        <v>20017305594</v>
      </c>
      <c r="C2567" s="18" t="s">
        <v>6362</v>
      </c>
      <c r="D2567" s="19">
        <v>45966.394444444442</v>
      </c>
      <c r="E2567" s="18" t="s">
        <v>10</v>
      </c>
      <c r="F2567" s="18">
        <v>36</v>
      </c>
      <c r="G2567" s="18" t="s">
        <v>10</v>
      </c>
      <c r="H2567" s="18" t="s">
        <v>178</v>
      </c>
      <c r="I2567" s="18" t="s">
        <v>10</v>
      </c>
      <c r="J2567" s="18" t="s">
        <v>4017</v>
      </c>
      <c r="K2567" s="20"/>
    </row>
    <row r="2568" spans="1:11" ht="36.75" thickBot="1">
      <c r="A2568" s="18" t="s">
        <v>7723</v>
      </c>
      <c r="B2568" s="18">
        <v>20020054286</v>
      </c>
      <c r="C2568" s="18" t="s">
        <v>7724</v>
      </c>
      <c r="D2568" s="19">
        <v>45940.413888888892</v>
      </c>
      <c r="E2568" s="19">
        <v>45966.415277777778</v>
      </c>
      <c r="F2568" s="18">
        <v>350</v>
      </c>
      <c r="G2568" s="19">
        <v>45988.630555555559</v>
      </c>
      <c r="H2568" s="18" t="s">
        <v>2654</v>
      </c>
      <c r="I2568" s="18" t="s">
        <v>10</v>
      </c>
      <c r="J2568" s="18" t="s">
        <v>4017</v>
      </c>
      <c r="K2568" s="20"/>
    </row>
    <row r="2569" spans="1:11" ht="36.75" thickBot="1">
      <c r="A2569" s="18" t="s">
        <v>7729</v>
      </c>
      <c r="B2569" s="18">
        <v>20017689281</v>
      </c>
      <c r="C2569" s="18" t="s">
        <v>7730</v>
      </c>
      <c r="D2569" s="19">
        <v>45966.62222222222</v>
      </c>
      <c r="E2569" s="18" t="s">
        <v>10</v>
      </c>
      <c r="F2569" s="18">
        <v>45</v>
      </c>
      <c r="G2569" s="18" t="s">
        <v>10</v>
      </c>
      <c r="H2569" s="23" t="s">
        <v>2656</v>
      </c>
      <c r="I2569" s="18" t="s">
        <v>10</v>
      </c>
      <c r="J2569" s="18" t="s">
        <v>4017</v>
      </c>
      <c r="K2569" s="20"/>
    </row>
    <row r="2570" spans="1:11" ht="36.75" thickBot="1">
      <c r="A2570" s="18" t="s">
        <v>7737</v>
      </c>
      <c r="B2570" s="18">
        <v>20020271650</v>
      </c>
      <c r="C2570" s="18" t="s">
        <v>7738</v>
      </c>
      <c r="D2570" s="19">
        <v>45965.484027777777</v>
      </c>
      <c r="E2570" s="19">
        <v>45967.349305555559</v>
      </c>
      <c r="F2570" s="18">
        <v>125</v>
      </c>
      <c r="G2570" s="19">
        <v>45979.443749999999</v>
      </c>
      <c r="H2570" s="18" t="s">
        <v>2654</v>
      </c>
      <c r="I2570" s="18" t="s">
        <v>10</v>
      </c>
      <c r="J2570" s="18" t="s">
        <v>4017</v>
      </c>
      <c r="K2570" s="20"/>
    </row>
    <row r="2571" spans="1:11" ht="36.75" thickBot="1">
      <c r="A2571" s="18" t="s">
        <v>7739</v>
      </c>
      <c r="B2571" s="18">
        <v>20003168244</v>
      </c>
      <c r="C2571" s="18" t="s">
        <v>7148</v>
      </c>
      <c r="D2571" s="19">
        <v>45771.659722222219</v>
      </c>
      <c r="E2571" s="19">
        <v>45967.352083333331</v>
      </c>
      <c r="F2571" s="18">
        <v>800</v>
      </c>
      <c r="G2571" s="18" t="s">
        <v>10</v>
      </c>
      <c r="H2571" s="18" t="s">
        <v>189</v>
      </c>
      <c r="I2571" s="18" t="s">
        <v>10</v>
      </c>
      <c r="J2571" s="18" t="s">
        <v>4017</v>
      </c>
      <c r="K2571" s="20"/>
    </row>
    <row r="2572" spans="1:11" ht="36.75" thickBot="1">
      <c r="A2572" s="18" t="s">
        <v>7740</v>
      </c>
      <c r="B2572" s="18">
        <v>20023482964</v>
      </c>
      <c r="C2572" s="18" t="s">
        <v>7741</v>
      </c>
      <c r="D2572" s="19">
        <v>45939.584722222222</v>
      </c>
      <c r="E2572" s="19">
        <v>45967.365277777775</v>
      </c>
      <c r="F2572" s="18">
        <v>600</v>
      </c>
      <c r="G2572" s="19">
        <v>45973.487500000003</v>
      </c>
      <c r="H2572" s="18" t="s">
        <v>2654</v>
      </c>
      <c r="I2572" s="18" t="s">
        <v>10</v>
      </c>
      <c r="J2572" s="18" t="s">
        <v>4017</v>
      </c>
      <c r="K2572" s="20"/>
    </row>
    <row r="2573" spans="1:11" ht="54.75" thickBot="1">
      <c r="A2573" s="18" t="s">
        <v>7742</v>
      </c>
      <c r="B2573" s="18">
        <v>20028194313</v>
      </c>
      <c r="C2573" s="18" t="s">
        <v>6451</v>
      </c>
      <c r="D2573" s="19">
        <v>45967.410416666666</v>
      </c>
      <c r="E2573" s="18" t="s">
        <v>10</v>
      </c>
      <c r="F2573" s="18">
        <v>20</v>
      </c>
      <c r="G2573" s="18" t="s">
        <v>10</v>
      </c>
      <c r="H2573" s="18" t="s">
        <v>178</v>
      </c>
      <c r="I2573" s="18" t="s">
        <v>10</v>
      </c>
      <c r="J2573" s="18" t="s">
        <v>4017</v>
      </c>
      <c r="K2573" s="20"/>
    </row>
    <row r="2574" spans="1:11" ht="54.75" thickBot="1">
      <c r="A2574" s="18" t="s">
        <v>7743</v>
      </c>
      <c r="B2574" s="18">
        <v>20028194366</v>
      </c>
      <c r="C2574" s="18" t="s">
        <v>6451</v>
      </c>
      <c r="D2574" s="19">
        <v>45967.42291666667</v>
      </c>
      <c r="E2574" s="18" t="s">
        <v>10</v>
      </c>
      <c r="F2574" s="18">
        <v>20</v>
      </c>
      <c r="G2574" s="18" t="s">
        <v>10</v>
      </c>
      <c r="H2574" s="18" t="s">
        <v>178</v>
      </c>
      <c r="I2574" s="18" t="s">
        <v>10</v>
      </c>
      <c r="J2574" s="18" t="s">
        <v>4017</v>
      </c>
      <c r="K2574" s="20"/>
    </row>
    <row r="2575" spans="1:11" ht="54.75" thickBot="1">
      <c r="A2575" s="18" t="s">
        <v>7744</v>
      </c>
      <c r="B2575" s="18">
        <v>20028194292</v>
      </c>
      <c r="C2575" s="18" t="s">
        <v>6451</v>
      </c>
      <c r="D2575" s="19">
        <v>45967.445833333331</v>
      </c>
      <c r="E2575" s="18" t="s">
        <v>10</v>
      </c>
      <c r="F2575" s="18">
        <v>20</v>
      </c>
      <c r="G2575" s="18" t="s">
        <v>10</v>
      </c>
      <c r="H2575" s="18" t="s">
        <v>178</v>
      </c>
      <c r="I2575" s="18" t="s">
        <v>10</v>
      </c>
      <c r="J2575" s="18" t="s">
        <v>4017</v>
      </c>
      <c r="K2575" s="20"/>
    </row>
    <row r="2576" spans="1:11" ht="54.75" thickBot="1">
      <c r="A2576" s="18" t="s">
        <v>7746</v>
      </c>
      <c r="B2576" s="18">
        <v>20028194369</v>
      </c>
      <c r="C2576" s="18" t="s">
        <v>6451</v>
      </c>
      <c r="D2576" s="19">
        <v>45967.480555555558</v>
      </c>
      <c r="E2576" s="18" t="s">
        <v>10</v>
      </c>
      <c r="F2576" s="18">
        <v>20</v>
      </c>
      <c r="G2576" s="18" t="s">
        <v>10</v>
      </c>
      <c r="H2576" s="18" t="s">
        <v>178</v>
      </c>
      <c r="I2576" s="18" t="s">
        <v>10</v>
      </c>
      <c r="J2576" s="18" t="s">
        <v>4017</v>
      </c>
      <c r="K2576" s="20"/>
    </row>
    <row r="2577" spans="1:11" ht="54.75" thickBot="1">
      <c r="A2577" s="18" t="s">
        <v>7747</v>
      </c>
      <c r="B2577" s="18">
        <v>20023272249</v>
      </c>
      <c r="C2577" s="18" t="s">
        <v>7748</v>
      </c>
      <c r="D2577" s="19">
        <v>45967.57708333333</v>
      </c>
      <c r="E2577" s="18" t="s">
        <v>10</v>
      </c>
      <c r="F2577" s="18">
        <v>50</v>
      </c>
      <c r="G2577" s="18" t="s">
        <v>10</v>
      </c>
      <c r="H2577" s="18" t="s">
        <v>178</v>
      </c>
      <c r="I2577" s="18" t="s">
        <v>10</v>
      </c>
      <c r="J2577" s="18" t="s">
        <v>4017</v>
      </c>
      <c r="K2577" s="20"/>
    </row>
    <row r="2578" spans="1:11" ht="36.75" thickBot="1">
      <c r="A2578" s="18" t="s">
        <v>7749</v>
      </c>
      <c r="B2578" s="18">
        <v>20003185632</v>
      </c>
      <c r="C2578" s="18" t="s">
        <v>7750</v>
      </c>
      <c r="D2578" s="19">
        <v>45947.560416666667</v>
      </c>
      <c r="E2578" s="19">
        <v>45967.590277777781</v>
      </c>
      <c r="F2578" s="18">
        <v>30</v>
      </c>
      <c r="G2578" s="19">
        <v>45989.395138888889</v>
      </c>
      <c r="H2578" s="18" t="s">
        <v>2654</v>
      </c>
      <c r="I2578" s="18" t="s">
        <v>10</v>
      </c>
      <c r="J2578" s="18" t="s">
        <v>4017</v>
      </c>
      <c r="K2578" s="20"/>
    </row>
    <row r="2579" spans="1:11" ht="36.75" thickBot="1">
      <c r="A2579" s="18" t="s">
        <v>7751</v>
      </c>
      <c r="B2579" s="18">
        <v>20002868572</v>
      </c>
      <c r="C2579" s="18" t="s">
        <v>7752</v>
      </c>
      <c r="D2579" s="19">
        <v>45967.636805555558</v>
      </c>
      <c r="E2579" s="18" t="s">
        <v>10</v>
      </c>
      <c r="F2579" s="18">
        <v>300</v>
      </c>
      <c r="G2579" s="18" t="s">
        <v>10</v>
      </c>
      <c r="H2579" s="18" t="s">
        <v>178</v>
      </c>
      <c r="I2579" s="18" t="s">
        <v>10</v>
      </c>
      <c r="J2579" s="18" t="s">
        <v>4017</v>
      </c>
      <c r="K2579" s="20"/>
    </row>
    <row r="2580" spans="1:11" ht="36.75" thickBot="1">
      <c r="A2580" s="18" t="s">
        <v>7753</v>
      </c>
      <c r="B2580" s="18">
        <v>20003123611</v>
      </c>
      <c r="C2580" s="18" t="s">
        <v>7754</v>
      </c>
      <c r="D2580" s="19">
        <v>45967.655555555553</v>
      </c>
      <c r="E2580" s="18" t="s">
        <v>10</v>
      </c>
      <c r="F2580" s="18">
        <v>150</v>
      </c>
      <c r="G2580" s="18" t="s">
        <v>10</v>
      </c>
      <c r="H2580" s="18" t="s">
        <v>178</v>
      </c>
      <c r="I2580" s="18" t="s">
        <v>10</v>
      </c>
      <c r="J2580" s="18" t="s">
        <v>4017</v>
      </c>
      <c r="K2580" s="20"/>
    </row>
    <row r="2581" spans="1:11" ht="36.75" thickBot="1">
      <c r="A2581" s="18" t="s">
        <v>7758</v>
      </c>
      <c r="B2581" s="18">
        <v>20003405881</v>
      </c>
      <c r="C2581" s="18" t="s">
        <v>7759</v>
      </c>
      <c r="D2581" s="19">
        <v>45968.569444444445</v>
      </c>
      <c r="E2581" s="18" t="s">
        <v>10</v>
      </c>
      <c r="F2581" s="18">
        <v>600</v>
      </c>
      <c r="G2581" s="18" t="s">
        <v>10</v>
      </c>
      <c r="H2581" s="18" t="s">
        <v>178</v>
      </c>
      <c r="I2581" s="18" t="s">
        <v>10</v>
      </c>
      <c r="J2581" s="18" t="s">
        <v>4017</v>
      </c>
      <c r="K2581" s="20"/>
    </row>
    <row r="2582" spans="1:11" ht="36.75" thickBot="1">
      <c r="A2582" s="18" t="s">
        <v>8011</v>
      </c>
      <c r="B2582" s="18">
        <v>20003213259</v>
      </c>
      <c r="C2582" s="18" t="s">
        <v>8012</v>
      </c>
      <c r="D2582" s="19">
        <v>45968.925694444442</v>
      </c>
      <c r="E2582" s="18" t="s">
        <v>10</v>
      </c>
      <c r="F2582" s="18">
        <v>5</v>
      </c>
      <c r="G2582" s="18" t="s">
        <v>10</v>
      </c>
      <c r="H2582" s="18" t="s">
        <v>178</v>
      </c>
      <c r="I2582" s="18" t="s">
        <v>10</v>
      </c>
      <c r="J2582" s="18" t="s">
        <v>4017</v>
      </c>
      <c r="K2582" s="20"/>
    </row>
    <row r="2583" spans="1:11" ht="36.75" thickBot="1">
      <c r="A2583" s="18" t="s">
        <v>7692</v>
      </c>
      <c r="B2583" s="18">
        <v>20026378415</v>
      </c>
      <c r="C2583" s="18" t="s">
        <v>7693</v>
      </c>
      <c r="D2583" s="19">
        <v>45960.448611111111</v>
      </c>
      <c r="E2583" s="19">
        <v>45969.646527777775</v>
      </c>
      <c r="F2583" s="18">
        <v>50</v>
      </c>
      <c r="G2583" s="18" t="s">
        <v>10</v>
      </c>
      <c r="H2583" s="18" t="s">
        <v>189</v>
      </c>
      <c r="I2583" s="18" t="s">
        <v>10</v>
      </c>
      <c r="J2583" s="18" t="s">
        <v>4017</v>
      </c>
      <c r="K2583" s="20"/>
    </row>
    <row r="2584" spans="1:11" ht="36.75" thickBot="1">
      <c r="A2584" s="18" t="s">
        <v>8013</v>
      </c>
      <c r="B2584" s="18">
        <v>20003290222</v>
      </c>
      <c r="C2584" s="18" t="s">
        <v>7575</v>
      </c>
      <c r="D2584" s="19">
        <v>45971.40347222222</v>
      </c>
      <c r="E2584" s="18" t="s">
        <v>10</v>
      </c>
      <c r="F2584" s="18">
        <v>650</v>
      </c>
      <c r="G2584" s="18" t="s">
        <v>10</v>
      </c>
      <c r="H2584" s="25" t="s">
        <v>2656</v>
      </c>
      <c r="I2584" s="18" t="s">
        <v>10</v>
      </c>
      <c r="J2584" s="18" t="s">
        <v>4017</v>
      </c>
      <c r="K2584" s="20"/>
    </row>
    <row r="2585" spans="1:11" ht="36.75" thickBot="1">
      <c r="A2585" s="18" t="s">
        <v>8014</v>
      </c>
      <c r="B2585" s="18">
        <v>20003159543</v>
      </c>
      <c r="C2585" s="18" t="s">
        <v>7404</v>
      </c>
      <c r="D2585" s="19">
        <v>45971.480555555558</v>
      </c>
      <c r="E2585" s="18" t="s">
        <v>10</v>
      </c>
      <c r="F2585" s="18">
        <v>850</v>
      </c>
      <c r="G2585" s="18" t="s">
        <v>10</v>
      </c>
      <c r="H2585" s="25" t="s">
        <v>2656</v>
      </c>
      <c r="I2585" s="18" t="s">
        <v>10</v>
      </c>
      <c r="J2585" s="18" t="s">
        <v>4017</v>
      </c>
      <c r="K2585" s="20"/>
    </row>
    <row r="2586" spans="1:11" ht="36.75" thickBot="1">
      <c r="A2586" s="18" t="s">
        <v>8015</v>
      </c>
      <c r="B2586" s="18">
        <v>20019785307</v>
      </c>
      <c r="C2586" s="18" t="s">
        <v>8016</v>
      </c>
      <c r="D2586" s="19">
        <v>45971.611805555556</v>
      </c>
      <c r="E2586" s="18" t="s">
        <v>10</v>
      </c>
      <c r="F2586" s="18">
        <v>15</v>
      </c>
      <c r="G2586" s="18" t="s">
        <v>10</v>
      </c>
      <c r="H2586" s="23" t="s">
        <v>2656</v>
      </c>
      <c r="I2586" s="18" t="s">
        <v>10</v>
      </c>
      <c r="J2586" s="18" t="s">
        <v>4017</v>
      </c>
      <c r="K2586" s="20"/>
    </row>
    <row r="2587" spans="1:11" ht="36.75" thickBot="1">
      <c r="A2587" s="18" t="s">
        <v>7725</v>
      </c>
      <c r="B2587" s="18">
        <v>20025320106</v>
      </c>
      <c r="C2587" s="18" t="s">
        <v>7726</v>
      </c>
      <c r="D2587" s="19">
        <v>45958.644444444442</v>
      </c>
      <c r="E2587" s="19">
        <v>45971.661111111112</v>
      </c>
      <c r="F2587" s="18">
        <v>100</v>
      </c>
      <c r="G2587" s="19">
        <v>45982.554861111108</v>
      </c>
      <c r="H2587" s="18" t="s">
        <v>2654</v>
      </c>
      <c r="I2587" s="18" t="s">
        <v>10</v>
      </c>
      <c r="J2587" s="18" t="s">
        <v>4017</v>
      </c>
      <c r="K2587" s="20"/>
    </row>
    <row r="2588" spans="1:11" ht="36.75" thickBot="1">
      <c r="A2588" s="18" t="s">
        <v>7734</v>
      </c>
      <c r="B2588" s="18">
        <v>20003162600</v>
      </c>
      <c r="C2588" s="18" t="s">
        <v>4107</v>
      </c>
      <c r="D2588" s="19">
        <v>45912.556250000001</v>
      </c>
      <c r="E2588" s="19">
        <v>45971.700694444444</v>
      </c>
      <c r="F2588" s="18">
        <v>900</v>
      </c>
      <c r="G2588" s="19">
        <v>45985.595833333333</v>
      </c>
      <c r="H2588" s="18" t="s">
        <v>2654</v>
      </c>
      <c r="I2588" s="18" t="s">
        <v>10</v>
      </c>
      <c r="J2588" s="18" t="s">
        <v>4017</v>
      </c>
      <c r="K2588" s="20"/>
    </row>
    <row r="2589" spans="1:11" ht="36.75" thickBot="1">
      <c r="A2589" s="18" t="s">
        <v>7614</v>
      </c>
      <c r="B2589" s="18">
        <v>20003559703</v>
      </c>
      <c r="C2589" s="18" t="s">
        <v>7615</v>
      </c>
      <c r="D2589" s="19">
        <v>45951.495833333334</v>
      </c>
      <c r="E2589" s="19">
        <v>45972.34375</v>
      </c>
      <c r="F2589" s="18">
        <v>750</v>
      </c>
      <c r="G2589" s="19">
        <v>45988.484722222223</v>
      </c>
      <c r="H2589" s="18" t="s">
        <v>2654</v>
      </c>
      <c r="I2589" s="18" t="s">
        <v>10</v>
      </c>
      <c r="J2589" s="18" t="s">
        <v>4017</v>
      </c>
      <c r="K2589" s="20"/>
    </row>
    <row r="2590" spans="1:11" ht="36.75" thickBot="1">
      <c r="A2590" s="18" t="s">
        <v>8017</v>
      </c>
      <c r="B2590" s="18">
        <v>20010773652</v>
      </c>
      <c r="C2590" s="18" t="s">
        <v>6759</v>
      </c>
      <c r="D2590" s="19">
        <v>45972.427083333336</v>
      </c>
      <c r="E2590" s="18" t="s">
        <v>10</v>
      </c>
      <c r="F2590" s="18">
        <v>425</v>
      </c>
      <c r="G2590" s="18" t="s">
        <v>10</v>
      </c>
      <c r="H2590" s="25" t="s">
        <v>2656</v>
      </c>
      <c r="I2590" s="18" t="s">
        <v>10</v>
      </c>
      <c r="J2590" s="18" t="s">
        <v>4017</v>
      </c>
      <c r="K2590" s="20"/>
    </row>
    <row r="2591" spans="1:11" ht="36.75" thickBot="1">
      <c r="A2591" s="18" t="s">
        <v>8018</v>
      </c>
      <c r="B2591" s="18">
        <v>20003401647</v>
      </c>
      <c r="C2591" s="18" t="s">
        <v>3279</v>
      </c>
      <c r="D2591" s="19">
        <v>45972.428472222222</v>
      </c>
      <c r="E2591" s="18" t="s">
        <v>10</v>
      </c>
      <c r="F2591" s="18">
        <v>5</v>
      </c>
      <c r="G2591" s="18" t="s">
        <v>10</v>
      </c>
      <c r="H2591" s="18" t="s">
        <v>178</v>
      </c>
      <c r="I2591" s="18" t="s">
        <v>10</v>
      </c>
      <c r="J2591" s="18" t="s">
        <v>4017</v>
      </c>
      <c r="K2591" s="20"/>
    </row>
    <row r="2592" spans="1:11" ht="36.75" thickBot="1">
      <c r="A2592" s="18" t="s">
        <v>7657</v>
      </c>
      <c r="B2592" s="18">
        <v>20003463150</v>
      </c>
      <c r="C2592" s="18" t="s">
        <v>7658</v>
      </c>
      <c r="D2592" s="19">
        <v>45957.61041666667</v>
      </c>
      <c r="E2592" s="19">
        <v>45972.502083333333</v>
      </c>
      <c r="F2592" s="18">
        <v>150</v>
      </c>
      <c r="G2592" s="18" t="s">
        <v>10</v>
      </c>
      <c r="H2592" s="18" t="s">
        <v>189</v>
      </c>
      <c r="I2592" s="18" t="s">
        <v>10</v>
      </c>
      <c r="J2592" s="18" t="s">
        <v>4017</v>
      </c>
      <c r="K2592" s="20"/>
    </row>
    <row r="2593" spans="1:11" ht="36.75" thickBot="1">
      <c r="A2593" s="18" t="s">
        <v>8019</v>
      </c>
      <c r="B2593" s="18">
        <v>20002874218</v>
      </c>
      <c r="C2593" s="18" t="s">
        <v>7711</v>
      </c>
      <c r="D2593" s="19">
        <v>45972.618055555555</v>
      </c>
      <c r="E2593" s="18" t="s">
        <v>10</v>
      </c>
      <c r="F2593" s="18">
        <v>500</v>
      </c>
      <c r="G2593" s="18" t="s">
        <v>10</v>
      </c>
      <c r="H2593" s="25" t="s">
        <v>2656</v>
      </c>
      <c r="I2593" s="18" t="s">
        <v>10</v>
      </c>
      <c r="J2593" s="18" t="s">
        <v>4017</v>
      </c>
      <c r="K2593" s="20"/>
    </row>
    <row r="2594" spans="1:11" ht="36.75" thickBot="1">
      <c r="A2594" s="18" t="s">
        <v>8020</v>
      </c>
      <c r="B2594" s="18">
        <v>20002954020</v>
      </c>
      <c r="C2594" s="18" t="s">
        <v>4963</v>
      </c>
      <c r="D2594" s="19">
        <v>45972.693749999999</v>
      </c>
      <c r="E2594" s="18" t="s">
        <v>10</v>
      </c>
      <c r="F2594" s="18">
        <v>300</v>
      </c>
      <c r="G2594" s="18" t="s">
        <v>10</v>
      </c>
      <c r="H2594" s="18" t="s">
        <v>235</v>
      </c>
      <c r="I2594" s="18" t="s">
        <v>10</v>
      </c>
      <c r="J2594" s="18" t="s">
        <v>4017</v>
      </c>
      <c r="K2594" s="20"/>
    </row>
    <row r="2595" spans="1:11" ht="36.75" thickBot="1">
      <c r="A2595" s="18" t="s">
        <v>8021</v>
      </c>
      <c r="B2595" s="18">
        <v>20027473457</v>
      </c>
      <c r="C2595" s="18" t="s">
        <v>4542</v>
      </c>
      <c r="D2595" s="19">
        <v>45973.476388888892</v>
      </c>
      <c r="E2595" s="18" t="s">
        <v>10</v>
      </c>
      <c r="F2595" s="18">
        <v>133.30000000000001</v>
      </c>
      <c r="G2595" s="18" t="s">
        <v>10</v>
      </c>
      <c r="H2595" s="18" t="s">
        <v>235</v>
      </c>
      <c r="I2595" s="18" t="s">
        <v>10</v>
      </c>
      <c r="J2595" s="18" t="s">
        <v>4017</v>
      </c>
      <c r="K2595" s="20"/>
    </row>
    <row r="2596" spans="1:11" ht="36.75" thickBot="1">
      <c r="A2596" s="18" t="s">
        <v>7717</v>
      </c>
      <c r="B2596" s="18">
        <v>20016393865</v>
      </c>
      <c r="C2596" s="18" t="s">
        <v>7718</v>
      </c>
      <c r="D2596" s="19">
        <v>45960.913888888892</v>
      </c>
      <c r="E2596" s="19">
        <v>45973.480555555558</v>
      </c>
      <c r="F2596" s="18">
        <v>50</v>
      </c>
      <c r="G2596" s="19">
        <v>45981.581250000003</v>
      </c>
      <c r="H2596" s="18" t="s">
        <v>2654</v>
      </c>
      <c r="I2596" s="18" t="s">
        <v>10</v>
      </c>
      <c r="J2596" s="18" t="s">
        <v>4017</v>
      </c>
      <c r="K2596" s="20"/>
    </row>
    <row r="2597" spans="1:11" ht="36.75" thickBot="1">
      <c r="A2597" s="18" t="s">
        <v>8022</v>
      </c>
      <c r="B2597" s="18">
        <v>20018724673</v>
      </c>
      <c r="C2597" s="18" t="s">
        <v>8023</v>
      </c>
      <c r="D2597" s="19">
        <v>45973.578472222223</v>
      </c>
      <c r="E2597" s="18" t="s">
        <v>10</v>
      </c>
      <c r="F2597" s="18">
        <v>350</v>
      </c>
      <c r="G2597" s="18" t="s">
        <v>10</v>
      </c>
      <c r="H2597" s="25" t="s">
        <v>2656</v>
      </c>
      <c r="I2597" s="18" t="s">
        <v>10</v>
      </c>
      <c r="J2597" s="18" t="s">
        <v>4017</v>
      </c>
      <c r="K2597" s="20"/>
    </row>
    <row r="2598" spans="1:11" ht="54.75" thickBot="1">
      <c r="A2598" s="18" t="s">
        <v>7719</v>
      </c>
      <c r="B2598" s="18">
        <v>20002656211</v>
      </c>
      <c r="C2598" s="18" t="s">
        <v>5999</v>
      </c>
      <c r="D2598" s="19">
        <v>45954.692361111112</v>
      </c>
      <c r="E2598" s="19">
        <v>45973.686111111114</v>
      </c>
      <c r="F2598" s="18">
        <v>30</v>
      </c>
      <c r="G2598" s="18" t="s">
        <v>10</v>
      </c>
      <c r="H2598" s="18" t="s">
        <v>189</v>
      </c>
      <c r="I2598" s="18" t="s">
        <v>10</v>
      </c>
      <c r="J2598" s="18" t="s">
        <v>4017</v>
      </c>
      <c r="K2598" s="20"/>
    </row>
    <row r="2599" spans="1:11" ht="54.75" thickBot="1">
      <c r="A2599" s="18" t="s">
        <v>7670</v>
      </c>
      <c r="B2599" s="18">
        <v>20003437636</v>
      </c>
      <c r="C2599" s="18" t="s">
        <v>6695</v>
      </c>
      <c r="D2599" s="19">
        <v>45958.65</v>
      </c>
      <c r="E2599" s="19">
        <v>45973.703472222223</v>
      </c>
      <c r="F2599" s="18">
        <v>625</v>
      </c>
      <c r="G2599" s="18" t="s">
        <v>10</v>
      </c>
      <c r="H2599" s="18" t="s">
        <v>235</v>
      </c>
      <c r="I2599" s="18" t="s">
        <v>10</v>
      </c>
      <c r="J2599" s="18" t="s">
        <v>4017</v>
      </c>
      <c r="K2599" s="20"/>
    </row>
    <row r="2600" spans="1:11" ht="36.75" thickBot="1">
      <c r="A2600" s="18" t="s">
        <v>8024</v>
      </c>
      <c r="B2600" s="18">
        <v>20021984722</v>
      </c>
      <c r="C2600" s="18" t="s">
        <v>5118</v>
      </c>
      <c r="D2600" s="19">
        <v>45973.867361111108</v>
      </c>
      <c r="E2600" s="18" t="s">
        <v>10</v>
      </c>
      <c r="F2600" s="18">
        <v>100</v>
      </c>
      <c r="G2600" s="18" t="s">
        <v>10</v>
      </c>
      <c r="H2600" s="18" t="s">
        <v>235</v>
      </c>
      <c r="I2600" s="18" t="s">
        <v>10</v>
      </c>
      <c r="J2600" s="18" t="s">
        <v>4017</v>
      </c>
      <c r="K2600" s="20"/>
    </row>
    <row r="2601" spans="1:11" ht="36.75" thickBot="1">
      <c r="A2601" s="18" t="s">
        <v>8025</v>
      </c>
      <c r="B2601" s="18">
        <v>20019260811</v>
      </c>
      <c r="C2601" s="18" t="s">
        <v>8026</v>
      </c>
      <c r="D2601" s="19">
        <v>45974.458333333336</v>
      </c>
      <c r="E2601" s="18" t="s">
        <v>10</v>
      </c>
      <c r="F2601" s="18">
        <v>700</v>
      </c>
      <c r="G2601" s="18" t="s">
        <v>10</v>
      </c>
      <c r="H2601" s="25" t="s">
        <v>2656</v>
      </c>
      <c r="I2601" s="18" t="s">
        <v>10</v>
      </c>
      <c r="J2601" s="18" t="s">
        <v>4017</v>
      </c>
      <c r="K2601" s="1"/>
    </row>
    <row r="2602" spans="1:11" ht="36.75" thickBot="1">
      <c r="A2602" s="21" t="s">
        <v>8046</v>
      </c>
      <c r="B2602" s="21">
        <v>20025398263</v>
      </c>
      <c r="C2602" s="21" t="s">
        <v>6768</v>
      </c>
      <c r="D2602" s="22">
        <v>45974.556250000001</v>
      </c>
      <c r="E2602" s="21" t="s">
        <v>10</v>
      </c>
      <c r="F2602" s="21">
        <v>400</v>
      </c>
      <c r="G2602" s="21" t="s">
        <v>10</v>
      </c>
      <c r="H2602" s="21" t="s">
        <v>235</v>
      </c>
      <c r="I2602" s="21" t="s">
        <v>10</v>
      </c>
      <c r="J2602" s="21" t="s">
        <v>4017</v>
      </c>
      <c r="K2602" s="20"/>
    </row>
    <row r="2603" spans="1:11" ht="36.75" thickBot="1">
      <c r="A2603" s="18" t="s">
        <v>8047</v>
      </c>
      <c r="B2603" s="18">
        <v>20020311950</v>
      </c>
      <c r="C2603" s="18" t="s">
        <v>8048</v>
      </c>
      <c r="D2603" s="19">
        <v>45974.686805555553</v>
      </c>
      <c r="E2603" s="18" t="s">
        <v>10</v>
      </c>
      <c r="F2603" s="18">
        <v>100</v>
      </c>
      <c r="G2603" s="18" t="s">
        <v>10</v>
      </c>
      <c r="H2603" s="18" t="s">
        <v>235</v>
      </c>
      <c r="I2603" s="18" t="s">
        <v>10</v>
      </c>
      <c r="J2603" s="18" t="s">
        <v>4017</v>
      </c>
      <c r="K2603" s="20"/>
    </row>
    <row r="2604" spans="1:11" ht="36.75" thickBot="1">
      <c r="A2604" s="18" t="s">
        <v>8049</v>
      </c>
      <c r="B2604" s="18">
        <v>20003213259</v>
      </c>
      <c r="C2604" s="18" t="s">
        <v>8012</v>
      </c>
      <c r="D2604" s="19">
        <v>45971.979861111111</v>
      </c>
      <c r="E2604" s="19">
        <v>45974.904166666667</v>
      </c>
      <c r="F2604" s="18">
        <v>5</v>
      </c>
      <c r="G2604" s="18" t="s">
        <v>10</v>
      </c>
      <c r="H2604" s="18" t="s">
        <v>178</v>
      </c>
      <c r="I2604" s="18" t="s">
        <v>10</v>
      </c>
      <c r="J2604" s="18" t="s">
        <v>4017</v>
      </c>
      <c r="K2604" s="20"/>
    </row>
    <row r="2605" spans="1:11" ht="36.75" thickBot="1">
      <c r="A2605" s="18" t="s">
        <v>7609</v>
      </c>
      <c r="B2605" s="18">
        <v>20027653190</v>
      </c>
      <c r="C2605" s="18" t="s">
        <v>8050</v>
      </c>
      <c r="D2605" s="19">
        <v>45950.660416666666</v>
      </c>
      <c r="E2605" s="19">
        <v>45974.916666666664</v>
      </c>
      <c r="F2605" s="18">
        <v>600</v>
      </c>
      <c r="G2605" s="18" t="s">
        <v>10</v>
      </c>
      <c r="H2605" s="18" t="s">
        <v>235</v>
      </c>
      <c r="I2605" s="18" t="s">
        <v>10</v>
      </c>
      <c r="J2605" s="18" t="s">
        <v>4017</v>
      </c>
      <c r="K2605" s="20"/>
    </row>
    <row r="2606" spans="1:11" ht="36.75" thickBot="1">
      <c r="A2606" s="18" t="s">
        <v>7622</v>
      </c>
      <c r="B2606" s="18">
        <v>20028074456</v>
      </c>
      <c r="C2606" s="18" t="s">
        <v>5141</v>
      </c>
      <c r="D2606" s="19">
        <v>45951.65347222222</v>
      </c>
      <c r="E2606" s="19">
        <v>45975.4</v>
      </c>
      <c r="F2606" s="18">
        <v>900</v>
      </c>
      <c r="G2606" s="18" t="s">
        <v>10</v>
      </c>
      <c r="H2606" s="18" t="s">
        <v>2656</v>
      </c>
      <c r="I2606" s="18" t="s">
        <v>10</v>
      </c>
      <c r="J2606" s="18" t="s">
        <v>4017</v>
      </c>
      <c r="K2606" s="20"/>
    </row>
    <row r="2607" spans="1:11" ht="36.75" thickBot="1">
      <c r="A2607" s="18" t="s">
        <v>7761</v>
      </c>
      <c r="B2607" s="18">
        <v>20003264581</v>
      </c>
      <c r="C2607" s="18" t="s">
        <v>7512</v>
      </c>
      <c r="D2607" s="19">
        <v>45953.611111111109</v>
      </c>
      <c r="E2607" s="19">
        <v>45975.494444444441</v>
      </c>
      <c r="F2607" s="18">
        <v>50</v>
      </c>
      <c r="G2607" s="18" t="s">
        <v>10</v>
      </c>
      <c r="H2607" s="18" t="s">
        <v>189</v>
      </c>
      <c r="I2607" s="18" t="s">
        <v>10</v>
      </c>
      <c r="J2607" s="18" t="s">
        <v>4017</v>
      </c>
      <c r="K2607" s="20"/>
    </row>
    <row r="2608" spans="1:11" ht="72.75" thickBot="1">
      <c r="A2608" s="18" t="s">
        <v>7610</v>
      </c>
      <c r="B2608" s="18">
        <v>20028194278</v>
      </c>
      <c r="C2608" s="18" t="s">
        <v>7611</v>
      </c>
      <c r="D2608" s="19">
        <v>45909.447916666664</v>
      </c>
      <c r="E2608" s="19">
        <v>45975.648611111108</v>
      </c>
      <c r="F2608" s="18">
        <v>700</v>
      </c>
      <c r="G2608" s="18" t="s">
        <v>10</v>
      </c>
      <c r="H2608" s="18" t="s">
        <v>2656</v>
      </c>
      <c r="I2608" s="18" t="s">
        <v>10</v>
      </c>
      <c r="J2608" s="18" t="s">
        <v>4017</v>
      </c>
      <c r="K2608" s="20"/>
    </row>
    <row r="2609" spans="1:11" ht="36.75" thickBot="1">
      <c r="A2609" s="18" t="s">
        <v>8051</v>
      </c>
      <c r="B2609" s="18">
        <v>20002853805</v>
      </c>
      <c r="C2609" s="18" t="s">
        <v>7047</v>
      </c>
      <c r="D2609" s="19">
        <v>45975.799305555556</v>
      </c>
      <c r="E2609" s="18" t="s">
        <v>10</v>
      </c>
      <c r="F2609" s="18">
        <v>100</v>
      </c>
      <c r="G2609" s="18" t="s">
        <v>10</v>
      </c>
      <c r="H2609" s="25" t="s">
        <v>2656</v>
      </c>
      <c r="I2609" s="18" t="s">
        <v>10</v>
      </c>
      <c r="J2609" s="18" t="s">
        <v>4017</v>
      </c>
      <c r="K2609" s="20"/>
    </row>
    <row r="2610" spans="1:11" ht="36.75" thickBot="1">
      <c r="A2610" s="18" t="s">
        <v>8052</v>
      </c>
      <c r="B2610" s="18">
        <v>20003221874</v>
      </c>
      <c r="C2610" s="18" t="s">
        <v>7701</v>
      </c>
      <c r="D2610" s="19">
        <v>45978.465277777781</v>
      </c>
      <c r="E2610" s="18" t="s">
        <v>10</v>
      </c>
      <c r="F2610" s="18">
        <v>500</v>
      </c>
      <c r="G2610" s="18" t="s">
        <v>10</v>
      </c>
      <c r="H2610" s="18" t="s">
        <v>235</v>
      </c>
      <c r="I2610" s="18" t="s">
        <v>10</v>
      </c>
      <c r="J2610" s="18" t="s">
        <v>4017</v>
      </c>
      <c r="K2610" s="20"/>
    </row>
    <row r="2611" spans="1:11" ht="36.75" thickBot="1">
      <c r="A2611" s="18" t="s">
        <v>8053</v>
      </c>
      <c r="B2611" s="18">
        <v>20003472087</v>
      </c>
      <c r="C2611" s="18" t="s">
        <v>8054</v>
      </c>
      <c r="D2611" s="19">
        <v>45978.501388888886</v>
      </c>
      <c r="E2611" s="18" t="s">
        <v>10</v>
      </c>
      <c r="F2611" s="18">
        <v>175</v>
      </c>
      <c r="G2611" s="18" t="s">
        <v>10</v>
      </c>
      <c r="H2611" s="18" t="s">
        <v>189</v>
      </c>
      <c r="I2611" s="18" t="s">
        <v>10</v>
      </c>
      <c r="J2611" s="18" t="s">
        <v>4017</v>
      </c>
      <c r="K2611" s="20"/>
    </row>
    <row r="2612" spans="1:11" ht="36.75" thickBot="1">
      <c r="A2612" s="18" t="s">
        <v>7735</v>
      </c>
      <c r="B2612" s="18">
        <v>20027160613</v>
      </c>
      <c r="C2612" s="18" t="s">
        <v>7736</v>
      </c>
      <c r="D2612" s="19">
        <v>45960.024305555555</v>
      </c>
      <c r="E2612" s="19">
        <v>45978.526388888888</v>
      </c>
      <c r="F2612" s="18">
        <v>43.3</v>
      </c>
      <c r="G2612" s="19">
        <v>45985.436805555553</v>
      </c>
      <c r="H2612" s="18" t="s">
        <v>2654</v>
      </c>
      <c r="I2612" s="18" t="s">
        <v>10</v>
      </c>
      <c r="J2612" s="18" t="s">
        <v>4017</v>
      </c>
      <c r="K2612" s="20"/>
    </row>
    <row r="2613" spans="1:11" ht="36.75" thickBot="1">
      <c r="A2613" s="18" t="s">
        <v>7721</v>
      </c>
      <c r="B2613" s="18">
        <v>20017794765</v>
      </c>
      <c r="C2613" s="18" t="s">
        <v>7722</v>
      </c>
      <c r="D2613" s="19">
        <v>45925.689583333333</v>
      </c>
      <c r="E2613" s="19">
        <v>45978.577777777777</v>
      </c>
      <c r="F2613" s="18">
        <v>450</v>
      </c>
      <c r="G2613" s="19">
        <v>45989.379166666666</v>
      </c>
      <c r="H2613" s="18" t="s">
        <v>2654</v>
      </c>
      <c r="I2613" s="18" t="s">
        <v>10</v>
      </c>
      <c r="J2613" s="18" t="s">
        <v>4017</v>
      </c>
      <c r="K2613" s="20"/>
    </row>
    <row r="2614" spans="1:11" ht="36.75" thickBot="1">
      <c r="A2614" s="18" t="s">
        <v>8055</v>
      </c>
      <c r="B2614" s="18">
        <v>20003417311</v>
      </c>
      <c r="C2614" s="18" t="s">
        <v>2153</v>
      </c>
      <c r="D2614" s="19">
        <v>45971.555555555555</v>
      </c>
      <c r="E2614" s="19">
        <v>45978.654166666667</v>
      </c>
      <c r="F2614" s="18">
        <v>180</v>
      </c>
      <c r="G2614" s="18" t="s">
        <v>10</v>
      </c>
      <c r="H2614" s="18" t="s">
        <v>189</v>
      </c>
      <c r="I2614" s="18" t="s">
        <v>10</v>
      </c>
      <c r="J2614" s="18" t="s">
        <v>4017</v>
      </c>
      <c r="K2614" s="20"/>
    </row>
    <row r="2615" spans="1:11" ht="36.75" thickBot="1">
      <c r="A2615" s="18" t="s">
        <v>8056</v>
      </c>
      <c r="B2615" s="18">
        <v>20021797237</v>
      </c>
      <c r="C2615" s="18" t="s">
        <v>7600</v>
      </c>
      <c r="D2615" s="19">
        <v>45978.659722222219</v>
      </c>
      <c r="E2615" s="18" t="s">
        <v>10</v>
      </c>
      <c r="F2615" s="18">
        <v>350</v>
      </c>
      <c r="G2615" s="18" t="s">
        <v>10</v>
      </c>
      <c r="H2615" s="18" t="s">
        <v>235</v>
      </c>
      <c r="I2615" s="18" t="s">
        <v>10</v>
      </c>
      <c r="J2615" s="18" t="s">
        <v>4017</v>
      </c>
      <c r="K2615" s="20"/>
    </row>
    <row r="2616" spans="1:11" ht="36.75" thickBot="1">
      <c r="A2616" s="18" t="s">
        <v>8057</v>
      </c>
      <c r="B2616" s="18">
        <v>20003250642</v>
      </c>
      <c r="C2616" s="18" t="s">
        <v>8058</v>
      </c>
      <c r="D2616" s="19">
        <v>45978.668055555558</v>
      </c>
      <c r="E2616" s="18" t="s">
        <v>10</v>
      </c>
      <c r="F2616" s="18">
        <v>800</v>
      </c>
      <c r="G2616" s="18" t="s">
        <v>10</v>
      </c>
      <c r="H2616" s="18" t="s">
        <v>2656</v>
      </c>
      <c r="I2616" s="18" t="s">
        <v>10</v>
      </c>
      <c r="J2616" s="18" t="s">
        <v>4017</v>
      </c>
      <c r="K2616" s="20"/>
    </row>
    <row r="2617" spans="1:11" ht="36.75" thickBot="1">
      <c r="A2617" s="18" t="s">
        <v>7745</v>
      </c>
      <c r="B2617" s="18">
        <v>20003606251</v>
      </c>
      <c r="C2617" s="18" t="s">
        <v>7490</v>
      </c>
      <c r="D2617" s="19">
        <v>45954.624305555553</v>
      </c>
      <c r="E2617" s="19">
        <v>45978.677083333336</v>
      </c>
      <c r="F2617" s="18">
        <v>100</v>
      </c>
      <c r="G2617" s="18" t="s">
        <v>10</v>
      </c>
      <c r="H2617" s="18" t="s">
        <v>235</v>
      </c>
      <c r="I2617" s="18" t="s">
        <v>10</v>
      </c>
      <c r="J2617" s="18" t="s">
        <v>4017</v>
      </c>
      <c r="K2617" s="20"/>
    </row>
    <row r="2618" spans="1:11" ht="36.75" thickBot="1">
      <c r="A2618" s="18" t="s">
        <v>8059</v>
      </c>
      <c r="B2618" s="18">
        <v>20002773833</v>
      </c>
      <c r="C2618" s="18" t="s">
        <v>8060</v>
      </c>
      <c r="D2618" s="19">
        <v>45979.507638888892</v>
      </c>
      <c r="E2618" s="18" t="s">
        <v>10</v>
      </c>
      <c r="F2618" s="18">
        <v>123.3</v>
      </c>
      <c r="G2618" s="18" t="s">
        <v>10</v>
      </c>
      <c r="H2618" s="18" t="s">
        <v>178</v>
      </c>
      <c r="I2618" s="18" t="s">
        <v>10</v>
      </c>
      <c r="J2618" s="18" t="s">
        <v>4017</v>
      </c>
      <c r="K2618" s="20"/>
    </row>
    <row r="2619" spans="1:11" ht="54.75" thickBot="1">
      <c r="A2619" s="18" t="s">
        <v>7727</v>
      </c>
      <c r="B2619" s="18">
        <v>20023273121</v>
      </c>
      <c r="C2619" s="18" t="s">
        <v>7728</v>
      </c>
      <c r="D2619" s="19">
        <v>45966.529861111114</v>
      </c>
      <c r="E2619" s="19">
        <v>45979.527083333334</v>
      </c>
      <c r="F2619" s="18">
        <v>50</v>
      </c>
      <c r="G2619" s="18" t="s">
        <v>10</v>
      </c>
      <c r="H2619" s="18" t="s">
        <v>189</v>
      </c>
      <c r="I2619" s="18" t="s">
        <v>10</v>
      </c>
      <c r="J2619" s="18" t="s">
        <v>4017</v>
      </c>
      <c r="K2619" s="20"/>
    </row>
    <row r="2620" spans="1:11" ht="36.75" thickBot="1">
      <c r="A2620" s="18" t="s">
        <v>8061</v>
      </c>
      <c r="B2620" s="18">
        <v>20028858670</v>
      </c>
      <c r="C2620" s="18" t="s">
        <v>8062</v>
      </c>
      <c r="D2620" s="19">
        <v>45973.45416666667</v>
      </c>
      <c r="E2620" s="19">
        <v>45979.569444444445</v>
      </c>
      <c r="F2620" s="18">
        <v>50</v>
      </c>
      <c r="G2620" s="18" t="s">
        <v>10</v>
      </c>
      <c r="H2620" s="18" t="s">
        <v>189</v>
      </c>
      <c r="I2620" s="18" t="s">
        <v>10</v>
      </c>
      <c r="J2620" s="18" t="s">
        <v>4017</v>
      </c>
      <c r="K2620" s="20"/>
    </row>
    <row r="2621" spans="1:11" ht="36.75" thickBot="1">
      <c r="A2621" s="18" t="s">
        <v>8063</v>
      </c>
      <c r="B2621" s="18">
        <v>20002782542</v>
      </c>
      <c r="C2621" s="18" t="s">
        <v>7494</v>
      </c>
      <c r="D2621" s="19">
        <v>45968.915972222225</v>
      </c>
      <c r="E2621" s="19">
        <v>45979.586111111108</v>
      </c>
      <c r="F2621" s="18">
        <v>33.299999999999997</v>
      </c>
      <c r="G2621" s="18" t="s">
        <v>10</v>
      </c>
      <c r="H2621" s="18" t="s">
        <v>189</v>
      </c>
      <c r="I2621" s="18" t="s">
        <v>10</v>
      </c>
      <c r="J2621" s="18" t="s">
        <v>4017</v>
      </c>
      <c r="K2621" s="20"/>
    </row>
    <row r="2622" spans="1:11" ht="36.75" thickBot="1">
      <c r="A2622" s="18" t="s">
        <v>8064</v>
      </c>
      <c r="B2622" s="18">
        <v>20003487588</v>
      </c>
      <c r="C2622" s="18" t="s">
        <v>5536</v>
      </c>
      <c r="D2622" s="19">
        <v>45971.472222222219</v>
      </c>
      <c r="E2622" s="19">
        <v>45979.629166666666</v>
      </c>
      <c r="F2622" s="18">
        <v>425</v>
      </c>
      <c r="G2622" s="18" t="s">
        <v>10</v>
      </c>
      <c r="H2622" s="18" t="s">
        <v>235</v>
      </c>
      <c r="I2622" s="18" t="s">
        <v>10</v>
      </c>
      <c r="J2622" s="18" t="s">
        <v>4017</v>
      </c>
      <c r="K2622" s="20"/>
    </row>
    <row r="2623" spans="1:11" ht="36.75" thickBot="1">
      <c r="A2623" s="18" t="s">
        <v>8065</v>
      </c>
      <c r="B2623" s="18">
        <v>20003139506</v>
      </c>
      <c r="C2623" s="18" t="s">
        <v>8066</v>
      </c>
      <c r="D2623" s="19">
        <v>45979.78402777778</v>
      </c>
      <c r="E2623" s="18" t="s">
        <v>10</v>
      </c>
      <c r="F2623" s="18">
        <v>150</v>
      </c>
      <c r="G2623" s="18" t="s">
        <v>10</v>
      </c>
      <c r="H2623" s="18" t="s">
        <v>235</v>
      </c>
      <c r="I2623" s="18" t="s">
        <v>10</v>
      </c>
      <c r="J2623" s="18" t="s">
        <v>4017</v>
      </c>
      <c r="K2623" s="20"/>
    </row>
    <row r="2624" spans="1:11" ht="36.75" thickBot="1">
      <c r="A2624" s="18" t="s">
        <v>8067</v>
      </c>
      <c r="B2624" s="18">
        <v>20003139543</v>
      </c>
      <c r="C2624" s="18" t="s">
        <v>8068</v>
      </c>
      <c r="D2624" s="19">
        <v>45979.895833333336</v>
      </c>
      <c r="E2624" s="18" t="s">
        <v>10</v>
      </c>
      <c r="F2624" s="18">
        <v>500</v>
      </c>
      <c r="G2624" s="18" t="s">
        <v>10</v>
      </c>
      <c r="H2624" s="18" t="s">
        <v>235</v>
      </c>
      <c r="I2624" s="18" t="s">
        <v>10</v>
      </c>
      <c r="J2624" s="18" t="s">
        <v>4017</v>
      </c>
      <c r="K2624" s="20"/>
    </row>
    <row r="2625" spans="1:11" ht="36.75" thickBot="1">
      <c r="A2625" s="18" t="s">
        <v>8069</v>
      </c>
      <c r="B2625" s="18">
        <v>20003442270</v>
      </c>
      <c r="C2625" s="18" t="s">
        <v>8070</v>
      </c>
      <c r="D2625" s="19">
        <v>45980.270138888889</v>
      </c>
      <c r="E2625" s="18" t="s">
        <v>10</v>
      </c>
      <c r="F2625" s="18">
        <v>100</v>
      </c>
      <c r="G2625" s="18" t="s">
        <v>10</v>
      </c>
      <c r="H2625" s="18" t="s">
        <v>235</v>
      </c>
      <c r="I2625" s="18" t="s">
        <v>10</v>
      </c>
      <c r="J2625" s="18" t="s">
        <v>4017</v>
      </c>
      <c r="K2625" s="20"/>
    </row>
    <row r="2626" spans="1:11" ht="36.75" thickBot="1">
      <c r="A2626" s="18" t="s">
        <v>8071</v>
      </c>
      <c r="B2626" s="18">
        <v>20003588353</v>
      </c>
      <c r="C2626" s="18" t="s">
        <v>8072</v>
      </c>
      <c r="D2626" s="19">
        <v>45980.422222222223</v>
      </c>
      <c r="E2626" s="18" t="s">
        <v>10</v>
      </c>
      <c r="F2626" s="18">
        <v>175</v>
      </c>
      <c r="G2626" s="18" t="s">
        <v>10</v>
      </c>
      <c r="H2626" s="18" t="s">
        <v>235</v>
      </c>
      <c r="I2626" s="18" t="s">
        <v>10</v>
      </c>
      <c r="J2626" s="18" t="s">
        <v>4017</v>
      </c>
      <c r="K2626" s="20"/>
    </row>
    <row r="2627" spans="1:11" ht="36.75" thickBot="1">
      <c r="A2627" s="18" t="s">
        <v>8073</v>
      </c>
      <c r="B2627" s="18">
        <v>20027373633</v>
      </c>
      <c r="C2627" s="18" t="s">
        <v>8074</v>
      </c>
      <c r="D2627" s="19">
        <v>45980.6</v>
      </c>
      <c r="E2627" s="18" t="s">
        <v>10</v>
      </c>
      <c r="F2627" s="18">
        <v>200</v>
      </c>
      <c r="G2627" s="18" t="s">
        <v>10</v>
      </c>
      <c r="H2627" s="18" t="s">
        <v>2656</v>
      </c>
      <c r="I2627" s="18" t="s">
        <v>10</v>
      </c>
      <c r="J2627" s="18" t="s">
        <v>4017</v>
      </c>
      <c r="K2627" s="20"/>
    </row>
    <row r="2628" spans="1:11" ht="54.75" thickBot="1">
      <c r="A2628" s="18" t="s">
        <v>8075</v>
      </c>
      <c r="B2628" s="18">
        <v>20018379108</v>
      </c>
      <c r="C2628" s="18" t="s">
        <v>5497</v>
      </c>
      <c r="D2628" s="19">
        <v>45980.771527777775</v>
      </c>
      <c r="E2628" s="18" t="s">
        <v>10</v>
      </c>
      <c r="F2628" s="18">
        <v>625</v>
      </c>
      <c r="G2628" s="18" t="s">
        <v>10</v>
      </c>
      <c r="H2628" s="18" t="s">
        <v>2656</v>
      </c>
      <c r="I2628" s="18" t="s">
        <v>10</v>
      </c>
      <c r="J2628" s="18" t="s">
        <v>4017</v>
      </c>
      <c r="K2628" s="20"/>
    </row>
    <row r="2629" spans="1:11" ht="36.75" thickBot="1">
      <c r="A2629" s="18" t="s">
        <v>7756</v>
      </c>
      <c r="B2629" s="18">
        <v>20028742754</v>
      </c>
      <c r="C2629" s="18" t="s">
        <v>7757</v>
      </c>
      <c r="D2629" s="19">
        <v>45959.587500000001</v>
      </c>
      <c r="E2629" s="19">
        <v>45981.441666666666</v>
      </c>
      <c r="F2629" s="18">
        <v>450</v>
      </c>
      <c r="G2629" s="18" t="s">
        <v>10</v>
      </c>
      <c r="H2629" s="18" t="s">
        <v>189</v>
      </c>
      <c r="I2629" s="18" t="s">
        <v>10</v>
      </c>
      <c r="J2629" s="18" t="s">
        <v>4017</v>
      </c>
      <c r="K2629" s="20"/>
    </row>
    <row r="2630" spans="1:11" ht="36.75" thickBot="1">
      <c r="A2630" s="18" t="s">
        <v>8076</v>
      </c>
      <c r="B2630" s="18">
        <v>20002885547</v>
      </c>
      <c r="C2630" s="18" t="s">
        <v>7643</v>
      </c>
      <c r="D2630" s="19">
        <v>45981.470833333333</v>
      </c>
      <c r="E2630" s="18" t="s">
        <v>10</v>
      </c>
      <c r="F2630" s="18">
        <v>50</v>
      </c>
      <c r="G2630" s="18" t="s">
        <v>10</v>
      </c>
      <c r="H2630" s="18" t="s">
        <v>235</v>
      </c>
      <c r="I2630" s="18" t="s">
        <v>10</v>
      </c>
      <c r="J2630" s="18" t="s">
        <v>4017</v>
      </c>
      <c r="K2630" s="20"/>
    </row>
    <row r="2631" spans="1:11" ht="36.75" thickBot="1">
      <c r="A2631" s="18" t="s">
        <v>8077</v>
      </c>
      <c r="B2631" s="18">
        <v>20003109501</v>
      </c>
      <c r="C2631" s="18" t="s">
        <v>8078</v>
      </c>
      <c r="D2631" s="19">
        <v>45981.474999999999</v>
      </c>
      <c r="E2631" s="18" t="s">
        <v>10</v>
      </c>
      <c r="F2631" s="18">
        <v>190</v>
      </c>
      <c r="G2631" s="18" t="s">
        <v>10</v>
      </c>
      <c r="H2631" s="25" t="s">
        <v>2656</v>
      </c>
      <c r="I2631" s="18" t="s">
        <v>10</v>
      </c>
      <c r="J2631" s="18" t="s">
        <v>4017</v>
      </c>
      <c r="K2631" s="20"/>
    </row>
    <row r="2632" spans="1:11" ht="36.75" thickBot="1">
      <c r="A2632" s="18" t="s">
        <v>8079</v>
      </c>
      <c r="B2632" s="18">
        <v>20024606472</v>
      </c>
      <c r="C2632" s="18" t="s">
        <v>8080</v>
      </c>
      <c r="D2632" s="19">
        <v>45982.383333333331</v>
      </c>
      <c r="E2632" s="18" t="s">
        <v>10</v>
      </c>
      <c r="F2632" s="18">
        <v>100</v>
      </c>
      <c r="G2632" s="18" t="s">
        <v>10</v>
      </c>
      <c r="H2632" s="25" t="s">
        <v>2656</v>
      </c>
      <c r="I2632" s="18" t="s">
        <v>10</v>
      </c>
      <c r="J2632" s="18" t="s">
        <v>4017</v>
      </c>
      <c r="K2632" s="20"/>
    </row>
    <row r="2633" spans="1:11" ht="36.75" thickBot="1">
      <c r="A2633" s="18" t="s">
        <v>7696</v>
      </c>
      <c r="B2633" s="18">
        <v>20002950494</v>
      </c>
      <c r="C2633" s="18" t="s">
        <v>7697</v>
      </c>
      <c r="D2633" s="19">
        <v>45950.38958333333</v>
      </c>
      <c r="E2633" s="19">
        <v>45982.404861111114</v>
      </c>
      <c r="F2633" s="18">
        <v>800</v>
      </c>
      <c r="G2633" s="18" t="s">
        <v>10</v>
      </c>
      <c r="H2633" s="18" t="s">
        <v>2656</v>
      </c>
      <c r="I2633" s="18" t="s">
        <v>10</v>
      </c>
      <c r="J2633" s="18" t="s">
        <v>4017</v>
      </c>
      <c r="K2633" s="20"/>
    </row>
    <row r="2634" spans="1:11" ht="36.75" thickBot="1">
      <c r="A2634" s="18" t="s">
        <v>8081</v>
      </c>
      <c r="B2634" s="18">
        <v>20028813495</v>
      </c>
      <c r="C2634" s="18" t="s">
        <v>8082</v>
      </c>
      <c r="D2634" s="19">
        <v>45982.395833333336</v>
      </c>
      <c r="E2634" s="19">
        <v>45982.409722222219</v>
      </c>
      <c r="F2634" s="18">
        <v>86</v>
      </c>
      <c r="G2634" s="18" t="s">
        <v>10</v>
      </c>
      <c r="H2634" s="25" t="s">
        <v>2656</v>
      </c>
      <c r="I2634" s="18" t="s">
        <v>10</v>
      </c>
      <c r="J2634" s="18" t="s">
        <v>4017</v>
      </c>
      <c r="K2634" s="20"/>
    </row>
    <row r="2635" spans="1:11" ht="36.75" thickBot="1">
      <c r="A2635" s="18" t="s">
        <v>8083</v>
      </c>
      <c r="B2635" s="18">
        <v>20017791583</v>
      </c>
      <c r="C2635" s="18" t="s">
        <v>2153</v>
      </c>
      <c r="D2635" s="19">
        <v>45971.570833333331</v>
      </c>
      <c r="E2635" s="19">
        <v>45982.456944444442</v>
      </c>
      <c r="F2635" s="18">
        <v>180</v>
      </c>
      <c r="G2635" s="18" t="s">
        <v>10</v>
      </c>
      <c r="H2635" s="18" t="s">
        <v>189</v>
      </c>
      <c r="I2635" s="18" t="s">
        <v>10</v>
      </c>
      <c r="J2635" s="18" t="s">
        <v>4017</v>
      </c>
      <c r="K2635" s="20"/>
    </row>
    <row r="2636" spans="1:11" ht="36.75" thickBot="1">
      <c r="A2636" s="18" t="s">
        <v>8084</v>
      </c>
      <c r="B2636" s="18">
        <v>20024384934</v>
      </c>
      <c r="C2636" s="18" t="s">
        <v>8085</v>
      </c>
      <c r="D2636" s="19">
        <v>45982.479861111111</v>
      </c>
      <c r="E2636" s="19">
        <v>45982.5</v>
      </c>
      <c r="F2636" s="18">
        <v>50</v>
      </c>
      <c r="G2636" s="18" t="s">
        <v>10</v>
      </c>
      <c r="H2636" s="25" t="s">
        <v>2656</v>
      </c>
      <c r="I2636" s="18" t="s">
        <v>10</v>
      </c>
      <c r="J2636" s="18" t="s">
        <v>4017</v>
      </c>
      <c r="K2636" s="20"/>
    </row>
    <row r="2637" spans="1:11" ht="36.75" thickBot="1">
      <c r="A2637" s="18" t="s">
        <v>8086</v>
      </c>
      <c r="B2637" s="18">
        <v>20022541108</v>
      </c>
      <c r="C2637" s="18" t="s">
        <v>8087</v>
      </c>
      <c r="D2637" s="19">
        <v>45983.449305555558</v>
      </c>
      <c r="E2637" s="18" t="s">
        <v>10</v>
      </c>
      <c r="F2637" s="18">
        <v>200</v>
      </c>
      <c r="G2637" s="18" t="s">
        <v>10</v>
      </c>
      <c r="H2637" s="18" t="s">
        <v>2656</v>
      </c>
      <c r="I2637" s="18" t="s">
        <v>10</v>
      </c>
      <c r="J2637" s="18" t="s">
        <v>4017</v>
      </c>
      <c r="K2637" s="20"/>
    </row>
    <row r="2638" spans="1:11" ht="36.75" thickBot="1">
      <c r="A2638" s="18" t="s">
        <v>8088</v>
      </c>
      <c r="B2638" s="18">
        <v>20019354629</v>
      </c>
      <c r="C2638" s="18" t="s">
        <v>8089</v>
      </c>
      <c r="D2638" s="19">
        <v>45985.469444444447</v>
      </c>
      <c r="E2638" s="18" t="s">
        <v>10</v>
      </c>
      <c r="F2638" s="18">
        <v>50</v>
      </c>
      <c r="G2638" s="18" t="s">
        <v>10</v>
      </c>
      <c r="H2638" s="18" t="s">
        <v>2656</v>
      </c>
      <c r="I2638" s="18" t="s">
        <v>10</v>
      </c>
      <c r="J2638" s="18" t="s">
        <v>4017</v>
      </c>
      <c r="K2638" s="20"/>
    </row>
    <row r="2639" spans="1:11" ht="36.75" thickBot="1">
      <c r="A2639" s="18" t="s">
        <v>8090</v>
      </c>
      <c r="B2639" s="18">
        <v>20003399109</v>
      </c>
      <c r="C2639" s="18" t="s">
        <v>8089</v>
      </c>
      <c r="D2639" s="19">
        <v>45985.500694444447</v>
      </c>
      <c r="E2639" s="18" t="s">
        <v>10</v>
      </c>
      <c r="F2639" s="18">
        <v>190</v>
      </c>
      <c r="G2639" s="18" t="s">
        <v>10</v>
      </c>
      <c r="H2639" s="18" t="s">
        <v>2656</v>
      </c>
      <c r="I2639" s="18" t="s">
        <v>10</v>
      </c>
      <c r="J2639" s="18" t="s">
        <v>4017</v>
      </c>
      <c r="K2639" s="20"/>
    </row>
    <row r="2640" spans="1:11" ht="36.75" thickBot="1">
      <c r="A2640" s="18" t="s">
        <v>8091</v>
      </c>
      <c r="B2640" s="18">
        <v>20022421938</v>
      </c>
      <c r="C2640" s="18" t="s">
        <v>4411</v>
      </c>
      <c r="D2640" s="19">
        <v>45985.599305555559</v>
      </c>
      <c r="E2640" s="18" t="s">
        <v>10</v>
      </c>
      <c r="F2640" s="18">
        <v>800</v>
      </c>
      <c r="G2640" s="18" t="s">
        <v>10</v>
      </c>
      <c r="H2640" s="18" t="s">
        <v>2656</v>
      </c>
      <c r="I2640" s="18" t="s">
        <v>10</v>
      </c>
      <c r="J2640" s="18" t="s">
        <v>4017</v>
      </c>
      <c r="K2640" s="20"/>
    </row>
    <row r="2641" spans="1:11" ht="36.75" thickBot="1">
      <c r="A2641" s="18" t="s">
        <v>8092</v>
      </c>
      <c r="B2641" s="18">
        <v>20028794924</v>
      </c>
      <c r="C2641" s="18" t="s">
        <v>8093</v>
      </c>
      <c r="D2641" s="19">
        <v>45985.638888888891</v>
      </c>
      <c r="E2641" s="18" t="s">
        <v>10</v>
      </c>
      <c r="F2641" s="18">
        <v>20</v>
      </c>
      <c r="G2641" s="18" t="s">
        <v>10</v>
      </c>
      <c r="H2641" s="18" t="s">
        <v>2656</v>
      </c>
      <c r="I2641" s="18" t="s">
        <v>10</v>
      </c>
      <c r="J2641" s="18" t="s">
        <v>4017</v>
      </c>
      <c r="K2641" s="20"/>
    </row>
    <row r="2642" spans="1:11" ht="54.75" thickBot="1">
      <c r="A2642" s="18" t="s">
        <v>7708</v>
      </c>
      <c r="B2642" s="18">
        <v>20017869648</v>
      </c>
      <c r="C2642" s="18" t="s">
        <v>7516</v>
      </c>
      <c r="D2642" s="19">
        <v>45952.365277777775</v>
      </c>
      <c r="E2642" s="19">
        <v>45985.63958333333</v>
      </c>
      <c r="F2642" s="18">
        <v>50</v>
      </c>
      <c r="G2642" s="18" t="s">
        <v>10</v>
      </c>
      <c r="H2642" s="18" t="s">
        <v>2656</v>
      </c>
      <c r="I2642" s="18" t="s">
        <v>10</v>
      </c>
      <c r="J2642" s="18" t="s">
        <v>4017</v>
      </c>
      <c r="K2642" s="20"/>
    </row>
    <row r="2643" spans="1:11" ht="54.75" thickBot="1">
      <c r="A2643" s="18" t="s">
        <v>7707</v>
      </c>
      <c r="B2643" s="18">
        <v>20003222153</v>
      </c>
      <c r="C2643" s="18" t="s">
        <v>7516</v>
      </c>
      <c r="D2643" s="19">
        <v>45952.427083333336</v>
      </c>
      <c r="E2643" s="19">
        <v>45985.65</v>
      </c>
      <c r="F2643" s="18">
        <v>150</v>
      </c>
      <c r="G2643" s="18" t="s">
        <v>10</v>
      </c>
      <c r="H2643" s="18" t="s">
        <v>2656</v>
      </c>
      <c r="I2643" s="18" t="s">
        <v>10</v>
      </c>
      <c r="J2643" s="18" t="s">
        <v>4017</v>
      </c>
      <c r="K2643" s="20"/>
    </row>
    <row r="2644" spans="1:11" ht="36.75" thickBot="1">
      <c r="A2644" s="18" t="s">
        <v>8094</v>
      </c>
      <c r="B2644" s="18">
        <v>20020862453</v>
      </c>
      <c r="C2644" s="18" t="s">
        <v>8095</v>
      </c>
      <c r="D2644" s="19">
        <v>45985.760416666664</v>
      </c>
      <c r="E2644" s="18" t="s">
        <v>10</v>
      </c>
      <c r="F2644" s="18">
        <v>800</v>
      </c>
      <c r="G2644" s="18" t="s">
        <v>10</v>
      </c>
      <c r="H2644" s="18" t="s">
        <v>2656</v>
      </c>
      <c r="I2644" s="18" t="s">
        <v>10</v>
      </c>
      <c r="J2644" s="18" t="s">
        <v>4017</v>
      </c>
      <c r="K2644" s="20"/>
    </row>
    <row r="2645" spans="1:11" ht="36.75" thickBot="1">
      <c r="A2645" s="18" t="s">
        <v>8096</v>
      </c>
      <c r="B2645" s="18">
        <v>20020369918</v>
      </c>
      <c r="C2645" s="18" t="s">
        <v>5130</v>
      </c>
      <c r="D2645" s="19">
        <v>45985.832638888889</v>
      </c>
      <c r="E2645" s="18" t="s">
        <v>10</v>
      </c>
      <c r="F2645" s="18">
        <v>133.30000000000001</v>
      </c>
      <c r="G2645" s="18" t="s">
        <v>10</v>
      </c>
      <c r="H2645" s="18" t="s">
        <v>2656</v>
      </c>
      <c r="I2645" s="18" t="s">
        <v>10</v>
      </c>
      <c r="J2645" s="18" t="s">
        <v>4017</v>
      </c>
      <c r="K2645" s="20"/>
    </row>
    <row r="2646" spans="1:11" ht="36.75" thickBot="1">
      <c r="A2646" s="18" t="s">
        <v>8097</v>
      </c>
      <c r="B2646" s="18">
        <v>20003477473</v>
      </c>
      <c r="C2646" s="18" t="s">
        <v>5190</v>
      </c>
      <c r="D2646" s="19">
        <v>45985.856249999997</v>
      </c>
      <c r="E2646" s="18" t="s">
        <v>10</v>
      </c>
      <c r="F2646" s="18">
        <v>875</v>
      </c>
      <c r="G2646" s="18" t="s">
        <v>10</v>
      </c>
      <c r="H2646" s="18" t="s">
        <v>2656</v>
      </c>
      <c r="I2646" s="18" t="s">
        <v>10</v>
      </c>
      <c r="J2646" s="18" t="s">
        <v>4017</v>
      </c>
      <c r="K2646" s="20"/>
    </row>
    <row r="2647" spans="1:11" ht="36.75" thickBot="1">
      <c r="A2647" s="18" t="s">
        <v>8098</v>
      </c>
      <c r="B2647" s="18">
        <v>20025362016</v>
      </c>
      <c r="C2647" s="18" t="s">
        <v>5190</v>
      </c>
      <c r="D2647" s="19">
        <v>45985.886111111111</v>
      </c>
      <c r="E2647" s="18" t="s">
        <v>10</v>
      </c>
      <c r="F2647" s="18">
        <v>900</v>
      </c>
      <c r="G2647" s="18" t="s">
        <v>10</v>
      </c>
      <c r="H2647" s="18" t="s">
        <v>2656</v>
      </c>
      <c r="I2647" s="18" t="s">
        <v>10</v>
      </c>
      <c r="J2647" s="18" t="s">
        <v>4017</v>
      </c>
      <c r="K2647" s="20"/>
    </row>
    <row r="2648" spans="1:11" ht="36.75" thickBot="1">
      <c r="A2648" s="18" t="s">
        <v>8099</v>
      </c>
      <c r="B2648" s="18">
        <v>20028228220</v>
      </c>
      <c r="C2648" s="18" t="s">
        <v>8100</v>
      </c>
      <c r="D2648" s="19">
        <v>45985.895138888889</v>
      </c>
      <c r="E2648" s="18" t="s">
        <v>10</v>
      </c>
      <c r="F2648" s="18">
        <v>50</v>
      </c>
      <c r="G2648" s="18" t="s">
        <v>10</v>
      </c>
      <c r="H2648" s="18" t="s">
        <v>2656</v>
      </c>
      <c r="I2648" s="18" t="s">
        <v>10</v>
      </c>
      <c r="J2648" s="18" t="s">
        <v>4017</v>
      </c>
      <c r="K2648" s="20"/>
    </row>
    <row r="2649" spans="1:11" ht="36.75" thickBot="1">
      <c r="A2649" s="18" t="s">
        <v>8101</v>
      </c>
      <c r="B2649" s="18">
        <v>20003196481</v>
      </c>
      <c r="C2649" s="18" t="s">
        <v>5271</v>
      </c>
      <c r="D2649" s="19">
        <v>45973.463888888888</v>
      </c>
      <c r="E2649" s="19">
        <v>45986.380555555559</v>
      </c>
      <c r="F2649" s="18">
        <v>200</v>
      </c>
      <c r="G2649" s="18" t="s">
        <v>10</v>
      </c>
      <c r="H2649" s="18" t="s">
        <v>2656</v>
      </c>
      <c r="I2649" s="18" t="s">
        <v>10</v>
      </c>
      <c r="J2649" s="18" t="s">
        <v>4017</v>
      </c>
      <c r="K2649" s="20"/>
    </row>
    <row r="2650" spans="1:11" ht="36.75" thickBot="1">
      <c r="A2650" s="18" t="s">
        <v>8102</v>
      </c>
      <c r="B2650" s="18">
        <v>20022002453</v>
      </c>
      <c r="C2650" s="18" t="s">
        <v>8103</v>
      </c>
      <c r="D2650" s="19">
        <v>45986.393055555556</v>
      </c>
      <c r="E2650" s="18" t="s">
        <v>10</v>
      </c>
      <c r="F2650" s="18">
        <v>50</v>
      </c>
      <c r="G2650" s="18" t="s">
        <v>10</v>
      </c>
      <c r="H2650" s="18" t="s">
        <v>2656</v>
      </c>
      <c r="I2650" s="18" t="s">
        <v>10</v>
      </c>
      <c r="J2650" s="18" t="s">
        <v>4017</v>
      </c>
      <c r="K2650" s="20"/>
    </row>
    <row r="2651" spans="1:11" ht="36.75" thickBot="1">
      <c r="A2651" s="18" t="s">
        <v>8104</v>
      </c>
      <c r="B2651" s="18">
        <v>20019688029</v>
      </c>
      <c r="C2651" s="18" t="s">
        <v>8105</v>
      </c>
      <c r="D2651" s="19">
        <v>45986.472222222219</v>
      </c>
      <c r="E2651" s="18" t="s">
        <v>10</v>
      </c>
      <c r="F2651" s="18">
        <v>190</v>
      </c>
      <c r="G2651" s="18" t="s">
        <v>10</v>
      </c>
      <c r="H2651" s="18" t="s">
        <v>2656</v>
      </c>
      <c r="I2651" s="18" t="s">
        <v>10</v>
      </c>
      <c r="J2651" s="18" t="s">
        <v>4017</v>
      </c>
      <c r="K2651" s="20"/>
    </row>
    <row r="2652" spans="1:11" ht="36.75" thickBot="1">
      <c r="A2652" s="18" t="s">
        <v>7733</v>
      </c>
      <c r="B2652" s="18">
        <v>20023566167</v>
      </c>
      <c r="C2652" s="18" t="s">
        <v>7732</v>
      </c>
      <c r="D2652" s="19">
        <v>45957.895833333336</v>
      </c>
      <c r="E2652" s="19">
        <v>45986.544444444444</v>
      </c>
      <c r="F2652" s="18">
        <v>50</v>
      </c>
      <c r="G2652" s="18" t="s">
        <v>10</v>
      </c>
      <c r="H2652" s="18" t="s">
        <v>2656</v>
      </c>
      <c r="I2652" s="18" t="s">
        <v>10</v>
      </c>
      <c r="J2652" s="18" t="s">
        <v>4017</v>
      </c>
      <c r="K2652" s="20"/>
    </row>
    <row r="2653" spans="1:11" ht="36.75" thickBot="1">
      <c r="A2653" s="18" t="s">
        <v>7731</v>
      </c>
      <c r="B2653" s="18">
        <v>20023579805</v>
      </c>
      <c r="C2653" s="18" t="s">
        <v>7732</v>
      </c>
      <c r="D2653" s="19">
        <v>45957.905555555553</v>
      </c>
      <c r="E2653" s="19">
        <v>45986.55</v>
      </c>
      <c r="F2653" s="18">
        <v>50</v>
      </c>
      <c r="G2653" s="18" t="s">
        <v>10</v>
      </c>
      <c r="H2653" s="18" t="s">
        <v>2656</v>
      </c>
      <c r="I2653" s="18" t="s">
        <v>10</v>
      </c>
      <c r="J2653" s="18" t="s">
        <v>4017</v>
      </c>
      <c r="K2653" s="20"/>
    </row>
    <row r="2654" spans="1:11" ht="36.75" thickBot="1">
      <c r="A2654" s="18" t="s">
        <v>8106</v>
      </c>
      <c r="B2654" s="18">
        <v>20024923667</v>
      </c>
      <c r="C2654" s="18" t="s">
        <v>8107</v>
      </c>
      <c r="D2654" s="19">
        <v>45986.591666666667</v>
      </c>
      <c r="E2654" s="18" t="s">
        <v>10</v>
      </c>
      <c r="F2654" s="18">
        <v>100</v>
      </c>
      <c r="G2654" s="18" t="s">
        <v>10</v>
      </c>
      <c r="H2654" s="18" t="s">
        <v>2656</v>
      </c>
      <c r="I2654" s="18" t="s">
        <v>10</v>
      </c>
      <c r="J2654" s="18" t="s">
        <v>4017</v>
      </c>
      <c r="K2654" s="20"/>
    </row>
    <row r="2655" spans="1:11" ht="36.75" thickBot="1">
      <c r="A2655" s="18" t="s">
        <v>8108</v>
      </c>
      <c r="B2655" s="18">
        <v>20023139664</v>
      </c>
      <c r="C2655" s="18" t="s">
        <v>5269</v>
      </c>
      <c r="D2655" s="19">
        <v>45973.474305555559</v>
      </c>
      <c r="E2655" s="19">
        <v>45987.345138888886</v>
      </c>
      <c r="F2655" s="18">
        <v>200</v>
      </c>
      <c r="G2655" s="18" t="s">
        <v>10</v>
      </c>
      <c r="H2655" s="18" t="s">
        <v>2656</v>
      </c>
      <c r="I2655" s="18" t="s">
        <v>10</v>
      </c>
      <c r="J2655" s="18" t="s">
        <v>4017</v>
      </c>
      <c r="K2655" s="20"/>
    </row>
    <row r="2656" spans="1:11" ht="36.75" thickBot="1">
      <c r="A2656" s="18" t="s">
        <v>8109</v>
      </c>
      <c r="B2656" s="18">
        <v>20016635128</v>
      </c>
      <c r="C2656" s="18" t="s">
        <v>8110</v>
      </c>
      <c r="D2656" s="19">
        <v>45987.410416666666</v>
      </c>
      <c r="E2656" s="18" t="s">
        <v>10</v>
      </c>
      <c r="F2656" s="18">
        <v>166.6</v>
      </c>
      <c r="G2656" s="18" t="s">
        <v>10</v>
      </c>
      <c r="H2656" s="18" t="s">
        <v>2656</v>
      </c>
      <c r="I2656" s="18" t="s">
        <v>10</v>
      </c>
      <c r="J2656" s="18" t="s">
        <v>4017</v>
      </c>
      <c r="K2656" s="20"/>
    </row>
    <row r="2657" spans="1:11" ht="36.75" thickBot="1">
      <c r="A2657" s="18" t="s">
        <v>8111</v>
      </c>
      <c r="B2657" s="18">
        <v>20021452671</v>
      </c>
      <c r="C2657" s="18" t="s">
        <v>8110</v>
      </c>
      <c r="D2657" s="19">
        <v>45987.427777777775</v>
      </c>
      <c r="E2657" s="18" t="s">
        <v>10</v>
      </c>
      <c r="F2657" s="18">
        <v>166.6</v>
      </c>
      <c r="G2657" s="18" t="s">
        <v>10</v>
      </c>
      <c r="H2657" s="18" t="s">
        <v>2656</v>
      </c>
      <c r="I2657" s="18" t="s">
        <v>10</v>
      </c>
      <c r="J2657" s="18" t="s">
        <v>4017</v>
      </c>
      <c r="K2657" s="20"/>
    </row>
    <row r="2658" spans="1:11" ht="54.75" thickBot="1">
      <c r="A2658" s="18" t="s">
        <v>8112</v>
      </c>
      <c r="B2658" s="18">
        <v>20023272249</v>
      </c>
      <c r="C2658" s="18" t="s">
        <v>7748</v>
      </c>
      <c r="D2658" s="19">
        <v>45974.575694444444</v>
      </c>
      <c r="E2658" s="19">
        <v>45987.472916666666</v>
      </c>
      <c r="F2658" s="18">
        <v>50</v>
      </c>
      <c r="G2658" s="18" t="s">
        <v>10</v>
      </c>
      <c r="H2658" s="18" t="s">
        <v>2656</v>
      </c>
      <c r="I2658" s="18" t="s">
        <v>10</v>
      </c>
      <c r="J2658" s="18" t="s">
        <v>4017</v>
      </c>
      <c r="K2658" s="20"/>
    </row>
    <row r="2659" spans="1:11" ht="36.75" thickBot="1">
      <c r="A2659" s="18" t="s">
        <v>8113</v>
      </c>
      <c r="B2659" s="18">
        <v>20023859100</v>
      </c>
      <c r="C2659" s="18" t="s">
        <v>4215</v>
      </c>
      <c r="D2659" s="19">
        <v>45987.676388888889</v>
      </c>
      <c r="E2659" s="18" t="s">
        <v>10</v>
      </c>
      <c r="F2659" s="18">
        <v>120</v>
      </c>
      <c r="G2659" s="18" t="s">
        <v>10</v>
      </c>
      <c r="H2659" s="18" t="s">
        <v>2656</v>
      </c>
      <c r="I2659" s="18" t="s">
        <v>10</v>
      </c>
      <c r="J2659" s="18" t="s">
        <v>4017</v>
      </c>
      <c r="K2659" s="20"/>
    </row>
    <row r="2660" spans="1:11" ht="36.75" thickBot="1">
      <c r="A2660" s="18" t="s">
        <v>7623</v>
      </c>
      <c r="B2660" s="18">
        <v>20017873430</v>
      </c>
      <c r="C2660" s="18" t="s">
        <v>8114</v>
      </c>
      <c r="D2660" s="19">
        <v>45951.7</v>
      </c>
      <c r="E2660" s="19">
        <v>45987.720138888886</v>
      </c>
      <c r="F2660" s="18">
        <v>800</v>
      </c>
      <c r="G2660" s="18" t="s">
        <v>10</v>
      </c>
      <c r="H2660" s="18" t="s">
        <v>2656</v>
      </c>
      <c r="I2660" s="18" t="s">
        <v>10</v>
      </c>
      <c r="J2660" s="18" t="s">
        <v>4017</v>
      </c>
      <c r="K2660" s="20"/>
    </row>
    <row r="2661" spans="1:11" ht="36.75" thickBot="1">
      <c r="A2661" s="18" t="s">
        <v>8115</v>
      </c>
      <c r="B2661" s="18">
        <v>20003148964</v>
      </c>
      <c r="C2661" s="18" t="s">
        <v>8116</v>
      </c>
      <c r="D2661" s="19">
        <v>45978.749305555553</v>
      </c>
      <c r="E2661" s="19">
        <v>45987.73333333333</v>
      </c>
      <c r="F2661" s="18">
        <v>50</v>
      </c>
      <c r="G2661" s="18" t="s">
        <v>10</v>
      </c>
      <c r="H2661" s="18" t="s">
        <v>2656</v>
      </c>
      <c r="I2661" s="18" t="s">
        <v>10</v>
      </c>
      <c r="J2661" s="18" t="s">
        <v>4017</v>
      </c>
      <c r="K2661" s="20"/>
    </row>
    <row r="2662" spans="1:11" ht="36.75" thickBot="1">
      <c r="A2662" s="18" t="s">
        <v>8117</v>
      </c>
      <c r="B2662" s="18">
        <v>20017171157</v>
      </c>
      <c r="C2662" s="18" t="s">
        <v>7645</v>
      </c>
      <c r="D2662" s="19">
        <v>45981.505555555559</v>
      </c>
      <c r="E2662" s="19">
        <v>45988.393750000003</v>
      </c>
      <c r="F2662" s="18">
        <v>50</v>
      </c>
      <c r="G2662" s="18" t="s">
        <v>10</v>
      </c>
      <c r="H2662" s="18" t="s">
        <v>2656</v>
      </c>
      <c r="I2662" s="18" t="s">
        <v>10</v>
      </c>
      <c r="J2662" s="18" t="s">
        <v>4017</v>
      </c>
      <c r="K2662" s="20"/>
    </row>
    <row r="2663" spans="1:11" ht="36.75" thickBot="1">
      <c r="A2663" s="18" t="s">
        <v>8118</v>
      </c>
      <c r="B2663" s="18">
        <v>20021733892</v>
      </c>
      <c r="C2663" s="18" t="s">
        <v>8119</v>
      </c>
      <c r="D2663" s="19">
        <v>45976.557638888888</v>
      </c>
      <c r="E2663" s="19">
        <v>45988.401388888888</v>
      </c>
      <c r="F2663" s="18">
        <v>100</v>
      </c>
      <c r="G2663" s="18" t="s">
        <v>10</v>
      </c>
      <c r="H2663" s="18" t="s">
        <v>2656</v>
      </c>
      <c r="I2663" s="18" t="s">
        <v>10</v>
      </c>
      <c r="J2663" s="18" t="s">
        <v>4017</v>
      </c>
      <c r="K2663" s="20"/>
    </row>
    <row r="2664" spans="1:11" ht="36.75" thickBot="1">
      <c r="A2664" s="18" t="s">
        <v>7760</v>
      </c>
      <c r="B2664" s="18">
        <v>20003405881</v>
      </c>
      <c r="C2664" s="18" t="s">
        <v>7759</v>
      </c>
      <c r="D2664" s="19">
        <v>45968.57708333333</v>
      </c>
      <c r="E2664" s="19">
        <v>45988.401388888888</v>
      </c>
      <c r="F2664" s="18">
        <v>600</v>
      </c>
      <c r="G2664" s="18" t="s">
        <v>10</v>
      </c>
      <c r="H2664" s="18" t="s">
        <v>2656</v>
      </c>
      <c r="I2664" s="18" t="s">
        <v>10</v>
      </c>
      <c r="J2664" s="18" t="s">
        <v>4017</v>
      </c>
      <c r="K2664" s="20"/>
    </row>
    <row r="2665" spans="1:11" ht="36.75" thickBot="1">
      <c r="A2665" s="18" t="s">
        <v>8120</v>
      </c>
      <c r="B2665" s="18">
        <v>20028103793</v>
      </c>
      <c r="C2665" s="18" t="s">
        <v>7648</v>
      </c>
      <c r="D2665" s="19">
        <v>45988.446527777778</v>
      </c>
      <c r="E2665" s="18" t="s">
        <v>10</v>
      </c>
      <c r="F2665" s="18">
        <v>50</v>
      </c>
      <c r="G2665" s="18" t="s">
        <v>10</v>
      </c>
      <c r="H2665" s="18" t="s">
        <v>2656</v>
      </c>
      <c r="I2665" s="18" t="s">
        <v>10</v>
      </c>
      <c r="J2665" s="18" t="s">
        <v>4017</v>
      </c>
      <c r="K2665" s="20"/>
    </row>
    <row r="2666" spans="1:11" ht="36.75" thickBot="1">
      <c r="A2666" s="18" t="s">
        <v>8121</v>
      </c>
      <c r="B2666" s="18">
        <v>20021673871</v>
      </c>
      <c r="C2666" s="18" t="s">
        <v>7650</v>
      </c>
      <c r="D2666" s="19">
        <v>45988.477083333331</v>
      </c>
      <c r="E2666" s="18" t="s">
        <v>10</v>
      </c>
      <c r="F2666" s="18">
        <v>40</v>
      </c>
      <c r="G2666" s="18" t="s">
        <v>10</v>
      </c>
      <c r="H2666" s="18" t="s">
        <v>2656</v>
      </c>
      <c r="I2666" s="18" t="s">
        <v>10</v>
      </c>
      <c r="J2666" s="18" t="s">
        <v>4017</v>
      </c>
      <c r="K2666" s="20"/>
    </row>
    <row r="2667" spans="1:11" ht="36.75" thickBot="1">
      <c r="A2667" s="18" t="s">
        <v>8122</v>
      </c>
      <c r="B2667" s="18">
        <v>20002851679</v>
      </c>
      <c r="C2667" s="18" t="s">
        <v>7656</v>
      </c>
      <c r="D2667" s="19">
        <v>45988.524305555555</v>
      </c>
      <c r="E2667" s="18" t="s">
        <v>10</v>
      </c>
      <c r="F2667" s="18">
        <v>40</v>
      </c>
      <c r="G2667" s="18" t="s">
        <v>10</v>
      </c>
      <c r="H2667" s="18" t="s">
        <v>2656</v>
      </c>
      <c r="I2667" s="18" t="s">
        <v>10</v>
      </c>
      <c r="J2667" s="18" t="s">
        <v>4017</v>
      </c>
      <c r="K2667" s="20"/>
    </row>
    <row r="2668" spans="1:11" ht="36.75" thickBot="1">
      <c r="A2668" s="18" t="s">
        <v>8123</v>
      </c>
      <c r="B2668" s="18">
        <v>20020782928</v>
      </c>
      <c r="C2668" s="18" t="s">
        <v>7656</v>
      </c>
      <c r="D2668" s="19">
        <v>45988.553472222222</v>
      </c>
      <c r="E2668" s="18" t="s">
        <v>10</v>
      </c>
      <c r="F2668" s="18">
        <v>40</v>
      </c>
      <c r="G2668" s="18" t="s">
        <v>10</v>
      </c>
      <c r="H2668" s="18" t="s">
        <v>2656</v>
      </c>
      <c r="I2668" s="18" t="s">
        <v>10</v>
      </c>
      <c r="J2668" s="18" t="s">
        <v>4017</v>
      </c>
      <c r="K2668" s="20"/>
    </row>
    <row r="2669" spans="1:11" ht="36.75" thickBot="1">
      <c r="A2669" s="18" t="s">
        <v>8124</v>
      </c>
      <c r="B2669" s="18">
        <v>20023728032</v>
      </c>
      <c r="C2669" s="18" t="s">
        <v>4074</v>
      </c>
      <c r="D2669" s="19">
        <v>45988.749305555553</v>
      </c>
      <c r="E2669" s="18" t="s">
        <v>10</v>
      </c>
      <c r="F2669" s="18">
        <v>30</v>
      </c>
      <c r="G2669" s="18" t="s">
        <v>10</v>
      </c>
      <c r="H2669" s="18" t="s">
        <v>2656</v>
      </c>
      <c r="I2669" s="18" t="s">
        <v>10</v>
      </c>
      <c r="J2669" s="18" t="s">
        <v>4017</v>
      </c>
      <c r="K2669" s="20"/>
    </row>
    <row r="2670" spans="1:11" ht="36.75" thickBot="1">
      <c r="A2670" s="18" t="s">
        <v>8125</v>
      </c>
      <c r="B2670" s="18">
        <v>20025005010</v>
      </c>
      <c r="C2670" s="18" t="s">
        <v>8126</v>
      </c>
      <c r="D2670" s="19">
        <v>45989.436805555553</v>
      </c>
      <c r="E2670" s="18" t="s">
        <v>10</v>
      </c>
      <c r="F2670" s="18">
        <v>100</v>
      </c>
      <c r="G2670" s="18" t="s">
        <v>10</v>
      </c>
      <c r="H2670" s="18" t="s">
        <v>2656</v>
      </c>
      <c r="I2670" s="18" t="s">
        <v>10</v>
      </c>
      <c r="J2670" s="18" t="s">
        <v>4017</v>
      </c>
      <c r="K2670" s="20"/>
    </row>
    <row r="2671" spans="1:11" ht="54.75" thickBot="1">
      <c r="A2671" s="18" t="s">
        <v>8127</v>
      </c>
      <c r="B2671" s="18">
        <v>20003459257</v>
      </c>
      <c r="C2671" s="18" t="s">
        <v>8128</v>
      </c>
      <c r="D2671" s="19">
        <v>45989.495138888888</v>
      </c>
      <c r="E2671" s="18" t="s">
        <v>10</v>
      </c>
      <c r="F2671" s="18">
        <v>100</v>
      </c>
      <c r="G2671" s="18" t="s">
        <v>10</v>
      </c>
      <c r="H2671" s="18" t="s">
        <v>2656</v>
      </c>
      <c r="I2671" s="18" t="s">
        <v>10</v>
      </c>
      <c r="J2671" s="18" t="s">
        <v>4017</v>
      </c>
      <c r="K2671" s="20"/>
    </row>
    <row r="2672" spans="1:11" ht="36.75" thickBot="1">
      <c r="A2672" s="18" t="s">
        <v>8129</v>
      </c>
      <c r="B2672" s="18">
        <v>20003402123</v>
      </c>
      <c r="C2672" s="18" t="s">
        <v>215</v>
      </c>
      <c r="D2672" s="19">
        <v>45975.618055555555</v>
      </c>
      <c r="E2672" s="19">
        <v>45989.584722222222</v>
      </c>
      <c r="F2672" s="18">
        <v>30</v>
      </c>
      <c r="G2672" s="18" t="s">
        <v>10</v>
      </c>
      <c r="H2672" s="18" t="s">
        <v>2656</v>
      </c>
      <c r="I2672" s="18" t="s">
        <v>10</v>
      </c>
      <c r="J2672" s="18" t="s">
        <v>4017</v>
      </c>
      <c r="K2672" s="20"/>
    </row>
    <row r="2673" spans="1:11" ht="36.75" thickBot="1">
      <c r="A2673" s="18" t="s">
        <v>8130</v>
      </c>
      <c r="B2673" s="18">
        <v>20003012536</v>
      </c>
      <c r="C2673" s="18" t="s">
        <v>8131</v>
      </c>
      <c r="D2673" s="19">
        <v>45989.602777777778</v>
      </c>
      <c r="E2673" s="18" t="s">
        <v>10</v>
      </c>
      <c r="F2673" s="18">
        <v>161</v>
      </c>
      <c r="G2673" s="18" t="s">
        <v>10</v>
      </c>
      <c r="H2673" s="18" t="s">
        <v>2656</v>
      </c>
      <c r="I2673" s="18" t="s">
        <v>10</v>
      </c>
      <c r="J2673" s="18" t="s">
        <v>4017</v>
      </c>
      <c r="K2673" s="20"/>
    </row>
    <row r="2674" spans="1:11" ht="36.75" thickBot="1">
      <c r="A2674" s="18" t="s">
        <v>7755</v>
      </c>
      <c r="B2674" s="18">
        <v>20021986711</v>
      </c>
      <c r="C2674" s="18" t="s">
        <v>4481</v>
      </c>
      <c r="D2674" s="19">
        <v>45968.446527777778</v>
      </c>
      <c r="E2674" s="19">
        <v>45990.454861111109</v>
      </c>
      <c r="F2674" s="18">
        <v>200</v>
      </c>
      <c r="G2674" s="18" t="s">
        <v>10</v>
      </c>
      <c r="H2674" s="18" t="s">
        <v>2656</v>
      </c>
      <c r="I2674" s="18" t="s">
        <v>10</v>
      </c>
      <c r="J2674" s="18" t="s">
        <v>4017</v>
      </c>
      <c r="K2674" s="20"/>
    </row>
    <row r="2675" spans="1:11" ht="54.75" thickBot="1">
      <c r="A2675" s="18" t="s">
        <v>8132</v>
      </c>
      <c r="B2675" s="18">
        <v>20025829165</v>
      </c>
      <c r="C2675" s="18" t="s">
        <v>8133</v>
      </c>
      <c r="D2675" s="19">
        <v>45987.615972222222</v>
      </c>
      <c r="E2675" s="19">
        <v>45990.626388888886</v>
      </c>
      <c r="F2675" s="18">
        <v>30</v>
      </c>
      <c r="G2675" s="18" t="s">
        <v>10</v>
      </c>
      <c r="H2675" s="18" t="s">
        <v>2656</v>
      </c>
      <c r="I2675" s="18" t="s">
        <v>10</v>
      </c>
      <c r="J2675" s="18" t="s">
        <v>4017</v>
      </c>
      <c r="K2675" s="20"/>
    </row>
    <row r="2676" spans="1:11" ht="54.75" thickBot="1">
      <c r="A2676" s="18" t="s">
        <v>8134</v>
      </c>
      <c r="B2676" s="18">
        <v>20027297506</v>
      </c>
      <c r="C2676" s="18" t="s">
        <v>8135</v>
      </c>
      <c r="D2676" s="19">
        <v>45987.555555555555</v>
      </c>
      <c r="E2676" s="19">
        <v>45990.626388888886</v>
      </c>
      <c r="F2676" s="18">
        <v>30</v>
      </c>
      <c r="G2676" s="18" t="s">
        <v>10</v>
      </c>
      <c r="H2676" s="18" t="s">
        <v>2656</v>
      </c>
      <c r="I2676" s="18" t="s">
        <v>10</v>
      </c>
      <c r="J2676" s="18" t="s">
        <v>4017</v>
      </c>
      <c r="K2676" s="20"/>
    </row>
    <row r="2677" spans="1:11" ht="72.75" thickBot="1">
      <c r="A2677" s="18" t="s">
        <v>8136</v>
      </c>
      <c r="B2677" s="18">
        <v>20026691000</v>
      </c>
      <c r="C2677" s="18" t="s">
        <v>8137</v>
      </c>
      <c r="D2677" s="19">
        <v>45987.574999999997</v>
      </c>
      <c r="E2677" s="19">
        <v>45990.637499999997</v>
      </c>
      <c r="F2677" s="18">
        <v>30</v>
      </c>
      <c r="G2677" s="18" t="s">
        <v>10</v>
      </c>
      <c r="H2677" s="18" t="s">
        <v>2656</v>
      </c>
      <c r="I2677" s="18" t="s">
        <v>10</v>
      </c>
      <c r="J2677" s="18" t="s">
        <v>4017</v>
      </c>
      <c r="K2677" s="20"/>
    </row>
    <row r="2678" spans="1:11" ht="54.75" thickBot="1">
      <c r="A2678" s="18" t="s">
        <v>8138</v>
      </c>
      <c r="B2678" s="18">
        <v>20025937156</v>
      </c>
      <c r="C2678" s="18" t="s">
        <v>8139</v>
      </c>
      <c r="D2678" s="19">
        <v>45987.6</v>
      </c>
      <c r="E2678" s="19">
        <v>45990.637499999997</v>
      </c>
      <c r="F2678" s="18">
        <v>30</v>
      </c>
      <c r="G2678" s="18" t="s">
        <v>10</v>
      </c>
      <c r="H2678" s="18" t="s">
        <v>2656</v>
      </c>
      <c r="I2678" s="18" t="s">
        <v>10</v>
      </c>
      <c r="J2678" s="18" t="s">
        <v>4017</v>
      </c>
      <c r="K2678" s="20"/>
    </row>
    <row r="2679" spans="1:11" ht="36.75" thickBot="1">
      <c r="A2679" s="18" t="s">
        <v>8140</v>
      </c>
      <c r="B2679" s="18">
        <v>20002929999</v>
      </c>
      <c r="C2679" s="18" t="s">
        <v>8141</v>
      </c>
      <c r="D2679" s="19">
        <v>45990.777777777781</v>
      </c>
      <c r="E2679" s="18" t="s">
        <v>10</v>
      </c>
      <c r="F2679" s="18">
        <v>130</v>
      </c>
      <c r="G2679" s="18" t="s">
        <v>10</v>
      </c>
      <c r="H2679" s="18" t="s">
        <v>2656</v>
      </c>
      <c r="I2679" s="18" t="s">
        <v>10</v>
      </c>
      <c r="J2679" s="18" t="s">
        <v>4017</v>
      </c>
      <c r="K2679" s="20"/>
    </row>
    <row r="2680" spans="1:11" ht="36.75" thickBot="1">
      <c r="A2680" s="18" t="s">
        <v>8142</v>
      </c>
      <c r="B2680" s="18">
        <v>20002834790</v>
      </c>
      <c r="C2680" s="18" t="s">
        <v>8143</v>
      </c>
      <c r="D2680" s="19">
        <v>45991.917361111111</v>
      </c>
      <c r="E2680" s="18" t="s">
        <v>10</v>
      </c>
      <c r="F2680" s="18">
        <v>50</v>
      </c>
      <c r="G2680" s="18" t="s">
        <v>10</v>
      </c>
      <c r="H2680" s="18" t="s">
        <v>2656</v>
      </c>
      <c r="I2680" s="18" t="s">
        <v>10</v>
      </c>
      <c r="J2680" s="18" t="s">
        <v>4017</v>
      </c>
      <c r="K2680" s="20"/>
    </row>
    <row r="2681" spans="1:11" ht="36.75" thickBot="1">
      <c r="A2681" s="18" t="s">
        <v>8144</v>
      </c>
      <c r="B2681" s="18">
        <v>20023515844</v>
      </c>
      <c r="C2681" s="18" t="s">
        <v>7388</v>
      </c>
      <c r="D2681" s="19">
        <v>45981.635416666664</v>
      </c>
      <c r="E2681" s="19">
        <v>45992.568055555559</v>
      </c>
      <c r="F2681" s="18">
        <v>100</v>
      </c>
      <c r="G2681" s="18" t="s">
        <v>10</v>
      </c>
      <c r="H2681" s="18" t="s">
        <v>2656</v>
      </c>
      <c r="I2681" s="18" t="s">
        <v>10</v>
      </c>
      <c r="J2681" s="18" t="s">
        <v>4017</v>
      </c>
      <c r="K2681" s="20"/>
    </row>
    <row r="2682" spans="1:11" ht="36.75" thickBot="1">
      <c r="A2682" s="18" t="s">
        <v>8145</v>
      </c>
      <c r="B2682" s="18">
        <v>20002864467</v>
      </c>
      <c r="C2682" s="18" t="s">
        <v>8146</v>
      </c>
      <c r="D2682" s="19">
        <v>45992.669444444444</v>
      </c>
      <c r="E2682" s="18" t="s">
        <v>10</v>
      </c>
      <c r="F2682" s="18">
        <v>50</v>
      </c>
      <c r="G2682" s="18" t="s">
        <v>10</v>
      </c>
      <c r="H2682" s="18" t="s">
        <v>2656</v>
      </c>
      <c r="I2682" s="18" t="s">
        <v>10</v>
      </c>
      <c r="J2682" s="18" t="s">
        <v>4017</v>
      </c>
      <c r="K2682" s="20"/>
    </row>
    <row r="2683" spans="1:11" ht="36.75" thickBot="1">
      <c r="A2683" s="18" t="s">
        <v>8147</v>
      </c>
      <c r="B2683" s="18">
        <v>20003283320</v>
      </c>
      <c r="C2683" s="18" t="s">
        <v>8146</v>
      </c>
      <c r="D2683" s="19">
        <v>45992.678472222222</v>
      </c>
      <c r="E2683" s="18" t="s">
        <v>10</v>
      </c>
      <c r="F2683" s="18">
        <v>200</v>
      </c>
      <c r="G2683" s="18" t="s">
        <v>10</v>
      </c>
      <c r="H2683" s="18" t="s">
        <v>2656</v>
      </c>
      <c r="I2683" s="18" t="s">
        <v>10</v>
      </c>
      <c r="J2683" s="18" t="s">
        <v>4017</v>
      </c>
      <c r="K2683" s="1"/>
    </row>
  </sheetData>
  <autoFilter ref="A1:O2606" xr:uid="{C574EC45-CA70-47E7-A26F-865CB42C1A47}"/>
  <conditionalFormatting sqref="B1 B2684:B1048576">
    <cfRule type="duplicateValues" dxfId="17" priority="1"/>
  </conditionalFormatting>
  <hyperlinks>
    <hyperlink ref="K3" r:id="rId1" display="https://ppim-intra.pea.co.th:4434/request/PPIM18500045" xr:uid="{09ED09BC-D2C4-47FA-8388-A75494FF38C0}"/>
    <hyperlink ref="K4" r:id="rId2" display="https://ppim-intra.pea.co.th:4434/request/PPIM1850005F" xr:uid="{E00EA9CF-82F1-4980-AC2B-303C5069FB0F}"/>
    <hyperlink ref="K5" r:id="rId3" display="https://ppim-intra.pea.co.th:4434/request/PPIM18500076" xr:uid="{B293F09C-C53B-4B6D-BDC8-7AC147F6BD16}"/>
    <hyperlink ref="K6" r:id="rId4" display="https://ppim-intra.pea.co.th:4434/request/PPIM185000C0" xr:uid="{F79908D0-01D2-4E43-8195-FEC5B89CB8F9}"/>
    <hyperlink ref="K7" r:id="rId5" display="https://ppim-intra.pea.co.th:4434/request/PPIM185000D8" xr:uid="{65067E7F-79A4-4BD3-941F-6CFD351D156C}"/>
    <hyperlink ref="K8" r:id="rId6" display="https://ppim-intra.pea.co.th:4434/request/PPIM185000FF" xr:uid="{CBD681F8-B43B-456F-8750-843F06F50E33}"/>
    <hyperlink ref="K9" r:id="rId7" display="https://ppim-intra.pea.co.th:4434/request/PPIM18500122" xr:uid="{253960DF-6D9E-441B-9C5A-2CC1B2802A62}"/>
    <hyperlink ref="K10" r:id="rId8" display="https://ppim-intra.pea.co.th:4434/request/PPIM1850012B" xr:uid="{0B653763-3AE9-4B4D-9DEB-2BA6A40427D4}"/>
    <hyperlink ref="K11" r:id="rId9" display="https://ppim-intra.pea.co.th:4434/request/PPIM18500136" xr:uid="{5F375DD3-C3BC-4811-8DF5-F4C832AE1715}"/>
    <hyperlink ref="K12" r:id="rId10" display="https://ppim-intra.pea.co.th:4434/request/PPIM1850013C" xr:uid="{8F340256-2C66-4C14-A761-2F1D8E0D31D7}"/>
    <hyperlink ref="K13" r:id="rId11" display="https://ppim-intra.pea.co.th:4434/request/PPIM18500153" xr:uid="{0AB5D781-EBB7-4547-8264-193F3F4A7691}"/>
    <hyperlink ref="K14" r:id="rId12" display="https://ppim-intra.pea.co.th:4434/request/PPIM18500163" xr:uid="{B2DC5EFD-6591-44B0-A367-D4A802DFAF4F}"/>
    <hyperlink ref="K15" r:id="rId13" display="https://ppim-intra.pea.co.th:4434/request/PPIM18500192" xr:uid="{866A2AE9-D9A6-4B69-B659-C4E99E6E3F8E}"/>
    <hyperlink ref="K16" r:id="rId14" display="https://ppim-intra.pea.co.th:4434/request/PPIM185001A0" xr:uid="{72269C73-A237-407E-90FC-68D39C59273A}"/>
    <hyperlink ref="K17" r:id="rId15" display="https://ppim-intra.pea.co.th:4434/request/PPIM185001A6" xr:uid="{824AC107-319F-4C0F-8D5F-2506A5736B8E}"/>
    <hyperlink ref="K18" r:id="rId16" display="https://ppim-intra.pea.co.th:4434/request/PPIM185001B6" xr:uid="{30F19888-AD54-44AF-A595-B056F3EDB6D8}"/>
    <hyperlink ref="K19" r:id="rId17" display="https://ppim-intra.pea.co.th:4434/request/PPIM185001B7" xr:uid="{6D7B1739-9F3B-4A69-B332-691770DF3854}"/>
    <hyperlink ref="K20" r:id="rId18" display="https://ppim-intra.pea.co.th:4434/request/PPIM185001C9" xr:uid="{65418E2F-E73F-4EDF-A840-F89F7627D11E}"/>
    <hyperlink ref="K21" r:id="rId19" display="https://ppim-intra.pea.co.th:4434/request/PPIM185001CF" xr:uid="{91A65CE1-0255-449A-A200-ADD578DF4232}"/>
    <hyperlink ref="K22" r:id="rId20" display="https://ppim-intra.pea.co.th:4434/request/PPIM185001EC" xr:uid="{50189C91-A224-43EE-83E5-05F35BCBE874}"/>
    <hyperlink ref="K23" r:id="rId21" display="https://ppim-intra.pea.co.th:4434/request/PPIM185001F3" xr:uid="{17B3EC85-4E30-45B8-B8B7-8339633D9D02}"/>
    <hyperlink ref="K24" r:id="rId22" display="https://ppim-intra.pea.co.th:4434/request/PPIM1850020E" xr:uid="{CB9F41D7-08F9-4805-9D83-5CA656352075}"/>
    <hyperlink ref="K25" r:id="rId23" display="https://ppim-intra.pea.co.th:4434/request/PPIM18500229" xr:uid="{DC14B1DC-579C-44C1-87F9-AB56B4FC09D1}"/>
    <hyperlink ref="K26" r:id="rId24" display="https://ppim-intra.pea.co.th:4434/request/PPIM1850022B" xr:uid="{E629FFF8-1BCE-46E9-B0FC-5FA83686BC3C}"/>
    <hyperlink ref="K27" r:id="rId25" display="https://ppim-intra.pea.co.th:4434/request/PPIM18500242" xr:uid="{8A9C2ACE-2A21-48A5-B6BB-D73B8AA20B3A}"/>
    <hyperlink ref="K28" r:id="rId26" display="https://ppim-intra.pea.co.th:4434/request/PPIM18500247" xr:uid="{5A41CF9F-0041-47D5-B2D6-A3E3718C7D46}"/>
    <hyperlink ref="K29" r:id="rId27" display="https://ppim-intra.pea.co.th:4434/request/PPIM1850025A" xr:uid="{2991A61F-C38A-4191-9350-0FD56DF6ADCF}"/>
    <hyperlink ref="K30" r:id="rId28" display="https://ppim-intra.pea.co.th:4434/request/PPIM18500278" xr:uid="{61B38553-806E-4305-AAEA-054E346A7B54}"/>
    <hyperlink ref="K31" r:id="rId29" display="https://ppim-intra.pea.co.th:4434/request/PPIM185002C7" xr:uid="{48843F9A-8BEF-4921-AF08-98B3EFA20AA8}"/>
    <hyperlink ref="K32" r:id="rId30" display="https://ppim-intra.pea.co.th:4434/request/PPIM185002D4" xr:uid="{43FD0D28-A2B7-4B2B-81F0-3806CA960432}"/>
    <hyperlink ref="K33" r:id="rId31" display="https://ppim-intra.pea.co.th:4434/request/PPIM185002E0" xr:uid="{B4076EE7-2A7F-47E7-9602-1BC071B8A2F7}"/>
    <hyperlink ref="K34" r:id="rId32" display="https://ppim-intra.pea.co.th:4434/request/PPIM185002E8" xr:uid="{ABE29D32-3974-4447-B974-AAA4DCA2C150}"/>
    <hyperlink ref="K35" r:id="rId33" display="https://ppim-intra.pea.co.th:4434/request/PPIM18500302" xr:uid="{61D43C24-F5F7-4BD8-BA59-3513D4B92FBF}"/>
    <hyperlink ref="K36" r:id="rId34" display="https://ppim-intra.pea.co.th:4434/request/PPIM1850030C" xr:uid="{53923FBB-5A9C-4734-861C-1A0B675B73AC}"/>
    <hyperlink ref="K37" r:id="rId35" display="https://ppim-intra.pea.co.th:4434/request/PPIM18500327" xr:uid="{2F04CCF1-1003-427A-AA29-4201C2932299}"/>
    <hyperlink ref="K38" r:id="rId36" display="https://ppim-intra.pea.co.th:4434/request/PPIM1850036D" xr:uid="{5F4F672E-FD98-4F85-922C-6A7E0CAAB4BC}"/>
    <hyperlink ref="K39" r:id="rId37" display="https://ppim-intra.pea.co.th:4434/request/PPIM18500372" xr:uid="{A9BF8920-D912-44FB-AF7B-0D7CF5FA5314}"/>
    <hyperlink ref="K40" r:id="rId38" display="https://ppim-intra.pea.co.th:4434/request/PPIM1850037A" xr:uid="{FAD0C573-2F3C-40D8-8FA4-F78514DC398D}"/>
    <hyperlink ref="K41" r:id="rId39" display="https://ppim-intra.pea.co.th:4434/request/PPIM1850039C" xr:uid="{12A1FA95-7D99-4909-852D-28EB9CA21697}"/>
    <hyperlink ref="K42" r:id="rId40" display="https://ppim-intra.pea.co.th:4434/request/PPIM185003BF" xr:uid="{C98EFE54-6263-4E68-9637-1EE2AC2FEE97}"/>
    <hyperlink ref="K43" r:id="rId41" display="https://ppim-intra.pea.co.th:4434/request/PPIM185003C0" xr:uid="{73F76CE0-4BAA-4619-A3FD-007829446704}"/>
    <hyperlink ref="K44" r:id="rId42" display="https://ppim-intra.pea.co.th:4434/request/PPIM185003C3" xr:uid="{FEE77B7F-BABC-4B69-8A5E-ED54B8B4B121}"/>
    <hyperlink ref="K45" r:id="rId43" display="https://ppim-intra.pea.co.th:4434/request/PPIM185003CD" xr:uid="{1EE8410D-12FB-426E-BBD2-FA61DB64BD43}"/>
    <hyperlink ref="K46" r:id="rId44" display="https://ppim-intra.pea.co.th:4434/request/PPIM185003CE" xr:uid="{C88F646B-D3FB-4B7A-AC2D-21588703AD82}"/>
    <hyperlink ref="K47" r:id="rId45" display="https://ppim-intra.pea.co.th:4434/request/PPIM185003D5" xr:uid="{D7DDAAC9-D9D8-4B26-A779-152A78015686}"/>
    <hyperlink ref="K48" r:id="rId46" display="https://ppim-intra.pea.co.th:4434/request/PPIM185003D7" xr:uid="{5C87D12D-F0E2-40DA-AF43-519F817A5C3C}"/>
    <hyperlink ref="K49" r:id="rId47" display="https://ppim-intra.pea.co.th:4434/request/PPIM185003D9" xr:uid="{A349831F-3A23-428B-A475-A5E50290FEE3}"/>
    <hyperlink ref="K50" r:id="rId48" display="https://ppim-intra.pea.co.th:4434/request/PPIM18500400" xr:uid="{7D08155B-F186-4646-B3DC-094CAF20F8EA}"/>
    <hyperlink ref="K51" r:id="rId49" display="https://ppim-intra.pea.co.th:4434/request/PPIM18500403" xr:uid="{E392AC1A-0037-4015-B713-72D4F776CBF4}"/>
    <hyperlink ref="K52" r:id="rId50" display="https://ppim-intra.pea.co.th:4434/request/PPIM1850041A" xr:uid="{71EE66D9-2E6A-4033-A43E-7D64EBD1E1F3}"/>
    <hyperlink ref="K53" r:id="rId51" display="https://ppim-intra.pea.co.th:4434/request/PPIM18500435" xr:uid="{1391462A-E71D-4E73-935C-C3B6236D039B}"/>
    <hyperlink ref="K54" r:id="rId52" display="https://ppim-intra.pea.co.th:4434/request/PPIM1850044A" xr:uid="{FA77BB58-BB19-49E9-9998-9DBED0780B39}"/>
    <hyperlink ref="K55" r:id="rId53" display="https://ppim-intra.pea.co.th:4434/request/PPIM1850045A" xr:uid="{2DB92973-16BA-41B0-BBD9-AC4DF90A4534}"/>
    <hyperlink ref="K56" r:id="rId54" display="https://ppim-intra.pea.co.th:4434/request/PPIM18500476" xr:uid="{D0F83E59-44CA-4162-B012-4F2BC514AF44}"/>
    <hyperlink ref="K57" r:id="rId55" display="https://ppim-intra.pea.co.th:4434/request/PPIM1850049D" xr:uid="{A79F4AE1-B925-4CA3-B107-1EF6CACB3D1A}"/>
    <hyperlink ref="K58" r:id="rId56" display="https://ppim-intra.pea.co.th:4434/request/PPIM185004BC" xr:uid="{BEF1E8DD-8B9A-4CCE-9605-391582BE12EB}"/>
    <hyperlink ref="K59" r:id="rId57" display="https://ppim-intra.pea.co.th:4434/request/PPIM185004C7" xr:uid="{F5D6D952-9C40-43F3-971E-661EB0B9EAAD}"/>
    <hyperlink ref="K60" r:id="rId58" display="https://ppim-intra.pea.co.th:4434/request/PPIM185004D9" xr:uid="{03E7F349-5881-4FF5-ADE4-496F7D4297DC}"/>
    <hyperlink ref="K61" r:id="rId59" display="https://ppim-intra.pea.co.th:4434/request/PPIM18500527" xr:uid="{C753CCC4-374D-461C-AB23-3B300A5996A2}"/>
    <hyperlink ref="K62" r:id="rId60" display="https://ppim-intra.pea.co.th:4434/request/PPIM18500572" xr:uid="{608C2836-8D57-403F-9C24-50901AED8F70}"/>
    <hyperlink ref="K63" r:id="rId61" display="https://ppim-intra.pea.co.th:4434/request/PPIM1850058C" xr:uid="{60E3BEA5-D6A2-48DC-8BBD-AFC1D526BDE7}"/>
    <hyperlink ref="K64" r:id="rId62" display="https://ppim-intra.pea.co.th:4434/request/PPIM185005D2" xr:uid="{6ECE15BE-B887-4FE7-8171-94889956956C}"/>
    <hyperlink ref="K65" r:id="rId63" display="https://ppim-intra.pea.co.th:4434/request/PPIM185005E9" xr:uid="{98FC717E-CC92-4552-82D7-FD685897A8A7}"/>
    <hyperlink ref="K66" r:id="rId64" display="https://ppim-intra.pea.co.th:4434/request/PPIM18500602" xr:uid="{55F66604-3C37-4895-BBD8-F2645E4289C7}"/>
    <hyperlink ref="K67" r:id="rId65" display="https://ppim-intra.pea.co.th:4434/request/PPIM18500608" xr:uid="{64A14279-90CC-4A6D-9635-B3EC1163BD28}"/>
    <hyperlink ref="K68" r:id="rId66" display="https://ppim-intra.pea.co.th:4434/request/PPIM1850060E" xr:uid="{21787588-5B55-489F-B138-83B53A9CA121}"/>
    <hyperlink ref="K69" r:id="rId67" display="https://ppim-intra.pea.co.th:4434/request/PPIM18500614" xr:uid="{D4C1B60E-4970-41B1-8E7E-7ABAA23A9EB9}"/>
    <hyperlink ref="K70" r:id="rId68" display="https://ppim-intra.pea.co.th:4434/request/PPIM1850061C" xr:uid="{6A7ED92A-6CAC-4A8D-9A05-B64234CB622E}"/>
    <hyperlink ref="K71" r:id="rId69" display="https://ppim-intra.pea.co.th:4434/request/PPIM1850069A" xr:uid="{2091D078-2062-44FE-97D3-446B298B0456}"/>
    <hyperlink ref="K72" r:id="rId70" display="https://ppim-intra.pea.co.th:4434/request/PPIM185006C5" xr:uid="{EDF9FF87-08CC-40E4-B522-5D34D7966B97}"/>
    <hyperlink ref="K73" r:id="rId71" display="https://ppim-intra.pea.co.th:4434/request/PPIM185006CC" xr:uid="{C0AE56F0-9054-4D37-BBE0-CC000219AECD}"/>
    <hyperlink ref="K74" r:id="rId72" display="https://ppim-intra.pea.co.th:4434/request/PPIM185006D4" xr:uid="{DE57C54D-CB77-460F-82A6-DD6A4A9C2A77}"/>
    <hyperlink ref="K75" r:id="rId73" display="https://ppim-intra.pea.co.th:4434/request/PPIM185006E6" xr:uid="{D2337214-3603-4A17-B9C4-A7B71D870661}"/>
    <hyperlink ref="K76" r:id="rId74" display="https://ppim-intra.pea.co.th:4434/request/PPIM18500701" xr:uid="{CA0AAB41-9CC6-48A6-AE8F-A3D57CBD1514}"/>
    <hyperlink ref="K77" r:id="rId75" display="https://ppim-intra.pea.co.th:4434/request/PPIM18500709" xr:uid="{8F87692E-9AE5-499F-A014-F63DC0AF486C}"/>
    <hyperlink ref="K78" r:id="rId76" display="https://ppim-intra.pea.co.th:4434/request/PPIM18500713" xr:uid="{12E483C2-7849-4591-9028-DDB6B78B63A2}"/>
    <hyperlink ref="K79" r:id="rId77" display="https://ppim-intra.pea.co.th:4434/request/PPIM18500716" xr:uid="{234A4FD1-61C3-4B90-AC04-B8DEE402EEAE}"/>
    <hyperlink ref="K80" r:id="rId78" display="https://ppim-intra.pea.co.th:4434/request/PPIM18500719" xr:uid="{80F2FFDC-7A9A-420C-B76B-75FFF7DEB18B}"/>
    <hyperlink ref="K81" r:id="rId79" display="https://ppim-intra.pea.co.th:4434/request/PPIM1850071A" xr:uid="{29B2155B-35CE-482C-AAE8-3065F0CE2628}"/>
    <hyperlink ref="K82" r:id="rId80" display="https://ppim-intra.pea.co.th:4434/request/PPIM18500727" xr:uid="{D83F44EB-0D5C-4B57-91E9-51824BAEA0C6}"/>
    <hyperlink ref="K83" r:id="rId81" display="https://ppim-intra.pea.co.th:4434/request/PPIM18500733" xr:uid="{C205CF5E-7AF6-49D5-9CF3-42514D436A12}"/>
    <hyperlink ref="K84" r:id="rId82" display="https://ppim-intra.pea.co.th:4434/request/PPIM18500738" xr:uid="{64AE5B4C-ADBD-489C-B135-839B42B84C18}"/>
    <hyperlink ref="K85" r:id="rId83" display="https://ppim-intra.pea.co.th:4434/request/PPIM1850073A" xr:uid="{EF11539D-32DC-4D78-9D3B-53461D5AC5B8}"/>
    <hyperlink ref="K86" r:id="rId84" display="https://ppim-intra.pea.co.th:4434/request/PPIM1850073B" xr:uid="{08EC3B3A-BA2F-4594-8AD0-D56E8B2DC959}"/>
    <hyperlink ref="K87" r:id="rId85" display="https://ppim-intra.pea.co.th:4434/request/PPIM18500741" xr:uid="{4B323EBB-2E24-42FC-A74A-C1E69D4FEA45}"/>
    <hyperlink ref="K88" r:id="rId86" display="https://ppim-intra.pea.co.th:4434/request/PPIM18500750" xr:uid="{FCA691A1-9D5D-4FBC-A431-EE9AAD0F67CA}"/>
    <hyperlink ref="K89" r:id="rId87" display="https://ppim-intra.pea.co.th:4434/request/PPIM18500779" xr:uid="{0AC05F61-ECE8-4FC1-BA3C-C64053DC476D}"/>
    <hyperlink ref="K90" r:id="rId88" display="https://ppim-intra.pea.co.th:4434/request/PPIM185007A9" xr:uid="{E9C9E86E-C836-4AFE-A1F3-23D536DBCF0D}"/>
    <hyperlink ref="K91" r:id="rId89" display="https://ppim-intra.pea.co.th:4434/request/PPIM185007C2" xr:uid="{D01413EF-C8ED-4852-B8AD-20DD1B82A55E}"/>
    <hyperlink ref="K92" r:id="rId90" display="https://ppim-intra.pea.co.th:4434/request/PPIM185007D2" xr:uid="{F8623A35-CB11-4867-9E9E-87939D10144C}"/>
    <hyperlink ref="K93" r:id="rId91" display="https://ppim-intra.pea.co.th:4434/request/PPIM18500812" xr:uid="{0B942B4F-87AC-41DC-AF9F-03CAC926548C}"/>
    <hyperlink ref="K94" r:id="rId92" display="https://ppim-intra.pea.co.th:4434/request/PPIM18500816" xr:uid="{F08CAE3A-67CA-4AC2-BD6C-139294203D52}"/>
    <hyperlink ref="K95" r:id="rId93" display="https://ppim-intra.pea.co.th:4434/request/PPIM18500818" xr:uid="{F58D916C-D5A9-41CA-AB7B-A9F1D391E2FC}"/>
    <hyperlink ref="K96" r:id="rId94" display="https://ppim-intra.pea.co.th:4434/request/PPIM1850083F" xr:uid="{45C5AC18-7F11-48E5-AB86-9FCD0B327A98}"/>
    <hyperlink ref="K97" r:id="rId95" display="https://ppim-intra.pea.co.th:4434/request/PPIM1850084B" xr:uid="{89DA38BB-A3A1-454E-A566-8AC523E91294}"/>
    <hyperlink ref="K98" r:id="rId96" display="https://ppim-intra.pea.co.th:4434/request/PPIM18500858" xr:uid="{4122CEB9-FC18-4ADF-81B3-3E710E80CB3C}"/>
    <hyperlink ref="K99" r:id="rId97" display="https://ppim-intra.pea.co.th:4434/request/PPIM1850087B" xr:uid="{466C3B61-1538-49DE-A157-BF1CC7B18CC1}"/>
    <hyperlink ref="K100" r:id="rId98" display="https://ppim-intra.pea.co.th:4434/request/PPIM185008A0" xr:uid="{A75CAE88-7DC8-434B-AA5F-3DEB7A953C18}"/>
    <hyperlink ref="K102" r:id="rId99" display="https://ppim-intra.pea.co.th:4434/request/PPIM185008D7" xr:uid="{E541FC1D-987A-41EC-BA26-891C7B695C67}"/>
    <hyperlink ref="K103" r:id="rId100" display="https://ppim-intra.pea.co.th:4434/request/PPIM185008E8" xr:uid="{62A7817A-39BF-48C2-9816-48B229621B36}"/>
    <hyperlink ref="K104" r:id="rId101" display="https://ppim-intra.pea.co.th:4434/request/PPIM185008EB" xr:uid="{802B4504-9569-477D-A170-B77FB383585F}"/>
    <hyperlink ref="K105" r:id="rId102" display="https://ppim-intra.pea.co.th:4434/request/PPIM185008F1" xr:uid="{119A2C23-D20B-4061-8C2B-A825A87A32B5}"/>
    <hyperlink ref="K106" r:id="rId103" display="https://ppim-intra.pea.co.th:4434/request/PPIM18500906" xr:uid="{11917FAF-076B-459B-B781-C7CD83094323}"/>
    <hyperlink ref="K107" r:id="rId104" display="https://ppim-intra.pea.co.th:4434/request/PPIM1850090C" xr:uid="{844B2B5A-85F6-4175-9C0A-0A953ECB8789}"/>
    <hyperlink ref="K108" r:id="rId105" display="https://ppim-intra.pea.co.th:4434/request/PPIM1850091C" xr:uid="{07FF1394-7F94-4D2A-B9E1-5140FC3A6B17}"/>
    <hyperlink ref="K109" r:id="rId106" display="https://ppim-intra.pea.co.th:4434/request/PPIM18500940" xr:uid="{24BCE6BF-FAAB-41A8-AC8F-EB0CF366406B}"/>
    <hyperlink ref="K110" r:id="rId107" display="https://ppim-intra.pea.co.th:4434/request/PPIM18500950" xr:uid="{E0BCFAA0-E438-474B-864A-9B72EE695E2C}"/>
    <hyperlink ref="K111" r:id="rId108" display="https://ppim-intra.pea.co.th:4434/request/PPIM18500957" xr:uid="{B1B53C69-F50F-45CB-9B18-0B245C064237}"/>
    <hyperlink ref="K112" r:id="rId109" display="https://ppim-intra.pea.co.th:4434/request/PPIM1850096D" xr:uid="{6FA846E8-3898-4031-B6F2-F5B564ED6E81}"/>
    <hyperlink ref="K113" r:id="rId110" display="https://ppim-intra.pea.co.th:4434/request/PPIM18500973" xr:uid="{4DF8A9DB-803B-4AA6-89A5-F9D2633969B3}"/>
    <hyperlink ref="K114" r:id="rId111" display="https://ppim-intra.pea.co.th:4434/request/PPIM185009A6" xr:uid="{FCD8E09F-A93D-48D8-A245-D8704ABDFF2C}"/>
    <hyperlink ref="K115" r:id="rId112" display="https://ppim-intra.pea.co.th:4434/request/PPIM185009ED" xr:uid="{DF35E2A2-D13F-487B-A03B-9A296140BBE0}"/>
    <hyperlink ref="K116" r:id="rId113" display="https://ppim-intra.pea.co.th:4434/request/PPIM185009F0" xr:uid="{01DD013B-8822-43C1-98D1-EBD053B2D0CD}"/>
    <hyperlink ref="K117" r:id="rId114" display="https://ppim-intra.pea.co.th:4434/request/PPIM185009F2" xr:uid="{3B8BD6E1-CC70-4B0D-A308-18E8B90589E0}"/>
    <hyperlink ref="K118" r:id="rId115" display="https://ppim-intra.pea.co.th:4434/request/PPIM18500A0D" xr:uid="{01B1FA9D-9877-4D9E-BB3F-CBE9A5A383D9}"/>
    <hyperlink ref="K119" r:id="rId116" display="https://ppim-intra.pea.co.th:4434/request/PPIM18500A10" xr:uid="{DC2D746A-5D2E-4017-99C3-0099BDB8C4B4}"/>
    <hyperlink ref="K120" r:id="rId117" display="https://ppim-intra.pea.co.th:4434/request/PPIM18500A1A" xr:uid="{8B8CD4C1-CFBC-4BC2-A877-423018EC3509}"/>
    <hyperlink ref="K121" r:id="rId118" display="https://ppim-intra.pea.co.th:4434/request/PPIM18500A23" xr:uid="{AB8D3DCA-20A4-4876-91DB-6D4BFDA93A82}"/>
    <hyperlink ref="K122" r:id="rId119" display="https://ppim-intra.pea.co.th:4434/request/PPIM18500A2B" xr:uid="{12FBFEF2-6AF8-4A7E-9E79-660E74CF42EC}"/>
    <hyperlink ref="K123" r:id="rId120" display="https://ppim-intra.pea.co.th:4434/request/PPIM18500198" xr:uid="{70E43DF5-605A-44E9-A872-7EC315267DC9}"/>
    <hyperlink ref="K124" r:id="rId121" display="https://ppim-intra.pea.co.th:4434/request/PPIM18500050" xr:uid="{615B726C-73B9-469C-BEA2-52D0DC7DA749}"/>
    <hyperlink ref="K125" r:id="rId122" display="https://ppim-intra.pea.co.th:4434/request/PPIM18500A78" xr:uid="{745ABF0B-31CE-4C0E-9BC3-45596719EAB9}"/>
    <hyperlink ref="K126" r:id="rId123" display="https://ppim-intra.pea.co.th:4434/request/PPIM18500AAE" xr:uid="{C9A803DB-06F9-4764-BE65-1590FA827D16}"/>
    <hyperlink ref="K127" r:id="rId124" display="https://ppim-intra.pea.co.th:4434/request/PPIM18500AC5" xr:uid="{C2DC6B20-7E95-415C-89CC-C86CCE9285A8}"/>
    <hyperlink ref="K128" r:id="rId125" display="https://ppim-intra.pea.co.th:4434/request/PPIM18500AC9" xr:uid="{5A41CDAF-963E-48C0-96DA-83196F3322D3}"/>
    <hyperlink ref="K129" r:id="rId126" display="https://ppim-intra.pea.co.th:4434/request/PPIM18500AFF" xr:uid="{1AE50F19-35E8-409C-8DDC-B510D59B20DF}"/>
    <hyperlink ref="K130" r:id="rId127" display="https://ppim-intra.pea.co.th:4434/request/PPIM18500B00" xr:uid="{84BF3C31-11AE-4CB4-AC06-BA30DBD250F6}"/>
    <hyperlink ref="K131" r:id="rId128" display="https://ppim-intra.pea.co.th:4434/request/PPIM18500B27" xr:uid="{135AA31F-2033-4284-B86D-40ED77ED9F87}"/>
    <hyperlink ref="K132" r:id="rId129" display="https://ppim-intra.pea.co.th:4434/request/PPIM18500BDA" xr:uid="{10F4DF8F-D319-4930-9379-E526B36FACC4}"/>
    <hyperlink ref="K133" r:id="rId130" display="https://ppim-intra.pea.co.th:4434/request/PPIM18500BDC" xr:uid="{D534A4ED-0285-4CA3-B013-0560DFB6FCFC}"/>
    <hyperlink ref="K134" r:id="rId131" display="https://ppim-intra.pea.co.th:4434/request/PPIM18500C06" xr:uid="{6BE40619-9057-4B78-9FA5-9E15B4C9C8A0}"/>
    <hyperlink ref="K135" r:id="rId132" display="https://ppim-intra.pea.co.th:4434/request/PPIM18500C1D" xr:uid="{DB8B9164-53B7-4CD7-86A2-0F6A00A22320}"/>
    <hyperlink ref="K136" r:id="rId133" display="https://ppim-intra.pea.co.th:4434/request/PPIM18500C38" xr:uid="{BE62F038-49EB-4827-8694-8398BF9F21FF}"/>
    <hyperlink ref="K137" r:id="rId134" display="https://ppim-intra.pea.co.th:4434/request/PPIM18500CCD" xr:uid="{C9005460-0395-41A3-A5C3-9738E28569DA}"/>
    <hyperlink ref="K138" r:id="rId135" display="https://ppim-intra.pea.co.th:4434/request/PPIM18500CCF" xr:uid="{2970D285-9CD8-4A80-8F23-9380D1E8E08B}"/>
    <hyperlink ref="K139" r:id="rId136" display="https://ppim-intra.pea.co.th:4434/request/PPIM18500CD1" xr:uid="{AEE41DAA-7DF2-48F9-A19B-467006E38AD9}"/>
    <hyperlink ref="K140" r:id="rId137" display="https://ppim-intra.pea.co.th:4434/request/PPIM18500CD3" xr:uid="{F8E3D05A-0581-40D3-A407-835F6604E266}"/>
    <hyperlink ref="K141" r:id="rId138" display="https://ppim-intra.pea.co.th:4434/request/PPIM18500CD9" xr:uid="{8962BCF8-D346-4D0C-9753-F1AE1BAF41CB}"/>
    <hyperlink ref="K142" r:id="rId139" display="https://ppim-intra.pea.co.th:4434/request/PPIM18500CF4" xr:uid="{36831368-089F-417D-9BC3-FB3EE3362128}"/>
    <hyperlink ref="K143" r:id="rId140" display="https://ppim-intra.pea.co.th:4434/request/PPIM18500CFD" xr:uid="{1AB341B8-D62B-4F1F-B08A-10D7789BC0CA}"/>
    <hyperlink ref="K144" r:id="rId141" display="https://ppim-intra.pea.co.th:4434/request/PPIM18500D43" xr:uid="{86720CD9-E378-4507-87D0-2E86132CDEFF}"/>
    <hyperlink ref="K145" r:id="rId142" display="https://ppim-intra.pea.co.th:4434/request/PPIM18500DBD" xr:uid="{83F61EC5-8552-4CD3-B06F-77F8CB19B840}"/>
    <hyperlink ref="K146" r:id="rId143" display="https://ppim-intra.pea.co.th:4434/request/PPIM18500E2B" xr:uid="{690197FA-A7BF-4B36-8864-6AB4D8E85E37}"/>
    <hyperlink ref="K147" r:id="rId144" display="https://ppim-intra.pea.co.th:4434/request/PPIM18500E43" xr:uid="{B612128E-5E56-4E9A-A3C1-1ED86D7C9190}"/>
    <hyperlink ref="K148" r:id="rId145" display="https://ppim-intra.pea.co.th:4434/request/PPIM18500E71" xr:uid="{B69C0DE3-E439-4AA3-979D-282BF03F888C}"/>
    <hyperlink ref="K149" r:id="rId146" display="https://ppim-intra.pea.co.th:4434/request/PPIM18500E95" xr:uid="{FE80DA73-D3EC-42E4-AEF3-BAE8B6F38DA0}"/>
    <hyperlink ref="K150" r:id="rId147" display="https://ppim-intra.pea.co.th:4434/request/PPIM18500EA9" xr:uid="{4BCEBE43-FD11-41D9-A198-7B438E60EDAF}"/>
    <hyperlink ref="K151" r:id="rId148" display="https://ppim-intra.pea.co.th:4434/request/PPIM18500EB1" xr:uid="{857D082F-5300-4DA1-B518-B8B69EC2AC12}"/>
    <hyperlink ref="K152" r:id="rId149" display="https://ppim-intra.pea.co.th:4434/request/PPIM18500ED4" xr:uid="{DB4D76A1-820E-4533-B5EA-C2F5B424FFD2}"/>
    <hyperlink ref="K153" r:id="rId150" display="https://ppim-intra.pea.co.th:4434/request/PPIM18500EF1" xr:uid="{AE7661D8-F783-44A0-876A-AAC5D7826C73}"/>
    <hyperlink ref="K154" r:id="rId151" display="https://ppim-intra.pea.co.th:4434/request/PPIM18500F12" xr:uid="{4C31FCB6-94C7-45A9-8D4F-E9074AA9C4ED}"/>
    <hyperlink ref="K155" r:id="rId152" display="https://ppim-intra.pea.co.th:4434/request/PPIM18500F16" xr:uid="{B07F5067-A552-4513-BD9C-C634E0201D88}"/>
    <hyperlink ref="K156" r:id="rId153" display="https://ppim-intra.pea.co.th:4434/request/PPIM185004F3" xr:uid="{F708B0DA-570A-4E75-AD65-1519E5389AA9}"/>
    <hyperlink ref="K157" r:id="rId154" display="https://ppim-intra.pea.co.th:4434/request/PPIM18500F99" xr:uid="{81A06E49-ABF5-45BD-B39A-B7F893F5AAED}"/>
    <hyperlink ref="K158" r:id="rId155" display="https://ppim-intra.pea.co.th:4434/request/PPIM18500FD4" xr:uid="{7C3A3152-A949-4F32-A5D1-1FEEC41DD9E4}"/>
    <hyperlink ref="K159" r:id="rId156" display="https://ppim-intra.pea.co.th:4434/request/PPIM18500FDB" xr:uid="{E8612148-E9BD-48B9-8EC5-E5D3482DA8A0}"/>
    <hyperlink ref="K160" r:id="rId157" display="https://ppim-intra.pea.co.th:4434/request/PPIM18501049" xr:uid="{84603D9F-5C83-486C-9F88-221BB8AC0533}"/>
    <hyperlink ref="K161" r:id="rId158" display="https://ppim-intra.pea.co.th:4434/request/PPIM1850104B" xr:uid="{F6EA4115-165A-4628-9122-CF44F6577DB8}"/>
    <hyperlink ref="K162" r:id="rId159" display="https://ppim-intra.pea.co.th:4434/request/PPIM18501050" xr:uid="{A1051579-D8B7-470C-A9FE-C24150EE30CC}"/>
    <hyperlink ref="K163" r:id="rId160" display="https://ppim-intra.pea.co.th:4434/request/PPIM18501053" xr:uid="{798052D1-4FCD-4F1E-9F54-8C7A0DC58E2B}"/>
    <hyperlink ref="K164" r:id="rId161" display="https://ppim-intra.pea.co.th:4434/request/PPIM18501056" xr:uid="{5576E960-A704-4B2B-A866-663C41FE6FF8}"/>
    <hyperlink ref="K165" r:id="rId162" display="https://ppim-intra.pea.co.th:4434/request/PPIM18501060" xr:uid="{E966461B-B3F7-4E60-99C8-EF9C121C0398}"/>
    <hyperlink ref="K166" r:id="rId163" display="https://ppim-intra.pea.co.th:4434/request/PPIM1850108A" xr:uid="{ED682B96-E9CB-4AF3-97F0-4D04A8EABA1F}"/>
    <hyperlink ref="K167" r:id="rId164" display="https://ppim-intra.pea.co.th:4434/request/PPIM18501093" xr:uid="{F15F2424-2E3E-40B4-AB62-4F33F5DC6EED}"/>
    <hyperlink ref="K168" r:id="rId165" display="https://ppim-intra.pea.co.th:4434/request/PPIM18501098" xr:uid="{587B22F7-CAC0-4B4B-8F60-80B6048EC6CD}"/>
    <hyperlink ref="K169" r:id="rId166" display="https://ppim-intra.pea.co.th:4434/request/PPIM1850109E" xr:uid="{2AA0546F-B055-4278-BFEF-5C5A9E9EE314}"/>
    <hyperlink ref="K170" r:id="rId167" display="https://ppim-intra.pea.co.th:4434/request/PPIM185010A0" xr:uid="{16BC20D8-458D-4637-B25D-76159C1A201F}"/>
    <hyperlink ref="K171" r:id="rId168" display="https://ppim-intra.pea.co.th:4434/request/PPIM185010A1" xr:uid="{4419238B-938F-4B1A-A4DC-652699E68D0C}"/>
    <hyperlink ref="K172" r:id="rId169" display="https://ppim-intra.pea.co.th:4434/request/PPIM185010D9" xr:uid="{7D8CB93A-FA6D-4F4E-B773-858121EAAF45}"/>
    <hyperlink ref="K173" r:id="rId170" display="https://ppim-intra.pea.co.th:4434/request/PPIM185010FE" xr:uid="{0C82627E-2C48-4D92-920A-0C410C56BC25}"/>
    <hyperlink ref="K174" r:id="rId171" display="https://ppim-intra.pea.co.th:4434/request/PPIM18501130" xr:uid="{7246A72D-F011-4BBA-B0F1-ADB7A2ADF62B}"/>
    <hyperlink ref="K175" r:id="rId172" display="https://ppim-intra.pea.co.th:4434/request/PPIM1850113E" xr:uid="{10B175B7-728E-48DD-B361-0872B6F62890}"/>
    <hyperlink ref="K176" r:id="rId173" display="https://ppim-intra.pea.co.th:4434/request/PPIM1850114C" xr:uid="{507926D4-CC40-4112-99B7-629C0E2FA525}"/>
    <hyperlink ref="K177" r:id="rId174" display="https://ppim-intra.pea.co.th:4434/request/PPIM1850115B" xr:uid="{C87CF7D9-8EA1-4412-8931-05C68D6CCFF8}"/>
    <hyperlink ref="K178" r:id="rId175" display="https://ppim-intra.pea.co.th:4434/request/PPIM18501162" xr:uid="{7D65A18C-A513-4D62-BBB3-E7A9920AFF43}"/>
    <hyperlink ref="K179" r:id="rId176" display="https://ppim-intra.pea.co.th:4434/request/PPIM1850116B" xr:uid="{7F144503-715E-41E0-A7EA-8C4D29757447}"/>
    <hyperlink ref="K180" r:id="rId177" display="https://ppim-intra.pea.co.th:4434/request/PPIM18500222" xr:uid="{774E6F73-C489-48B9-8DA7-25E6C1F12A9A}"/>
    <hyperlink ref="K181" r:id="rId178" display="https://ppim-intra.pea.co.th:4434/request/PPIM1850117C" xr:uid="{7AFF4476-3943-4706-99EE-64EB4568C6C2}"/>
    <hyperlink ref="K182" r:id="rId179" display="https://ppim-intra.pea.co.th:4434/request/PPIM18501180" xr:uid="{26C8506D-3252-494E-8049-D036015086DB}"/>
    <hyperlink ref="K183" r:id="rId180" display="https://ppim-intra.pea.co.th:4434/request/PPIM18501181" xr:uid="{04216661-5BDF-4008-9733-7AC02298C7E9}"/>
    <hyperlink ref="K184" r:id="rId181" display="https://ppim-intra.pea.co.th:4434/request/PPIM18501182" xr:uid="{499F6C0E-B18F-4F9E-BB84-1DAD24893F92}"/>
    <hyperlink ref="K185" r:id="rId182" display="https://ppim-intra.pea.co.th:4434/request/PPIM18501187" xr:uid="{7AB69320-F330-4194-A08D-5B85CA9BC0AE}"/>
    <hyperlink ref="K186" r:id="rId183" display="https://ppim-intra.pea.co.th:4434/request/PPIM1850118A" xr:uid="{998E658A-50C3-4AF1-94CA-3BCEE321F128}"/>
    <hyperlink ref="K187" r:id="rId184" display="https://ppim-intra.pea.co.th:4434/request/PPIM18501198" xr:uid="{C73FE1BB-93CE-4153-ACD1-77EA0C4B31E8}"/>
    <hyperlink ref="K188" r:id="rId185" display="https://ppim-intra.pea.co.th:4434/request/PPIM185011A4" xr:uid="{0601F30B-0E25-4E84-A5A3-66A29961A404}"/>
    <hyperlink ref="K189" r:id="rId186" display="https://ppim-intra.pea.co.th:4434/request/PPIM185011AA" xr:uid="{C76293FD-13B9-417F-AA1F-A286F615AD8C}"/>
    <hyperlink ref="K190" r:id="rId187" display="https://ppim-intra.pea.co.th:4434/request/PPIM185000FE" xr:uid="{A20023AE-0E94-4B60-903E-7FAE980ABAE9}"/>
    <hyperlink ref="K191" r:id="rId188" display="https://ppim-intra.pea.co.th:4434/request/PPIM18500736" xr:uid="{CB65B1A2-CD52-4763-9979-DA4E2541FE5B}"/>
    <hyperlink ref="K192" r:id="rId189" display="https://ppim-intra.pea.co.th:4434/request/PPIM185011D4" xr:uid="{35C13F78-230D-40A7-95E5-EE4BAB28359A}"/>
    <hyperlink ref="K193" r:id="rId190" display="https://ppim-intra.pea.co.th:4434/request/PPIM1850047C" xr:uid="{5E298B17-7405-4CD5-8F19-9D45B8229CD9}"/>
    <hyperlink ref="K194" r:id="rId191" display="https://ppim-intra.pea.co.th:4434/request/PPIM185011DB" xr:uid="{3BE73CE6-FEE9-43E8-9859-60408212E528}"/>
    <hyperlink ref="K195" r:id="rId192" display="https://ppim-intra.pea.co.th:4434/request/PPIM185011DD" xr:uid="{71FB452A-CA50-409C-9069-846D6415837B}"/>
    <hyperlink ref="K196" r:id="rId193" display="https://ppim-intra.pea.co.th:4434/request/PPIM185011E9" xr:uid="{34BD44C3-B718-41B0-AC7B-4E1677673FBC}"/>
    <hyperlink ref="K197" r:id="rId194" display="https://ppim-intra.pea.co.th:4434/request/PPIM1850042F" xr:uid="{FFAF6C0C-A90E-4A52-8356-D5BADD358EB2}"/>
    <hyperlink ref="K198" r:id="rId195" display="https://ppim-intra.pea.co.th:4434/request/PPIM1850122F" xr:uid="{2638D772-ED2F-4D4D-9D39-2433D0D6EDA5}"/>
    <hyperlink ref="K199" r:id="rId196" display="https://ppim-intra.pea.co.th:4434/request/PPIM18501251" xr:uid="{8E069BA0-902E-45F9-B115-4B9B1444A761}"/>
    <hyperlink ref="K200" r:id="rId197" display="https://ppim-intra.pea.co.th:4434/request/PPIM18501268" xr:uid="{0D17FD69-F98F-4DF7-884B-43BE2A99BF58}"/>
    <hyperlink ref="K202" r:id="rId198" display="https://ppim-intra.pea.co.th:4434/request/PPIM185012FA" xr:uid="{7AC235EF-6875-4E98-B535-64305C7E2149}"/>
    <hyperlink ref="K203" r:id="rId199" display="https://ppim-intra.pea.co.th:4434/request/PPIM18501303" xr:uid="{2D95AAB7-E6FF-4272-A2A2-141C8432E1A9}"/>
    <hyperlink ref="K204" r:id="rId200" display="https://ppim-intra.pea.co.th:4434/request/PPIM1850130D" xr:uid="{1AAEED78-3A34-49A1-A0DB-529081638493}"/>
    <hyperlink ref="K205" r:id="rId201" display="https://ppim-intra.pea.co.th:4434/request/PPIM1850131A" xr:uid="{3A94C8A5-D1CB-49F9-A8D6-FD5763694DD1}"/>
    <hyperlink ref="K206" r:id="rId202" display="https://ppim-intra.pea.co.th:4434/request/PPIM1850132A" xr:uid="{F107FDAF-16E1-4D02-821D-630CFF0A48C6}"/>
    <hyperlink ref="K207" r:id="rId203" display="https://ppim-intra.pea.co.th:4434/request/PPIM1850132C" xr:uid="{345068BB-B51F-4142-AAFD-96160DEF392B}"/>
    <hyperlink ref="K208" r:id="rId204" display="https://ppim-intra.pea.co.th:4434/request/PPIM18501338" xr:uid="{0E40B93A-2BCB-43B1-B86A-8373C75CDCD6}"/>
    <hyperlink ref="K209" r:id="rId205" display="https://ppim-intra.pea.co.th:4434/request/PPIM1850016C" xr:uid="{C605FF52-F46D-4891-A251-5DE2F02ACAA1}"/>
    <hyperlink ref="K210" r:id="rId206" display="https://ppim-intra.pea.co.th:4434/request/PPIM185013A1" xr:uid="{A0EE4F37-BC30-437B-AD84-0D8D272C2D7B}"/>
    <hyperlink ref="K211" r:id="rId207" display="https://ppim-intra.pea.co.th:4434/request/PPIM185013AE" xr:uid="{62646D73-E30F-4C5C-B72E-E2F03BA7720E}"/>
    <hyperlink ref="K212" r:id="rId208" display="https://ppim-intra.pea.co.th:4434/request/PPIM185013B9" xr:uid="{C4788827-8DF9-45AF-841E-066A0F359EB6}"/>
    <hyperlink ref="K213" r:id="rId209" display="https://ppim-intra.pea.co.th:4434/request/PPIM185013D8" xr:uid="{831EF1B8-64FB-4B18-B389-E7E5D892FF77}"/>
    <hyperlink ref="K214" r:id="rId210" display="https://ppim-intra.pea.co.th:4434/request/PPIM185013F9" xr:uid="{3BD16592-1B97-4E71-B0D5-9160FE29040E}"/>
    <hyperlink ref="K215" r:id="rId211" display="https://ppim-intra.pea.co.th:4434/request/PPIM18501407" xr:uid="{B392210A-26C1-4F0C-9216-90B0AA785D21}"/>
    <hyperlink ref="K216" r:id="rId212" display="https://ppim-intra.pea.co.th:4434/request/PPIM185003C7" xr:uid="{EA556F32-BAA0-4E2A-8097-EA774479F808}"/>
    <hyperlink ref="K217" r:id="rId213" display="https://ppim-intra.pea.co.th:4434/request/PPIM18501425" xr:uid="{C1C69CC8-CBFB-42B9-ABDA-E2E0221C49E2}"/>
    <hyperlink ref="K218" r:id="rId214" display="https://ppim-intra.pea.co.th:4434/request/PPIM1850142C" xr:uid="{A5528DD1-ABB5-47B7-8AD2-57FEED2BC210}"/>
    <hyperlink ref="K219" r:id="rId215" display="https://ppim-intra.pea.co.th:4434/request/PPIM1850142D" xr:uid="{76DB69EB-99F3-4A7A-A0C5-9150E8B4A8B4}"/>
    <hyperlink ref="K220" r:id="rId216" display="https://ppim-intra.pea.co.th:4434/request/PPIM1850144C" xr:uid="{9E923BC8-A366-4D6D-B1DC-1A6B163B317B}"/>
    <hyperlink ref="K221" r:id="rId217" display="https://ppim-intra.pea.co.th:4434/request/PPIM18501459" xr:uid="{8EB1C5AF-70C3-48D3-ADD5-337E5476B79A}"/>
    <hyperlink ref="K222" r:id="rId218" display="https://ppim-intra.pea.co.th:4434/request/PPIM185014AD" xr:uid="{C6752095-F312-479B-8EEC-75BCB1EE5E5D}"/>
    <hyperlink ref="K223" r:id="rId219" display="https://ppim-intra.pea.co.th:4434/request/PPIM185014BC" xr:uid="{607B56B7-4F67-46C6-A40C-A94A81A19436}"/>
    <hyperlink ref="K224" r:id="rId220" display="https://ppim-intra.pea.co.th:4434/request/PPIM185014C1" xr:uid="{719C9C49-7525-427D-8C88-6962315C4C44}"/>
    <hyperlink ref="K225" r:id="rId221" display="https://ppim-intra.pea.co.th:4434/request/PPIM185014C2" xr:uid="{FD64F896-6A83-418F-A13F-7F61314A7D51}"/>
    <hyperlink ref="K226" r:id="rId222" display="https://ppim-intra.pea.co.th:4434/request/PPIM18501547" xr:uid="{67236E9E-C13B-4639-BD9E-96399226BE40}"/>
    <hyperlink ref="K227" r:id="rId223" display="https://ppim-intra.pea.co.th:4434/request/PPIM18501555" xr:uid="{C2A905BD-EB52-469D-B526-0E123BFE00A9}"/>
    <hyperlink ref="K228" r:id="rId224" display="https://ppim-intra.pea.co.th:4434/request/PPIM1850156D" xr:uid="{F3A4ACEB-2732-4C9C-B247-12AC95F6AA3C}"/>
    <hyperlink ref="K229" r:id="rId225" display="https://ppim-intra.pea.co.th:4434/request/PPIM18501587" xr:uid="{94D4D6A9-98B0-45AB-83AC-E54352DDE256}"/>
    <hyperlink ref="K230" r:id="rId226" display="https://ppim-intra.pea.co.th:4434/request/PPIM1850159E" xr:uid="{FAA9B4BE-0501-463B-AD68-312A47D17821}"/>
    <hyperlink ref="K231" r:id="rId227" display="https://ppim-intra.pea.co.th:4434/request/PPIM185015A4" xr:uid="{E8C20834-0120-46EB-9DF4-AC1C6BED4EFE}"/>
    <hyperlink ref="K232" r:id="rId228" display="https://ppim-intra.pea.co.th:4434/request/PPIM185015AC" xr:uid="{CAD7549A-95B1-4346-BF29-2B92DE346D69}"/>
    <hyperlink ref="K233" r:id="rId229" display="https://ppim-intra.pea.co.th:4434/request/PPIM185015B1" xr:uid="{8655A3D9-C382-4274-9BF1-0B1EBB0D4D29}"/>
    <hyperlink ref="K234" r:id="rId230" display="https://ppim-intra.pea.co.th:4434/request/PPIM185015CA" xr:uid="{ABEBAF72-2B98-4E67-B824-0757D9644923}"/>
    <hyperlink ref="K235" r:id="rId231" display="https://ppim-intra.pea.co.th:4434/request/PPIM185015D4" xr:uid="{D021C6A3-E3FF-4143-AB74-1092D6C21373}"/>
    <hyperlink ref="K236" r:id="rId232" display="https://ppim-intra.pea.co.th:4434/request/PPIM185015D8" xr:uid="{EFA399C8-B610-43AC-9E58-0BA6728F20CC}"/>
    <hyperlink ref="K237" r:id="rId233" display="https://ppim-intra.pea.co.th:4434/request/PPIM185015E7" xr:uid="{FFBAC665-6BB8-43E2-8F68-62131178A61A}"/>
    <hyperlink ref="K238" r:id="rId234" display="https://ppim-intra.pea.co.th:4434/request/PPIM185015FD" xr:uid="{2D499D11-9AFB-45A3-91A0-2C573AE15E21}"/>
    <hyperlink ref="K239" r:id="rId235" display="https://ppim-intra.pea.co.th:4434/request/PPIM18501610" xr:uid="{447A6A3F-480A-4902-8EE0-BE663EC88191}"/>
    <hyperlink ref="K240" r:id="rId236" display="https://ppim-intra.pea.co.th:4434/request/PPIM18500304" xr:uid="{C954DB22-4C5B-4761-A8B0-7BF81593CA68}"/>
    <hyperlink ref="K241" r:id="rId237" display="https://ppim-intra.pea.co.th:4434/request/PPIM18501615" xr:uid="{AE9D53D2-3A61-420A-B4F4-3F056012A113}"/>
    <hyperlink ref="K242" r:id="rId238" display="https://ppim-intra.pea.co.th:4434/request/PPIM1850163B" xr:uid="{43FC7878-31FE-4798-8922-6C450395DD45}"/>
    <hyperlink ref="K243" r:id="rId239" display="https://ppim-intra.pea.co.th:4434/request/PPIM1850164C" xr:uid="{3FEF34A9-C285-4A29-8A24-CB330AED6F83}"/>
    <hyperlink ref="K244" r:id="rId240" display="https://ppim-intra.pea.co.th:4434/request/PPIM18501662" xr:uid="{BDCDB5EA-32E8-4F46-9E4F-BFB0E3030BAF}"/>
    <hyperlink ref="K245" r:id="rId241" display="https://ppim-intra.pea.co.th:4434/request/PPIM18501669" xr:uid="{C9518C47-C7D9-44D6-8DA2-DF3449DB7810}"/>
    <hyperlink ref="K246" r:id="rId242" display="https://ppim-intra.pea.co.th:4434/request/PPIM18501683" xr:uid="{9EE9AAAD-A6AE-4800-82CD-546B1E223065}"/>
    <hyperlink ref="K247" r:id="rId243" display="https://ppim-intra.pea.co.th:4434/request/PPIM185016C6" xr:uid="{31881B1C-2BF8-48BE-B26C-A0FBBA3327A5}"/>
    <hyperlink ref="K248" r:id="rId244" display="https://ppim-intra.pea.co.th:4434/request/PPIM18501713" xr:uid="{64EADCA0-56BC-4BD0-8B02-0B6638C1EC28}"/>
    <hyperlink ref="K249" r:id="rId245" display="https://ppim-intra.pea.co.th:4434/request/PPIM18501719" xr:uid="{D9EBD852-E8FC-4205-BC71-242DFA0422F6}"/>
    <hyperlink ref="K250" r:id="rId246" display="https://ppim-intra.pea.co.th:4434/request/PPIM1850171D" xr:uid="{C65767D8-9D73-421D-9A37-412D936E6212}"/>
    <hyperlink ref="K251" r:id="rId247" display="https://ppim-intra.pea.co.th:4434/request/PPIM18500525" xr:uid="{DBF4C7F5-969B-44A1-B3CF-6B982C4C182B}"/>
    <hyperlink ref="K252" r:id="rId248" display="https://ppim-intra.pea.co.th:4434/request/PPIM1850175C" xr:uid="{2A54AD36-F760-4E02-9DCD-A82A24CE4415}"/>
    <hyperlink ref="K253" r:id="rId249" display="https://ppim-intra.pea.co.th:4434/request/PPIM1850043E" xr:uid="{F7CCA8B1-A0F5-4DE4-9D9E-84129DBA4DBC}"/>
    <hyperlink ref="K254" r:id="rId250" display="https://ppim-intra.pea.co.th:4434/request/PPIM1850177D" xr:uid="{11058F43-03C6-4B99-81E0-56F1EF105582}"/>
    <hyperlink ref="K255" r:id="rId251" display="https://ppim-intra.pea.co.th:4434/request/PPIM18501787" xr:uid="{CA515F22-97FE-4B35-8210-C5EDDA386459}"/>
    <hyperlink ref="K256" r:id="rId252" display="https://ppim-intra.pea.co.th:4434/request/PPIM18501796" xr:uid="{3DC85306-74B0-40BC-BE8C-6DCCC1D9817E}"/>
    <hyperlink ref="K257" r:id="rId253" display="https://ppim-intra.pea.co.th:4434/request/PPIM185006AA" xr:uid="{40C78205-8E94-44FD-A54C-68B67E3ADB95}"/>
    <hyperlink ref="K258" r:id="rId254" display="https://ppim-intra.pea.co.th:4434/request/PPIM185017AB" xr:uid="{A15162DD-CFB0-4511-8149-301C0B4F54EA}"/>
    <hyperlink ref="K259" r:id="rId255" display="https://ppim-intra.pea.co.th:4434/request/PPIM185017C4" xr:uid="{C176311B-EFAE-4238-9784-750F7BB2985C}"/>
    <hyperlink ref="K260" r:id="rId256" display="https://ppim-intra.pea.co.th:4434/request/PPIM185017CD" xr:uid="{9A44812A-7671-4B63-927E-B43D8B05108E}"/>
    <hyperlink ref="K261" r:id="rId257" display="https://ppim-intra.pea.co.th:4434/request/PPIM185017CF" xr:uid="{5F5C446B-9AD8-4282-B290-4513736840A3}"/>
    <hyperlink ref="K262" r:id="rId258" display="https://ppim-intra.pea.co.th:4434/request/PPIM185017F3" xr:uid="{5E3549E2-8AAC-4194-AAAA-0F0228742351}"/>
    <hyperlink ref="K263" r:id="rId259" display="https://ppim-intra.pea.co.th:4434/request/PPIM18501800" xr:uid="{33BE7A2B-C33B-487A-B8DA-17E68D9411A6}"/>
    <hyperlink ref="K264" r:id="rId260" display="https://ppim-intra.pea.co.th:4434/request/PPIM185006DE" xr:uid="{4BE8882E-C0B1-4273-948E-86030630AABE}"/>
    <hyperlink ref="K265" r:id="rId261" display="https://ppim-intra.pea.co.th:4434/request/PPIM18500692" xr:uid="{E350E03C-5B05-4620-B2F2-46F28F90CD4E}"/>
    <hyperlink ref="K266" r:id="rId262" display="https://ppim-intra.pea.co.th:4434/request/PPIM18501819" xr:uid="{7D771894-5FF2-4F00-8CF3-5F11AFAC2201}"/>
    <hyperlink ref="K267" r:id="rId263" display="https://ppim-intra.pea.co.th:4434/request/PPIM18501845" xr:uid="{CA744FF4-DCD8-4C69-A01E-94F185F597EE}"/>
    <hyperlink ref="K268" r:id="rId264" display="https://ppim-intra.pea.co.th:4434/request/PPIM18501856" xr:uid="{1540BE8A-432F-4626-8276-9C542B39EB4A}"/>
    <hyperlink ref="K269" r:id="rId265" display="https://ppim-intra.pea.co.th:4434/request/PPIM18500712" xr:uid="{514EC057-35C6-46F8-A0F2-C362009AAFB7}"/>
    <hyperlink ref="K270" r:id="rId266" display="https://ppim-intra.pea.co.th:4434/request/PPIM18501898" xr:uid="{CFD10954-629D-4247-9B0F-9CE3B5AA23DB}"/>
    <hyperlink ref="K271" r:id="rId267" display="https://ppim-intra.pea.co.th:4434/request/PPIM1850189B" xr:uid="{8A2FA1FD-B7BE-4BD6-B0F8-EAAE06DE68D0}"/>
    <hyperlink ref="K272" r:id="rId268" display="https://ppim-intra.pea.co.th:4434/request/PPIM185011B2" xr:uid="{166D6B09-8377-4AF1-BA6C-A65068A5BC5F}"/>
    <hyperlink ref="K273" r:id="rId269" display="https://ppim-intra.pea.co.th:4434/request/PPIM185018C4" xr:uid="{746C1A54-18E3-4A58-88A5-FCFF35DE9240}"/>
    <hyperlink ref="K274" r:id="rId270" display="https://ppim-intra.pea.co.th:4434/request/PPIM18500626" xr:uid="{728A8FAC-3401-4781-823E-1588389ED0B6}"/>
    <hyperlink ref="K275" r:id="rId271" display="https://ppim-intra.pea.co.th:4434/request/PPIM18501959" xr:uid="{E4DB4069-675A-47AC-BF0D-70F9E1E779E3}"/>
    <hyperlink ref="K276" r:id="rId272" display="https://ppim-intra.pea.co.th:4434/request/PPIM18501997" xr:uid="{64CA03ED-8287-45C0-81C1-0333BE8011B1}"/>
    <hyperlink ref="K277" r:id="rId273" display="https://ppim-intra.pea.co.th:4434/request/PPIM18501998" xr:uid="{B03E35EC-0EFA-4AE9-92CD-47D1A5E1126C}"/>
    <hyperlink ref="K278" r:id="rId274" display="https://ppim-intra.pea.co.th:4434/request/PPIM18501999" xr:uid="{E9EAACF6-8F44-41A4-8DF7-D85069BF1ADD}"/>
    <hyperlink ref="K279" r:id="rId275" display="https://ppim-intra.pea.co.th:4434/request/PPIM185019C4" xr:uid="{1AE21572-F710-4D3D-B1EF-C09F796E3394}"/>
    <hyperlink ref="K280" r:id="rId276" display="https://ppim-intra.pea.co.th:4434/request/PPIM185019C7" xr:uid="{51CCE91F-4741-4A2B-B43B-1596A0B351FD}"/>
    <hyperlink ref="K281" r:id="rId277" display="https://ppim-intra.pea.co.th:4434/request/PPIM185019CB" xr:uid="{8273A34B-C020-4E38-BB4D-5D6967FEF2CB}"/>
    <hyperlink ref="K282" r:id="rId278" display="https://ppim-intra.pea.co.th:4434/request/PPIM185019DF" xr:uid="{7C57B268-EACA-4C34-9C34-F31D6880558E}"/>
    <hyperlink ref="K283" r:id="rId279" display="https://ppim-intra.pea.co.th:4434/request/PPIM185006B6" xr:uid="{B164BBDE-3416-4FC9-AC84-D61A9C72E243}"/>
    <hyperlink ref="K284" r:id="rId280" display="https://ppim-intra.pea.co.th:4434/request/PPIM18501A26" xr:uid="{7ED939DE-1CB6-4FD6-80BA-F8E9AD3D6970}"/>
    <hyperlink ref="K285" r:id="rId281" display="https://ppim-intra.pea.co.th:4434/request/PPIM185003FB" xr:uid="{A63F6C75-46F4-4341-BCE4-501B1EA64FBF}"/>
    <hyperlink ref="K286" r:id="rId282" display="https://ppim-intra.pea.co.th:4434/request/PPIM18500143" xr:uid="{4F27F4FE-7FCA-4362-8222-8EC433723E11}"/>
    <hyperlink ref="K287" r:id="rId283" display="https://ppim-intra.pea.co.th:4434/request/PPIM1850071E" xr:uid="{8951D6AC-B7C4-4663-8BBD-DFC483F83721}"/>
    <hyperlink ref="K288" r:id="rId284" display="https://ppim-intra.pea.co.th:4434/request/PPIM185007C4" xr:uid="{BF2D9420-1DB6-458A-A702-274732424871}"/>
    <hyperlink ref="K289" r:id="rId285" display="https://ppim-intra.pea.co.th:4434/request/PPIM18501AAB" xr:uid="{CF133FD8-A13B-4E2F-8392-158890153BDD}"/>
    <hyperlink ref="K290" r:id="rId286" display="https://ppim-intra.pea.co.th:4434/request/PPIM18501ABB" xr:uid="{A00F2C29-61E1-48C9-9A38-52019BD06B32}"/>
    <hyperlink ref="K291" r:id="rId287" display="https://ppim-intra.pea.co.th:4434/request/PPIM185004E5" xr:uid="{E7690951-7313-4EB6-971C-CB1419CF1E8C}"/>
    <hyperlink ref="K292" r:id="rId288" display="https://ppim-intra.pea.co.th:4434/request/PPIM18501ACE" xr:uid="{E8E54442-E2E2-4FF2-92DF-32866D3A5BE7}"/>
    <hyperlink ref="K293" r:id="rId289" display="https://ppim-intra.pea.co.th:4434/request/PPIM18501AE7" xr:uid="{8CFA2626-EAC1-4140-9974-CD2A9722A39F}"/>
    <hyperlink ref="K294" r:id="rId290" display="https://ppim-intra.pea.co.th:4434/request/PPIM18501AF7" xr:uid="{60838632-735B-487B-92FD-382DEE02B56F}"/>
    <hyperlink ref="K295" r:id="rId291" display="https://ppim-intra.pea.co.th:4434/request/PPIM185003EF" xr:uid="{A7DD2E0C-7376-48C4-923B-470EF7F3AF83}"/>
    <hyperlink ref="K296" r:id="rId292" display="https://ppim-intra.pea.co.th:4434/request/PPIM18501B41" xr:uid="{7FCF72E5-3877-4887-ABC4-50B955031FE8}"/>
    <hyperlink ref="K297" r:id="rId293" display="https://ppim-intra.pea.co.th:4434/request/PPIM18501B5A" xr:uid="{37D6D185-F407-4FC0-8716-A62C6B7DF518}"/>
    <hyperlink ref="K298" r:id="rId294" display="https://ppim-intra.pea.co.th:4434/request/PPIM1850002D" xr:uid="{48357D3D-6A24-4B2C-8681-8328A018E5F1}"/>
    <hyperlink ref="K299" r:id="rId295" display="https://ppim-intra.pea.co.th:4434/request/PPIM18501B65" xr:uid="{DCAFD920-7FD7-4A02-A2BF-A6A41BD153CF}"/>
    <hyperlink ref="K300" r:id="rId296" display="https://ppim-intra.pea.co.th:4434/request/PPIM18501B69" xr:uid="{CC3B2E17-2AB3-4B34-B2B0-4F03F102518D}"/>
    <hyperlink ref="K302" r:id="rId297" display="https://ppim-intra.pea.co.th:4434/request/PPIM18501BA9" xr:uid="{EF347BD7-28DF-4D2F-98DC-200534E33461}"/>
    <hyperlink ref="K303" r:id="rId298" display="https://ppim-intra.pea.co.th:4434/request/PPIM18501BAD" xr:uid="{DA909D1C-56E1-4994-8E4F-334B324CC9E9}"/>
    <hyperlink ref="K304" r:id="rId299" display="https://ppim-intra.pea.co.th:4434/request/PPIM18501BCC" xr:uid="{9DE5E820-612F-4F63-861B-7397A08901F2}"/>
    <hyperlink ref="K305" r:id="rId300" display="https://ppim-intra.pea.co.th:4434/request/PPIM185009B7" xr:uid="{334C08B6-974D-4F13-8823-7F369EE5CF09}"/>
    <hyperlink ref="K306" r:id="rId301" display="https://ppim-intra.pea.co.th:4434/request/PPIM18501BE5" xr:uid="{E5A12558-403A-4280-B496-CC56697752B6}"/>
    <hyperlink ref="K307" r:id="rId302" display="https://ppim-intra.pea.co.th:4434/request/PPIM18500AE3" xr:uid="{1C70EFA4-20F8-498E-93A9-149A0BD9C400}"/>
    <hyperlink ref="K308" r:id="rId303" display="https://ppim-intra.pea.co.th:4434/request/PPIM18501C02" xr:uid="{0FAFE1EC-7971-42EE-9EB8-9816BD06FC94}"/>
    <hyperlink ref="K309" r:id="rId304" display="https://ppim-intra.pea.co.th:4434/request/PPIM18501C12" xr:uid="{A28A9AC9-81A2-41C6-8259-5DDE732236E2}"/>
    <hyperlink ref="K310" r:id="rId305" display="https://ppim-intra.pea.co.th:4434/request/PPIM18501C13" xr:uid="{0F6149D9-1299-428A-8618-1ACC1B6B480D}"/>
    <hyperlink ref="K311" r:id="rId306" display="https://ppim-intra.pea.co.th:4434/request/PPIM18501C2F" xr:uid="{6F950731-F518-47F3-A700-7866BB931376}"/>
    <hyperlink ref="K312" r:id="rId307" display="https://ppim-intra.pea.co.th:4434/request/PPIM18501C30" xr:uid="{EAFF19A4-6166-4F60-B00E-853619A0B323}"/>
    <hyperlink ref="K313" r:id="rId308" display="https://ppim-intra.pea.co.th:4434/request/PPIM18501C36" xr:uid="{7F7C1A3D-9301-4F8B-9AE3-C7E6125010C5}"/>
    <hyperlink ref="K314" r:id="rId309" display="https://ppim-intra.pea.co.th:4434/request/PPIM18500A1D" xr:uid="{37DECBC2-EE5C-4D51-AB3F-1D5F78F79084}"/>
    <hyperlink ref="K315" r:id="rId310" display="https://ppim-intra.pea.co.th:4434/request/PPIM18501C3E" xr:uid="{B1F2C182-C68C-4DEB-9234-5924027213D9}"/>
    <hyperlink ref="K316" r:id="rId311" display="https://ppim-intra.pea.co.th:4434/request/PPIM18501C3F" xr:uid="{7D902F32-3D68-45C5-9650-F5E0BD953F27}"/>
    <hyperlink ref="K317" r:id="rId312" display="https://ppim-intra.pea.co.th:4434/request/PPIM18501C51" xr:uid="{8F97CEFD-CF51-4CF2-BF8E-1F61F038D050}"/>
    <hyperlink ref="K318" r:id="rId313" display="https://ppim-intra.pea.co.th:4434/request/PPIM18501C54" xr:uid="{E30A1C15-3197-44AA-B22E-69C5C13CD03D}"/>
    <hyperlink ref="K319" r:id="rId314" display="https://ppim-intra.pea.co.th:4434/request/PPIM18501C69" xr:uid="{1E5C8A5B-D64C-4423-BE85-AA4A322BA9BA}"/>
    <hyperlink ref="K320" r:id="rId315" display="https://ppim-intra.pea.co.th:4434/request/PPIM18501C6D" xr:uid="{2BF4C8EB-8CC4-4782-B618-46E44CC8CE4C}"/>
    <hyperlink ref="K321" r:id="rId316" display="https://ppim-intra.pea.co.th:4434/request/PPIM18500F6C" xr:uid="{65581F58-4609-41DD-8D72-A2E75C7F3DED}"/>
    <hyperlink ref="K322" r:id="rId317" display="https://ppim-intra.pea.co.th:4434/request/PPIM18501C91" xr:uid="{DCA5945C-0D3F-4F3F-AE0F-EA4C7424F445}"/>
    <hyperlink ref="K323" r:id="rId318" display="https://ppim-intra.pea.co.th:4434/request/PPIM18501CA6" xr:uid="{52D80950-02FC-4F22-A770-A360802A70E1}"/>
    <hyperlink ref="K324" r:id="rId319" display="https://ppim-intra.pea.co.th:4434/request/PPIM18501CAE" xr:uid="{16B2DD90-B008-4250-9A7C-1A19B037FAB8}"/>
    <hyperlink ref="K325" r:id="rId320" display="https://ppim-intra.pea.co.th:4434/request/PPIM18501CBB" xr:uid="{3E6BFC33-C296-4700-99E6-5636955E1496}"/>
    <hyperlink ref="K326" r:id="rId321" display="https://ppim-intra.pea.co.th:4434/request/PPIM18501CC5" xr:uid="{2E498021-AA86-4C82-BA01-7A53B7A186F8}"/>
    <hyperlink ref="K327" r:id="rId322" display="https://ppim-intra.pea.co.th:4434/request/PPIM18501CD1" xr:uid="{148CED7B-7FF5-4D7C-A438-D7AAC889A4DE}"/>
    <hyperlink ref="K328" r:id="rId323" display="https://ppim-intra.pea.co.th:4434/request/PPIM18501CD2" xr:uid="{BB9A17EF-8EF0-4C25-A2DA-A36EF2F1C0C3}"/>
    <hyperlink ref="K329" r:id="rId324" display="https://ppim-intra.pea.co.th:4434/request/PPIM185007BC" xr:uid="{A5A2546C-D8FD-427B-B43D-085023558D21}"/>
    <hyperlink ref="K330" r:id="rId325" display="https://ppim-intra.pea.co.th:4434/request/PPIM18501CED" xr:uid="{CD62A962-8A2A-47F2-8D8D-D71E5ED9E6C2}"/>
    <hyperlink ref="K331" r:id="rId326" display="https://ppim-intra.pea.co.th:4434/request/PPIM18501CEE" xr:uid="{8A99A86A-B81C-4AF5-A5AD-52AB3C14A633}"/>
    <hyperlink ref="K332" r:id="rId327" display="https://ppim-intra.pea.co.th:4434/request/PPIM18501CEF" xr:uid="{19C2805B-DDCA-4896-9D98-360711BF29C6}"/>
    <hyperlink ref="K333" r:id="rId328" display="https://ppim-intra.pea.co.th:4434/request/PPIM18501066" xr:uid="{57DBD43D-8EA9-4BB3-AA8B-6F74759FDC39}"/>
    <hyperlink ref="K334" r:id="rId329" display="https://ppim-intra.pea.co.th:4434/request/PPIM18501CFE" xr:uid="{73DFA687-2AA0-4820-910A-27D4998EF30B}"/>
    <hyperlink ref="K335" r:id="rId330" display="https://ppim-intra.pea.co.th:4434/request/PPIM18501CFF" xr:uid="{1E99AD18-8FAE-4609-8E7D-DE7CEA61CD29}"/>
    <hyperlink ref="K336" r:id="rId331" display="https://ppim-intra.pea.co.th:4434/request/PPIM18500841" xr:uid="{83A5576D-F945-4EB2-BB6F-54E38A032CDA}"/>
    <hyperlink ref="K337" r:id="rId332" display="https://ppim-intra.pea.co.th:4434/request/PPIM18501D06" xr:uid="{38DE019C-A085-451C-901F-667936D6F8F7}"/>
    <hyperlink ref="K338" r:id="rId333" display="https://ppim-intra.pea.co.th:4434/request/PPIM18501D09" xr:uid="{F7090BDB-1B02-4B91-B1E0-3E5920FBD585}"/>
    <hyperlink ref="K339" r:id="rId334" display="https://ppim-intra.pea.co.th:4434/request/PPIM18501D0A" xr:uid="{2CC165E5-FDB5-4D9F-84A4-04DD402F2F7E}"/>
    <hyperlink ref="K340" r:id="rId335" display="https://ppim-intra.pea.co.th:4434/request/PPIM18501D0F" xr:uid="{92B4AF61-925B-43A7-BEE0-344AFE9FE71B}"/>
    <hyperlink ref="K341" r:id="rId336" display="https://ppim-intra.pea.co.th:4434/request/PPIM18501D11" xr:uid="{E04ABDF4-C674-45DC-B26D-A135623ACD90}"/>
    <hyperlink ref="K342" r:id="rId337" display="https://ppim-intra.pea.co.th:4434/request/PPIM18501D14" xr:uid="{0412F932-3818-4066-A0E2-16941606AC22}"/>
    <hyperlink ref="K343" r:id="rId338" display="https://ppim-intra.pea.co.th:4434/request/PPIM18501D16" xr:uid="{E9D2DF23-6450-4621-8FCF-8948992A39B7}"/>
    <hyperlink ref="K344" r:id="rId339" display="https://ppim-intra.pea.co.th:4434/request/PPIM18501D18" xr:uid="{DE61ECF9-00BE-4218-8190-7C5C39D95066}"/>
    <hyperlink ref="K345" r:id="rId340" display="https://ppim-intra.pea.co.th:4434/request/PPIM18501D1B" xr:uid="{F64098F0-AE93-4C6E-8200-E37FBE30BF5D}"/>
    <hyperlink ref="K346" r:id="rId341" display="https://ppim-intra.pea.co.th:4434/request/PPIM18501D1F" xr:uid="{A139AC6C-A959-4AEA-B857-22F9D5749B89}"/>
    <hyperlink ref="K347" r:id="rId342" display="https://ppim-intra.pea.co.th:4434/request/PPIM18501D20" xr:uid="{2DCBF4E8-96A1-4480-9E76-9D3568341C13}"/>
    <hyperlink ref="K348" r:id="rId343" display="https://ppim-intra.pea.co.th:4434/request/PPIM18501D23" xr:uid="{158909D1-C1C2-4BCA-B1DB-9DD75B7E92F4}"/>
    <hyperlink ref="K349" r:id="rId344" display="https://ppim-intra.pea.co.th:4434/request/PPIM18501D24" xr:uid="{A660E254-F444-49CF-BC6B-E7E802A13FAE}"/>
    <hyperlink ref="K350" r:id="rId345" display="https://ppim-intra.pea.co.th:4434/request/PPIM18500723" xr:uid="{6B7D0ACD-9B27-42F1-8E0A-346BB9683306}"/>
    <hyperlink ref="K351" r:id="rId346" display="https://ppim-intra.pea.co.th:4434/request/PPIM18501D39" xr:uid="{16CB4624-77D3-47EF-9653-1940C2AC87E4}"/>
    <hyperlink ref="K352" r:id="rId347" display="https://ppim-intra.pea.co.th:4434/request/PPIM18501D65" xr:uid="{453A3540-B8A4-4AC7-B8AF-C5F388AC5AE2}"/>
    <hyperlink ref="K353" r:id="rId348" display="https://ppim-intra.pea.co.th:4434/request/PPIM18501D76" xr:uid="{3487B4A3-0A24-426A-910E-2C32567D7F86}"/>
    <hyperlink ref="K354" r:id="rId349" display="https://ppim-intra.pea.co.th:4434/request/PPIM18501D77" xr:uid="{A07B286E-AA17-4630-A870-98D150C42293}"/>
    <hyperlink ref="K355" r:id="rId350" display="https://ppim-intra.pea.co.th:4434/request/PPIM18501D79" xr:uid="{3EDCEC64-D7B5-487A-B235-9B6301F8195A}"/>
    <hyperlink ref="K356" r:id="rId351" display="https://ppim-intra.pea.co.th:4434/request/PPIM18501D7D" xr:uid="{3D2546EF-004D-460D-A4B4-6A670CE0B004}"/>
    <hyperlink ref="K357" r:id="rId352" display="https://ppim-intra.pea.co.th:4434/request/PPIM18501D80" xr:uid="{26013F6C-E055-4428-8130-6F27F04418CA}"/>
    <hyperlink ref="K358" r:id="rId353" display="https://ppim-intra.pea.co.th:4434/request/PPIM18501D85" xr:uid="{761D1478-BDBA-4765-B619-B18D7DF23DF4}"/>
    <hyperlink ref="K359" r:id="rId354" display="https://ppim-intra.pea.co.th:4434/request/PPIM18501D92" xr:uid="{A84AF56D-9FC5-4612-AE79-DCAB98DED9AE}"/>
    <hyperlink ref="K360" r:id="rId355" display="https://ppim-intra.pea.co.th:4434/request/PPIM18501D94" xr:uid="{49633331-CAE1-419B-BDB4-BD0663B72268}"/>
    <hyperlink ref="K361" r:id="rId356" display="https://ppim-intra.pea.co.th:4434/request/PPIM18501D97" xr:uid="{629F3E92-B799-43D6-AC2E-FBC0D75A1694}"/>
    <hyperlink ref="K362" r:id="rId357" display="https://ppim-intra.pea.co.th:4434/request/PPIM18501DA4" xr:uid="{A3632D18-B8D7-4800-8C13-E7C6E56C37C2}"/>
    <hyperlink ref="K363" r:id="rId358" display="https://ppim-intra.pea.co.th:4434/request/PPIM18501DAD" xr:uid="{6AF2367E-3F71-4B22-8395-F0F6B003286D}"/>
    <hyperlink ref="K364" r:id="rId359" display="https://ppim-intra.pea.co.th:4434/request/PPIM18501DB3" xr:uid="{E64D0BC2-EA4F-4484-AFB9-C71BC99C701A}"/>
    <hyperlink ref="K365" r:id="rId360" display="https://ppim-intra.pea.co.th:4434/request/PPIM18501DEF" xr:uid="{DB9DBCFF-DC64-48DD-9638-37AC0497D7F4}"/>
    <hyperlink ref="K366" r:id="rId361" display="https://ppim-intra.pea.co.th:4434/request/PPIM18501DF9" xr:uid="{7ACEB90F-36C0-4CEB-9B62-0A50F9B34B59}"/>
    <hyperlink ref="K367" r:id="rId362" display="https://ppim-intra.pea.co.th:4434/request/PPIM18501DFD" xr:uid="{17128286-00E0-4197-A1AA-66FBC0BF3467}"/>
    <hyperlink ref="K368" r:id="rId363" display="https://ppim-intra.pea.co.th:4434/request/PPIM18501E00" xr:uid="{8CA860FA-5FF0-478B-8353-DFBBED7E362D}"/>
    <hyperlink ref="K369" r:id="rId364" display="https://ppim-intra.pea.co.th:4434/request/PPIM18501E14" xr:uid="{D1A0EB7D-85B9-407C-A761-8C03305244AE}"/>
    <hyperlink ref="K370" r:id="rId365" display="https://ppim-intra.pea.co.th:4434/request/PPIM185012C0" xr:uid="{EC913416-194F-4EEE-ABE3-E31F828CA90C}"/>
    <hyperlink ref="K371" r:id="rId366" display="https://ppim-intra.pea.co.th:4434/request/PPIM18500E5E" xr:uid="{2D938967-C0A9-4B15-B141-8DFCB8B700C7}"/>
    <hyperlink ref="K372" r:id="rId367" display="https://ppim-intra.pea.co.th:4434/request/PPIM18501E1E" xr:uid="{19658AED-A5D5-4E2F-B1D0-39AF3FEEC39B}"/>
    <hyperlink ref="K373" r:id="rId368" display="https://ppim-intra.pea.co.th:4434/request/PPIM18501E33" xr:uid="{96500E75-48C0-49C0-BDA8-5CD30ADA7A98}"/>
    <hyperlink ref="K374" r:id="rId369" display="https://ppim-intra.pea.co.th:4434/request/PPIM18501E4F" xr:uid="{D2207A32-65C4-454C-8E85-FDCABD92D1C7}"/>
    <hyperlink ref="K375" r:id="rId370" display="https://ppim-intra.pea.co.th:4434/request/PPIM18501E5F" xr:uid="{893291C3-C5DC-42C3-83B1-774B5D171E16}"/>
    <hyperlink ref="K376" r:id="rId371" display="https://ppim-intra.pea.co.th:4434/request/PPIM18501E6C" xr:uid="{BB6DD674-BC69-4C64-ABED-2D65546F60DC}"/>
    <hyperlink ref="K377" r:id="rId372" display="https://ppim-intra.pea.co.th:4434/request/PPIM18501E6E" xr:uid="{CE3C5F82-575C-4EB2-994F-E5B2C8DA5F55}"/>
    <hyperlink ref="K378" r:id="rId373" display="https://ppim-intra.pea.co.th:4434/request/PPIM18501E7F" xr:uid="{3F070732-885C-4E10-852E-55B85FDC6189}"/>
    <hyperlink ref="K379" r:id="rId374" display="https://ppim-intra.pea.co.th:4434/request/PPIM18501EBA" xr:uid="{78C5F568-9CBB-4D8D-9BF8-F47216819E23}"/>
    <hyperlink ref="K380" r:id="rId375" display="https://ppim-intra.pea.co.th:4434/request/PPIM1850133C" xr:uid="{6F855549-37F3-45B8-9AC7-D775FF2D9D79}"/>
    <hyperlink ref="K381" r:id="rId376" display="https://ppim-intra.pea.co.th:4434/request/PPIM185013CB" xr:uid="{73A4562C-ECF1-4816-8540-84A31BFC83B5}"/>
    <hyperlink ref="K382" r:id="rId377" display="https://ppim-intra.pea.co.th:4434/request/PPIM18501F70" xr:uid="{C248B6F4-0F32-4DA8-A6DA-17E9B7EC95DC}"/>
    <hyperlink ref="K383" r:id="rId378" display="https://ppim-intra.pea.co.th:4434/request/PPIM18500CBA" xr:uid="{6C637519-2595-4ACC-A60B-3BA9575E9D36}"/>
    <hyperlink ref="K384" r:id="rId379" display="https://ppim-intra.pea.co.th:4434/request/PPIM18501781" xr:uid="{18F738C1-4383-44E4-8001-3AE05021E4B8}"/>
    <hyperlink ref="K385" r:id="rId380" display="https://ppim-intra.pea.co.th:4434/request/PPIM18501F8B" xr:uid="{3AB57C2D-2F1A-45F2-969E-36B8DDE23A9F}"/>
    <hyperlink ref="K386" r:id="rId381" display="https://ppim-intra.pea.co.th:4434/request/PPIM18501892" xr:uid="{379ED86A-421A-4FE1-8E85-E32B4CD904D3}"/>
    <hyperlink ref="K387" r:id="rId382" display="https://ppim-intra.pea.co.th:4434/request/PPIM18501F9A" xr:uid="{2DE05B3A-A23F-45C7-A22E-7F0F0FB43DD7}"/>
    <hyperlink ref="K388" r:id="rId383" display="https://ppim-intra.pea.co.th:4434/request/PPIM18500650" xr:uid="{E72BF8C1-ABCE-407A-813B-F0864D2B893C}"/>
    <hyperlink ref="K389" r:id="rId384" display="https://ppim-intra.pea.co.th:4434/request/PPIM18501FC3" xr:uid="{B3860153-375F-48A0-BF96-5793F1D10B1C}"/>
    <hyperlink ref="K390" r:id="rId385" display="https://ppim-intra.pea.co.th:4434/request/PPIM18501FCD" xr:uid="{50AAE3E1-D4E7-4F9F-9165-E81A09AFA961}"/>
    <hyperlink ref="K391" r:id="rId386" display="https://ppim-intra.pea.co.th:4434/request/PPIM185017A1" xr:uid="{65DD9241-9CEA-4947-9F61-18B0B8DB947E}"/>
    <hyperlink ref="K392" r:id="rId387" display="https://ppim-intra.pea.co.th:4434/request/PPIM185006B7" xr:uid="{D1B698A4-ECCB-4276-8E7D-A3920F2EA608}"/>
    <hyperlink ref="K393" r:id="rId388" display="https://ppim-intra.pea.co.th:4434/request/PPIM18501FF5" xr:uid="{0E98B407-ABD8-4778-B2A7-E0998D3A8BE6}"/>
    <hyperlink ref="K394" r:id="rId389" display="https://ppim-intra.pea.co.th:4434/request/PPIM1850054B" xr:uid="{73F67344-B49C-4979-A1AF-769779446DBB}"/>
    <hyperlink ref="K395" r:id="rId390" display="https://ppim-intra.pea.co.th:4434/request/PPIM18502021" xr:uid="{4C1163A4-7EA4-4F9B-814C-5290FB8DCB3F}"/>
    <hyperlink ref="K396" r:id="rId391" display="https://ppim-intra.pea.co.th:4434/request/PPIM18502027" xr:uid="{A540D068-CFC3-45BA-9E95-4012FDD34146}"/>
    <hyperlink ref="K397" r:id="rId392" display="https://ppim-intra.pea.co.th:4434/request/PPIM1850202B" xr:uid="{7F98A313-3686-447C-B305-E0196D024317}"/>
    <hyperlink ref="K398" r:id="rId393" display="https://ppim-intra.pea.co.th:4434/request/PPIM1850203D" xr:uid="{04FFF249-57B7-4B2D-B60D-A9ED746B9006}"/>
    <hyperlink ref="K399" r:id="rId394" display="https://ppim-intra.pea.co.th:4434/request/PPIM18502042" xr:uid="{4F3C0989-807D-48CE-AC84-F463EB480F37}"/>
    <hyperlink ref="K400" r:id="rId395" display="https://ppim-intra.pea.co.th:4434/request/PPIM185014A3" xr:uid="{60718F98-4784-4323-9621-3E48BA1A8332}"/>
    <hyperlink ref="K402" r:id="rId396" display="https://ppim-intra.pea.co.th:4434/request/PPIM185013A5" xr:uid="{7188F8CD-4568-4642-A171-F76DD965277F}"/>
    <hyperlink ref="K403" r:id="rId397" display="https://ppim-intra.pea.co.th:4434/request/PPIM185013AD" xr:uid="{5A6547CD-1C98-4B14-AE46-AF594C2C49D7}"/>
    <hyperlink ref="K404" r:id="rId398" display="https://ppim-intra.pea.co.th:4434/request/PPIM185013B2" xr:uid="{F832D8E4-71A1-4C35-87ED-455A749B1347}"/>
    <hyperlink ref="K405" r:id="rId399" display="https://ppim-intra.pea.co.th:4434/request/PPIM18501576" xr:uid="{90C635D0-41B3-45D8-B348-1DE7500F1AD3}"/>
    <hyperlink ref="K406" r:id="rId400" display="https://ppim-intra.pea.co.th:4434/request/PPIM18502068" xr:uid="{E00B875F-3ABE-4133-8DA0-AE79FB224768}"/>
    <hyperlink ref="K407" r:id="rId401" display="https://ppim-intra.pea.co.th:4434/request/PPIM1850160C" xr:uid="{5BE2A8E4-741C-46A6-991C-932321450215}"/>
    <hyperlink ref="K408" r:id="rId402" display="https://ppim-intra.pea.co.th:4434/request/PPIM185020C3" xr:uid="{09FF3574-FC77-4988-9D98-84D2FB951BA2}"/>
    <hyperlink ref="K409" r:id="rId403" display="https://ppim-intra.pea.co.th:4434/request/PPIM185020D2" xr:uid="{E3AA7176-F1D5-4066-8B0E-B5876B74EC28}"/>
    <hyperlink ref="K410" r:id="rId404" display="https://ppim-intra.pea.co.th:4434/request/PPIM185020E4" xr:uid="{32F5D475-37C2-47A1-BE28-10E876E7F470}"/>
    <hyperlink ref="K411" r:id="rId405" display="https://ppim-intra.pea.co.th:4434/request/PPIM18501395" xr:uid="{C7A003D0-1D8B-4FCB-96E8-53ABDFF65DE3}"/>
    <hyperlink ref="K412" r:id="rId406" display="https://ppim-intra.pea.co.th:4434/request/PPIM185013A4" xr:uid="{4963BE06-A4DA-4281-9EE6-CC0F0C9B2313}"/>
    <hyperlink ref="K413" r:id="rId407" display="https://ppim-intra.pea.co.th:4434/request/PPIM18502111" xr:uid="{92904CD9-0E1B-409F-9F6A-9D04E6E7C91B}"/>
    <hyperlink ref="K414" r:id="rId408" display="https://ppim-intra.pea.co.th:4434/request/PPIM18502190" xr:uid="{071FE65D-7665-4115-95E5-FF887B840988}"/>
    <hyperlink ref="K415" r:id="rId409" display="https://ppim-intra.pea.co.th:4434/request/PPIM1850219E" xr:uid="{849E7A17-4FBD-4E76-95FD-E408D075F3E4}"/>
    <hyperlink ref="K416" r:id="rId410" display="https://ppim-intra.pea.co.th:4434/request/PPIM185019CF" xr:uid="{088ED67C-E139-44E6-A514-CA584DAD5676}"/>
    <hyperlink ref="K417" r:id="rId411" display="https://ppim-intra.pea.co.th:4434/request/PPIM185007A6" xr:uid="{FFD61456-D45F-45A4-8D70-FF9DAD2448CE}"/>
    <hyperlink ref="K418" r:id="rId412" display="https://ppim-intra.pea.co.th:4434/request/PPIM185021A5" xr:uid="{B6558139-A6BF-49C8-B9C5-CF412E2D37F7}"/>
    <hyperlink ref="K419" r:id="rId413" display="https://ppim-intra.pea.co.th:4434/request/PPIM185021A7" xr:uid="{6101B474-4471-48EC-9D67-2C9006AAEE13}"/>
    <hyperlink ref="K420" r:id="rId414" display="https://ppim-intra.pea.co.th:4434/request/PPIM185021A8" xr:uid="{A1C0A319-0A0D-475D-B889-41F546B2F1F2}"/>
    <hyperlink ref="K421" r:id="rId415" display="https://ppim-intra.pea.co.th:4434/request/PPIM1850173D" xr:uid="{5EDE485F-9B0B-4DA2-95A8-075D508B2F23}"/>
    <hyperlink ref="K422" r:id="rId416" display="https://ppim-intra.pea.co.th:4434/request/PPIM185021AF" xr:uid="{7BAEE84D-3D32-4328-A20C-C73E6538A321}"/>
    <hyperlink ref="K423" r:id="rId417" display="https://ppim-intra.pea.co.th:4434/request/PPIM185021F3" xr:uid="{C290E92E-E231-4C19-AF9C-92B6432F18CE}"/>
    <hyperlink ref="K424" r:id="rId418" display="https://ppim-intra.pea.co.th:4434/request/PPIM185021F6" xr:uid="{D992AC93-9425-4B21-B0BF-00A077615E58}"/>
    <hyperlink ref="K425" r:id="rId419" display="https://ppim-intra.pea.co.th:4434/request/PPIM1850221B" xr:uid="{3EE73718-F830-446E-8C15-8AEA989499AD}"/>
    <hyperlink ref="K426" r:id="rId420" display="https://ppim-intra.pea.co.th:4434/request/PPIM18502239" xr:uid="{21DF961E-8BC2-40A4-9D5A-B4BB67D3AD4D}"/>
    <hyperlink ref="K427" r:id="rId421" display="https://ppim-intra.pea.co.th:4434/request/PPIM1850224B" xr:uid="{78BEBA85-A422-4C28-8A6B-C424F8201892}"/>
    <hyperlink ref="K428" r:id="rId422" display="https://ppim-intra.pea.co.th:4434/request/PPIM1850224C" xr:uid="{A6E24751-8478-4CAA-AF43-B5E2C874ED1A}"/>
    <hyperlink ref="K429" r:id="rId423" display="https://ppim-intra.pea.co.th:4434/request/PPIM18502250" xr:uid="{0C84F975-36F1-48D8-B817-1694407C6921}"/>
    <hyperlink ref="K430" r:id="rId424" display="https://ppim-intra.pea.co.th:4434/request/PPIM18502270" xr:uid="{11370D85-DB84-40A8-A06D-2AF018F8A6DA}"/>
    <hyperlink ref="K431" r:id="rId425" display="https://ppim-intra.pea.co.th:4434/request/PPIM1850227E" xr:uid="{FE6C9DC0-10FC-4FC5-A6CB-BDE01883D378}"/>
    <hyperlink ref="K432" r:id="rId426" display="https://ppim-intra.pea.co.th:4434/request/PPIM185022C9" xr:uid="{56E10085-2E56-43DC-B700-F5D6FFD831D5}"/>
    <hyperlink ref="K433" r:id="rId427" display="https://ppim-intra.pea.co.th:4434/request/PPIM185022D5" xr:uid="{28AE48F8-3005-4D3D-B01F-5C30852A3E45}"/>
    <hyperlink ref="K434" r:id="rId428" display="https://ppim-intra.pea.co.th:4434/request/PPIM185022D6" xr:uid="{71662A16-BFAA-4847-B4F3-7AEBA76FE5E0}"/>
    <hyperlink ref="K435" r:id="rId429" display="https://ppim-intra.pea.co.th:4434/request/PPIM185019DB" xr:uid="{1300F416-F1C6-4EBC-AC1F-352420D5EE15}"/>
    <hyperlink ref="K436" r:id="rId430" display="https://ppim-intra.pea.co.th:4434/request/PPIM185022E4" xr:uid="{31092256-4093-4320-A35C-64A0B121AB8C}"/>
    <hyperlink ref="K437" r:id="rId431" display="https://ppim-intra.pea.co.th:4434/request/PPIM185022E7" xr:uid="{AB5D9EDF-40FD-4A38-92F7-D85AA0FA8BC6}"/>
    <hyperlink ref="K438" r:id="rId432" display="https://ppim-intra.pea.co.th:4434/request/PPIM185022FA" xr:uid="{C07618BB-FE3B-4EEE-877C-BB18B5441B17}"/>
    <hyperlink ref="K439" r:id="rId433" display="https://ppim-intra.pea.co.th:4434/request/PPIM185022FF" xr:uid="{5A0E97FF-3782-497B-8988-9EBD98DBEB68}"/>
    <hyperlink ref="K440" r:id="rId434" display="https://ppim-intra.pea.co.th:4434/request/PPIM1850177B" xr:uid="{58705B1F-9D9F-4EEA-BA0E-51532B587342}"/>
    <hyperlink ref="K441" r:id="rId435" display="https://ppim-intra.pea.co.th:4434/request/PPIM1850230F" xr:uid="{719BB901-8DF7-4AED-85D1-BA92A9B41AF6}"/>
    <hyperlink ref="K442" r:id="rId436" display="https://ppim-intra.pea.co.th:4434/request/PPIM18502310" xr:uid="{D8C7CC90-D4FA-4CD4-81BB-6C59A86E369E}"/>
    <hyperlink ref="K443" r:id="rId437" display="https://ppim-intra.pea.co.th:4434/request/PPIM18502312" xr:uid="{17D7138D-FE6C-4553-95AF-05ADB0C520D8}"/>
    <hyperlink ref="K444" r:id="rId438" display="https://ppim-intra.pea.co.th:4434/request/PPIM18502318" xr:uid="{30FB6EFC-BDB0-4AF2-9D71-DD5CD956B8FF}"/>
    <hyperlink ref="K445" r:id="rId439" display="https://ppim-intra.pea.co.th:4434/request/PPIM18501AE0" xr:uid="{DC88B57A-972D-464E-875F-C624EF358C3A}"/>
    <hyperlink ref="K446" r:id="rId440" display="https://ppim-intra.pea.co.th:4434/request/PPIM18502319" xr:uid="{DA25D419-EAD9-4945-9748-EF11A20A8541}"/>
    <hyperlink ref="K447" r:id="rId441" display="https://ppim-intra.pea.co.th:4434/request/PPIM1850231C" xr:uid="{4EA66A86-1578-45B5-A834-79E01CA1A70E}"/>
    <hyperlink ref="K448" r:id="rId442" display="https://ppim-intra.pea.co.th:4434/request/PPIM1850231E" xr:uid="{A5394EF0-EF58-49C9-9F63-B6D48FCEF2DC}"/>
    <hyperlink ref="K449" r:id="rId443" display="https://ppim-intra.pea.co.th:4434/request/PPIM18502320" xr:uid="{7D7B28F8-EC5D-4893-8F13-BF5AF4DF8B92}"/>
    <hyperlink ref="K450" r:id="rId444" display="https://ppim-intra.pea.co.th:4434/request/PPIM18502321" xr:uid="{5E180422-5959-485E-815C-8281F197BE2F}"/>
    <hyperlink ref="K451" r:id="rId445" display="https://ppim-intra.pea.co.th:4434/request/PPIM18502326" xr:uid="{20996B85-71E1-4B64-ABE2-0B6C38B6AE5E}"/>
    <hyperlink ref="K452" r:id="rId446" display="https://ppim-intra.pea.co.th:4434/request/PPIM18502328" xr:uid="{C076F7C0-B7FF-4700-A464-F86A30A2F9CC}"/>
    <hyperlink ref="K453" r:id="rId447" display="https://ppim-intra.pea.co.th:4434/request/PPIM1850232A" xr:uid="{4ACD7EEC-9607-4733-8A7B-BB80D7A9269A}"/>
    <hyperlink ref="K454" r:id="rId448" display="https://ppim-intra.pea.co.th:4434/request/PPIM1850232C" xr:uid="{9CB6FF7C-A5CB-45C1-B288-4D694604415D}"/>
    <hyperlink ref="K455" r:id="rId449" display="https://ppim-intra.pea.co.th:4434/request/PPIM18502350" xr:uid="{7E0A9E25-444C-4DB7-B0DF-FE7833DAFB1E}"/>
    <hyperlink ref="K456" r:id="rId450" display="https://ppim-intra.pea.co.th:4434/request/PPIM185015F2" xr:uid="{30A9663C-B6A4-4A39-A318-968BF341BDB7}"/>
    <hyperlink ref="K457" r:id="rId451" display="https://ppim-intra.pea.co.th:4434/request/PPIM18502353" xr:uid="{9717009F-0246-4462-AAE5-871DC7269335}"/>
    <hyperlink ref="K458" r:id="rId452" display="https://ppim-intra.pea.co.th:4434/request/PPIM18501905" xr:uid="{AE8050F3-2BAB-455C-B471-C48B8632CDD3}"/>
    <hyperlink ref="K459" r:id="rId453" display="https://ppim-intra.pea.co.th:4434/request/PPIM18502356" xr:uid="{9CA32888-B249-41CC-AAEE-AB2640487670}"/>
    <hyperlink ref="K460" r:id="rId454" display="https://ppim-intra.pea.co.th:4434/request/PPIM18502359" xr:uid="{5C4D9565-231A-4FB5-ACEF-2FF5FF4222CE}"/>
    <hyperlink ref="K461" r:id="rId455" display="https://ppim-intra.pea.co.th:4434/request/PPIM1850235D" xr:uid="{FCEC9E00-2C4F-4212-A5E9-825A16B340A8}"/>
    <hyperlink ref="K462" r:id="rId456" display="https://ppim-intra.pea.co.th:4434/request/PPIM18502360" xr:uid="{834A65D7-DFF7-47C6-B84E-81CE5D38159F}"/>
    <hyperlink ref="K463" r:id="rId457" display="https://ppim-intra.pea.co.th:4434/request/PPIM18502365" xr:uid="{AC3EAB4A-04DA-464C-A4D7-3AB20472169A}"/>
    <hyperlink ref="K464" r:id="rId458" display="https://ppim-intra.pea.co.th:4434/request/PPIM18501E4B" xr:uid="{213E5B9D-A8DF-41A9-97DA-E6A3E149BD79}"/>
    <hyperlink ref="K465" r:id="rId459" display="https://ppim-intra.pea.co.th:4434/request/PPIM18502371" xr:uid="{0A070229-0773-45D4-BE44-8982129AAA58}"/>
    <hyperlink ref="K466" r:id="rId460" display="https://ppim-intra.pea.co.th:4434/request/PPIM18502373" xr:uid="{EA604189-A8A4-4036-9529-0CECE636527A}"/>
    <hyperlink ref="K467" r:id="rId461" display="https://ppim-intra.pea.co.th:4434/request/PPIM18501C3D" xr:uid="{2B45316A-F24C-40D5-901D-0460EC931F61}"/>
    <hyperlink ref="K468" r:id="rId462" display="https://ppim-intra.pea.co.th:4434/request/PPIM1850237F" xr:uid="{77FDF23D-C85C-4DA8-827D-C4116398CA6F}"/>
    <hyperlink ref="K469" r:id="rId463" display="https://ppim-intra.pea.co.th:4434/request/PPIM18502380" xr:uid="{7AC5CC38-858D-4F9A-B273-E63ED3CE6BBD}"/>
    <hyperlink ref="K470" r:id="rId464" display="https://ppim-intra.pea.co.th:4434/request/PPIM18502381" xr:uid="{85CC381A-E42A-4CD7-815F-1445F7AC48CD}"/>
    <hyperlink ref="K471" r:id="rId465" display="https://ppim-intra.pea.co.th:4434/request/PPIM18502385" xr:uid="{89CEB73E-216D-43A6-92A3-E20DD15EE5F2}"/>
    <hyperlink ref="K472" r:id="rId466" display="https://ppim-intra.pea.co.th:4434/request/PPIM18502387" xr:uid="{E2BDB334-5BC3-483D-B0BB-66B90704315A}"/>
    <hyperlink ref="K473" r:id="rId467" display="https://ppim-intra.pea.co.th:4434/request/PPIM18501F0B" xr:uid="{F8BD8191-8D4F-4040-ABAA-9660B652E1E0}"/>
    <hyperlink ref="K474" r:id="rId468" display="https://ppim-intra.pea.co.th:4434/request/PPIM185023A8" xr:uid="{5E845294-EA55-42B5-BEE4-8565843A2FA9}"/>
    <hyperlink ref="K475" r:id="rId469" display="https://ppim-intra.pea.co.th:4434/request/PPIM185023CC" xr:uid="{DD20C2E2-A978-467E-A491-DE1833C669FE}"/>
    <hyperlink ref="K476" r:id="rId470" display="https://ppim-intra.pea.co.th:4434/request/PPIM185023CE" xr:uid="{4285716B-FA75-41B9-879F-7C7A1F90E5C9}"/>
    <hyperlink ref="K477" r:id="rId471" display="https://ppim-intra.pea.co.th:4434/request/PPIM185023D3" xr:uid="{A7C9D963-32EF-4C53-9CC6-1BCA1403F2E2}"/>
    <hyperlink ref="K478" r:id="rId472" display="https://ppim-intra.pea.co.th:4434/request/PPIM185023D7" xr:uid="{46164EA0-2DEA-4C8C-8E57-FF50462DE3D1}"/>
    <hyperlink ref="K479" r:id="rId473" display="https://ppim-intra.pea.co.th:4434/request/PPIM18500368" xr:uid="{C76DA17B-D04E-42C6-9A6D-2452D340855B}"/>
    <hyperlink ref="K480" r:id="rId474" display="https://ppim-intra.pea.co.th:4434/request/PPIM18500C6D" xr:uid="{2FF085E5-1C88-4A90-B809-C1081BE8444F}"/>
    <hyperlink ref="K481" r:id="rId475" display="https://ppim-intra.pea.co.th:4434/request/PPIM18501108" xr:uid="{89C9A435-EB2D-4DAD-AFCB-7EB6340C852E}"/>
    <hyperlink ref="K482" r:id="rId476" display="https://ppim-intra.pea.co.th:4434/request/PPIM1850200C" xr:uid="{FF59298D-F937-44F6-BDE3-6A8A20084E33}"/>
    <hyperlink ref="K483" r:id="rId477" display="https://ppim-intra.pea.co.th:4434/request/PPIM18501FC2" xr:uid="{D890AD9D-96C9-4B6F-8959-DDE8FBF847B9}"/>
    <hyperlink ref="K484" r:id="rId478" display="https://ppim-intra.pea.co.th:4434/request/PPIM18501D08" xr:uid="{D41A7FA2-9CEE-4650-9B8C-F4189F85A356}"/>
    <hyperlink ref="K485" r:id="rId479" display="https://ppim-intra.pea.co.th:4434/request/PPIM1850246C" xr:uid="{D83E7D99-C257-47E7-86B4-31CD621C138A}"/>
    <hyperlink ref="K486" r:id="rId480" display="https://ppim-intra.pea.co.th:4434/request/PPIM185024A3" xr:uid="{E837A6A7-8B7A-44F1-8B68-E42D07903668}"/>
    <hyperlink ref="K487" r:id="rId481" display="https://ppim-intra.pea.co.th:4434/request/PPIM185024D3" xr:uid="{48CAC17C-147B-4E0C-85B4-738500169AA7}"/>
    <hyperlink ref="K488" r:id="rId482" display="https://ppim-intra.pea.co.th:4434/request/PPIM185024D7" xr:uid="{25BE9A11-3C9E-4BB9-A14D-376C47F42028}"/>
    <hyperlink ref="K489" r:id="rId483" display="https://ppim-intra.pea.co.th:4434/request/PPIM185024FF" xr:uid="{7ADFA63F-60C7-49A1-8915-1179C0D76EDD}"/>
    <hyperlink ref="K490" r:id="rId484" display="https://ppim-intra.pea.co.th:4434/request/PPIM1850250F" xr:uid="{84479E17-22D2-495B-8E29-5499F813B065}"/>
    <hyperlink ref="K491" r:id="rId485" display="https://ppim-intra.pea.co.th:4434/request/PPIM1850253E" xr:uid="{CF0DDF29-C5D3-4813-8A02-1BFC2B31698A}"/>
    <hyperlink ref="K492" r:id="rId486" display="https://ppim-intra.pea.co.th:4434/request/PPIM18502542" xr:uid="{D92F68D9-401C-426F-80D4-58DB62221A55}"/>
    <hyperlink ref="K493" r:id="rId487" display="https://ppim-intra.pea.co.th:4434/request/PPIM18502552" xr:uid="{17328CF4-DFAB-432D-82FB-61A7863F12F1}"/>
    <hyperlink ref="K494" r:id="rId488" display="https://ppim-intra.pea.co.th:4434/request/PPIM18502568" xr:uid="{2EE51974-896E-4E61-B990-B6EE91757FA8}"/>
    <hyperlink ref="K495" r:id="rId489" display="https://ppim-intra.pea.co.th:4434/request/PPIM18500217" xr:uid="{B8C9CB09-134D-486B-8C10-5A85E983FB3F}"/>
    <hyperlink ref="K496" r:id="rId490" display="https://ppim-intra.pea.co.th:4434/request/PPIM18502574" xr:uid="{E574AFFD-F452-4FCC-93FC-B107D7906934}"/>
    <hyperlink ref="K497" r:id="rId491" display="https://ppim-intra.pea.co.th:4434/request/PPIM185025A5" xr:uid="{CEBA2305-AC19-4437-B666-59C7CFBC287A}"/>
    <hyperlink ref="K498" r:id="rId492" display="https://ppim-intra.pea.co.th:4434/request/PPIM185025B5" xr:uid="{17F431EF-F610-450D-8B9D-F270A126C8AC}"/>
    <hyperlink ref="K499" r:id="rId493" display="https://ppim-intra.pea.co.th:4434/request/PPIM185025E4" xr:uid="{929C164B-83D2-4B16-80F3-543E993742FB}"/>
    <hyperlink ref="K500" r:id="rId494" display="https://ppim-intra.pea.co.th:4434/request/PPIM185025E5" xr:uid="{9333C3B1-E9AB-417A-A19E-F034B23237CD}"/>
    <hyperlink ref="K502" r:id="rId495" display="https://ppim-intra.pea.co.th:4434/request/PPIM18501059" xr:uid="{27C79996-9365-405C-AD06-F8BB26303774}"/>
    <hyperlink ref="K503" r:id="rId496" display="https://ppim-intra.pea.co.th:4434/request/PPIM18501D87" xr:uid="{9F757203-EB12-4F7D-8EB6-FD675233A0C7}"/>
    <hyperlink ref="K504" r:id="rId497" display="https://ppim-intra.pea.co.th:4434/request/PPIM1850261A" xr:uid="{E59B6042-787E-4C64-9CD8-F99074F73D58}"/>
    <hyperlink ref="K505" r:id="rId498" display="https://ppim-intra.pea.co.th:4434/request/PPIM1850262A" xr:uid="{2C6A0B55-A8C2-42B3-87B4-7C96B396BF91}"/>
    <hyperlink ref="K506" r:id="rId499" display="https://ppim-intra.pea.co.th:4434/request/PPIM1850262B" xr:uid="{2389A2AD-5B0F-42EB-B520-EF4FA96AA2BF}"/>
    <hyperlink ref="K507" r:id="rId500" display="https://ppim-intra.pea.co.th:4434/request/PPIM18502632" xr:uid="{D27E2065-8ECD-493D-ADC5-1E8B85D47D99}"/>
    <hyperlink ref="K508" r:id="rId501" display="https://ppim-intra.pea.co.th:4434/request/PPIM18500583" xr:uid="{23184315-45D3-4ABD-81A6-7D9D9A590440}"/>
    <hyperlink ref="K509" r:id="rId502" display="https://ppim-intra.pea.co.th:4434/request/PPIM1850264D" xr:uid="{FB280C5E-2DF7-44FF-8461-AD4DF0A91217}"/>
    <hyperlink ref="K510" r:id="rId503" display="https://ppim-intra.pea.co.th:4434/request/PPIM18502664" xr:uid="{88186EC6-4A78-4655-A80E-080B6568F1B7}"/>
    <hyperlink ref="K511" r:id="rId504" display="https://ppim-intra.pea.co.th:4434/request/PPIM18502669" xr:uid="{1C4D86CC-2417-4A69-B0A0-49893DBB0AD8}"/>
    <hyperlink ref="K512" r:id="rId505" display="https://ppim-intra.pea.co.th:4434/request/PPIM1850107C" xr:uid="{2329BCFC-1DE0-427D-A8C5-D6680160B04E}"/>
    <hyperlink ref="K513" r:id="rId506" display="https://ppim-intra.pea.co.th:4434/request/PPIM185026A6" xr:uid="{2D725F2A-6FBD-4FC0-95F1-58A8D2301979}"/>
    <hyperlink ref="K514" r:id="rId507" display="https://ppim-intra.pea.co.th:4434/request/PPIM185026B7" xr:uid="{54B728A0-F52B-42E1-B48A-B64E7EC93F48}"/>
    <hyperlink ref="K515" r:id="rId508" display="https://ppim-intra.pea.co.th:4434/request/PPIM185026EE" xr:uid="{106B6006-C302-4158-9497-7B63068E82ED}"/>
    <hyperlink ref="K516" r:id="rId509" display="https://ppim-intra.pea.co.th:4434/request/PPIM185026F5" xr:uid="{D692112F-6E2E-4479-A191-F588DE80DDD9}"/>
    <hyperlink ref="K517" r:id="rId510" display="https://ppim-intra.pea.co.th:4434/request/PPIM18500B1D" xr:uid="{75D2D27D-8234-44DA-8205-240F7E0FB089}"/>
    <hyperlink ref="K518" r:id="rId511" display="https://ppim-intra.pea.co.th:4434/request/PPIM18502700" xr:uid="{88545083-7766-459B-A22A-E4E55754169A}"/>
    <hyperlink ref="K519" r:id="rId512" display="https://ppim-intra.pea.co.th:4434/request/PPIM18501A73" xr:uid="{CF438A3D-ED70-48A3-A21E-3BCF8B605F88}"/>
    <hyperlink ref="K520" r:id="rId513" display="https://ppim-intra.pea.co.th:4434/request/PPIM18502716" xr:uid="{333E120C-8011-4171-8E1E-C2AA2B6C0EC5}"/>
    <hyperlink ref="K521" r:id="rId514" display="https://ppim-intra.pea.co.th:4434/request/PPIM18502719" xr:uid="{83D9A1D8-1D9F-4846-BA82-F9F0D22D0979}"/>
    <hyperlink ref="K522" r:id="rId515" display="https://ppim-intra.pea.co.th:4434/request/PPIM1850271C" xr:uid="{F9C0C56D-E39C-4B68-949C-27E32DA22B63}"/>
    <hyperlink ref="K523" r:id="rId516" display="https://ppim-intra.pea.co.th:4434/request/PPIM18502721" xr:uid="{A1BFE3AD-63FB-4265-9EEF-B60D336B721B}"/>
    <hyperlink ref="K524" r:id="rId517" display="https://ppim-intra.pea.co.th:4434/request/PPIM1850225B" xr:uid="{D50C8607-2F12-4306-AC3D-22312760D4E4}"/>
    <hyperlink ref="K525" r:id="rId518" display="https://ppim-intra.pea.co.th:4434/request/PPIM1850272C" xr:uid="{65F5EF7F-DEFE-471C-90E2-A566EE50FB8F}"/>
    <hyperlink ref="K526" r:id="rId519" display="https://ppim-intra.pea.co.th:4434/request/PPIM1850275D" xr:uid="{BFAB07E3-2E56-46BF-9B52-8A9E6DA2B45E}"/>
    <hyperlink ref="K527" r:id="rId520" display="https://ppim-intra.pea.co.th:4434/request/PPIM185020FC" xr:uid="{6A5293C0-EA5A-4067-B0B1-8ADC7EA7DC89}"/>
    <hyperlink ref="K528" r:id="rId521" display="https://ppim-intra.pea.co.th:4434/request/PPIM18502769" xr:uid="{6619B064-7535-4DA1-A8C5-F0D0607B35DF}"/>
    <hyperlink ref="K529" r:id="rId522" display="https://ppim-intra.pea.co.th:4434/request/PPIM18501062" xr:uid="{89020188-A1EE-4DC1-937E-61090ACB58ED}"/>
    <hyperlink ref="K530" r:id="rId523" display="https://ppim-intra.pea.co.th:4434/request/PPIM1850278C" xr:uid="{1BC368AF-1873-42E5-96E8-098A08B98EB6}"/>
    <hyperlink ref="K531" r:id="rId524" display="https://ppim-intra.pea.co.th:4434/request/PPIM185027B6" xr:uid="{C6616937-5609-4396-84C8-35672139D748}"/>
    <hyperlink ref="K532" r:id="rId525" display="https://ppim-intra.pea.co.th:4434/request/PPIM185027C3" xr:uid="{8E631865-3F4C-4A30-AA44-E4E06D88A869}"/>
    <hyperlink ref="K533" r:id="rId526" display="https://ppim-intra.pea.co.th:4434/request/PPIM1850280C" xr:uid="{333B7AC4-3FE5-4DA9-9612-A288D44E13C1}"/>
    <hyperlink ref="K534" r:id="rId527" display="https://ppim-intra.pea.co.th:4434/request/PPIM18502818" xr:uid="{B776E737-B22D-468D-929B-94D101178D31}"/>
    <hyperlink ref="K535" r:id="rId528" display="https://ppim-intra.pea.co.th:4434/request/PPIM1850281B" xr:uid="{6415C6DD-C9AF-48B2-AA67-ECD2FE03B996}"/>
    <hyperlink ref="K536" r:id="rId529" display="https://ppim-intra.pea.co.th:4434/request/PPIM18502835" xr:uid="{7DCF6D0A-FB9B-4CD6-B9CC-0587DA295EE8}"/>
    <hyperlink ref="K537" r:id="rId530" display="https://ppim-intra.pea.co.th:4434/request/PPIM18502837" xr:uid="{63677F39-114A-4702-B1E6-7ECFDA3EB533}"/>
    <hyperlink ref="K538" r:id="rId531" display="https://ppim-intra.pea.co.th:4434/request/PPIM1850237B" xr:uid="{FCF22157-5700-4BB4-A9E1-E8AE84D5F0D4}"/>
    <hyperlink ref="K539" r:id="rId532" display="https://ppim-intra.pea.co.th:4434/request/PPIM1850284A" xr:uid="{55C62DD2-2B23-4239-966B-BF0048E70D67}"/>
    <hyperlink ref="K540" r:id="rId533" display="https://ppim-intra.pea.co.th:4434/request/PPIM185022DA" xr:uid="{7201FA68-1947-4AF6-BFDD-45148F163FFD}"/>
    <hyperlink ref="K541" r:id="rId534" display="https://ppim-intra.pea.co.th:4434/request/PPIM18502867" xr:uid="{D0E4E12C-28A3-4F79-92E6-8F3943BAB970}"/>
    <hyperlink ref="K542" r:id="rId535" display="https://ppim-intra.pea.co.th:4434/request/PPIM1850287D" xr:uid="{74DDC71D-0139-4B5A-9CF4-E9AB5CDD7631}"/>
    <hyperlink ref="K543" r:id="rId536" display="https://ppim-intra.pea.co.th:4434/request/PPIM18502882" xr:uid="{9F9F4017-24D0-4B94-A4B0-AF22A7226B8D}"/>
    <hyperlink ref="K544" r:id="rId537" display="https://ppim-intra.pea.co.th:4434/request/PPIM18502887" xr:uid="{A9EFE795-AE6A-4CA0-9831-326911EBDD88}"/>
    <hyperlink ref="K545" r:id="rId538" display="https://ppim-intra.pea.co.th:4434/request/PPIM18502889" xr:uid="{9BB42D91-C506-4DC0-8F34-2A786D06A5FA}"/>
    <hyperlink ref="K546" r:id="rId539" display="https://ppim-intra.pea.co.th:4434/request/PPIM1850204E" xr:uid="{347E267D-3011-489A-9FF3-1B3FB451D2AA}"/>
    <hyperlink ref="K547" r:id="rId540" display="https://ppim-intra.pea.co.th:4434/request/PPIM1850288B" xr:uid="{1A9FDF3B-8B6A-40D8-BD56-7AD3DA33A645}"/>
    <hyperlink ref="K548" r:id="rId541" display="https://ppim-intra.pea.co.th:4434/request/PPIM1850288D" xr:uid="{3533A9B6-893B-4267-A9B2-FB1E39C3853F}"/>
    <hyperlink ref="K549" r:id="rId542" display="https://ppim-intra.pea.co.th:4434/request/PPIM185011AF" xr:uid="{895D1AA2-053C-45C6-BFD5-9E1AED44BDFB}"/>
    <hyperlink ref="K550" r:id="rId543" display="https://ppim-intra.pea.co.th:4434/request/PPIM1850289C" xr:uid="{79102FEB-1844-4907-9D0D-1A2C7F6018D2}"/>
    <hyperlink ref="K551" r:id="rId544" display="https://ppim-intra.pea.co.th:4434/request/PPIM185028A4" xr:uid="{3E165AEB-C0B6-449C-B8BB-BDB8BF8FF6B2}"/>
    <hyperlink ref="K552" r:id="rId545" display="https://ppim-intra.pea.co.th:4434/request/PPIM185028A8" xr:uid="{F4447D80-0617-455F-A255-A0E80C9E15A7}"/>
    <hyperlink ref="K553" r:id="rId546" display="https://ppim-intra.pea.co.th:4434/request/PPIM185028BB" xr:uid="{CA03B769-A8A5-40FD-9EC6-2C9E8825BFF0}"/>
    <hyperlink ref="K554" r:id="rId547" display="https://ppim-intra.pea.co.th:4434/request/PPIM185028CC" xr:uid="{E6B1A5AA-C662-4A0A-AF7B-D82B05976B9E}"/>
    <hyperlink ref="K555" r:id="rId548" display="https://ppim-intra.pea.co.th:4434/request/PPIM18501043" xr:uid="{F1569154-3D0C-40FF-873E-81CEC9EB4688}"/>
    <hyperlink ref="K556" r:id="rId549" display="https://ppim-intra.pea.co.th:4434/request/PPIM18500E08" xr:uid="{904B24BC-D1A2-467C-B3E6-1068EC089413}"/>
    <hyperlink ref="K557" r:id="rId550" display="https://ppim-intra.pea.co.th:4434/request/PPIM185028ED" xr:uid="{3DFEECC4-F2A2-401C-AA1A-7E5341287B05}"/>
    <hyperlink ref="K558" r:id="rId551" display="https://ppim-intra.pea.co.th:4434/request/PPIM18501A8C" xr:uid="{0785E3C5-D691-40EC-9545-97A9E0112BF4}"/>
    <hyperlink ref="K559" r:id="rId552" display="https://ppim-intra.pea.co.th:4434/request/PPIM18502901" xr:uid="{CF5510DE-C2AF-4A94-8F18-69A0A5BF8157}"/>
    <hyperlink ref="K560" r:id="rId553" display="https://ppim-intra.pea.co.th:4434/request/PPIM18502905" xr:uid="{005E3246-452B-4EA4-B6AB-BAE5ED397B5B}"/>
    <hyperlink ref="K561" r:id="rId554" display="https://ppim-intra.pea.co.th:4434/request/PPIM18502919" xr:uid="{A770880A-1F6C-4A27-9E66-E9996D6313FB}"/>
    <hyperlink ref="K562" r:id="rId555" display="https://ppim-intra.pea.co.th:4434/request/PPIM18500370" xr:uid="{019E35AE-E121-4CBB-B2D9-04004AC00205}"/>
    <hyperlink ref="K563" r:id="rId556" display="https://ppim-intra.pea.co.th:4434/request/PPIM18501D8E" xr:uid="{AB4A98B4-83D9-4BC5-978B-B861887F18D4}"/>
    <hyperlink ref="K564" r:id="rId557" display="https://ppim-intra.pea.co.th:4434/request/PPIM18501847" xr:uid="{7C3DD50B-6829-48E4-83B9-F51DB16F9A2F}"/>
    <hyperlink ref="K565" r:id="rId558" display="https://ppim-intra.pea.co.th:4434/request/PPIM18502949" xr:uid="{5A57CF4A-EAE5-43D2-A633-11E1EF7774AD}"/>
    <hyperlink ref="K566" r:id="rId559" display="https://ppim-intra.pea.co.th:4434/request/PPIM18502954" xr:uid="{3543291E-F326-4FDA-A81F-98372A09D212}"/>
    <hyperlink ref="K567" r:id="rId560" display="https://ppim-intra.pea.co.th:4434/request/PPIM18501A4A" xr:uid="{B87F07D4-F875-4C3C-96D6-575F35EDD765}"/>
    <hyperlink ref="K568" r:id="rId561" display="https://ppim-intra.pea.co.th:4434/request/PPIM185024FD" xr:uid="{B3F710DF-BC2F-4A6E-9D72-FF4306B01047}"/>
    <hyperlink ref="K569" r:id="rId562" display="https://ppim-intra.pea.co.th:4434/request/PPIM185024FE" xr:uid="{C5E0F5BF-BB3E-4B9D-B723-2AECD40A1383}"/>
    <hyperlink ref="K570" r:id="rId563" display="https://ppim-intra.pea.co.th:4434/request/PPIM1850298E" xr:uid="{0289180E-098F-47AC-BF0C-54A8B7A8A072}"/>
    <hyperlink ref="K571" r:id="rId564" display="https://ppim-intra.pea.co.th:4434/request/PPIM1850298F" xr:uid="{5A3D44A7-0EF3-4F5E-A5B4-2852708307C3}"/>
    <hyperlink ref="K572" r:id="rId565" display="https://ppim-intra.pea.co.th:4434/request/PPIM18502996" xr:uid="{E7D172EF-C82C-4427-AEC0-2B6F6C8A361E}"/>
    <hyperlink ref="K573" r:id="rId566" display="https://ppim-intra.pea.co.th:4434/request/PPIM185029AE" xr:uid="{32F67B74-1674-42EB-8023-FC738A6F7CB8}"/>
    <hyperlink ref="K574" r:id="rId567" display="https://ppim-intra.pea.co.th:4434/request/PPIM185029AF" xr:uid="{810C1403-9C43-4864-BB41-08812970FA52}"/>
    <hyperlink ref="K575" r:id="rId568" display="https://ppim-intra.pea.co.th:4434/request/PPIM185029B3" xr:uid="{E03EDACC-1E66-4E0A-914E-F53E4ED5CDE2}"/>
    <hyperlink ref="K576" r:id="rId569" display="https://ppim-intra.pea.co.th:4434/request/PPIM185029BA" xr:uid="{8FC6525C-F290-4778-8C97-F3C00211138A}"/>
    <hyperlink ref="K577" r:id="rId570" display="https://ppim-intra.pea.co.th:4434/request/PPIM18501EFF" xr:uid="{474A8E1F-ACA8-45D2-ACBD-E58A1AC83967}"/>
    <hyperlink ref="K578" r:id="rId571" display="https://ppim-intra.pea.co.th:4434/request/PPIM185029C7" xr:uid="{DF78BE6D-C8F7-40E1-8514-E95A5AC99489}"/>
    <hyperlink ref="K579" r:id="rId572" display="https://ppim-intra.pea.co.th:4434/request/PPIM185029C8" xr:uid="{6507EC5A-123B-405D-9FD0-9D559972A578}"/>
    <hyperlink ref="K580" r:id="rId573" display="https://ppim-intra.pea.co.th:4434/request/PPIM185029D5" xr:uid="{C6BE74FA-ED9A-4081-B1F4-9ABDBCF19197}"/>
    <hyperlink ref="K581" r:id="rId574" display="https://ppim-intra.pea.co.th:4434/request/PPIM185029D9" xr:uid="{515EB324-2E9C-48F2-8D83-94514C087970}"/>
    <hyperlink ref="K582" r:id="rId575" display="https://ppim-intra.pea.co.th:4434/request/PPIM18502210" xr:uid="{A8579791-69F9-4416-850E-657E6827EEC1}"/>
    <hyperlink ref="K583" r:id="rId576" display="https://ppim-intra.pea.co.th:4434/request/PPIM185029E4" xr:uid="{49A1AD96-2C3A-47DF-AC4A-CAEBEFF44FDB}"/>
    <hyperlink ref="K584" r:id="rId577" display="https://ppim-intra.pea.co.th:4434/request/PPIM185029E9" xr:uid="{31F2BBFD-A9DC-4164-8365-A1547C7C0496}"/>
    <hyperlink ref="K585" r:id="rId578" display="https://ppim-intra.pea.co.th:4434/request/PPIM185029EB" xr:uid="{CB6C6820-BC0B-4DFF-8094-A23D268B08B7}"/>
    <hyperlink ref="K586" r:id="rId579" display="https://ppim-intra.pea.co.th:4434/request/PPIM185029EC" xr:uid="{64F4FE21-A94E-4630-A951-F3734A275EDF}"/>
    <hyperlink ref="K587" r:id="rId580" display="https://ppim-intra.pea.co.th:4434/request/PPIM185029F0" xr:uid="{1FF6603C-D6EE-4EA5-87B0-6F5579A22CAF}"/>
    <hyperlink ref="K588" r:id="rId581" display="https://ppim-intra.pea.co.th:4434/request/PPIM18502A08" xr:uid="{39A80DC1-F04B-4651-AE74-DE3DE6173EF7}"/>
    <hyperlink ref="K589" r:id="rId582" display="https://ppim-intra.pea.co.th:4434/request/PPIM18502A1C" xr:uid="{25201A74-E8E4-4809-8BCE-45D5AF1EF976}"/>
    <hyperlink ref="K590" r:id="rId583" display="https://ppim-intra.pea.co.th:4434/request/PPIM18502A28" xr:uid="{40FB781D-0DA6-4AC7-A108-206C2DC77C00}"/>
    <hyperlink ref="K591" r:id="rId584" display="https://ppim-intra.pea.co.th:4434/request/PPIM18502A2C" xr:uid="{AF3C6983-7579-42B4-97B9-8FD48DC72F58}"/>
    <hyperlink ref="K592" r:id="rId585" display="https://ppim-intra.pea.co.th:4434/request/PPIM18502A2E" xr:uid="{DDADC825-23F0-4C98-A24D-4F57143F91FA}"/>
    <hyperlink ref="K593" r:id="rId586" display="https://ppim-intra.pea.co.th:4434/request/PPIM18502A35" xr:uid="{D041D978-4119-42A1-B6DB-0928D1823A42}"/>
    <hyperlink ref="K594" r:id="rId587" display="https://ppim-intra.pea.co.th:4434/request/PPIM18502A65" xr:uid="{0CC66D91-F683-47E4-B6F1-C696597BB703}"/>
    <hyperlink ref="K595" r:id="rId588" display="https://ppim-intra.pea.co.th:4434/request/PPIM18502A6A" xr:uid="{119641AE-C30A-45A5-BEB8-672C6E21FCA1}"/>
    <hyperlink ref="K596" r:id="rId589" display="https://ppim-intra.pea.co.th:4434/request/PPIM18502A78" xr:uid="{9F0BF356-2AEB-4E4D-9BE9-54EE4FF315D9}"/>
    <hyperlink ref="K597" r:id="rId590" display="https://ppim-intra.pea.co.th:4434/request/PPIM18502A8A" xr:uid="{72F320BB-C2AF-45A2-9B44-0E554BCC1A85}"/>
    <hyperlink ref="K598" r:id="rId591" display="https://ppim-intra.pea.co.th:4434/request/PPIM18502A9D" xr:uid="{E9C37C4C-621C-43B3-8890-3822B18E7CE5}"/>
    <hyperlink ref="K599" r:id="rId592" display="https://ppim-intra.pea.co.th:4434/request/PPIM185022F8" xr:uid="{98920BCF-8596-43CA-923D-2730A4B880B5}"/>
    <hyperlink ref="K600" r:id="rId593" display="https://ppim-intra.pea.co.th:4434/request/PPIM18502AA7" xr:uid="{49E47ED8-C161-4083-ACAE-5CC305F04587}"/>
    <hyperlink ref="K602" r:id="rId594" display="https://ppim-intra.pea.co.th:4434/request/PPIM18502AD1" xr:uid="{8123451C-58E8-4495-B552-AEF12C291F6D}"/>
    <hyperlink ref="K603" r:id="rId595" display="https://ppim-intra.pea.co.th:4434/request/PPIM18502492" xr:uid="{903956AF-3CFC-46D8-9877-B0D7A7ACABA3}"/>
    <hyperlink ref="K604" r:id="rId596" display="https://ppim-intra.pea.co.th:4434/request/PPIM18502AFB" xr:uid="{F96C9A67-DE15-49B9-979A-F8AEA11A0E3F}"/>
    <hyperlink ref="K605" r:id="rId597" display="https://ppim-intra.pea.co.th:4434/request/PPIM18502B06" xr:uid="{E9A0A421-DAED-4A01-8EC5-809C4E49A914}"/>
    <hyperlink ref="K606" r:id="rId598" display="https://ppim-intra.pea.co.th:4434/request/PPIM18502B1E" xr:uid="{875B11B4-B064-4DA8-90A8-10A0915847E6}"/>
    <hyperlink ref="K607" r:id="rId599" display="https://ppim-intra.pea.co.th:4434/request/PPIM18502B2A" xr:uid="{AF741441-5C22-4207-AEEB-2B5E0409AC3A}"/>
    <hyperlink ref="K608" r:id="rId600" display="https://ppim-intra.pea.co.th:4434/request/PPIM18502B5F" xr:uid="{42065BB4-D71A-4FDB-A11D-5B2196FEEF5A}"/>
    <hyperlink ref="K609" r:id="rId601" display="https://ppim-intra.pea.co.th:4434/request/PPIM18502B62" xr:uid="{2D5FEB49-FBA3-4F50-AE08-9FA4FAABEBE1}"/>
    <hyperlink ref="K610" r:id="rId602" display="https://ppim-intra.pea.co.th:4434/request/PPIM18502B72" xr:uid="{019925F4-AA88-4760-9E30-23EF86B7627B}"/>
    <hyperlink ref="K611" r:id="rId603" display="https://ppim-intra.pea.co.th:4434/request/PPIM18502B87" xr:uid="{9F38A41B-442C-47CB-8BE1-846D203AAC4C}"/>
    <hyperlink ref="K612" r:id="rId604" display="https://ppim-intra.pea.co.th:4434/request/PPIM18502B91" xr:uid="{9DBC1E08-5878-4F08-A7C2-AB6FA41DE66F}"/>
    <hyperlink ref="K613" r:id="rId605" display="https://ppim-intra.pea.co.th:4434/request/PPIM18502B95" xr:uid="{5D937C9D-D8B2-4CDA-B873-3FD6682FDA95}"/>
    <hyperlink ref="K614" r:id="rId606" display="https://ppim-intra.pea.co.th:4434/request/PPIM18502B96" xr:uid="{BB594B69-7109-4A84-B745-00C089100CB8}"/>
    <hyperlink ref="K615" r:id="rId607" display="https://ppim-intra.pea.co.th:4434/request/PPIM18502B99" xr:uid="{7FCDE426-6532-4C35-8286-DB4C6279B23F}"/>
    <hyperlink ref="K616" r:id="rId608" display="https://ppim-intra.pea.co.th:4434/request/PPIM18502B9A" xr:uid="{B9178501-6D2D-49A6-9904-56B834AC0C83}"/>
    <hyperlink ref="K617" r:id="rId609" display="https://ppim-intra.pea.co.th:4434/request/PPIM185023E7" xr:uid="{E2F3063F-337D-4399-8B45-2CCA6DF4D36F}"/>
    <hyperlink ref="K618" r:id="rId610" display="https://ppim-intra.pea.co.th:4434/request/PPIM18502BD5" xr:uid="{D8D619E5-61DF-4818-B590-70FFB7420C5F}"/>
    <hyperlink ref="K619" r:id="rId611" display="https://ppim-intra.pea.co.th:4434/request/PPIM18502BDE" xr:uid="{DD45CC52-6C79-4E64-B668-AF176B599704}"/>
    <hyperlink ref="K620" r:id="rId612" display="https://ppim-intra.pea.co.th:4434/request/PPIM18502BE8" xr:uid="{34CEA619-17FC-48B0-AB32-9835A9D37037}"/>
    <hyperlink ref="K621" r:id="rId613" display="https://ppim-intra.pea.co.th:4434/request/PPIM18502BE9" xr:uid="{8CFB02E7-0191-44BC-A662-E1F6D3ADAEC2}"/>
    <hyperlink ref="K622" r:id="rId614" display="https://ppim-intra.pea.co.th:4434/request/PPIM18502BFC" xr:uid="{1D433829-1A0C-41F7-9A63-6947807C5E90}"/>
    <hyperlink ref="K623" r:id="rId615" display="https://ppim-intra.pea.co.th:4434/request/PPIM1850233C" xr:uid="{C8820974-29B2-4D52-9809-3F3F6D850B49}"/>
    <hyperlink ref="K624" r:id="rId616" display="https://ppim-intra.pea.co.th:4434/request/PPIM18502C0C" xr:uid="{9D8A88EF-48ED-4B7F-BAE2-E46682780BCF}"/>
    <hyperlink ref="K625" r:id="rId617" display="https://ppim-intra.pea.co.th:4434/request/PPIM1850220B" xr:uid="{21938D65-165D-445F-BF11-4EE7B6772646}"/>
    <hyperlink ref="K626" r:id="rId618" display="https://ppim-intra.pea.co.th:4434/request/PPIM18502C30" xr:uid="{1B9D4BF5-C197-4C7C-89DD-5BFC573ED0BE}"/>
    <hyperlink ref="K627" r:id="rId619" display="https://ppim-intra.pea.co.th:4434/request/PPIM18502C32" xr:uid="{2724D784-E9B4-4697-9988-348EE9EA5EC7}"/>
    <hyperlink ref="K628" r:id="rId620" display="https://ppim-intra.pea.co.th:4434/request/PPIM185023D1" xr:uid="{AF9CE482-F30D-41C2-8D57-B68CB2121DD1}"/>
    <hyperlink ref="K629" r:id="rId621" display="https://ppim-intra.pea.co.th:4434/request/PPIM18502C54" xr:uid="{35B19157-0FC0-4B4F-950C-03B0CD6A49B6}"/>
    <hyperlink ref="K630" r:id="rId622" display="https://ppim-intra.pea.co.th:4434/request/PPIM18502C57" xr:uid="{D00487D8-F267-42F9-9E5C-236AB880CCE2}"/>
    <hyperlink ref="K631" r:id="rId623" display="https://ppim-intra.pea.co.th:4434/request/PPIM18502C6D" xr:uid="{4FBBD765-D799-4EF7-ACF6-778C19CB46A2}"/>
    <hyperlink ref="K632" r:id="rId624" display="https://ppim-intra.pea.co.th:4434/request/PPIM18502C70" xr:uid="{9478D426-60D7-45C5-B27C-EF33C27677C5}"/>
    <hyperlink ref="K633" r:id="rId625" display="https://ppim-intra.pea.co.th:4434/request/PPIM18502C73" xr:uid="{F123A070-269F-4C8C-9279-AB7C1EF4C46F}"/>
    <hyperlink ref="K634" r:id="rId626" display="https://ppim-intra.pea.co.th:4434/request/PPIM18502C7E" xr:uid="{0D95EAC8-FEB3-45C1-83D2-7B408153B846}"/>
    <hyperlink ref="K635" r:id="rId627" display="https://ppim-intra.pea.co.th:4434/request/PPIM1850238A" xr:uid="{B21F59A8-AAA1-4D1A-9DB1-515010E1EA5A}"/>
    <hyperlink ref="K636" r:id="rId628" display="https://ppim-intra.pea.co.th:4434/request/PPIM18501931" xr:uid="{DAEE0417-5196-448E-9482-E4B61E54E565}"/>
    <hyperlink ref="K637" r:id="rId629" display="https://ppim-intra.pea.co.th:4434/request/PPIM18502CC8" xr:uid="{11D3B091-24F8-4849-8471-21DE564F7E3B}"/>
    <hyperlink ref="K638" r:id="rId630" display="https://ppim-intra.pea.co.th:4434/request/PPIM18502CD5" xr:uid="{50785D90-26B2-4320-A288-1676853A16B1}"/>
    <hyperlink ref="K639" r:id="rId631" display="https://ppim-intra.pea.co.th:4434/request/PPIM18502CF2" xr:uid="{AC0DA716-8BE8-41CA-9494-B1EDD97D7917}"/>
    <hyperlink ref="K640" r:id="rId632" display="https://ppim-intra.pea.co.th:4434/request/PPIM18502531" xr:uid="{BF02F4AF-F891-43B7-BC12-65D373F8B2E3}"/>
    <hyperlink ref="K641" r:id="rId633" display="https://ppim-intra.pea.co.th:4434/request/PPIM18502D15" xr:uid="{75807062-432B-4B26-A91E-57FAFF3C3ABB}"/>
    <hyperlink ref="K642" r:id="rId634" display="https://ppim-intra.pea.co.th:4434/request/PPIM18502118" xr:uid="{030CB956-D853-4220-964C-A576C9CEDE75}"/>
    <hyperlink ref="K643" r:id="rId635" display="https://ppim-intra.pea.co.th:4434/request/PPIM18502D48" xr:uid="{55C9BF85-9C7B-4DD9-A15E-F705B4755E7E}"/>
    <hyperlink ref="K644" r:id="rId636" display="https://ppim-intra.pea.co.th:4434/request/PPIM185023E0" xr:uid="{0AF0D534-9235-47F4-AD50-6E9784823FAA}"/>
    <hyperlink ref="K645" r:id="rId637" display="https://ppim-intra.pea.co.th:4434/request/PPIM18502D77" xr:uid="{A54A7114-124D-4B10-B598-8A940335B780}"/>
    <hyperlink ref="K646" r:id="rId638" display="https://ppim-intra.pea.co.th:4434/request/PPIM18502D83" xr:uid="{E578E012-95CF-4AFF-B719-91D37EB4FA51}"/>
    <hyperlink ref="K647" r:id="rId639" display="https://ppim-intra.pea.co.th:4434/request/PPIM18502D88" xr:uid="{53F3654B-F93B-4D15-954A-826A91B81CB0}"/>
    <hyperlink ref="K648" r:id="rId640" display="https://ppim-intra.pea.co.th:4434/request/PPIM18502897" xr:uid="{7CD7D84F-0606-48A6-9200-EB221C7B7FA0}"/>
    <hyperlink ref="K649" r:id="rId641" display="https://ppim-intra.pea.co.th:4434/request/PPIM18502D92" xr:uid="{799BF020-E3AE-48D2-8984-97F1AF44418A}"/>
    <hyperlink ref="K650" r:id="rId642" display="https://ppim-intra.pea.co.th:4434/request/PPIM18502404" xr:uid="{EFCB38F4-2FDB-4AE3-BBAC-3FF34D5FAB52}"/>
    <hyperlink ref="K651" r:id="rId643" display="https://ppim-intra.pea.co.th:4434/request/PPIM1850243C" xr:uid="{173872F9-FEA7-43AF-B039-94B1720F9344}"/>
    <hyperlink ref="K652" r:id="rId644" display="https://ppim-intra.pea.co.th:4434/request/PPIM18502DD0" xr:uid="{1EC899CF-FFB2-4F25-BBD4-02C93E30B17A}"/>
    <hyperlink ref="K653" r:id="rId645" display="https://ppim-intra.pea.co.th:4434/request/PPIM18502E11" xr:uid="{03DB8A1E-4D17-458B-9821-61686C32F11E}"/>
    <hyperlink ref="K654" r:id="rId646" display="https://ppim-intra.pea.co.th:4434/request/PPIM18502E33" xr:uid="{75EB34BC-4E94-4BF5-8F6A-039F9DD7D6FA}"/>
    <hyperlink ref="K655" r:id="rId647" display="https://ppim-intra.pea.co.th:4434/request/PPIM18502E3A" xr:uid="{05165CB7-305E-45F6-8BC1-72B1918138D4}"/>
    <hyperlink ref="K656" r:id="rId648" display="https://ppim-intra.pea.co.th:4434/request/PPIM18502EA9" xr:uid="{87235C15-6D7E-4F4D-AEA1-CE7D1AEEC2AA}"/>
    <hyperlink ref="K657" r:id="rId649" display="https://ppim-intra.pea.co.th:4434/request/PPIM185025D0" xr:uid="{FA72344D-F5F1-4B66-96D8-DB90FC41C59E}"/>
    <hyperlink ref="K658" r:id="rId650" display="https://ppim-intra.pea.co.th:4434/request/PPIM18500715" xr:uid="{B680194E-F60F-4463-B8B1-9EBE0AD9CC6D}"/>
    <hyperlink ref="K659" r:id="rId651" display="https://ppim-intra.pea.co.th:4434/request/PPIM18502ED6" xr:uid="{C1DC8750-E3BE-40D1-9F38-369E980A06A0}"/>
    <hyperlink ref="K660" r:id="rId652" display="https://ppim-intra.pea.co.th:4434/request/PPIM18502613" xr:uid="{12A3DAAC-3E3A-4ABF-8DBA-C26D6470F2FB}"/>
    <hyperlink ref="K661" r:id="rId653" display="https://ppim-intra.pea.co.th:4434/request/PPIM1850203F" xr:uid="{E063559E-EF7F-4619-843B-068767FB3A15}"/>
    <hyperlink ref="K662" r:id="rId654" display="https://ppim-intra.pea.co.th:4434/request/PPIM18502F41" xr:uid="{A8C7F943-3C51-46BA-93D8-ED80C100024B}"/>
    <hyperlink ref="K663" r:id="rId655" display="https://ppim-intra.pea.co.th:4434/request/PPIM18502F4E" xr:uid="{2F766A0B-6A10-4F3F-A85A-FF022F2EED91}"/>
    <hyperlink ref="K664" r:id="rId656" display="https://ppim-intra.pea.co.th:4434/request/PPIM18502F62" xr:uid="{D6EB8035-CC13-48AE-93E9-F7A0A5BAC1B4}"/>
    <hyperlink ref="K665" r:id="rId657" display="https://ppim-intra.pea.co.th:4434/request/PPIM18502F64" xr:uid="{8130A73E-3D9D-4B97-958F-B577B8927263}"/>
    <hyperlink ref="K666" r:id="rId658" display="https://ppim-intra.pea.co.th:4434/request/PPIM18502F8E" xr:uid="{4ABF5C1E-4B68-43FF-977E-24EAD9388E1F}"/>
    <hyperlink ref="K667" r:id="rId659" display="https://ppim-intra.pea.co.th:4434/request/PPIM18502F99" xr:uid="{95D6FCA4-8711-486E-B277-5A3D2907AB38}"/>
    <hyperlink ref="K668" r:id="rId660" display="https://ppim-intra.pea.co.th:4434/request/PPIM18502FBC" xr:uid="{1C23E7C7-DF04-439D-9CD3-5FBCD20FD4E5}"/>
    <hyperlink ref="K669" r:id="rId661" display="https://ppim-intra.pea.co.th:4434/request/PPIM18502FE6" xr:uid="{8D2CDD89-73AF-448B-9949-B4348FEF1096}"/>
    <hyperlink ref="K670" r:id="rId662" display="https://ppim-intra.pea.co.th:4434/request/PPIM18502FFB" xr:uid="{9E80ABA6-0A00-4850-B387-1CCA2FD1BC38}"/>
    <hyperlink ref="K671" r:id="rId663" display="https://ppim-intra.pea.co.th:4434/request/PPIM1850300D" xr:uid="{98DC9E44-EA7D-4400-95D1-598007689F46}"/>
    <hyperlink ref="K672" r:id="rId664" display="https://ppim-intra.pea.co.th:4434/request/PPIM185024CA" xr:uid="{2F65EBD0-8490-41C1-A9E3-D9A93CB9584C}"/>
    <hyperlink ref="K673" r:id="rId665" display="https://ppim-intra.pea.co.th:4434/request/PPIM18503017" xr:uid="{9F95D621-7931-4E24-AC73-A56411EE2D7F}"/>
    <hyperlink ref="K674" r:id="rId666" display="https://ppim-intra.pea.co.th:4434/request/PPIM1850302B" xr:uid="{BB096594-9B3F-4947-82AA-89DED245D07A}"/>
    <hyperlink ref="K675" r:id="rId667" display="https://ppim-intra.pea.co.th:4434/request/PPIM18503039" xr:uid="{FFC99E76-61C9-4295-A00C-AD5A531F3179}"/>
    <hyperlink ref="K676" r:id="rId668" display="https://ppim-intra.pea.co.th:4434/request/PPIM185013B4" xr:uid="{FFE1590F-BF69-4533-9274-DF6624532D25}"/>
    <hyperlink ref="K677" r:id="rId669" display="https://ppim-intra.pea.co.th:4434/request/PPIM1850304F" xr:uid="{E3ADA500-6998-4D89-A71D-0B12EDAC2DDC}"/>
    <hyperlink ref="K678" r:id="rId670" display="https://ppim-intra.pea.co.th:4434/request/PPIM1850305D" xr:uid="{57449BBC-9C08-458A-B666-D6304FE32288}"/>
    <hyperlink ref="K679" r:id="rId671" display="https://ppim-intra.pea.co.th:4434/request/PPIM18503066" xr:uid="{E7CEC788-4A29-472A-9E4D-E520CCF09876}"/>
    <hyperlink ref="K680" r:id="rId672" display="https://ppim-intra.pea.co.th:4434/request/PPIM1850308D" xr:uid="{04C7134F-7ECD-4B71-8346-397E6D17E9C4}"/>
    <hyperlink ref="K681" r:id="rId673" display="https://ppim-intra.pea.co.th:4434/request/PPIM18502000" xr:uid="{439CF3AF-8161-4B04-A64C-C4BA66AFF16B}"/>
    <hyperlink ref="K682" r:id="rId674" display="https://ppim-intra.pea.co.th:4434/request/PPIM185030DF" xr:uid="{8CE32870-0832-4EC5-BC23-6B08DB4FE3DE}"/>
    <hyperlink ref="K683" r:id="rId675" display="https://ppim-intra.pea.co.th:4434/request/PPIM185030E0" xr:uid="{437F8661-ECED-4D98-B2F3-BB19BBBC0DA3}"/>
    <hyperlink ref="K684" r:id="rId676" display="https://ppim-intra.pea.co.th:4434/request/PPIM18503100" xr:uid="{26637278-B56D-4C6D-951F-B414F9824A71}"/>
    <hyperlink ref="K685" r:id="rId677" display="https://ppim-intra.pea.co.th:4434/request/PPIM18503112" xr:uid="{76007974-3C5D-42A1-AC22-5250665EBE79}"/>
    <hyperlink ref="K686" r:id="rId678" display="https://ppim-intra.pea.co.th:4434/request/PPIM18503116" xr:uid="{5D35CD41-36F7-4A18-931A-064D748A4887}"/>
    <hyperlink ref="K687" r:id="rId679" display="https://ppim-intra.pea.co.th:4434/request/PPIM18503133" xr:uid="{A1008232-71E0-4C28-858E-BCCB915DE73D}"/>
    <hyperlink ref="K688" r:id="rId680" display="https://ppim-intra.pea.co.th:4434/request/PPIM18503148" xr:uid="{76347520-A224-474D-A4CF-32DC371F94FE}"/>
    <hyperlink ref="K689" r:id="rId681" display="https://ppim-intra.pea.co.th:4434/request/PPIM1850314C" xr:uid="{0BC8E6EB-1E10-4F31-BB17-FE82EA0B9548}"/>
    <hyperlink ref="K690" r:id="rId682" display="https://ppim-intra.pea.co.th:4434/request/PPIM18503167" xr:uid="{1B5E3DD6-C584-4546-875C-84A13D3C3847}"/>
    <hyperlink ref="K691" r:id="rId683" display="https://ppim-intra.pea.co.th:4434/request/PPIM1850316C" xr:uid="{EFE3C51B-F414-4D15-89BF-121CD1727B7D}"/>
    <hyperlink ref="K692" r:id="rId684" display="https://ppim-intra.pea.co.th:4434/request/PPIM18503172" xr:uid="{C3EB2323-34B9-452E-BEC6-7330E257FB3B}"/>
    <hyperlink ref="K693" r:id="rId685" display="https://ppim-intra.pea.co.th:4434/request/PPIM1850317D" xr:uid="{953FDFBB-68BD-4FE5-BD83-4B01D42FB6B1}"/>
    <hyperlink ref="K694" r:id="rId686" display="https://ppim-intra.pea.co.th:4434/request/PPIM18503183" xr:uid="{1707739D-A833-4078-B49E-CC8F6E1C6EDF}"/>
    <hyperlink ref="K695" r:id="rId687" display="https://ppim-intra.pea.co.th:4434/request/PPIM18503188" xr:uid="{BE8E866E-4A21-4E53-A3AE-F34AAEFF8FBF}"/>
    <hyperlink ref="K696" r:id="rId688" display="https://ppim-intra.pea.co.th:4434/request/PPIM1850318B" xr:uid="{51EF7F46-391F-4C22-8807-9FD121A064AF}"/>
    <hyperlink ref="K697" r:id="rId689" display="https://ppim-intra.pea.co.th:4434/request/PPIM1850318E" xr:uid="{780CE0A0-F161-4AB3-8180-7847AA08B76C}"/>
    <hyperlink ref="K698" r:id="rId690" display="https://ppim-intra.pea.co.th:4434/request/PPIM18500770" xr:uid="{F03E0363-86B1-4BC0-9BF9-91BAE5A26E63}"/>
    <hyperlink ref="K699" r:id="rId691" display="https://ppim-intra.pea.co.th:4434/request/PPIM18500772" xr:uid="{E99B99D4-AAE2-495A-80E8-2558515A3691}"/>
    <hyperlink ref="K700" r:id="rId692" display="https://ppim-intra.pea.co.th:4434/request/PPIM185031B5" xr:uid="{20DA64CB-28BC-466E-823A-E034AB1CC2EF}"/>
    <hyperlink ref="K702" r:id="rId693" display="https://ppim-intra.pea.co.th:4434/request/PPIM185031C1" xr:uid="{C200914D-4301-4397-9C29-8814C17B5C55}"/>
    <hyperlink ref="K703" r:id="rId694" display="https://ppim-intra.pea.co.th:4434/request/PPIM185031E0" xr:uid="{E56E6246-DEF1-4C26-84F2-07268C097B8B}"/>
    <hyperlink ref="K704" r:id="rId695" display="https://ppim-intra.pea.co.th:4434/request/PPIM18503225" xr:uid="{8C4C39DC-5909-40A6-9AE2-410127075193}"/>
    <hyperlink ref="K705" r:id="rId696" display="https://ppim-intra.pea.co.th:4434/request/PPIM1850322D" xr:uid="{7D0096E8-1007-410E-8094-C201B30131E9}"/>
    <hyperlink ref="K706" r:id="rId697" display="https://ppim-intra.pea.co.th:4434/request/PPIM18503266" xr:uid="{8F8692EA-0FA0-457D-A3F2-E395EEFEAE38}"/>
    <hyperlink ref="K707" r:id="rId698" display="https://ppim-intra.pea.co.th:4434/request/PPIM1850284D" xr:uid="{3435E3F6-21D5-4639-BF3C-58ED52A98EA6}"/>
    <hyperlink ref="K708" r:id="rId699" display="https://ppim-intra.pea.co.th:4434/request/PPIM1850327A" xr:uid="{1DC8760B-F13D-4475-9FEB-5792F349C00D}"/>
    <hyperlink ref="K709" r:id="rId700" display="https://ppim-intra.pea.co.th:4434/request/PPIM18503290" xr:uid="{E9CEE1B7-CE4D-420B-B8BC-0116061817F7}"/>
    <hyperlink ref="K710" r:id="rId701" display="https://ppim-intra.pea.co.th:4434/request/PPIM185032AB" xr:uid="{61A6CFE3-FD86-4F6F-874E-3CF4B2A1B84B}"/>
    <hyperlink ref="K711" r:id="rId702" display="https://ppim-intra.pea.co.th:4434/request/PPIM185032AD" xr:uid="{492FDC45-36EA-4333-A833-F05772337F1F}"/>
    <hyperlink ref="K712" r:id="rId703" display="https://ppim-intra.pea.co.th:4434/request/PPIM185032F4" xr:uid="{A5110811-7137-4AED-8B1A-D3EC25BDEB2D}"/>
    <hyperlink ref="K713" r:id="rId704" display="https://ppim-intra.pea.co.th:4434/request/PPIM18500488" xr:uid="{DB6623C6-C940-454B-8627-B215FB1B9DBC}"/>
    <hyperlink ref="K714" r:id="rId705" display="https://ppim-intra.pea.co.th:4434/request/PPIM18501CAA" xr:uid="{3E9934AA-7A58-4E85-B12D-2A4F78AAC726}"/>
    <hyperlink ref="K715" r:id="rId706" display="https://ppim-intra.pea.co.th:4434/request/PPIM18503325" xr:uid="{D3AD159A-9393-4FE3-B2C9-5FE920937D1C}"/>
    <hyperlink ref="K716" r:id="rId707" display="https://ppim-intra.pea.co.th:4434/request/PPIM18503328" xr:uid="{7686356A-C92F-4193-8B59-DA12C39F9154}"/>
    <hyperlink ref="K717" r:id="rId708" display="https://ppim-intra.pea.co.th:4434/request/PPIM18503332" xr:uid="{B73411D1-DBCD-40D4-A44F-77B6772F4789}"/>
    <hyperlink ref="K718" r:id="rId709" display="https://ppim-intra.pea.co.th:4434/request/PPIM1850337B" xr:uid="{F07A40A4-A493-466F-90E1-6F114C149194}"/>
    <hyperlink ref="K719" r:id="rId710" display="https://ppim-intra.pea.co.th:4434/request/PPIM1850338B" xr:uid="{41BD5832-8838-4BE5-A188-A0F79A220C3B}"/>
    <hyperlink ref="K720" r:id="rId711" display="https://ppim-intra.pea.co.th:4434/request/PPIM1850339B" xr:uid="{18476CB8-5C2E-4EDF-BE38-4BE42B304C6E}"/>
    <hyperlink ref="K721" r:id="rId712" display="https://ppim-intra.pea.co.th:4434/request/PPIM185033E5" xr:uid="{500BF701-3C0D-42B8-880B-340C3B7B4468}"/>
    <hyperlink ref="K722" r:id="rId713" display="https://ppim-intra.pea.co.th:4434/request/PPIM185033E9" xr:uid="{191E9071-3238-4B0F-92F3-1ED0A9B70EDA}"/>
    <hyperlink ref="K723" r:id="rId714" display="https://ppim-intra.pea.co.th:4434/request/PPIM18503410" xr:uid="{CBEE95E3-DC54-4A3B-975D-91B245C394A4}"/>
    <hyperlink ref="K724" r:id="rId715" display="https://ppim-intra.pea.co.th:4434/request/PPIM18503416" xr:uid="{0508B20E-0494-4F09-AC40-B702E608C819}"/>
    <hyperlink ref="K725" r:id="rId716" display="https://ppim-intra.pea.co.th:4434/request/PPIM18503425" xr:uid="{3E362F52-D363-425C-9797-78D9B7FD1E96}"/>
    <hyperlink ref="K726" r:id="rId717" display="https://ppim-intra.pea.co.th:4434/request/PPIM1850346F" xr:uid="{A912490F-0B80-4AF1-9007-9097D3171189}"/>
    <hyperlink ref="K727" r:id="rId718" display="https://ppim-intra.pea.co.th:4434/request/PPIM1850347E" xr:uid="{17A94B40-F36B-4B2D-9314-441F7CE44571}"/>
    <hyperlink ref="K728" r:id="rId719" display="https://ppim-intra.pea.co.th:4434/request/PPIM185034CA" xr:uid="{298D2A21-020B-425E-9FEC-DC2E38FDA77A}"/>
    <hyperlink ref="K729" r:id="rId720" display="https://ppim-intra.pea.co.th:4434/request/PPIM185034F0" xr:uid="{4031DEDD-6F74-456E-B28E-49AA7ACB0BD7}"/>
    <hyperlink ref="K730" r:id="rId721" display="https://ppim-intra.pea.co.th:4434/request/PPIM18503516" xr:uid="{E61D3336-8D07-4F2F-BD1B-BEB8443D7995}"/>
    <hyperlink ref="K731" r:id="rId722" display="https://ppim-intra.pea.co.th:4434/request/PPIM1850351C" xr:uid="{E5D63D4A-38D9-4A0E-99C2-24B86478CD3A}"/>
    <hyperlink ref="K732" r:id="rId723" display="https://ppim-intra.pea.co.th:4434/request/PPIM18502A83" xr:uid="{C810C0BF-C339-4D37-A3D4-B66B16AB763B}"/>
    <hyperlink ref="K733" r:id="rId724" display="https://ppim-intra.pea.co.th:4434/request/PPIM1850352D" xr:uid="{F1EF4A56-5954-434A-BE50-70EFA6A58384}"/>
    <hyperlink ref="K734" r:id="rId725" display="https://ppim-intra.pea.co.th:4434/request/PPIM18503551" xr:uid="{C405AF26-F30B-4A09-A16E-19C84030B7AE}"/>
    <hyperlink ref="K735" r:id="rId726" display="https://ppim-intra.pea.co.th:4434/request/PPIM185035C4" xr:uid="{5D4EFA3B-8D8C-41B3-99DB-157147E521AD}"/>
    <hyperlink ref="K736" r:id="rId727" display="https://ppim-intra.pea.co.th:4434/request/PPIM185035DD" xr:uid="{25B3B1BD-C611-4D0D-B41D-3DA7F87DFA0B}"/>
    <hyperlink ref="K737" r:id="rId728" display="https://ppim-intra.pea.co.th:4434/request/PPIM185035EC" xr:uid="{8687DDF9-EB81-4715-A65A-33548BBF10C8}"/>
    <hyperlink ref="K738" r:id="rId729" display="https://ppim-intra.pea.co.th:4434/request/PPIM185035F9" xr:uid="{A4359D88-9E55-4953-BC8F-20A89C7B0225}"/>
    <hyperlink ref="K739" r:id="rId730" display="https://ppim-intra.pea.co.th:4434/request/PPIM18503610" xr:uid="{DCECB561-50F1-439D-9737-1A9AB31AA6B7}"/>
    <hyperlink ref="K740" r:id="rId731" display="https://ppim-intra.pea.co.th:4434/request/PPIM18503611" xr:uid="{FCA9F6C9-0B0A-4277-A59D-5ED52FF79367}"/>
    <hyperlink ref="K741" r:id="rId732" display="https://ppim-intra.pea.co.th:4434/request/PPIM18503625" xr:uid="{F260B5B1-AE77-4765-ABD1-29A8C5415721}"/>
    <hyperlink ref="K742" r:id="rId733" display="https://ppim-intra.pea.co.th:4434/request/PPIM18503638" xr:uid="{D315DF47-1C7B-4086-AAB6-11D1561CB8E0}"/>
    <hyperlink ref="K743" r:id="rId734" display="https://ppim-intra.pea.co.th:4434/request/PPIM18503685" xr:uid="{757BB3A1-593D-483D-8A89-6E3FE46B11E1}"/>
    <hyperlink ref="K744" r:id="rId735" display="https://ppim-intra.pea.co.th:4434/request/PPIM18503692" xr:uid="{BB79F267-CA95-42D2-977A-DFD3F8941430}"/>
    <hyperlink ref="K745" r:id="rId736" display="https://ppim-intra.pea.co.th:4434/request/PPIM185036C4" xr:uid="{56C9631C-2DC7-47CE-8D5C-61CA4D222196}"/>
    <hyperlink ref="K746" r:id="rId737" display="https://ppim-intra.pea.co.th:4434/request/PPIM185036C5" xr:uid="{3DB0C2CD-68B3-4DE8-98DB-7C72EA175170}"/>
    <hyperlink ref="K747" r:id="rId738" display="https://ppim-intra.pea.co.th:4434/request/PPIM185036C7" xr:uid="{148725F7-FDF2-49A3-921B-446FEF786F2C}"/>
    <hyperlink ref="K748" r:id="rId739" display="https://ppim-intra.pea.co.th:4434/request/PPIM185036E2" xr:uid="{6215C7A3-B6BC-4C10-B0A8-C00E907985B7}"/>
    <hyperlink ref="K749" r:id="rId740" display="https://ppim-intra.pea.co.th:4434/request/PPIM185036F6" xr:uid="{D6D49545-EA8B-43C3-9EFA-81792E096B5C}"/>
    <hyperlink ref="K750" r:id="rId741" display="https://ppim-intra.pea.co.th:4434/request/PPIM1850371B" xr:uid="{94434168-9DE6-4C22-94A9-57E21420CC21}"/>
    <hyperlink ref="K751" r:id="rId742" display="https://ppim-intra.pea.co.th:4434/request/PPIM1850371D" xr:uid="{1D87AC05-BF13-401F-8DAE-E06AE64CD7E0}"/>
    <hyperlink ref="K752" r:id="rId743" display="https://ppim-intra.pea.co.th:4434/request/PPIM18503730" xr:uid="{48B38D37-4A7F-466A-AFBF-8DF17E6AE062}"/>
    <hyperlink ref="K753" r:id="rId744" display="https://ppim-intra.pea.co.th:4434/request/PPIM1850238F" xr:uid="{99528C80-82BF-43C9-A775-086F55BEFAC2}"/>
    <hyperlink ref="K754" r:id="rId745" display="https://ppim-intra.pea.co.th:4434/request/PPIM18502082" xr:uid="{C641FE4F-8BBE-4C1E-8213-7C7EC4839B1C}"/>
    <hyperlink ref="K755" r:id="rId746" display="https://ppim-intra.pea.co.th:4434/request/PPIM18503820" xr:uid="{D08CDB1F-196A-43C3-9A4F-895256077DA5}"/>
    <hyperlink ref="K756" r:id="rId747" display="https://ppim-intra.pea.co.th:4434/request/PPIM18502194" xr:uid="{6EE21E84-6956-4D93-81C6-E60D3B23A808}"/>
    <hyperlink ref="K757" r:id="rId748" display="https://ppim-intra.pea.co.th:4434/request/PPIM1850383C" xr:uid="{EECF9693-3CDD-4253-86B6-4EC5649E15E5}"/>
    <hyperlink ref="K758" r:id="rId749" display="https://ppim-intra.pea.co.th:4434/request/PPIM18502988" xr:uid="{6F3331FA-E071-4FAA-B58E-E27D8AD3BA91}"/>
    <hyperlink ref="K759" r:id="rId750" display="https://ppim-intra.pea.co.th:4434/request/PPIM1850384A" xr:uid="{50688CD5-F724-46FD-AFF6-3ADCE841A485}"/>
    <hyperlink ref="K760" r:id="rId751" display="https://ppim-intra.pea.co.th:4434/request/PPIM1850385D" xr:uid="{6E6615DE-35B0-4F3C-AA80-8C1EC18CE179}"/>
    <hyperlink ref="K761" r:id="rId752" display="https://ppim-intra.pea.co.th:4434/request/PPIM18503861" xr:uid="{B27BD8F9-5E6C-4A53-B058-79C45A2810B6}"/>
    <hyperlink ref="K762" r:id="rId753" display="https://ppim-intra.pea.co.th:4434/request/PPIM1850387A" xr:uid="{B2A0A45E-6924-45DD-BB7A-A2773841F223}"/>
    <hyperlink ref="K763" r:id="rId754" display="https://ppim-intra.pea.co.th:4434/request/PPIM185021EB" xr:uid="{38448A60-F259-4152-8210-D0A68FB13AFC}"/>
    <hyperlink ref="K764" r:id="rId755" display="https://ppim-intra.pea.co.th:4434/request/PPIM18503883" xr:uid="{2D7F4E97-2FEA-4B5A-9687-DF029DE2C6E6}"/>
    <hyperlink ref="K765" r:id="rId756" display="https://ppim-intra.pea.co.th:4434/request/PPIM18503886" xr:uid="{C08328CD-9EB0-45B4-834B-266FA2C22D5E}"/>
    <hyperlink ref="K766" r:id="rId757" display="https://ppim-intra.pea.co.th:4434/request/PPIM18502E76" xr:uid="{47A0C89A-10E6-4C84-96F8-F2ADC901F03E}"/>
    <hyperlink ref="K767" r:id="rId758" display="https://ppim-intra.pea.co.th:4434/request/PPIM185038A7" xr:uid="{B16E982F-329B-435F-8D55-CD5586B5B621}"/>
    <hyperlink ref="K768" r:id="rId759" display="https://ppim-intra.pea.co.th:4434/request/PPIM185038B3" xr:uid="{87500048-A814-4CC6-8042-C42026CF5FC7}"/>
    <hyperlink ref="K769" r:id="rId760" display="https://ppim-intra.pea.co.th:4434/request/PPIM18502509" xr:uid="{0D4728F8-890F-4B9B-85B1-A01147DCD0D5}"/>
    <hyperlink ref="K770" r:id="rId761" display="https://ppim-intra.pea.co.th:4434/request/PPIM185038DF" xr:uid="{E8F02DE4-D8D2-445F-A19F-4E8928C15942}"/>
    <hyperlink ref="K771" r:id="rId762" display="https://ppim-intra.pea.co.th:4434/request/PPIM18501F55" xr:uid="{705427EB-3D59-498A-BA70-EF14D6B8F80C}"/>
    <hyperlink ref="K772" r:id="rId763" display="https://ppim-intra.pea.co.th:4434/request/PPIM18503948" xr:uid="{6C8FA8E3-2D6C-4A1A-B20F-6FBEC0A12D44}"/>
    <hyperlink ref="K773" r:id="rId764" display="https://ppim-intra.pea.co.th:4434/request/PPIM1850394C" xr:uid="{2431201B-6A07-480F-A24C-B96B016A23FB}"/>
    <hyperlink ref="K774" r:id="rId765" display="https://ppim-intra.pea.co.th:4434/request/PPIM1850394D" xr:uid="{32E5E8FC-279D-4CD2-A020-99EDAEACB104}"/>
    <hyperlink ref="K775" r:id="rId766" display="https://ppim-intra.pea.co.th:4434/request/PPIM18503987" xr:uid="{8E685870-1471-4DF9-B899-FC145BA25D29}"/>
    <hyperlink ref="K776" r:id="rId767" display="https://ppim-intra.pea.co.th:4434/request/PPIM18503998" xr:uid="{B659411A-007C-42E7-812E-00CD98A2670F}"/>
    <hyperlink ref="K777" r:id="rId768" display="https://ppim-intra.pea.co.th:4434/request/PPIM185039E5" xr:uid="{01529668-9D6D-4BF9-9FB5-8A9165BA58BB}"/>
    <hyperlink ref="K778" r:id="rId769" display="https://ppim-intra.pea.co.th:4434/request/PPIM185039EA" xr:uid="{4A5A4867-7D5F-41D2-A4A1-7CC9166DB95E}"/>
    <hyperlink ref="K779" r:id="rId770" display="https://ppim-intra.pea.co.th:4434/request/PPIM18503A02" xr:uid="{040DD140-BC48-457E-A7E8-2051FFD56930}"/>
    <hyperlink ref="K780" r:id="rId771" display="https://ppim-intra.pea.co.th:4434/request/PPIM18503A21" xr:uid="{DD56F4DF-2447-4888-B92D-5A1CA3BBD258}"/>
    <hyperlink ref="K781" r:id="rId772" display="https://ppim-intra.pea.co.th:4434/request/PPIM18503A2D" xr:uid="{05147B2F-10D5-4E45-8300-61E14B4C4609}"/>
    <hyperlink ref="K782" r:id="rId773" display="https://ppim-intra.pea.co.th:4434/request/PPIM18503A31" xr:uid="{BEB7030C-1F00-4ECC-861B-EBFB4396554C}"/>
    <hyperlink ref="K783" r:id="rId774" display="https://ppim-intra.pea.co.th:4434/request/PPIM18503A41" xr:uid="{AAF00694-34D2-4F86-B62B-749741074EDC}"/>
    <hyperlink ref="K784" r:id="rId775" display="https://ppim-intra.pea.co.th:4434/request/PPIM18503A43" xr:uid="{79D086D6-F7F6-4369-930D-CA2DD9B12FC4}"/>
    <hyperlink ref="K785" r:id="rId776" display="https://ppim-intra.pea.co.th:4434/request/PPIM18503A4A" xr:uid="{858690A3-B994-42B2-B576-60CF171805E4}"/>
    <hyperlink ref="K786" r:id="rId777" display="https://ppim-intra.pea.co.th:4434/request/PPIM18503A68" xr:uid="{802CA488-CEEA-4678-9E2F-C7308EC8043A}"/>
    <hyperlink ref="K787" r:id="rId778" display="https://ppim-intra.pea.co.th:4434/request/PPIM18503A6B" xr:uid="{79D883D9-B189-42D2-985C-DEB252440541}"/>
    <hyperlink ref="K788" r:id="rId779" display="https://ppim-intra.pea.co.th:4434/request/PPIM18503A6D" xr:uid="{0642D8B0-0166-4096-8B03-14ECFD176829}"/>
    <hyperlink ref="K789" r:id="rId780" display="https://ppim-intra.pea.co.th:4434/request/PPIM18503A70" xr:uid="{213A2924-D29F-483B-9A14-E56C7E9A168E}"/>
    <hyperlink ref="K790" r:id="rId781" display="https://ppim-intra.pea.co.th:4434/request/PPIM18503A7B" xr:uid="{B53EE10F-8388-4A85-903D-B197EEA8FE94}"/>
    <hyperlink ref="K791" r:id="rId782" display="https://ppim-intra.pea.co.th:4434/request/PPIM18503A8E" xr:uid="{DBA5A90C-F51D-43C7-A308-738EAEA76014}"/>
    <hyperlink ref="K792" r:id="rId783" display="https://ppim-intra.pea.co.th:4434/request/PPIM18503A91" xr:uid="{C22D4022-5A41-440D-8F31-A9C1E6B68C5F}"/>
    <hyperlink ref="K793" r:id="rId784" display="https://ppim-intra.pea.co.th:4434/request/PPIM18503A98" xr:uid="{C1ADB155-5232-41EF-8012-CC0E86B5DAC0}"/>
    <hyperlink ref="K794" r:id="rId785" display="https://ppim-intra.pea.co.th:4434/request/PPIM18502A24" xr:uid="{7AF7201E-313C-4404-AB6A-F51655FFC352}"/>
    <hyperlink ref="K795" r:id="rId786" display="https://ppim-intra.pea.co.th:4434/request/PPIM18503A9B" xr:uid="{FBB6DABE-7E66-4EC3-A267-29A1C59D007E}"/>
    <hyperlink ref="K796" r:id="rId787" display="https://ppim-intra.pea.co.th:4434/request/PPIM18503AB6" xr:uid="{13892517-17F3-4A48-B4C9-57AE8AD7F2E6}"/>
    <hyperlink ref="K797" r:id="rId788" display="https://ppim-intra.pea.co.th:4434/request/PPIM18503B11" xr:uid="{46271DB2-C84E-496F-8720-FCD9ABD092D2}"/>
    <hyperlink ref="K798" r:id="rId789" display="https://ppim-intra.pea.co.th:4434/request/PPIM18503B25" xr:uid="{15C3187E-8E3D-4C9E-95DD-14DC2426197A}"/>
    <hyperlink ref="K799" r:id="rId790" display="https://ppim-intra.pea.co.th:4434/request/PPIM18503B7A" xr:uid="{4E7291A0-FC6B-4223-ACA9-439826C9B97F}"/>
    <hyperlink ref="K800" r:id="rId791" display="https://ppim-intra.pea.co.th:4434/request/PPIM18503B9A" xr:uid="{E656486D-327B-41E1-B2BD-948DE20295FE}"/>
    <hyperlink ref="K802" r:id="rId792" display="https://ppim-intra.pea.co.th:4434/request/PPIM18503BB9" xr:uid="{0A7E217B-99B8-436D-9E72-2105F3CE5CC9}"/>
    <hyperlink ref="K803" r:id="rId793" display="https://ppim-intra.pea.co.th:4434/request/PPIM18503BBC" xr:uid="{F391A90D-7E79-4357-A7BA-1569E235439D}"/>
    <hyperlink ref="K804" r:id="rId794" display="https://ppim-intra.pea.co.th:4434/request/PPIM18503BCA" xr:uid="{A29E2AB6-0B93-46ED-B45E-C35263C49FE8}"/>
    <hyperlink ref="K805" r:id="rId795" display="https://ppim-intra.pea.co.th:4434/request/PPIM18503BCF" xr:uid="{B3E4727D-31CD-4AC7-90FD-51075D598B32}"/>
    <hyperlink ref="K806" r:id="rId796" display="https://ppim-intra.pea.co.th:4434/request/PPIM18503C00" xr:uid="{3AF7E147-CDD6-4C35-9BC7-1CCACA5FBB57}"/>
    <hyperlink ref="K807" r:id="rId797" display="https://ppim-intra.pea.co.th:4434/request/PPIM18503C0A" xr:uid="{2F1D61D6-4202-405E-AD33-C07E37A1EB5D}"/>
    <hyperlink ref="K808" r:id="rId798" display="https://ppim-intra.pea.co.th:4434/request/PPIM18503C13" xr:uid="{84CB250A-D03D-49B9-9809-6D3348E44F51}"/>
    <hyperlink ref="K809" r:id="rId799" display="https://ppim-intra.pea.co.th:4434/request/PPIM18503C1E" xr:uid="{C6B8E70A-AD7E-4545-84AC-85A1D6851F17}"/>
    <hyperlink ref="K810" r:id="rId800" display="https://ppim-intra.pea.co.th:4434/request/PPIM18503C25" xr:uid="{194B5E5E-8C6F-44EB-A0CF-A5C635C68386}"/>
    <hyperlink ref="K811" r:id="rId801" display="https://ppim-intra.pea.co.th:4434/request/PPIM18503C49" xr:uid="{78D07DC6-04F7-4B66-BB08-236E0E561106}"/>
    <hyperlink ref="K812" r:id="rId802" display="https://ppim-intra.pea.co.th:4434/request/PPIM18503C57" xr:uid="{BDDA5ABA-F8CC-4C0E-9546-BA6E62B5903E}"/>
    <hyperlink ref="K813" r:id="rId803" display="https://ppim-intra.pea.co.th:4434/request/PPIM18503C74" xr:uid="{16E7378F-6985-4BA5-979B-584F6E6954C1}"/>
    <hyperlink ref="K814" r:id="rId804" display="https://ppim-intra.pea.co.th:4434/request/PPIM18503C84" xr:uid="{670F8FA6-CB8F-49DD-872D-AC4F97BE2156}"/>
    <hyperlink ref="K815" r:id="rId805" display="https://ppim-intra.pea.co.th:4434/request/PPIM18503C8D" xr:uid="{46008E50-153F-4378-A6B5-0EEBB7C77468}"/>
    <hyperlink ref="K816" r:id="rId806" display="https://ppim-intra.pea.co.th:4434/request/PPIM18503C8F" xr:uid="{BA7C0F89-B9E2-45CC-B9B8-A8F15B9479E5}"/>
    <hyperlink ref="K817" r:id="rId807" display="https://ppim-intra.pea.co.th:4434/request/PPIM18503C92" xr:uid="{E6A3B121-5CC1-4D9C-8865-3F3DDA19E28A}"/>
    <hyperlink ref="K818" r:id="rId808" display="https://ppim-intra.pea.co.th:4434/request/PPIM18503CF6" xr:uid="{09F257B0-D00C-47DA-BF00-4A70BB98C5D2}"/>
    <hyperlink ref="K819" r:id="rId809" display="https://ppim-intra.pea.co.th:4434/request/PPIM18503D38" xr:uid="{9930178F-68B9-478E-AA97-244DDAC46407}"/>
    <hyperlink ref="K820" r:id="rId810" display="https://ppim-intra.pea.co.th:4434/request/PPIM18503D47" xr:uid="{87C9A632-A7B3-4587-BEF6-0999C7C27BE5}"/>
    <hyperlink ref="K821" r:id="rId811" display="https://ppim-intra.pea.co.th:4434/request/PPIM18503DB3" xr:uid="{6C926797-16FD-4353-9DB1-EADF3952D1D8}"/>
    <hyperlink ref="K822" r:id="rId812" display="https://ppim-intra.pea.co.th:4434/request/PPIM18502C65" xr:uid="{74CE675E-A9D8-4913-B632-8B8BC58DB844}"/>
    <hyperlink ref="K823" r:id="rId813" display="https://ppim-intra.pea.co.th:4434/request/PPIM18503DC2" xr:uid="{6EE7D6F0-A5B5-4AA8-A950-3E62955D57EE}"/>
    <hyperlink ref="K824" r:id="rId814" display="https://ppim-intra.pea.co.th:4434/request/PPIM18503DD6" xr:uid="{EC640DFD-5D11-400A-9240-D0C82E69CB7E}"/>
    <hyperlink ref="K825" r:id="rId815" display="https://ppim-intra.pea.co.th:4434/request/PPIM18503DDE" xr:uid="{D723FD8C-3E86-480C-A83E-0DFBBD2D7F67}"/>
    <hyperlink ref="K826" r:id="rId816" display="https://ppim-intra.pea.co.th:4434/request/PPIM18503DE4" xr:uid="{E83B964A-B4D8-4609-8828-A61BC02DAB42}"/>
    <hyperlink ref="K827" r:id="rId817" display="https://ppim-intra.pea.co.th:4434/request/PPIM18503DF2" xr:uid="{79FA5A90-243D-4B87-8676-EDA83B28410F}"/>
    <hyperlink ref="K828" r:id="rId818" display="https://ppim-intra.pea.co.th:4434/request/PPIM18503DFB" xr:uid="{4AFE10F5-D270-4BB6-AAF1-E1A130966E0A}"/>
    <hyperlink ref="K829" r:id="rId819" display="https://ppim-intra.pea.co.th:4434/request/PPIM18503E1A" xr:uid="{64BAC322-ABE1-4CBD-8C02-B53A25C892E1}"/>
    <hyperlink ref="K830" r:id="rId820" display="https://ppim-intra.pea.co.th:4434/request/PPIM18503E1B" xr:uid="{6BC2A282-333D-44EA-A959-B34F87E0554D}"/>
    <hyperlink ref="K831" r:id="rId821" display="https://ppim-intra.pea.co.th:4434/request/PPIM18503E47" xr:uid="{BB79EDDD-6286-4D2D-9D79-AAFF67B1AC88}"/>
    <hyperlink ref="K832" r:id="rId822" display="https://ppim-intra.pea.co.th:4434/request/PPIM18503E65" xr:uid="{DE7B54AF-3C09-45C4-990E-D7DEEEF29D24}"/>
    <hyperlink ref="K833" r:id="rId823" display="https://ppim-intra.pea.co.th:4434/request/PPIM18503E7C" xr:uid="{A73B5CDC-688B-4D36-B509-6CDC305BC6C4}"/>
    <hyperlink ref="K834" r:id="rId824" display="https://ppim-intra.pea.co.th:4434/request/PPIM18503EAA" xr:uid="{2E138543-1465-4814-A0F7-85668BAAC58D}"/>
    <hyperlink ref="K835" r:id="rId825" display="https://ppim-intra.pea.co.th:4434/request/PPIM18503EB9" xr:uid="{9E2455EF-C53B-4943-89B7-23ED012BC7CD}"/>
    <hyperlink ref="K836" r:id="rId826" display="https://ppim-intra.pea.co.th:4434/request/PPIM18503EBB" xr:uid="{DF47E6E1-FFDA-42ED-BE25-B9ADF5053AFA}"/>
    <hyperlink ref="K837" r:id="rId827" display="https://ppim-intra.pea.co.th:4434/request/PPIM18503ED2" xr:uid="{B8FA69EB-3EDF-4B59-86D2-F49F1156520D}"/>
    <hyperlink ref="K838" r:id="rId828" display="https://ppim-intra.pea.co.th:4434/request/PPIM18503F01" xr:uid="{665B43AE-3CFD-4F84-9B6B-1FE73B5F18B5}"/>
    <hyperlink ref="K839" r:id="rId829" display="https://ppim-intra.pea.co.th:4434/request/PPIM18503F05" xr:uid="{FD5118EF-A2A9-44C1-8F90-100F53C35AA0}"/>
    <hyperlink ref="K840" r:id="rId830" display="https://ppim-intra.pea.co.th:4434/request/PPIM18503F5D" xr:uid="{27C2B39F-B8F0-4B63-AA89-935540C9D55D}"/>
    <hyperlink ref="K841" r:id="rId831" display="https://ppim-intra.pea.co.th:4434/request/PPIM18503FB6" xr:uid="{0BE40852-D6B5-422E-830A-D238084FF769}"/>
    <hyperlink ref="K842" r:id="rId832" display="https://ppim-intra.pea.co.th:4434/request/PPIM18503FDA" xr:uid="{A25362BC-0205-499A-882A-611928F461D0}"/>
    <hyperlink ref="K843" r:id="rId833" display="https://ppim-intra.pea.co.th:4434/request/PPIM18503FE6" xr:uid="{81506418-018B-4B06-972E-A4A3B909E36B}"/>
    <hyperlink ref="K844" r:id="rId834" display="https://ppim-intra.pea.co.th:4434/request/PPIM18503FF1" xr:uid="{25F3EB43-A893-44A6-919E-EEB392F9C1B8}"/>
    <hyperlink ref="K845" r:id="rId835" display="https://ppim-intra.pea.co.th:4434/request/PPIM18504019" xr:uid="{955A5883-FE9A-46AC-8085-7623DFD086C7}"/>
    <hyperlink ref="K846" r:id="rId836" display="https://ppim-intra.pea.co.th:4434/request/PPIM1850401B" xr:uid="{17334783-E0AE-4539-BEA3-E8E488ACFA04}"/>
    <hyperlink ref="K847" r:id="rId837" display="https://ppim-intra.pea.co.th:4434/request/PPIM1850403D" xr:uid="{31FAEB39-393E-4B84-8C2A-B0271CD77553}"/>
    <hyperlink ref="K848" r:id="rId838" display="https://ppim-intra.pea.co.th:4434/request/PPIM18504073" xr:uid="{7A8B3317-4D0A-4C93-8AFF-EF0FFE013DC4}"/>
    <hyperlink ref="K849" r:id="rId839" display="https://ppim-intra.pea.co.th:4434/request/PPIM185040C9" xr:uid="{5BFFF611-35E3-4D05-8211-56F8BFECA582}"/>
    <hyperlink ref="K850" r:id="rId840" display="https://ppim-intra.pea.co.th:4434/request/PPIM185040FE" xr:uid="{5DBFE3EF-7FC5-41BB-A033-F38BCAB4CEFC}"/>
    <hyperlink ref="K851" r:id="rId841" display="https://ppim-intra.pea.co.th:4434/request/PPIM18502C7F" xr:uid="{1C489626-E710-4829-8EF9-75CAE4F603A3}"/>
    <hyperlink ref="K852" r:id="rId842" display="https://ppim-intra.pea.co.th:4434/request/PPIM18504130" xr:uid="{D02FF073-ADB0-4633-A108-34F0D7AA7EF1}"/>
    <hyperlink ref="K853" r:id="rId843" display="https://ppim-intra.pea.co.th:4434/request/PPIM185025D5" xr:uid="{5C26F7DA-2B84-4506-A3F8-C9AE5B49D590}"/>
    <hyperlink ref="K854" r:id="rId844" display="https://ppim-intra.pea.co.th:4434/request/PPIM18504138" xr:uid="{7ECE1E83-ACF7-404C-8DE7-7C2AC9F73F27}"/>
    <hyperlink ref="K855" r:id="rId845" display="https://ppim-intra.pea.co.th:4434/request/PPIM18502378" xr:uid="{91226E74-6F8A-481C-9674-6CFD2933AE58}"/>
    <hyperlink ref="K856" r:id="rId846" display="https://ppim-intra.pea.co.th:4434/request/PPIM1850417F" xr:uid="{D1C523AE-55B5-470B-B813-AE67372B752F}"/>
    <hyperlink ref="K857" r:id="rId847" display="https://ppim-intra.pea.co.th:4434/request/PPIM185041AE" xr:uid="{C0CCC5E9-210B-4503-B787-5DE78F3B2DB0}"/>
    <hyperlink ref="K858" r:id="rId848" display="https://ppim-intra.pea.co.th:4434/request/PPIM18501CDD" xr:uid="{E6989A8F-20BF-4F53-83AE-0B0C650CE786}"/>
    <hyperlink ref="K859" r:id="rId849" display="https://ppim-intra.pea.co.th:4434/request/PPIM18501955" xr:uid="{4D2C7C6D-D0FC-4008-B5AA-7088A6358544}"/>
    <hyperlink ref="K860" r:id="rId850" display="https://ppim-intra.pea.co.th:4434/request/PPIM185041C9" xr:uid="{4A1F759E-B42F-440F-AAF5-4948D0B05045}"/>
    <hyperlink ref="K861" r:id="rId851" display="https://ppim-intra.pea.co.th:4434/request/PPIM185041F5" xr:uid="{5F245391-1865-40B3-A2B5-B385380240FB}"/>
    <hyperlink ref="K862" r:id="rId852" display="https://ppim-intra.pea.co.th:4434/request/PPIM18504204" xr:uid="{7C239F41-B4C3-4A2A-825C-08210FF3615A}"/>
    <hyperlink ref="K863" r:id="rId853" display="https://ppim-intra.pea.co.th:4434/request/PPIM18504215" xr:uid="{E0A54D2F-C836-4135-B447-FBCB2BA54CE0}"/>
    <hyperlink ref="K864" r:id="rId854" display="https://ppim-intra.pea.co.th:4434/request/PPIM18500965" xr:uid="{B0808FF9-D3ED-4005-8FE4-7F82CEE3E37D}"/>
    <hyperlink ref="K865" r:id="rId855" display="https://ppim-intra.pea.co.th:4434/request/PPIM1850423C" xr:uid="{DF4F839C-C97B-46A4-9B90-C31D4909778B}"/>
    <hyperlink ref="K866" r:id="rId856" display="https://ppim-intra.pea.co.th:4434/request/PPIM185023D4" xr:uid="{B57938E9-8949-417E-ABDE-5565060A9BD4}"/>
    <hyperlink ref="K867" r:id="rId857" display="https://ppim-intra.pea.co.th:4434/request/PPIM18504249" xr:uid="{6A30D0AC-D285-4EF4-9184-AEF7C29E18B2}"/>
    <hyperlink ref="K868" r:id="rId858" display="https://ppim-intra.pea.co.th:4434/request/PPIM185012F4" xr:uid="{64C74BA9-1068-4761-9DFE-D3C86A68B016}"/>
    <hyperlink ref="K869" r:id="rId859" display="https://ppim-intra.pea.co.th:4434/request/PPIM18502923" xr:uid="{BAA9EEE4-B5FB-442A-912D-783A54ACDEE9}"/>
    <hyperlink ref="K870" r:id="rId860" display="https://ppim-intra.pea.co.th:4434/request/PPIM18504255" xr:uid="{12292DC2-450B-4BB9-9A59-7F7A32D0C561}"/>
    <hyperlink ref="K871" r:id="rId861" display="https://ppim-intra.pea.co.th:4434/request/PPIM185028B1" xr:uid="{A67718E8-50C3-41C6-B606-707531D783A0}"/>
    <hyperlink ref="K872" r:id="rId862" display="https://ppim-intra.pea.co.th:4434/request/PPIM18504265" xr:uid="{3C14B0D1-AADC-41C3-AB7C-146D75E230B7}"/>
    <hyperlink ref="K873" r:id="rId863" display="https://ppim-intra.pea.co.th:4434/request/PPIM1850426A" xr:uid="{7F3175F8-36BA-4F3E-BE52-DE2A155738EE}"/>
    <hyperlink ref="K874" r:id="rId864" display="https://ppim-intra.pea.co.th:4434/request/PPIM18504273" xr:uid="{90817554-CB74-4F69-BC00-67B5AEFC5791}"/>
    <hyperlink ref="K875" r:id="rId865" display="https://ppim-intra.pea.co.th:4434/request/PPIM18501F86" xr:uid="{90FD9346-A47F-4A6D-BC66-87076D904500}"/>
    <hyperlink ref="K876" r:id="rId866" display="https://ppim-intra.pea.co.th:4434/request/PPIM18500B22" xr:uid="{D1C8765D-8262-418B-94B9-7DF0FF0CCB98}"/>
    <hyperlink ref="K877" r:id="rId867" display="https://ppim-intra.pea.co.th:4434/request/PPIM18501CE4" xr:uid="{45045A58-FE76-4F08-AE6E-B388B0F16FC6}"/>
    <hyperlink ref="K878" r:id="rId868" display="https://ppim-intra.pea.co.th:4434/request/PPIM185042CC" xr:uid="{30F7C374-7104-41E8-A442-FDBBAC5CF666}"/>
    <hyperlink ref="K879" r:id="rId869" display="https://ppim-intra.pea.co.th:4434/request/PPIM18500A3E" xr:uid="{5C47B4FE-A702-4CEE-B792-13E7BEA456BD}"/>
    <hyperlink ref="K880" r:id="rId870" display="https://ppim-intra.pea.co.th:4434/request/PPIM185042D9" xr:uid="{28D025A2-B677-45B1-83E7-7EB7AF07C466}"/>
    <hyperlink ref="K881" r:id="rId871" display="https://ppim-intra.pea.co.th:4434/request/PPIM185020A2" xr:uid="{98AF80AD-BEB8-48EE-8AB7-D246A4CCD68D}"/>
    <hyperlink ref="K882" r:id="rId872" display="https://ppim-intra.pea.co.th:4434/request/PPIM185042F9" xr:uid="{DEA833EC-BEF3-4869-A82C-AE68DCCC116D}"/>
    <hyperlink ref="K883" r:id="rId873" display="https://ppim-intra.pea.co.th:4434/request/PPIM18502352" xr:uid="{3C33BBE9-5CE9-47A3-BC0F-40C45E31E637}"/>
    <hyperlink ref="K884" r:id="rId874" display="https://ppim-intra.pea.co.th:4434/request/PPIM18504314" xr:uid="{6A1AEE0C-6A23-462F-9FE7-94A2E61DE7D7}"/>
    <hyperlink ref="K885" r:id="rId875" display="https://ppim-intra.pea.co.th:4434/request/PPIM18502C86" xr:uid="{1F0A700E-0252-47B2-A3E5-5A67ADCFD83B}"/>
    <hyperlink ref="K886" r:id="rId876" display="https://ppim-intra.pea.co.th:4434/request/PPIM18504333" xr:uid="{522B7504-4A28-482E-BAE7-068040D2835A}"/>
    <hyperlink ref="K887" r:id="rId877" display="https://ppim-intra.pea.co.th:4434/request/PPIM18504337" xr:uid="{A99A6FFB-C88B-4A18-A369-70BCC37F4664}"/>
    <hyperlink ref="K888" r:id="rId878" display="https://ppim-intra.pea.co.th:4434/request/PPIM1850436C" xr:uid="{F8DF65D8-3145-49B6-8DD2-DBF8C5B130CA}"/>
    <hyperlink ref="K889" r:id="rId879" display="https://ppim-intra.pea.co.th:4434/request/PPIM185025BD" xr:uid="{A74E0082-5B8E-4004-99A2-A402B32E85B8}"/>
    <hyperlink ref="K890" r:id="rId880" display="https://ppim-intra.pea.co.th:4434/request/PPIM18504375" xr:uid="{652365D1-C2D2-447D-97A3-E1D3C8C8FE14}"/>
    <hyperlink ref="K891" r:id="rId881" display="https://ppim-intra.pea.co.th:4434/request/PPIM1850437A" xr:uid="{B7C9327B-802D-41A8-82FB-6EBDC921B8F1}"/>
    <hyperlink ref="K892" r:id="rId882" display="https://ppim-intra.pea.co.th:4434/request/PPIM18504384" xr:uid="{93B019D4-7E99-4DC2-AC39-D9C5169E4949}"/>
    <hyperlink ref="K893" r:id="rId883" display="https://ppim-intra.pea.co.th:4434/request/PPIM185043C5" xr:uid="{1F09F86E-A70D-4D40-BE1D-F34F2D3D26EF}"/>
    <hyperlink ref="K894" r:id="rId884" display="https://ppim-intra.pea.co.th:4434/request/PPIM185043DB" xr:uid="{7DE8EAD7-1289-48C0-955F-F59F465EB229}"/>
    <hyperlink ref="K895" r:id="rId885" display="https://ppim-intra.pea.co.th:4434/request/PPIM18501A89" xr:uid="{EA51983D-2F33-4435-A009-CA7C7EEC1205}"/>
    <hyperlink ref="K896" r:id="rId886" display="https://ppim-intra.pea.co.th:4434/request/PPIM185043DD" xr:uid="{126DA02D-DB4C-4D4A-8FAC-C5C33ABF2399}"/>
    <hyperlink ref="K897" r:id="rId887" display="https://ppim-intra.pea.co.th:4434/request/PPIM18502C08" xr:uid="{DD7D0255-D50C-4D6C-943E-1A89C2383E62}"/>
    <hyperlink ref="K898" r:id="rId888" display="https://ppim-intra.pea.co.th:4434/request/PPIM1850440B" xr:uid="{D316281D-202D-4FFA-8088-B3123B11DC9E}"/>
    <hyperlink ref="K899" r:id="rId889" display="https://ppim-intra.pea.co.th:4434/request/PPIM18504414" xr:uid="{283B869C-9946-4ABC-9633-859BA19BDF19}"/>
    <hyperlink ref="K900" r:id="rId890" display="https://ppim-intra.pea.co.th:4434/request/PPIM18504417" xr:uid="{C16022E7-403D-4B16-B8DC-A295F3EBBEC8}"/>
    <hyperlink ref="K902" r:id="rId891" display="https://ppim-intra.pea.co.th:4434/request/PPIM18504420" xr:uid="{022D7623-1C3D-4596-B272-48C70AFA8A3C}"/>
    <hyperlink ref="K903" r:id="rId892" display="https://ppim-intra.pea.co.th:4434/request/PPIM18504422" xr:uid="{98007517-FE1F-4E6D-AC25-D8EEBF228347}"/>
    <hyperlink ref="K904" r:id="rId893" display="https://ppim-intra.pea.co.th:4434/request/PPIM18504426" xr:uid="{6512C4F9-1880-49EC-AD55-11638A09F060}"/>
    <hyperlink ref="K905" r:id="rId894" display="https://ppim-intra.pea.co.th:4434/request/PPIM18501B20" xr:uid="{02059951-2A0B-476B-B08D-8898DF9BE7A5}"/>
    <hyperlink ref="K906" r:id="rId895" display="https://ppim-intra.pea.co.th:4434/request/PPIM18504489" xr:uid="{D9152EA5-AF43-4036-9D5B-5E34B685816E}"/>
    <hyperlink ref="K907" r:id="rId896" display="https://ppim-intra.pea.co.th:4434/request/PPIM185026CB" xr:uid="{B38076D3-6178-4933-B790-1E13F5F7C928}"/>
    <hyperlink ref="K908" r:id="rId897" display="https://ppim-intra.pea.co.th:4434/request/PPIM185044DB" xr:uid="{E6F8121E-23FC-4E0B-AB54-DD08ACA646E9}"/>
    <hyperlink ref="K909" r:id="rId898" display="https://ppim-intra.pea.co.th:4434/request/PPIM185044E1" xr:uid="{7F1D71B1-488B-4797-A1CD-A0899F192787}"/>
    <hyperlink ref="K910" r:id="rId899" display="https://ppim-intra.pea.co.th:4434/request/PPIM185044E2" xr:uid="{4E223EE7-25DA-4A1C-AE46-72E3E274DE58}"/>
    <hyperlink ref="K911" r:id="rId900" display="https://ppim-intra.pea.co.th:4434/request/PPIM185044E7" xr:uid="{A49D4545-14AF-4F74-92C0-2E4A3E3197DC}"/>
    <hyperlink ref="K912" r:id="rId901" display="https://ppim-intra.pea.co.th:4434/request/PPIM18504507" xr:uid="{32311C96-1D64-4ECC-AA26-4B6265435703}"/>
    <hyperlink ref="K913" r:id="rId902" display="https://ppim-intra.pea.co.th:4434/request/PPIM1850450B" xr:uid="{58CB2735-A6E7-4C90-B1DD-31D05000FC03}"/>
    <hyperlink ref="K914" r:id="rId903" display="https://ppim-intra.pea.co.th:4434/request/PPIM185023DE" xr:uid="{F02B31CE-5DD2-400C-B6A0-28BB74DB1BD6}"/>
    <hyperlink ref="K915" r:id="rId904" display="https://ppim-intra.pea.co.th:4434/request/PPIM18504530" xr:uid="{90A7FA5D-2D4B-4EB4-B0DE-9E4E02CCF5A7}"/>
    <hyperlink ref="K916" r:id="rId905" display="https://ppim-intra.pea.co.th:4434/request/PPIM18501E6A" xr:uid="{402E9A90-9FD0-430A-90C1-7D67342F55C2}"/>
    <hyperlink ref="K917" r:id="rId906" display="https://ppim-intra.pea.co.th:4434/request/PPIM185005FC" xr:uid="{0D79FD16-E780-4493-981A-C78D929AB69D}"/>
    <hyperlink ref="K918" r:id="rId907" display="https://ppim-intra.pea.co.th:4434/request/PPIM1850456C" xr:uid="{86AB16C4-C526-4E10-82E5-CC63F2031FC7}"/>
    <hyperlink ref="K919" r:id="rId908" display="https://ppim-intra.pea.co.th:4434/request/PPIM1850457B" xr:uid="{89CCFB11-D597-439F-9907-D9E6B96408C0}"/>
    <hyperlink ref="K920" r:id="rId909" display="https://ppim-intra.pea.co.th:4434/request/PPIM185045A0" xr:uid="{B89D226C-659E-4615-B3F5-89C410A241A0}"/>
    <hyperlink ref="K921" r:id="rId910" display="https://ppim-intra.pea.co.th:4434/request/PPIM185045B3" xr:uid="{CCD1E0CF-97DB-4FCC-8D69-692DEBD975A8}"/>
    <hyperlink ref="K922" r:id="rId911" display="https://ppim-intra.pea.co.th:4434/request/PPIM185045B7" xr:uid="{09090A00-4E58-4E1B-8533-3723F927E3EA}"/>
    <hyperlink ref="K923" r:id="rId912" display="https://ppim-intra.pea.co.th:4434/request/PPIM185045C0" xr:uid="{D2EFC770-EF99-4481-8E37-03CFC3CB9645}"/>
    <hyperlink ref="K924" r:id="rId913" display="https://ppim-intra.pea.co.th:4434/request/PPIM185045D0" xr:uid="{CA489D48-3C5E-40C9-B297-CD36C9F6026A}"/>
    <hyperlink ref="K925" r:id="rId914" display="https://ppim-intra.pea.co.th:4434/request/PPIM185045D4" xr:uid="{A79240F3-4E9F-4A3C-8958-5473CEF04676}"/>
    <hyperlink ref="K926" r:id="rId915" display="https://ppim-intra.pea.co.th:4434/request/PPIM185045D5" xr:uid="{D90F861C-4C3D-4FC3-BAEF-20FA633469B0}"/>
    <hyperlink ref="K927" r:id="rId916" display="https://ppim-intra.pea.co.th:4434/request/PPIM185045DC" xr:uid="{9839A5ED-B4A2-4F09-94B8-99A960CB3339}"/>
    <hyperlink ref="K928" r:id="rId917" display="https://ppim-intra.pea.co.th:4434/request/PPIM185045EB" xr:uid="{BB844A4E-0E2D-48D4-8784-C4643E62FA32}"/>
    <hyperlink ref="K929" r:id="rId918" display="https://ppim-intra.pea.co.th:4434/request/PPIM18504602" xr:uid="{02216E5C-1FCD-4CCF-A9B3-8E7F391A1367}"/>
    <hyperlink ref="K930" r:id="rId919" display="https://ppim-intra.pea.co.th:4434/request/PPIM18504604" xr:uid="{2282FF3C-D345-4788-86CC-34343A258C30}"/>
    <hyperlink ref="K931" r:id="rId920" display="https://ppim-intra.pea.co.th:4434/request/PPIM18504618" xr:uid="{77202475-43D0-43BA-9BBA-F5AFC22F48B5}"/>
    <hyperlink ref="K932" r:id="rId921" display="https://ppim-intra.pea.co.th:4434/request/PPIM1850462D" xr:uid="{46DA9DA2-2EE5-4615-934C-0BDAFDE2DF56}"/>
    <hyperlink ref="K933" r:id="rId922" display="https://ppim-intra.pea.co.th:4434/request/PPIM1850462F" xr:uid="{A8F50455-1D11-4588-98D4-93F7BF2B3C76}"/>
    <hyperlink ref="K934" r:id="rId923" display="https://ppim-intra.pea.co.th:4434/request/PPIM1850464D" xr:uid="{7EFD182F-A3C8-4725-A77B-F6ADAEC96A8F}"/>
    <hyperlink ref="K935" r:id="rId924" display="https://ppim-intra.pea.co.th:4434/request/PPIM185046A1" xr:uid="{00ECAC93-349A-4D58-AC46-ED5087C0068E}"/>
    <hyperlink ref="K936" r:id="rId925" display="https://ppim-intra.pea.co.th:4434/request/PPIM185046BC" xr:uid="{BE6C1CE1-F3DB-4AE5-ACAE-B966E05CEE25}"/>
    <hyperlink ref="K937" r:id="rId926" display="https://ppim-intra.pea.co.th:4434/request/PPIM185046C1" xr:uid="{F1D34FEA-1EE7-4732-8583-BB13AFD6454E}"/>
    <hyperlink ref="K938" r:id="rId927" display="https://ppim-intra.pea.co.th:4434/request/PPIM185046C7" xr:uid="{23A64D39-5033-4EBF-91A6-7800F2B38119}"/>
    <hyperlink ref="K939" r:id="rId928" display="https://ppim-intra.pea.co.th:4434/request/PPIM185046F4" xr:uid="{19288EF8-5C7A-491D-989E-7A21D0180745}"/>
    <hyperlink ref="K940" r:id="rId929" display="https://ppim-intra.pea.co.th:4434/request/PPIM185046FE" xr:uid="{89B9479C-2ECE-4891-85F9-DD8FAB078D06}"/>
    <hyperlink ref="K941" r:id="rId930" display="https://ppim-intra.pea.co.th:4434/request/PPIM1850470E" xr:uid="{FB9DBF48-2E70-4061-B6D8-FFC4E065E2BC}"/>
    <hyperlink ref="K942" r:id="rId931" display="https://ppim-intra.pea.co.th:4434/request/PPIM1850470F" xr:uid="{24A274C4-1702-4A84-8535-0472D2ACB073}"/>
    <hyperlink ref="K943" r:id="rId932" display="https://ppim-intra.pea.co.th:4434/request/PPIM18504712" xr:uid="{F85614B8-1B9A-4F11-912C-D0FE32F5C070}"/>
    <hyperlink ref="K944" r:id="rId933" display="https://ppim-intra.pea.co.th:4434/request/PPIM1850471A" xr:uid="{B264DD42-A6F7-49D7-AF04-E9FA3731FFE2}"/>
    <hyperlink ref="K945" r:id="rId934" display="https://ppim-intra.pea.co.th:4434/request/PPIM1850471E" xr:uid="{E555857D-DD75-4349-BB1B-033082E3A7F6}"/>
    <hyperlink ref="K946" r:id="rId935" display="https://ppim-intra.pea.co.th:4434/request/PPIM18504724" xr:uid="{9602B574-58BB-434B-B6CA-83457788D5D6}"/>
    <hyperlink ref="K947" r:id="rId936" display="https://ppim-intra.pea.co.th:4434/request/PPIM18504752" xr:uid="{0D3F3507-BC76-4E41-90E9-D75B11384CAC}"/>
    <hyperlink ref="K948" r:id="rId937" display="https://ppim-intra.pea.co.th:4434/request/PPIM18504770" xr:uid="{0481668A-C7FC-4E64-B780-A7E5E9E7E1C6}"/>
    <hyperlink ref="K949" r:id="rId938" display="https://ppim-intra.pea.co.th:4434/request/PPIM1850477A" xr:uid="{63E86515-FCF5-496D-BE4D-E46ED52C1129}"/>
    <hyperlink ref="K950" r:id="rId939" display="https://ppim-intra.pea.co.th:4434/request/PPIM185047AA" xr:uid="{1329AFE2-4E31-4DB5-93E0-D7406EED95D6}"/>
    <hyperlink ref="K951" r:id="rId940" display="https://ppim-intra.pea.co.th:4434/request/PPIM185047CC" xr:uid="{08986D53-1CAC-405F-A6B4-34B125F1F4E3}"/>
    <hyperlink ref="K952" r:id="rId941" display="https://ppim-intra.pea.co.th:4434/request/PPIM1850447B" xr:uid="{8354C92E-6183-4AE6-ACD3-B607DCA224D1}"/>
    <hyperlink ref="K953" r:id="rId942" display="https://ppim-intra.pea.co.th:4434/request/PPIM185047EB" xr:uid="{BB7A4284-CF29-4EE8-8476-77FD5A4E3F69}"/>
    <hyperlink ref="K954" r:id="rId943" display="https://ppim-intra.pea.co.th:4434/request/PPIM18504806" xr:uid="{89680CCD-D07C-4DB9-B19B-769DED3D6342}"/>
    <hyperlink ref="K955" r:id="rId944" display="https://ppim-intra.pea.co.th:4434/request/PPIM18504839" xr:uid="{B59737EC-FD36-46EE-9426-37D1CE5A041B}"/>
    <hyperlink ref="K956" r:id="rId945" display="https://ppim-intra.pea.co.th:4434/request/PPIM18504640" xr:uid="{AB7FF0FD-D635-4121-914E-32834E0D761D}"/>
    <hyperlink ref="K957" r:id="rId946" display="https://ppim-intra.pea.co.th:4434/request/PPIM18504858" xr:uid="{C7FEC683-DA1A-41A4-81C3-73121162F268}"/>
    <hyperlink ref="K958" r:id="rId947" display="https://ppim-intra.pea.co.th:4434/request/PPIM18504859" xr:uid="{DB3503E7-F904-4440-8F17-2E12139EC580}"/>
    <hyperlink ref="K959" r:id="rId948" display="https://ppim-intra.pea.co.th:4434/request/PPIM1850485B" xr:uid="{DC1D96B7-53D1-4D55-A8E2-4A0C70CEE7D7}"/>
    <hyperlink ref="K960" r:id="rId949" display="https://ppim-intra.pea.co.th:4434/request/PPIM18504875" xr:uid="{1ECA7185-FDA9-4628-898F-1333A2A8EF70}"/>
    <hyperlink ref="K961" r:id="rId950" display="https://ppim-intra.pea.co.th:4434/request/PPIM18504877" xr:uid="{640AB642-012B-4CB1-9C18-7FD247C561CD}"/>
    <hyperlink ref="K962" r:id="rId951" display="https://ppim-intra.pea.co.th:4434/request/PPIM18504878" xr:uid="{9E48481D-AD7F-49F0-B76C-9A25EDC26165}"/>
    <hyperlink ref="K963" r:id="rId952" display="https://ppim-intra.pea.co.th:4434/request/PPIM1850487B" xr:uid="{97040D5A-1BF1-4CB4-B1EE-83E1E0ABC054}"/>
    <hyperlink ref="K964" r:id="rId953" display="https://ppim-intra.pea.co.th:4434/request/PPIM18504887" xr:uid="{7085A5A6-5184-4D39-BE33-7FC292F12DCB}"/>
    <hyperlink ref="K965" r:id="rId954" display="https://ppim-intra.pea.co.th:4434/request/PPIM185033A6" xr:uid="{961116D5-D0C9-41BD-A794-0440C24D548E}"/>
    <hyperlink ref="K966" r:id="rId955" display="https://ppim-intra.pea.co.th:4434/request/PPIM18503709" xr:uid="{555581B7-8A30-40AB-AA01-58DBEF676C04}"/>
    <hyperlink ref="K967" r:id="rId956" display="https://ppim-intra.pea.co.th:4434/request/PPIM1850370B" xr:uid="{CE3014D8-4B60-42A6-BDE0-650735F66946}"/>
    <hyperlink ref="K968" r:id="rId957" display="https://ppim-intra.pea.co.th:4434/request/PPIM18504898" xr:uid="{E8D637B8-BD68-44A3-8F50-A04E20E04A16}"/>
    <hyperlink ref="K969" r:id="rId958" display="https://ppim-intra.pea.co.th:4434/request/PPIM185048C1" xr:uid="{855547F9-A702-467D-A6C1-8FAA13A2A090}"/>
    <hyperlink ref="K970" r:id="rId959" display="https://ppim-intra.pea.co.th:4434/request/PPIM185048E9" xr:uid="{06C87AAF-956E-4CE0-ABF4-7476350640E1}"/>
    <hyperlink ref="K971" r:id="rId960" display="https://ppim-intra.pea.co.th:4434/request/PPIM185048FE" xr:uid="{B0C74C10-1ADD-4957-986B-DC3462D7B669}"/>
    <hyperlink ref="K972" r:id="rId961" display="https://ppim-intra.pea.co.th:4434/request/PPIM18504919" xr:uid="{C236CF83-4B4B-4BBF-9110-C03568125CD9}"/>
    <hyperlink ref="K973" r:id="rId962" display="https://ppim-intra.pea.co.th:4434/request/PPIM1850491D" xr:uid="{FCAA3B2C-C8CF-4971-B85D-A8B7B34B8331}"/>
    <hyperlink ref="K974" r:id="rId963" display="https://ppim-intra.pea.co.th:4434/request/PPIM1850337E" xr:uid="{229EBE71-B78D-47D9-A864-3C58E3057F30}"/>
    <hyperlink ref="K975" r:id="rId964" display="https://ppim-intra.pea.co.th:4434/request/PPIM18504948" xr:uid="{02CF6F63-6842-4F1A-B89C-49F6797DC320}"/>
    <hyperlink ref="K976" r:id="rId965" display="https://ppim-intra.pea.co.th:4434/request/PPIM1850495A" xr:uid="{5C2A1625-4663-43BB-9024-946F2768596F}"/>
    <hyperlink ref="K977" r:id="rId966" display="https://ppim-intra.pea.co.th:4434/request/PPIM18504972" xr:uid="{70280446-F901-4C0F-8623-97FE9B3731CD}"/>
    <hyperlink ref="K978" r:id="rId967" display="https://ppim-intra.pea.co.th:4434/request/PPIM18504974" xr:uid="{37C98EBF-E833-4BE8-9D28-7B3B6FD4CCFA}"/>
    <hyperlink ref="K979" r:id="rId968" display="https://ppim-intra.pea.co.th:4434/request/PPIM18504984" xr:uid="{7442CB99-20C2-4F0E-869D-4E373DAC6C9D}"/>
    <hyperlink ref="K980" r:id="rId969" display="https://ppim-intra.pea.co.th:4434/request/PPIM1850498A" xr:uid="{BF95DF8E-7D51-4B3E-8566-1F1B47E95574}"/>
    <hyperlink ref="K981" r:id="rId970" display="https://ppim-intra.pea.co.th:4434/request/PPIM1850483A" xr:uid="{1B9B9E92-7D6C-470A-B15E-7750E8F690FC}"/>
    <hyperlink ref="K982" r:id="rId971" display="https://ppim-intra.pea.co.th:4434/request/PPIM18504992" xr:uid="{087D2FBD-A1E4-4E5B-B05B-DA619BC23598}"/>
    <hyperlink ref="K983" r:id="rId972" display="https://ppim-intra.pea.co.th:4434/request/PPIM1850328E" xr:uid="{F4DD6C58-0745-40C0-9E02-584275B8C197}"/>
    <hyperlink ref="K984" r:id="rId973" display="https://ppim-intra.pea.co.th:4434/request/PPIM185049A7" xr:uid="{4293E9A9-84A9-4F9D-9DEE-A56E60D01365}"/>
    <hyperlink ref="K985" r:id="rId974" display="https://ppim-intra.pea.co.th:4434/request/PPIM185033C1" xr:uid="{C4D85905-18BD-4208-A3B0-62FB629A27F1}"/>
    <hyperlink ref="K986" r:id="rId975" display="https://ppim-intra.pea.co.th:4434/request/PPIM185049BA" xr:uid="{3F90A1FD-E3FE-4D8E-A7BC-9B1C6F331DAB}"/>
    <hyperlink ref="K987" r:id="rId976" display="https://ppim-intra.pea.co.th:4434/request/PPIM185049E9" xr:uid="{E1BFCCD9-D22D-4ABF-9641-4691CC0B363A}"/>
    <hyperlink ref="K988" r:id="rId977" display="https://ppim-intra.pea.co.th:4434/request/PPIM185049ED" xr:uid="{C9EBC431-6045-44E6-A9A5-F12B7DC298C6}"/>
    <hyperlink ref="K989" r:id="rId978" display="https://ppim-intra.pea.co.th:4434/request/PPIM185049F3" xr:uid="{09B9C4C6-8652-411C-B8FE-A28424955ACC}"/>
    <hyperlink ref="K990" r:id="rId979" display="https://ppim-intra.pea.co.th:4434/request/PPIM18504A1D" xr:uid="{DDD6B3C5-3ACC-4C87-9067-60907C77D335}"/>
    <hyperlink ref="K991" r:id="rId980" display="https://ppim-intra.pea.co.th:4434/request/PPIM18504A44" xr:uid="{31D2F2CF-9C2D-44EE-A1CF-4ABE6BC57A73}"/>
    <hyperlink ref="K992" r:id="rId981" display="https://ppim-intra.pea.co.th:4434/request/PPIM18504A4C" xr:uid="{51781DCD-B139-4DAB-A789-32D50C587BCE}"/>
    <hyperlink ref="K993" r:id="rId982" display="https://ppim-intra.pea.co.th:4434/request/PPIM18503884" xr:uid="{64EB055A-05A9-4474-A47B-CE31B204BCED}"/>
    <hyperlink ref="K994" r:id="rId983" display="https://ppim-intra.pea.co.th:4434/request/PPIM1850351E" xr:uid="{5DBEC623-4420-4ABB-B47F-97D5AF172187}"/>
    <hyperlink ref="K995" r:id="rId984" display="https://ppim-intra.pea.co.th:4434/request/PPIM1850351D" xr:uid="{482D1F3D-9A99-4C8C-BA01-6541FFFE1F0E}"/>
    <hyperlink ref="K996" r:id="rId985" display="https://ppim-intra.pea.co.th:4434/request/PPIM18503662" xr:uid="{0E095CC8-F652-4994-99BB-645CD1061ECC}"/>
    <hyperlink ref="K997" r:id="rId986" display="https://ppim-intra.pea.co.th:4434/request/PPIM1950001E" xr:uid="{AC47C411-89F7-4B9C-A9D3-618BDD175BE9}"/>
    <hyperlink ref="K998" r:id="rId987" display="https://ppim-intra.pea.co.th:4434/request/PPIM185037E6" xr:uid="{52082218-F530-499E-9D80-41BA2F8AFAA9}"/>
    <hyperlink ref="K999" r:id="rId988" display="https://ppim-intra.pea.co.th:4434/request/PPIM185039A2" xr:uid="{6A4614E9-CFD0-4310-94E4-DB42E4EB3AD7}"/>
    <hyperlink ref="K1000" r:id="rId989" display="https://ppim-intra.pea.co.th:4434/request/PPIM19500081" xr:uid="{21D7B7E5-1790-426A-A24D-5D1F4BC6BBF3}"/>
    <hyperlink ref="K1002" r:id="rId990" display="https://ppim-intra.pea.co.th:4434/request/PPIM195000A9" xr:uid="{9D7BCC52-0B3C-48C3-9B37-221A1818C011}"/>
    <hyperlink ref="K1003" r:id="rId991" display="https://ppim-intra.pea.co.th:4434/request/PPIM195000C4" xr:uid="{F4050AC2-1B88-4080-9129-0A82D4B429D9}"/>
    <hyperlink ref="K1004" r:id="rId992" display="https://ppim-intra.pea.co.th:4434/request/PPIM195000C8" xr:uid="{6C10B57B-01A1-4C8C-9010-C1EE29F86ABA}"/>
    <hyperlink ref="K1005" r:id="rId993" display="https://ppim-intra.pea.co.th:4434/request/PPIM195000D6" xr:uid="{660D87CD-A696-4E58-9704-901DDD2C2594}"/>
    <hyperlink ref="K1006" r:id="rId994" display="https://ppim-intra.pea.co.th:4434/request/PPIM195000F0" xr:uid="{511768CD-58FB-459A-BC1F-1EB3EF6BFFDC}"/>
    <hyperlink ref="K1007" r:id="rId995" display="https://ppim-intra.pea.co.th:4434/request/PPIM195000FF" xr:uid="{125D972A-6501-4E7E-951D-41BC028AE22D}"/>
    <hyperlink ref="K1008" r:id="rId996" display="https://ppim-intra.pea.co.th:4434/request/PPIM195000EE" xr:uid="{0B8C1D55-62E1-4AAC-BAEC-7C3FD3F53CC0}"/>
    <hyperlink ref="K1009" r:id="rId997" display="https://ppim-intra.pea.co.th:4434/request/PPIM1950011E" xr:uid="{781FB43B-6F90-4EAD-B8AC-881C101BB660}"/>
    <hyperlink ref="K1010" r:id="rId998" display="https://ppim-intra.pea.co.th:4434/request/PPIM19500135" xr:uid="{187A8EC6-5672-49E1-A022-381B730BD287}"/>
    <hyperlink ref="K1011" r:id="rId999" display="https://ppim-intra.pea.co.th:4434/request/PPIM18503AAD" xr:uid="{0F567561-D3E0-4E00-A353-141BF55991D6}"/>
    <hyperlink ref="K1012" r:id="rId1000" display="https://ppim-intra.pea.co.th:4434/request/PPIM18503BF9" xr:uid="{28FC7609-2DE3-4639-9492-F38A6DC43497}"/>
    <hyperlink ref="K1013" r:id="rId1001" display="https://ppim-intra.pea.co.th:4434/request/PPIM18503836" xr:uid="{D7C60D1B-066D-4D59-BF5C-0CFB8F670D04}"/>
    <hyperlink ref="K1014" r:id="rId1002" display="https://ppim-intra.pea.co.th:4434/request/PPIM1950016B" xr:uid="{D0741339-D391-4155-8BCC-617B925C9ED2}"/>
    <hyperlink ref="K1015" r:id="rId1003" display="https://ppim-intra.pea.co.th:4434/request/PPIM19500170" xr:uid="{EE443E24-A647-4A01-8C69-4DE63D520F92}"/>
    <hyperlink ref="K1016" r:id="rId1004" display="https://ppim-intra.pea.co.th:4434/request/PPIM185038EB" xr:uid="{EFFCDEE0-A7E9-4D7F-8D12-3303E4FFF789}"/>
    <hyperlink ref="K1017" r:id="rId1005" display="https://ppim-intra.pea.co.th:4434/request/PPIM1950017B" xr:uid="{E1E8430C-C0FD-49F6-9B14-D0CD03E2799C}"/>
    <hyperlink ref="K1018" r:id="rId1006" display="https://ppim-intra.pea.co.th:4434/request/PPIM19500186" xr:uid="{602E2486-EDB0-4E6E-B613-BBA81AD87CDD}"/>
    <hyperlink ref="K1019" r:id="rId1007" display="https://ppim-intra.pea.co.th:4434/request/PPIM1950018B" xr:uid="{F9ED9053-2AB9-4654-B1A4-8A05E7F55E1B}"/>
    <hyperlink ref="K1020" r:id="rId1008" display="https://ppim-intra.pea.co.th:4434/request/PPIM19500191" xr:uid="{95B96006-A954-4EEF-ACEA-09E393D52194}"/>
    <hyperlink ref="K1021" r:id="rId1009" display="https://ppim-intra.pea.co.th:4434/request/PPIM19500195" xr:uid="{D289BECD-B3A4-40B6-877A-FA2CA93E6443}"/>
    <hyperlink ref="K1022" r:id="rId1010" display="https://ppim-intra.pea.co.th:4434/request/PPIM19500196" xr:uid="{0E42CE8A-C477-40E4-A4F5-5E15915C42F0}"/>
    <hyperlink ref="K1023" r:id="rId1011" display="https://ppim-intra.pea.co.th:4434/request/PPIM195001AB" xr:uid="{674A3765-CFA1-48D2-8078-12838B50D7CC}"/>
    <hyperlink ref="K1024" r:id="rId1012" display="https://ppim-intra.pea.co.th:4434/request/PPIM18503E84" xr:uid="{F2DE55E4-4C0D-4E12-A9CD-EC2AED1EAF01}"/>
    <hyperlink ref="K1025" r:id="rId1013" display="https://ppim-intra.pea.co.th:4434/request/PPIM1950021F" xr:uid="{67F7E7B5-FB9B-4566-BD52-6D16E4603301}"/>
    <hyperlink ref="K1026" r:id="rId1014" display="https://ppim-intra.pea.co.th:4434/request/PPIM19500248" xr:uid="{A12CFBC5-9EB4-40FF-8F87-EF90828E321C}"/>
    <hyperlink ref="K1027" r:id="rId1015" display="https://ppim-intra.pea.co.th:4434/request/PPIM1950027F" xr:uid="{5FC8DE3B-2F80-4229-B6DC-0BF880BBEF7D}"/>
    <hyperlink ref="K1028" r:id="rId1016" display="https://ppim-intra.pea.co.th:4434/request/PPIM18502340" xr:uid="{A5F3B293-2C64-403A-B6D9-DB6060DB3478}"/>
    <hyperlink ref="K1029" r:id="rId1017" display="https://ppim-intra.pea.co.th:4434/request/PPIM18503C51" xr:uid="{C5FFC6F3-6EA1-49E1-BD90-743BA80A9551}"/>
    <hyperlink ref="K1030" r:id="rId1018" display="https://ppim-intra.pea.co.th:4434/request/PPIM195002DB" xr:uid="{8B79E249-2582-4747-A73F-300D87FD51BF}"/>
    <hyperlink ref="K1031" r:id="rId1019" display="https://ppim-intra.pea.co.th:4434/request/PPIM195002E1" xr:uid="{C8D08775-3005-4FD2-BD23-0A748FA97EBD}"/>
    <hyperlink ref="K1032" r:id="rId1020" display="https://ppim-intra.pea.co.th:4434/request/PPIM195002EA" xr:uid="{4E16D03C-9693-403D-B95A-D30750E1DF30}"/>
    <hyperlink ref="K1033" r:id="rId1021" display="https://ppim-intra.pea.co.th:4434/request/PPIM185038F6" xr:uid="{7E351C6A-27F2-4C56-BB5B-164AFB30C777}"/>
    <hyperlink ref="K1034" r:id="rId1022" display="https://ppim-intra.pea.co.th:4434/request/PPIM195002F6" xr:uid="{91DD81F1-7566-4E11-94CE-E3CB6A431110}"/>
    <hyperlink ref="K1035" r:id="rId1023" display="https://ppim-intra.pea.co.th:4434/request/PPIM19500310" xr:uid="{EC6D662D-3D06-4811-AE75-1D1536D9938F}"/>
    <hyperlink ref="K1036" r:id="rId1024" display="https://ppim-intra.pea.co.th:4434/request/PPIM19500319" xr:uid="{01449306-759B-444C-8DF1-FB41799676F4}"/>
    <hyperlink ref="K1037" r:id="rId1025" display="https://ppim-intra.pea.co.th:4434/request/PPIM1950032B" xr:uid="{6FEC4AD1-6DD8-4557-9441-F6CE79B58FA8}"/>
    <hyperlink ref="K1038" r:id="rId1026" display="https://ppim-intra.pea.co.th:4434/request/PPIM19500337" xr:uid="{DEF107DB-1FF0-4165-A85E-FEB3F5B0760E}"/>
    <hyperlink ref="K1039" r:id="rId1027" display="https://ppim-intra.pea.co.th:4434/request/PPIM1950034A" xr:uid="{CC8CF66C-2E7D-47F0-8620-FC9264EB19F3}"/>
    <hyperlink ref="K1040" r:id="rId1028" display="https://ppim-intra.pea.co.th:4434/request/PPIM18500FF1" xr:uid="{B1B3BC24-7829-4F82-8D55-E5C87D2554E4}"/>
    <hyperlink ref="K1041" r:id="rId1029" display="https://ppim-intra.pea.co.th:4434/request/PPIM1950021D" xr:uid="{6E45CFBF-822D-495D-93BE-09A7C9E4044A}"/>
    <hyperlink ref="K1042" r:id="rId1030" display="https://ppim-intra.pea.co.th:4434/request/PPIM19500359" xr:uid="{0D21BD02-86D9-42E2-85A1-DF0401E9F85F}"/>
    <hyperlink ref="K1043" r:id="rId1031" display="https://ppim-intra.pea.co.th:4434/request/PPIM18503E92" xr:uid="{CA64183B-D2F1-447F-A97C-19BC9A155E0A}"/>
    <hyperlink ref="K1044" r:id="rId1032" display="https://ppim-intra.pea.co.th:4434/request/PPIM185041B4" xr:uid="{1DE36286-0666-4E85-A808-72346B42DEF7}"/>
    <hyperlink ref="K1045" r:id="rId1033" display="https://ppim-intra.pea.co.th:4434/request/PPIM185041BA" xr:uid="{AC7A7E88-C758-4814-9E74-32E3681A781A}"/>
    <hyperlink ref="K1046" r:id="rId1034" display="https://ppim-intra.pea.co.th:4434/request/PPIM19500392" xr:uid="{72A91175-1A68-4395-BEE3-5498A51BA053}"/>
    <hyperlink ref="K1047" r:id="rId1035" display="https://ppim-intra.pea.co.th:4434/request/PPIM195003A1" xr:uid="{C0A1DC12-23FC-42A4-8EB9-B8A4678B2E9A}"/>
    <hyperlink ref="K1048" r:id="rId1036" display="https://ppim-intra.pea.co.th:4434/request/PPIM195003A5" xr:uid="{3F5896C1-B915-4C8A-8F95-9EF35BC39BE6}"/>
    <hyperlink ref="K1049" r:id="rId1037" display="https://ppim-intra.pea.co.th:4434/request/PPIM195003AC" xr:uid="{0353AFF2-718B-450A-9F69-42BD3F820B6B}"/>
    <hyperlink ref="K1050" r:id="rId1038" display="https://ppim-intra.pea.co.th:4434/request/PPIM195003AD" xr:uid="{81FD926D-254C-498D-ACF7-411C83305E3B}"/>
    <hyperlink ref="K1051" r:id="rId1039" display="https://ppim-intra.pea.co.th:4434/request/PPIM195003AE" xr:uid="{90099A1B-A6EE-444C-B6A3-D8F74190B27F}"/>
    <hyperlink ref="K1052" r:id="rId1040" display="https://ppim-intra.pea.co.th:4434/request/PPIM18503C78" xr:uid="{2AE0E1A2-422E-4069-B315-135CAD05166A}"/>
    <hyperlink ref="K1053" r:id="rId1041" display="https://ppim-intra.pea.co.th:4434/request/PPIM18502D2D" xr:uid="{1CBE97A4-5FC3-4681-BC89-DB7C43C18EDA}"/>
    <hyperlink ref="K1054" r:id="rId1042" display="https://ppim-intra.pea.co.th:4434/request/PPIM1850352C" xr:uid="{1BE8FD84-4994-403D-B276-F361CC5B3493}"/>
    <hyperlink ref="K1055" r:id="rId1043" display="https://ppim-intra.pea.co.th:4434/request/PPIM19500403" xr:uid="{AD9C0CF7-86AE-4548-86A8-A356C285A029}"/>
    <hyperlink ref="K1056" r:id="rId1044" display="https://ppim-intra.pea.co.th:4434/request/PPIM19500405" xr:uid="{555E1589-6AB4-407B-86A4-20FCD73F6C9C}"/>
    <hyperlink ref="K1057" r:id="rId1045" display="https://ppim-intra.pea.co.th:4434/request/PPIM19500406" xr:uid="{D2093BD8-9FE5-4D31-8974-771523F132AB}"/>
    <hyperlink ref="K1058" r:id="rId1046" display="https://ppim-intra.pea.co.th:4434/request/PPIM185030FA" xr:uid="{82D6F534-D107-4FCC-BFDC-A69C68396756}"/>
    <hyperlink ref="K1059" r:id="rId1047" display="https://ppim-intra.pea.co.th:4434/request/PPIM1850401F" xr:uid="{559D1649-437C-4A2E-ACB3-E86A51AE0097}"/>
    <hyperlink ref="K1060" r:id="rId1048" display="https://ppim-intra.pea.co.th:4434/request/PPIM185042F3" xr:uid="{548D788C-F13A-4D84-8547-D394AE19A351}"/>
    <hyperlink ref="K1061" r:id="rId1049" display="https://ppim-intra.pea.co.th:4434/request/PPIM185042DF" xr:uid="{E2FE8595-B306-4BA6-9856-48812441DE56}"/>
    <hyperlink ref="K1062" r:id="rId1050" display="https://ppim-intra.pea.co.th:4434/request/PPIM18504234" xr:uid="{7A2A8178-3E4C-45C3-9E34-937A301E03DA}"/>
    <hyperlink ref="K1063" r:id="rId1051" display="https://ppim-intra.pea.co.th:4434/request/PPIM185042F7" xr:uid="{C3F80819-EC4F-4092-9C3E-06C133353210}"/>
    <hyperlink ref="K1064" r:id="rId1052" display="https://ppim-intra.pea.co.th:4434/request/PPIM19500425" xr:uid="{B8E36050-1E4D-4C9A-A808-3045955A43D1}"/>
    <hyperlink ref="K1065" r:id="rId1053" display="https://ppim-intra.pea.co.th:4434/request/PPIM1950042B" xr:uid="{508DB938-1BD9-4335-BABB-C01B46F678C5}"/>
    <hyperlink ref="K1066" r:id="rId1054" display="https://ppim-intra.pea.co.th:4434/request/PPIM18502A62" xr:uid="{8A67F704-412B-4C80-BF3B-2A970CF59E39}"/>
    <hyperlink ref="K1067" r:id="rId1055" display="https://ppim-intra.pea.co.th:4434/request/PPIM19500483" xr:uid="{7C578DA2-FD50-462C-9FF7-CEFB6274989E}"/>
    <hyperlink ref="K1068" r:id="rId1056" display="https://ppim-intra.pea.co.th:4434/request/PPIM19500484" xr:uid="{FD25AEDF-8B98-4D6A-B047-B5A7224DEF67}"/>
    <hyperlink ref="K1069" r:id="rId1057" display="https://ppim-intra.pea.co.th:4434/request/PPIM1950048E" xr:uid="{91AE9756-F198-44BB-A419-CD52D682F642}"/>
    <hyperlink ref="K1070" r:id="rId1058" display="https://ppim-intra.pea.co.th:4434/request/PPIM1950048F" xr:uid="{08D6E78C-C11E-4A4C-9E6A-515077FD9F40}"/>
    <hyperlink ref="K1071" r:id="rId1059" display="https://ppim-intra.pea.co.th:4434/request/PPIM19500499" xr:uid="{0ABEC0F5-3683-491E-AC08-CE2A81892FD4}"/>
    <hyperlink ref="K1072" r:id="rId1060" display="https://ppim-intra.pea.co.th:4434/request/PPIM1950049B" xr:uid="{C1D9051E-1A2D-49C9-BF16-863945517DD6}"/>
    <hyperlink ref="K1073" r:id="rId1061" display="https://ppim-intra.pea.co.th:4434/request/PPIM195004B2" xr:uid="{13501B1A-F465-49C1-8031-030F3B2A1D43}"/>
    <hyperlink ref="K1074" r:id="rId1062" display="https://ppim-intra.pea.co.th:4434/request/PPIM185033EE" xr:uid="{59E45CA5-9700-4166-806D-E99B2F47297C}"/>
    <hyperlink ref="K1075" r:id="rId1063" display="https://ppim-intra.pea.co.th:4434/request/PPIM195004CF" xr:uid="{3E838FCD-AC69-402B-A461-C473931900B5}"/>
    <hyperlink ref="K1076" r:id="rId1064" display="https://ppim-intra.pea.co.th:4434/request/PPIM195004E4" xr:uid="{0CFB4D08-93A1-4F30-9E37-C25B9082C6C8}"/>
    <hyperlink ref="K1077" r:id="rId1065" display="https://ppim-intra.pea.co.th:4434/request/PPIM195004F8" xr:uid="{3E02417D-FA63-485B-9A8B-2EFFB9F1DBD6}"/>
    <hyperlink ref="K1078" r:id="rId1066" display="https://ppim-intra.pea.co.th:4434/request/PPIM195004FC" xr:uid="{4A9EF468-0FDB-4FEA-83AB-5C2EC51DD9C1}"/>
    <hyperlink ref="K1079" r:id="rId1067" display="https://ppim-intra.pea.co.th:4434/request/PPIM1950050C" xr:uid="{AFDCDEF3-1942-4F69-94C8-FD2AA22EFC19}"/>
    <hyperlink ref="K1080" r:id="rId1068" display="https://ppim-intra.pea.co.th:4434/request/PPIM1950050F" xr:uid="{0765E8C4-6083-4BB5-9570-9250F306BF43}"/>
    <hyperlink ref="K1081" r:id="rId1069" display="https://ppim-intra.pea.co.th:4434/request/PPIM19500517" xr:uid="{B008B1E3-3015-4413-B0BD-8A095BFD09EA}"/>
    <hyperlink ref="K1082" r:id="rId1070" display="https://ppim-intra.pea.co.th:4434/request/PPIM19500529" xr:uid="{22B2A0B1-04AC-42C0-B675-08D1142A476D}"/>
    <hyperlink ref="K1083" r:id="rId1071" display="https://ppim-intra.pea.co.th:4434/request/PPIM19500541" xr:uid="{B7D444D8-6B02-416F-BC96-5CB9F2F1EB39}"/>
    <hyperlink ref="K1084" r:id="rId1072" display="https://ppim-intra.pea.co.th:4434/request/PPIM1950054A" xr:uid="{5379D5CA-CED2-4E8C-AED5-166FE95CE06F}"/>
    <hyperlink ref="K1085" r:id="rId1073" display="https://ppim-intra.pea.co.th:4434/request/PPIM19500551" xr:uid="{62506706-C503-4CC9-86AB-8BEBCDCA7E09}"/>
    <hyperlink ref="K1086" r:id="rId1074" display="https://ppim-intra.pea.co.th:4434/request/PPIM19500554" xr:uid="{7CF21A40-7DE9-47BC-A5AB-038E4DD71CB5}"/>
    <hyperlink ref="K1087" r:id="rId1075" display="https://ppim-intra.pea.co.th:4434/request/PPIM19500555" xr:uid="{907F6609-9FE8-480E-87E0-19D06E75F7EC}"/>
    <hyperlink ref="K1088" r:id="rId1076" display="https://ppim-intra.pea.co.th:4434/request/PPIM185044B4" xr:uid="{697CA207-76BF-40C2-9A17-06054A768CA8}"/>
    <hyperlink ref="K1089" r:id="rId1077" display="https://ppim-intra.pea.co.th:4434/request/PPIM185043DA" xr:uid="{BC56BCF1-2DDD-4D65-8C40-AB847ED1DA41}"/>
    <hyperlink ref="K1090" r:id="rId1078" display="https://ppim-intra.pea.co.th:4434/request/PPIM19500590" xr:uid="{D3BD2844-1C0F-4AFF-A29C-5E29CB8EA5F8}"/>
    <hyperlink ref="K1091" r:id="rId1079" display="https://ppim-intra.pea.co.th:4434/request/PPIM19500593" xr:uid="{5D6B54FF-17EF-4928-B52B-DF9AAF76A08F}"/>
    <hyperlink ref="K1092" r:id="rId1080" display="https://ppim-intra.pea.co.th:4434/request/PPIM1950059B" xr:uid="{9FDDE3EB-A092-4405-AE46-1987325BF447}"/>
    <hyperlink ref="K1093" r:id="rId1081" display="https://ppim-intra.pea.co.th:4434/request/PPIM19500030" xr:uid="{F5940A3E-996A-4BE1-B066-D2272A1FE50E}"/>
    <hyperlink ref="K1094" r:id="rId1082" display="https://ppim-intra.pea.co.th:4434/request/PPIM185032C5" xr:uid="{79006B1B-3947-4BBC-B551-E6F6B6928650}"/>
    <hyperlink ref="K1095" r:id="rId1083" display="https://ppim-intra.pea.co.th:4434/request/PPIM1950063E" xr:uid="{07CF0738-18F7-4926-B37D-38D9D3D9EE75}"/>
    <hyperlink ref="K1096" r:id="rId1084" display="https://ppim-intra.pea.co.th:4434/request/PPIM1950064C" xr:uid="{BD91595A-3257-4B11-B552-22A3C19B7D68}"/>
    <hyperlink ref="K1097" r:id="rId1085" display="https://ppim-intra.pea.co.th:4434/request/PPIM19500657" xr:uid="{98FA21F2-72A9-4DE8-92D7-9F74518C9A8B}"/>
    <hyperlink ref="K1098" r:id="rId1086" display="https://ppim-intra.pea.co.th:4434/request/PPIM18504275" xr:uid="{7307A07B-24A0-47C3-ADC7-BDF9A41828DB}"/>
    <hyperlink ref="K1099" r:id="rId1087" display="https://ppim-intra.pea.co.th:4434/request/PPIM1850369B" xr:uid="{5A0B7E44-E242-4DE1-982B-177523EE7614}"/>
    <hyperlink ref="K1100" r:id="rId1088" display="https://ppim-intra.pea.co.th:4434/request/PPIM19500689" xr:uid="{3B492D05-9C31-46D1-8ED2-07B58AB6A9D6}"/>
    <hyperlink ref="K1102" r:id="rId1089" display="https://ppim-intra.pea.co.th:4434/request/PPIM195006BC" xr:uid="{77D189E0-BDA5-493A-8430-110FF5C410A1}"/>
    <hyperlink ref="K1103" r:id="rId1090" display="https://ppim-intra.pea.co.th:4434/request/PPIM18504872" xr:uid="{06059421-20F9-4785-8172-EF1929B01159}"/>
    <hyperlink ref="K1104" r:id="rId1091" display="https://ppim-intra.pea.co.th:4434/request/PPIM195006D0" xr:uid="{29BBB8F5-B821-45A9-BF30-76B243BC4BCF}"/>
    <hyperlink ref="K1105" r:id="rId1092" display="https://ppim-intra.pea.co.th:4434/request/PPIM185046ED" xr:uid="{FAAD4AFB-237B-49B6-A1EC-0794E19D1370}"/>
    <hyperlink ref="K1106" r:id="rId1093" display="https://ppim-intra.pea.co.th:4434/request/PPIM195006EE" xr:uid="{C6C9A8C9-11BD-427B-9692-51054A992C44}"/>
    <hyperlink ref="K1107" r:id="rId1094" display="https://ppim-intra.pea.co.th:4434/request/PPIM195006FB" xr:uid="{0982A9B7-A5FB-4251-979B-71DA9547964D}"/>
    <hyperlink ref="K1108" r:id="rId1095" display="https://ppim-intra.pea.co.th:4434/request/PPIM195002B4" xr:uid="{CC878A7D-152C-4CAA-BCCA-093D2AA39BCA}"/>
    <hyperlink ref="K1109" r:id="rId1096" display="https://ppim-intra.pea.co.th:4434/request/PPIM18504911" xr:uid="{51A9AF50-220A-42FC-BB9F-D086C01D23C2}"/>
    <hyperlink ref="K1110" r:id="rId1097" display="https://ppim-intra.pea.co.th:4434/request/PPIM19500642" xr:uid="{D0517343-3A4E-4497-B423-F52BC75D8241}"/>
    <hyperlink ref="K1111" r:id="rId1098" display="https://ppim-intra.pea.co.th:4434/request/PPIM18503AE1" xr:uid="{9A56DE8D-6153-4ED8-BB8A-55F5F319CF54}"/>
    <hyperlink ref="K1112" r:id="rId1099" display="https://ppim-intra.pea.co.th:4434/request/PPIM19500726" xr:uid="{00B8FAA3-FFB3-46C4-9322-F8A9906259A8}"/>
    <hyperlink ref="K1113" r:id="rId1100" display="https://ppim-intra.pea.co.th:4434/request/PPIM19500733" xr:uid="{247AE180-6534-4B88-8546-551411FBE210}"/>
    <hyperlink ref="K1114" r:id="rId1101" display="https://ppim-intra.pea.co.th:4434/request/PPIM1950073E" xr:uid="{0DAE4476-719A-442B-B707-15DDEBC32D0A}"/>
    <hyperlink ref="K1115" r:id="rId1102" display="https://ppim-intra.pea.co.th:4434/request/PPIM1950074C" xr:uid="{5BD35CF6-F1D3-4C4B-B263-396DDA661786}"/>
    <hyperlink ref="K1116" r:id="rId1103" display="https://ppim-intra.pea.co.th:4434/request/PPIM195001CD" xr:uid="{F218F07F-EE7A-4621-A48B-0AB82D3913DB}"/>
    <hyperlink ref="K1117" r:id="rId1104" display="https://ppim-intra.pea.co.th:4434/request/PPIM1950075A" xr:uid="{AC557FDD-9AF8-479F-B35C-F33E6279EC92}"/>
    <hyperlink ref="K1118" r:id="rId1105" display="https://ppim-intra.pea.co.th:4434/request/PPIM18504A23" xr:uid="{8AA427CB-4C2B-4C75-86B6-52E509FA4D91}"/>
    <hyperlink ref="K1119" r:id="rId1106" display="https://ppim-intra.pea.co.th:4434/request/PPIM18504030" xr:uid="{3E9A72D5-1DAC-430E-85F2-E596D2AEF401}"/>
    <hyperlink ref="K1120" r:id="rId1107" display="https://ppim-intra.pea.co.th:4434/request/PPIM18503FD1" xr:uid="{76BD06B6-9DC5-4C3D-9308-F287C5B30437}"/>
    <hyperlink ref="K1121" r:id="rId1108" display="https://ppim-intra.pea.co.th:4434/request/PPIM1950077D" xr:uid="{79D0F8AA-4453-4E4C-A4AC-0FA42BB718D4}"/>
    <hyperlink ref="K1122" r:id="rId1109" display="https://ppim-intra.pea.co.th:4434/request/PPIM18503F50" xr:uid="{08B99651-1C8A-40F6-A497-B563EA9EA766}"/>
    <hyperlink ref="K1123" r:id="rId1110" display="https://ppim-intra.pea.co.th:4434/request/PPIM1950078A" xr:uid="{F31B395C-C2F3-4DD5-9ED1-7A3C87523EAB}"/>
    <hyperlink ref="K1124" r:id="rId1111" display="https://ppim-intra.pea.co.th:4434/request/PPIM185043FF" xr:uid="{ACBFD12B-BE9D-4D75-8C1C-21C0ECEBA925}"/>
    <hyperlink ref="K1125" r:id="rId1112" display="https://ppim-intra.pea.co.th:4434/request/PPIM19500798" xr:uid="{B8748402-D554-4C5C-B356-BC3D469DD685}"/>
    <hyperlink ref="K1126" r:id="rId1113" display="https://ppim-intra.pea.co.th:4434/request/PPIM195007BD" xr:uid="{79811356-0501-421C-8CD4-AFF3717D5C3C}"/>
    <hyperlink ref="K1127" r:id="rId1114" display="https://ppim-intra.pea.co.th:4434/request/PPIM195007C0" xr:uid="{0AA57F17-5364-4CA5-BE9F-A067064DCE81}"/>
    <hyperlink ref="K1128" r:id="rId1115" display="https://ppim-intra.pea.co.th:4434/request/PPIM195007C1" xr:uid="{A5ECADAC-B729-4B20-BD91-F06553CA75F8}"/>
    <hyperlink ref="K1129" r:id="rId1116" display="https://ppim-intra.pea.co.th:4434/request/PPIM195007C3" xr:uid="{885CAA9C-7663-4C47-A565-F737358F5F7D}"/>
    <hyperlink ref="K1130" r:id="rId1117" display="https://ppim-intra.pea.co.th:4434/request/PPIM18503B83" xr:uid="{BDBE1210-E7E5-46C1-ACD6-9122E06FABDF}"/>
    <hyperlink ref="K1131" r:id="rId1118" display="https://ppim-intra.pea.co.th:4434/request/PPIM195007CA" xr:uid="{A20D4751-9512-4291-87D3-42F4B3D39A4C}"/>
    <hyperlink ref="K1132" r:id="rId1119" display="https://ppim-intra.pea.co.th:4434/request/PPIM195007CB" xr:uid="{28CC6A04-914C-4E2C-BAF8-976BDD8F7937}"/>
    <hyperlink ref="K1133" r:id="rId1120" display="https://ppim-intra.pea.co.th:4434/request/PPIM18504679" xr:uid="{E1641633-C187-4C42-9742-EC58004A319A}"/>
    <hyperlink ref="K1134" r:id="rId1121" display="https://ppim-intra.pea.co.th:4434/request/PPIM19500332" xr:uid="{8CD427A1-FC93-44F1-A5DB-D4556FE717F5}"/>
    <hyperlink ref="K1135" r:id="rId1122" display="https://ppim-intra.pea.co.th:4434/request/PPIM195007E6" xr:uid="{2741E135-CDF7-41C5-B435-6759C9C7795C}"/>
    <hyperlink ref="K1136" r:id="rId1123" display="https://ppim-intra.pea.co.th:4434/request/PPIM185047CA" xr:uid="{AAA80EBF-C997-4F18-AFFB-316E636EF3C1}"/>
    <hyperlink ref="K1137" r:id="rId1124" display="https://ppim-intra.pea.co.th:4434/request/PPIM19500804" xr:uid="{770D5212-6B65-4CC2-B617-AC61FD21E943}"/>
    <hyperlink ref="K1138" r:id="rId1125" display="https://ppim-intra.pea.co.th:4434/request/PPIM19500214" xr:uid="{2F50504D-B147-4307-8552-C44CE61DD7C6}"/>
    <hyperlink ref="K1139" r:id="rId1126" display="https://ppim-intra.pea.co.th:4434/request/PPIM19500810" xr:uid="{9F9858AD-32E5-4110-9AAE-2291756AF805}"/>
    <hyperlink ref="K1140" r:id="rId1127" display="https://ppim-intra.pea.co.th:4434/request/PPIM19500817" xr:uid="{7EABEB1E-0850-4010-AB23-38C41D24BEEF}"/>
    <hyperlink ref="K1141" r:id="rId1128" display="https://ppim-intra.pea.co.th:4434/request/PPIM18503DFF" xr:uid="{79FAC874-E052-4EFE-B144-603532438AA9}"/>
    <hyperlink ref="K1142" r:id="rId1129" display="https://ppim-intra.pea.co.th:4434/request/PPIM19500821" xr:uid="{EDF18506-2FC9-4900-94FA-8055EC041720}"/>
    <hyperlink ref="K1143" r:id="rId1130" display="https://ppim-intra.pea.co.th:4434/request/PPIM19500823" xr:uid="{2B2C98E2-DB83-4110-906D-5FCAF84D73B5}"/>
    <hyperlink ref="K1144" r:id="rId1131" display="https://ppim-intra.pea.co.th:4434/request/PPIM19500829" xr:uid="{681BB2A9-AC79-42AE-9506-6C44E2197A6C}"/>
    <hyperlink ref="K1145" r:id="rId1132" display="https://ppim-intra.pea.co.th:4434/request/PPIM19500832" xr:uid="{68D029F1-D5F4-4B93-BB0A-9B2F30961451}"/>
    <hyperlink ref="K1146" r:id="rId1133" display="https://ppim-intra.pea.co.th:4434/request/PPIM1950083C" xr:uid="{7948296B-BC66-45EF-96DD-0D5D198EF64B}"/>
    <hyperlink ref="K1147" r:id="rId1134" display="https://ppim-intra.pea.co.th:4434/request/PPIM19500843" xr:uid="{BEE4548F-514B-49E4-9AC3-8A1BC6BAEA59}"/>
    <hyperlink ref="K1148" r:id="rId1135" display="https://ppim-intra.pea.co.th:4434/request/PPIM1950084A" xr:uid="{7CA6938D-5D37-45B2-A2EB-30409580AD0E}"/>
    <hyperlink ref="K1149" r:id="rId1136" display="https://ppim-intra.pea.co.th:4434/request/PPIM18504876" xr:uid="{6BC07907-980A-43B0-8704-C0CAA30CD849}"/>
    <hyperlink ref="K1150" r:id="rId1137" display="https://ppim-intra.pea.co.th:4434/request/PPIM19500856" xr:uid="{82477F76-F1F8-4086-BB2F-C7A59FC660F9}"/>
    <hyperlink ref="K1151" r:id="rId1138" display="https://ppim-intra.pea.co.th:4434/request/PPIM1950085A" xr:uid="{4D969505-E035-4B9A-85E8-DE327E55E219}"/>
    <hyperlink ref="K1152" r:id="rId1139" display="https://ppim-intra.pea.co.th:4434/request/PPIM19500862" xr:uid="{0B857B4A-B8BB-4E63-9142-550A7DB16941}"/>
    <hyperlink ref="K1153" r:id="rId1140" display="https://ppim-intra.pea.co.th:4434/request/PPIM1950087C" xr:uid="{089D8924-FE08-454A-B9AB-1F96D7AC39D6}"/>
    <hyperlink ref="K1154" r:id="rId1141" display="https://ppim-intra.pea.co.th:4434/request/PPIM1950033D" xr:uid="{CBBCD2D3-7A57-4EBD-9801-BAE27A045A36}"/>
    <hyperlink ref="K1155" r:id="rId1142" display="https://ppim-intra.pea.co.th:4434/request/PPIM19500887" xr:uid="{5C2B7F3B-5254-41CE-8478-E7CFF7533B1C}"/>
    <hyperlink ref="K1156" r:id="rId1143" display="https://ppim-intra.pea.co.th:4434/request/PPIM1850478E" xr:uid="{ABDADF72-C7FF-48EA-8388-63D93E5EE1EB}"/>
    <hyperlink ref="K1157" r:id="rId1144" display="https://ppim-intra.pea.co.th:4434/request/PPIM1950089F" xr:uid="{B859BB92-9944-4D52-BF03-AF76EFDFD40F}"/>
    <hyperlink ref="K1158" r:id="rId1145" display="https://ppim-intra.pea.co.th:4434/request/PPIM195003CC" xr:uid="{E0C4BE99-31D3-4894-AB6B-15911FE1C9F3}"/>
    <hyperlink ref="K1159" r:id="rId1146" display="https://ppim-intra.pea.co.th:4434/request/PPIM195003C1" xr:uid="{96CDDA98-69D8-41F2-925D-59DF40C4F67D}"/>
    <hyperlink ref="K1160" r:id="rId1147" display="https://ppim-intra.pea.co.th:4434/request/PPIM195008AC" xr:uid="{B15EB479-0B9D-491C-97E7-2F5C040F2450}"/>
    <hyperlink ref="K1161" r:id="rId1148" display="https://ppim-intra.pea.co.th:4434/request/PPIM195008B1" xr:uid="{4FD61FEF-519B-4487-BFAC-AB74CDF3C98A}"/>
    <hyperlink ref="K1162" r:id="rId1149" display="https://ppim-intra.pea.co.th:4434/request/PPIM195008B4" xr:uid="{9DA89060-706A-4BFF-BF58-50040C5197DE}"/>
    <hyperlink ref="K1163" r:id="rId1150" display="https://ppim-intra.pea.co.th:4434/request/PPIM18503B7B" xr:uid="{CAD85EEA-3309-4311-AD6D-5B9C800AD64D}"/>
    <hyperlink ref="K1164" r:id="rId1151" display="https://ppim-intra.pea.co.th:4434/request/PPIM195008E3" xr:uid="{81580051-9982-4352-9799-1FFC8A06759B}"/>
    <hyperlink ref="K1165" r:id="rId1152" display="https://ppim-intra.pea.co.th:4434/request/PPIM18504846" xr:uid="{D453255B-7B84-4CDB-801C-40C9D06B83D3}"/>
    <hyperlink ref="K1166" r:id="rId1153" display="https://ppim-intra.pea.co.th:4434/request/PPIM19500902" xr:uid="{3387FD5D-F306-475C-A2A5-01B17057EADD}"/>
    <hyperlink ref="K1167" r:id="rId1154" display="https://ppim-intra.pea.co.th:4434/request/PPIM185046A0" xr:uid="{4A0F53F2-2A9B-435E-AA8E-9B7E40DDCA8B}"/>
    <hyperlink ref="K1168" r:id="rId1155" display="https://ppim-intra.pea.co.th:4434/request/PPIM19500905" xr:uid="{2675EE06-D4AB-4F23-97A9-08130E8AA264}"/>
    <hyperlink ref="K1169" r:id="rId1156" display="https://ppim-intra.pea.co.th:4434/request/PPIM195003F0" xr:uid="{F897DF71-565F-48EC-A6B3-EB61A260D4C3}"/>
    <hyperlink ref="K1170" r:id="rId1157" display="https://ppim-intra.pea.co.th:4434/request/PPIM18503C7B" xr:uid="{5FB632F7-26DE-4A24-B02B-1A4FC642A3CA}"/>
    <hyperlink ref="K1171" r:id="rId1158" display="https://ppim-intra.pea.co.th:4434/request/PPIM1850344B" xr:uid="{3C89A44A-95CF-46FE-8DF1-C2312D0CAD75}"/>
    <hyperlink ref="K1172" r:id="rId1159" display="https://ppim-intra.pea.co.th:4434/request/PPIM1950090D" xr:uid="{4E6C448A-62B8-4D05-9E72-B2753B9324BB}"/>
    <hyperlink ref="K1173" r:id="rId1160" display="https://ppim-intra.pea.co.th:4434/request/PPIM19500928" xr:uid="{561C8B8B-564D-4C90-B1B7-FEF974C75CA6}"/>
    <hyperlink ref="K1174" r:id="rId1161" display="https://ppim-intra.pea.co.th:4434/request/PPIM19500929" xr:uid="{6E9B6FC7-2CB8-4638-993A-B781FA0A5D32}"/>
    <hyperlink ref="K1175" r:id="rId1162" display="https://ppim-intra.pea.co.th:4434/request/PPIM1950047D" xr:uid="{C09F1A9B-9236-4F64-89CF-DCCE8AE39290}"/>
    <hyperlink ref="K1176" r:id="rId1163" display="https://ppim-intra.pea.co.th:4434/request/PPIM18501D2E" xr:uid="{E5FA5B2B-423F-4744-9AAB-0561F590A607}"/>
    <hyperlink ref="K1177" r:id="rId1164" display="https://ppim-intra.pea.co.th:4434/request/PPIM1950092A" xr:uid="{FD00B4B4-B813-443F-8334-4CC8A37979F1}"/>
    <hyperlink ref="K1178" r:id="rId1165" display="https://ppim-intra.pea.co.th:4434/request/PPIM19500931" xr:uid="{A2FC2124-64D7-414B-87A4-FFEEC31C7CB6}"/>
    <hyperlink ref="K1179" r:id="rId1166" display="https://ppim-intra.pea.co.th:4434/request/PPIM19500935" xr:uid="{4BEF3804-6A55-4E40-A238-207524E0B8B1}"/>
    <hyperlink ref="K1180" r:id="rId1167" display="https://ppim-intra.pea.co.th:4434/request/PPIM1850458D" xr:uid="{9CC86C84-4143-4EE4-8A00-9C68E2A5C4A0}"/>
    <hyperlink ref="K1181" r:id="rId1168" display="https://ppim-intra.pea.co.th:4434/request/PPIM195003EF" xr:uid="{51F0531E-2EF2-40B0-AB5C-9C64F7AAFD4F}"/>
    <hyperlink ref="K1182" r:id="rId1169" display="https://ppim-intra.pea.co.th:4434/request/PPIM19500963" xr:uid="{1176FA86-B968-4714-9FA4-A3597CC8C3F9}"/>
    <hyperlink ref="K1183" r:id="rId1170" display="https://ppim-intra.pea.co.th:4434/request/PPIM19500707" xr:uid="{A61D03C5-1283-4915-A716-E91AA7A3DF41}"/>
    <hyperlink ref="K1184" r:id="rId1171" display="https://ppim-intra.pea.co.th:4434/request/PPIM19500965" xr:uid="{23C46AEA-2E3F-482D-BA41-42F77A8E9BE4}"/>
    <hyperlink ref="K1185" r:id="rId1172" display="https://ppim-intra.pea.co.th:4434/request/PPIM19500970" xr:uid="{AAFA9CD3-EDE4-4FFB-8613-F6F2B8825CA8}"/>
    <hyperlink ref="K1186" r:id="rId1173" display="https://ppim-intra.pea.co.th:4434/request/PPIM1950097A" xr:uid="{5067AB29-659B-4326-AAFF-08D8F66DDC38}"/>
    <hyperlink ref="K1187" r:id="rId1174" display="https://ppim-intra.pea.co.th:4434/request/PPIM195007CE" xr:uid="{D51B29D0-CD91-4715-AB72-20AF3FAD3B15}"/>
    <hyperlink ref="K1188" r:id="rId1175" display="https://ppim-intra.pea.co.th:4434/request/PPIM1950097D" xr:uid="{7F6916F4-D23E-42B0-A4E0-E24E60383B57}"/>
    <hyperlink ref="K1189" r:id="rId1176" display="https://ppim-intra.pea.co.th:4434/request/PPIM19500891" xr:uid="{29FF008D-5335-4B2D-9288-057A634CD3CE}"/>
    <hyperlink ref="K1190" r:id="rId1177" display="https://ppim-intra.pea.co.th:4434/request/PPIM1950097F" xr:uid="{1809FC0B-D9DB-4246-9A79-43D03935CB67}"/>
    <hyperlink ref="K1191" r:id="rId1178" display="https://ppim-intra.pea.co.th:4434/request/PPIM19500754" xr:uid="{66F1221F-6B98-465F-9B27-91617A95C079}"/>
    <hyperlink ref="K1192" r:id="rId1179" display="https://ppim-intra.pea.co.th:4434/request/PPIM19500989" xr:uid="{F05969E7-9A63-4B20-8F7D-368842D0251D}"/>
    <hyperlink ref="K1193" r:id="rId1180" display="https://ppim-intra.pea.co.th:4434/request/PPIM19500999" xr:uid="{171EBF3A-99A7-44EE-A4BE-6BF69A733E2B}"/>
    <hyperlink ref="K1194" r:id="rId1181" display="https://ppim-intra.pea.co.th:4434/request/PPIM19500728" xr:uid="{9DFF1EA9-52DC-4F2E-B95F-8DE187B0FBB7}"/>
    <hyperlink ref="K1195" r:id="rId1182" display="https://ppim-intra.pea.co.th:4434/request/PPIM195006E7" xr:uid="{98018AE3-930F-4108-9F95-D4D690D35120}"/>
    <hyperlink ref="K1196" r:id="rId1183" display="https://ppim-intra.pea.co.th:4434/request/PPIM1950010E" xr:uid="{0B70C2F4-DED9-4BF2-AB47-E2BCD82E31E5}"/>
    <hyperlink ref="K1197" r:id="rId1184" display="https://ppim-intra.pea.co.th:4434/request/PPIM18504649" xr:uid="{A05EEDCD-860D-483B-B425-64E5ED3EF460}"/>
    <hyperlink ref="K1198" r:id="rId1185" display="https://ppim-intra.pea.co.th:4434/request/PPIM18504626" xr:uid="{7AD40CA5-9696-4DE7-8C01-2784BF21E03A}"/>
    <hyperlink ref="K1199" r:id="rId1186" display="https://ppim-intra.pea.co.th:4434/request/PPIM18503FD5" xr:uid="{D90B0A8E-4D44-4BDB-A7DC-A606EAB1160E}"/>
    <hyperlink ref="K1200" r:id="rId1187" display="https://ppim-intra.pea.co.th:4434/request/PPIM195002E4" xr:uid="{4BEB52D4-D2C4-439F-BB45-87B367E1DDC2}"/>
    <hyperlink ref="K1202" r:id="rId1188" display="https://ppim-intra.pea.co.th:4434/request/PPIM195009D2" xr:uid="{54460D1F-7D55-487A-B09C-8ED3B9458C13}"/>
    <hyperlink ref="K1203" r:id="rId1189" display="https://ppim-intra.pea.co.th:4434/request/PPIM195009D5" xr:uid="{B43530F4-B034-4F0B-ADB1-BBDD2B99D351}"/>
    <hyperlink ref="K1204" r:id="rId1190" display="https://ppim-intra.pea.co.th:4434/request/PPIM195009E1" xr:uid="{E67C4592-2293-42E9-9134-D10ED1B59EF0}"/>
    <hyperlink ref="K1205" r:id="rId1191" display="https://ppim-intra.pea.co.th:4434/request/PPIM1950021A" xr:uid="{2BFB81DA-293C-4713-9DA6-CE8CBE001D61}"/>
    <hyperlink ref="K1206" r:id="rId1192" display="https://ppim-intra.pea.co.th:4434/request/PPIM195009E9" xr:uid="{DD76C90A-A1A8-473A-9211-ADFCEC689582}"/>
    <hyperlink ref="K1207" r:id="rId1193" display="https://ppim-intra.pea.co.th:4434/request/PPIM195003D1" xr:uid="{9CB0F44F-DD92-4F31-A947-6F5C2613E613}"/>
    <hyperlink ref="K1208" r:id="rId1194" display="https://ppim-intra.pea.co.th:4434/request/PPIM19500A0A" xr:uid="{35BB9328-F847-48F3-A839-7F66FB1AB564}"/>
    <hyperlink ref="K1209" r:id="rId1195" display="https://ppim-intra.pea.co.th:4434/request/PPIM195000D3" xr:uid="{C2DF0FD8-89F3-4116-9A68-76D226C656B4}"/>
    <hyperlink ref="K1210" r:id="rId1196" display="https://ppim-intra.pea.co.th:4434/request/PPIM195001C3" xr:uid="{E424FD5A-918E-4C44-8C31-B6AF15B5D90A}"/>
    <hyperlink ref="K1211" r:id="rId1197" display="https://ppim-intra.pea.co.th:4434/request/PPIM19500A11" xr:uid="{E3B63B6F-5C09-4422-BEFD-6C5F5D1739D1}"/>
    <hyperlink ref="K1212" r:id="rId1198" display="https://ppim-intra.pea.co.th:4434/request/PPIM19500A12" xr:uid="{4B4A21C8-C822-4A38-A99D-C53FA21AD3B9}"/>
    <hyperlink ref="K1213" r:id="rId1199" display="https://ppim-intra.pea.co.th:4434/request/PPIM19500A16" xr:uid="{EA86BD3D-4726-4C1F-A992-1F835AD790A6}"/>
    <hyperlink ref="K1214" r:id="rId1200" display="https://ppim-intra.pea.co.th:4434/request/PPIM1950063C" xr:uid="{10254C2E-36FD-47A8-94D2-C3E21801DB55}"/>
    <hyperlink ref="K1215" r:id="rId1201" display="https://ppim-intra.pea.co.th:4434/request/PPIM18503BE6" xr:uid="{8718EB4E-F913-437C-AD18-1451810F0A44}"/>
    <hyperlink ref="K1216" r:id="rId1202" display="https://ppim-intra.pea.co.th:4434/request/PPIM19500A38" xr:uid="{3D684861-9965-4A0D-BCE2-8AB7B35DE892}"/>
    <hyperlink ref="K1217" r:id="rId1203" display="https://ppim-intra.pea.co.th:4434/request/PPIM19500A3C" xr:uid="{7962B0F6-CAEB-44BA-A9F7-B04430DE5C38}"/>
    <hyperlink ref="K1218" r:id="rId1204" display="https://ppim-intra.pea.co.th:4434/request/PPIM19500A3F" xr:uid="{9D6A045B-F9F5-46C2-84F5-6BBED157AEC9}"/>
    <hyperlink ref="K1219" r:id="rId1205" display="https://ppim-intra.pea.co.th:4434/request/PPIM19500A43" xr:uid="{E9CA1832-204B-41E1-A785-1F81BD59F27E}"/>
    <hyperlink ref="K1220" r:id="rId1206" display="https://ppim-intra.pea.co.th:4434/request/PPIM19500A44" xr:uid="{77120FF0-9794-44EA-A850-EFF861366F86}"/>
    <hyperlink ref="K1221" r:id="rId1207" display="https://ppim-intra.pea.co.th:4434/request/PPIM19500A47" xr:uid="{3C93F8F1-08BF-488B-8E59-A1CD5F44691A}"/>
    <hyperlink ref="K1222" r:id="rId1208" display="https://ppim-intra.pea.co.th:4434/request/PPIM19500A4F" xr:uid="{8F4C8FCD-6860-4C9C-ABF1-7CF4C39EC11C}"/>
    <hyperlink ref="K1223" r:id="rId1209" display="https://ppim-intra.pea.co.th:4434/request/PPIM18504568" xr:uid="{06B24BA8-3FF4-46C6-BB21-7E6642E259EE}"/>
    <hyperlink ref="K1224" r:id="rId1210" display="https://ppim-intra.pea.co.th:4434/request/PPIM19500A52" xr:uid="{87003790-B572-4E1D-AC0F-A8F34528F32F}"/>
    <hyperlink ref="K1225" r:id="rId1211" display="https://ppim-intra.pea.co.th:4434/request/PPIM1950064D" xr:uid="{56AA458E-A1B4-4DA2-AEBB-736E75EACD61}"/>
    <hyperlink ref="K1226" r:id="rId1212" display="https://ppim-intra.pea.co.th:4434/request/PPIM195009AD" xr:uid="{328157DE-AD23-4C23-B968-69A1D17A3D3F}"/>
    <hyperlink ref="K1227" r:id="rId1213" display="https://ppim-intra.pea.co.th:4434/request/PPIM185034BD" xr:uid="{8D1BE12D-0E96-4091-AF16-9EE42A8983F8}"/>
    <hyperlink ref="K1228" r:id="rId1214" display="https://ppim-intra.pea.co.th:4434/request/PPIM195005C4" xr:uid="{5787CD01-DB83-41EA-841C-96252CB80418}"/>
    <hyperlink ref="K1229" r:id="rId1215" display="https://ppim-intra.pea.co.th:4434/request/PPIM18504607" xr:uid="{B6A7B9E8-04AA-4A7C-9467-3AB7F84AE5F9}"/>
    <hyperlink ref="K1230" r:id="rId1216" display="https://ppim-intra.pea.co.th:4434/request/PPIM19500A86" xr:uid="{AEDC71EA-B7DC-4E22-9B66-5CB93B681B6B}"/>
    <hyperlink ref="K1231" r:id="rId1217" display="https://ppim-intra.pea.co.th:4434/request/PPIM19500A88" xr:uid="{64FBD83D-12C6-47AA-B18C-696C904E85F8}"/>
    <hyperlink ref="K1232" r:id="rId1218" display="https://ppim-intra.pea.co.th:4434/request/PPIM18502F7A" xr:uid="{120C91AA-A053-4F17-ABD0-10DCED14ACCA}"/>
    <hyperlink ref="K1233" r:id="rId1219" display="https://ppim-intra.pea.co.th:4434/request/PPIM19500A99" xr:uid="{D68C2295-05FE-4EEA-AB95-711F32E87E89}"/>
    <hyperlink ref="K1234" r:id="rId1220" display="https://ppim-intra.pea.co.th:4434/request/PPIM19500A9A" xr:uid="{1136AF54-41DA-4AA8-91A5-8FA8D71CC663}"/>
    <hyperlink ref="K1235" r:id="rId1221" display="https://ppim-intra.pea.co.th:4434/request/PPIM19500AA0" xr:uid="{114AA3A7-5B2D-4110-A9D1-9B2BA828BFD7}"/>
    <hyperlink ref="K1236" r:id="rId1222" display="https://ppim-intra.pea.co.th:4434/request/PPIM19500A27" xr:uid="{756CE2B0-B2C3-4CD2-ACBA-4E3BB1F80CA1}"/>
    <hyperlink ref="K1237" r:id="rId1223" display="https://ppim-intra.pea.co.th:4434/request/PPIM19500AAD" xr:uid="{C9361A94-827A-4228-A51E-04CAD9A90E86}"/>
    <hyperlink ref="K1238" r:id="rId1224" display="https://ppim-intra.pea.co.th:4434/request/PPIM19500AAF" xr:uid="{6D85A089-F5EA-41E3-A5DB-35256C670696}"/>
    <hyperlink ref="K1239" r:id="rId1225" display="https://ppim-intra.pea.co.th:4434/request/PPIM19500AB4" xr:uid="{87E2515C-820E-4BE1-B3C9-1D23FF40B4F4}"/>
    <hyperlink ref="K1240" r:id="rId1226" display="https://ppim-intra.pea.co.th:4434/request/PPIM19500AB6" xr:uid="{9EE1BBF0-F884-461F-A905-3F17BF105E5A}"/>
    <hyperlink ref="K1241" r:id="rId1227" display="https://ppim-intra.pea.co.th:4434/request/PPIM195009FF" xr:uid="{5F0B8200-FED6-44B6-A244-A6CFCF3D58F6}"/>
    <hyperlink ref="K1242" r:id="rId1228" display="https://ppim-intra.pea.co.th:4434/request/PPIM19500ABB" xr:uid="{EAA60BA5-201A-4872-8934-CE761A52796D}"/>
    <hyperlink ref="K1243" r:id="rId1229" display="https://ppim-intra.pea.co.th:4434/request/PPIM1850478C" xr:uid="{CA448657-69E4-4AB7-AC55-B97EA0D66017}"/>
    <hyperlink ref="K1244" r:id="rId1230" display="https://ppim-intra.pea.co.th:4434/request/PPIM18503FA8" xr:uid="{AA9CD7CF-F372-4266-8459-A3F8439962ED}"/>
    <hyperlink ref="K1245" r:id="rId1231" display="https://ppim-intra.pea.co.th:4434/request/PPIM19500ACF" xr:uid="{23D2C37B-21C2-41F4-8D64-C57A829F177A}"/>
    <hyperlink ref="K1246" r:id="rId1232" display="https://ppim-intra.pea.co.th:4434/request/PPIM19500AD1" xr:uid="{23BC21D8-2B88-41C5-9260-6FBCA81E1A84}"/>
    <hyperlink ref="K1247" r:id="rId1233" display="https://ppim-intra.pea.co.th:4434/request/PPIM19500AD4" xr:uid="{9DA35537-4D07-4986-9390-FBFC27364B2D}"/>
    <hyperlink ref="K1248" r:id="rId1234" display="https://ppim-intra.pea.co.th:4434/request/PPIM19500AD7" xr:uid="{1A24F724-A98C-41D7-B9DC-1B90D791C3F1}"/>
    <hyperlink ref="K1249" r:id="rId1235" display="https://ppim-intra.pea.co.th:4434/request/PPIM19500AE1" xr:uid="{3235C6FC-475E-426D-B72A-E4C99F82E8BF}"/>
    <hyperlink ref="K1250" r:id="rId1236" display="https://ppim-intra.pea.co.th:4434/request/PPIM19500AE2" xr:uid="{5593A545-6FC0-48D2-AA69-A2B61A211BBB}"/>
    <hyperlink ref="K1251" r:id="rId1237" display="https://ppim-intra.pea.co.th:4434/request/PPIM19500AF1" xr:uid="{777F04AC-B547-42C1-ABEC-1663CBA8197E}"/>
    <hyperlink ref="K1252" r:id="rId1238" display="https://ppim-intra.pea.co.th:4434/request/PPIM19500AFA" xr:uid="{D41CDCAF-8A0C-4194-AA2A-7283B2B1C7A8}"/>
    <hyperlink ref="K1253" r:id="rId1239" display="https://ppim-intra.pea.co.th:4434/request/PPIM19500B00" xr:uid="{23D9B696-16EF-4B14-8F69-3FDE2CC3FC94}"/>
    <hyperlink ref="K1254" r:id="rId1240" display="https://ppim-intra.pea.co.th:4434/request/PPIM19500B0B" xr:uid="{316F26CA-6CE0-4087-BF26-8E5D844D12D2}"/>
    <hyperlink ref="K1255" r:id="rId1241" display="https://ppim-intra.pea.co.th:4434/request/PPIM19500B1E" xr:uid="{B836BC97-B650-4D76-A81A-7C9182A25DDF}"/>
    <hyperlink ref="K1256" r:id="rId1242" display="https://ppim-intra.pea.co.th:4434/request/PPIM19500B21" xr:uid="{50537A21-F770-4D8C-AF73-DD9A066B3F46}"/>
    <hyperlink ref="K1257" r:id="rId1243" display="https://ppim-intra.pea.co.th:4434/request/PPIM19500B28" xr:uid="{3C5F6E1E-D469-4F8A-8BA8-1DB2C4A9F752}"/>
    <hyperlink ref="K1258" r:id="rId1244" display="https://ppim-intra.pea.co.th:4434/request/PPIM19500B29" xr:uid="{7562ED25-5480-49C4-A01F-AFBA4C1C99E2}"/>
    <hyperlink ref="K1259" r:id="rId1245" display="https://ppim-intra.pea.co.th:4434/request/PPIM19500B2C" xr:uid="{B6C1A190-18A6-4F57-AEAC-0552A4A9287F}"/>
    <hyperlink ref="K1260" r:id="rId1246" display="https://ppim-intra.pea.co.th:4434/request/PPIM19500B2D" xr:uid="{370BB970-9679-4F2F-876C-033497C56751}"/>
    <hyperlink ref="K1261" r:id="rId1247" display="https://ppim-intra.pea.co.th:4434/request/PPIM19500B35" xr:uid="{30A71973-DCF2-40C3-BE94-855BCC996A05}"/>
    <hyperlink ref="K1262" r:id="rId1248" display="https://ppim-intra.pea.co.th:4434/request/PPIM19500971" xr:uid="{94A7DB2D-2476-4366-974F-A7B2761ECB73}"/>
    <hyperlink ref="K1263" r:id="rId1249" display="https://ppim-intra.pea.co.th:4434/request/PPIM19500A2F" xr:uid="{59793E0A-513B-43E8-9EF2-69F252C83C39}"/>
    <hyperlink ref="K1264" r:id="rId1250" display="https://ppim-intra.pea.co.th:4434/request/PPIM19500B5A" xr:uid="{E41F1707-3EBB-44DA-B4B2-FF04BB6D72CA}"/>
    <hyperlink ref="K1265" r:id="rId1251" display="https://ppim-intra.pea.co.th:4434/request/PPIM19500B72" xr:uid="{9269D984-BCFF-415A-943E-F13358FFD972}"/>
    <hyperlink ref="K1266" r:id="rId1252" display="https://ppim-intra.pea.co.th:4434/request/PPIM19500B73" xr:uid="{7691CC47-D00C-41C7-AE41-EF81FB05988E}"/>
    <hyperlink ref="K1267" r:id="rId1253" display="https://ppim-intra.pea.co.th:4434/request/PPIM195006D8" xr:uid="{6E7D7415-97B8-4D24-914B-4136BA4DB0A1}"/>
    <hyperlink ref="K1268" r:id="rId1254" display="https://ppim-intra.pea.co.th:4434/request/PPIM19500B78" xr:uid="{9874FBD9-9880-4241-8611-E3EEE4DA5B18}"/>
    <hyperlink ref="K1269" r:id="rId1255" display="https://ppim-intra.pea.co.th:4434/request/PPIM19500B79" xr:uid="{24A5B79D-738F-45A5-9255-A4A168974D49}"/>
    <hyperlink ref="K1270" r:id="rId1256" display="https://ppim-intra.pea.co.th:4434/request/PPIM19500B7B" xr:uid="{6CB662C1-04C7-433C-9277-EE567CD4B43B}"/>
    <hyperlink ref="K1271" r:id="rId1257" display="https://ppim-intra.pea.co.th:4434/request/PPIM19500B7D" xr:uid="{4E656A02-727B-42FF-8986-214ED5D6C2EB}"/>
    <hyperlink ref="K1272" r:id="rId1258" display="https://ppim-intra.pea.co.th:4434/request/PPIM19500474" xr:uid="{2E995D47-8472-4C04-8527-79D06D755138}"/>
    <hyperlink ref="K1273" r:id="rId1259" display="https://ppim-intra.pea.co.th:4434/request/PPIM1950083E" xr:uid="{895312ED-C304-468F-988B-A79F97943D6C}"/>
    <hyperlink ref="K1274" r:id="rId1260" display="https://ppim-intra.pea.co.th:4434/request/PPIM19500B9D" xr:uid="{EBC938B7-E4BF-4C69-B8E9-78AE86A64D07}"/>
    <hyperlink ref="K1275" r:id="rId1261" display="https://ppim-intra.pea.co.th:4434/request/PPIM19500BB0" xr:uid="{779B0CA2-4E73-497A-ABD1-B5427A4BEA68}"/>
    <hyperlink ref="K1276" r:id="rId1262" display="https://ppim-intra.pea.co.th:4434/request/PPIM19500BC2" xr:uid="{F28F0FDE-0241-4EA4-B385-89F57D9E7922}"/>
    <hyperlink ref="K1277" r:id="rId1263" display="https://ppim-intra.pea.co.th:4434/request/PPIM19500BC7" xr:uid="{B79F29EE-B259-4F38-A388-FC324B036AAF}"/>
    <hyperlink ref="K1278" r:id="rId1264" display="https://ppim-intra.pea.co.th:4434/request/PPIM19500A65" xr:uid="{C5EA8263-906E-4CF3-A539-01FED748AC7B}"/>
    <hyperlink ref="K1279" r:id="rId1265" display="https://ppim-intra.pea.co.th:4434/request/PPIM19500BDE" xr:uid="{D0230178-3C9B-4C4F-B961-CE67F2175A60}"/>
    <hyperlink ref="K1280" r:id="rId1266" display="https://ppim-intra.pea.co.th:4434/request/PPIM195004F0" xr:uid="{6601CA67-B06B-4E6B-B5BD-7298165D1C96}"/>
    <hyperlink ref="K1281" r:id="rId1267" display="https://ppim-intra.pea.co.th:4434/request/PPIM19500B0A" xr:uid="{B4DD9F6B-B825-4F4A-81D2-B1A9630119CF}"/>
    <hyperlink ref="K1282" r:id="rId1268" display="https://ppim-intra.pea.co.th:4434/request/PPIM19500BE6" xr:uid="{E22CE567-3CB6-4B9F-8A71-5CB3E7EE10E1}"/>
    <hyperlink ref="K1283" r:id="rId1269" display="https://ppim-intra.pea.co.th:4434/request/PPIM19500A13" xr:uid="{6FC8DD4C-FB24-46F5-BC7E-28E770592D10}"/>
    <hyperlink ref="K1284" r:id="rId1270" display="https://ppim-intra.pea.co.th:4434/request/PPIM19500BF9" xr:uid="{DDC812C0-DCFB-4B23-B466-F738719D758B}"/>
    <hyperlink ref="K1285" r:id="rId1271" display="https://ppim-intra.pea.co.th:4434/request/PPIM19500C22" xr:uid="{D3D2505A-2355-49C0-8DAE-B16743D7FD91}"/>
    <hyperlink ref="K1286" r:id="rId1272" display="https://ppim-intra.pea.co.th:4434/request/PPIM19500C30" xr:uid="{F784E41A-5DD5-4995-8246-D7C730A72976}"/>
    <hyperlink ref="K1287" r:id="rId1273" display="https://ppim-intra.pea.co.th:4434/request/PPIM185011C7" xr:uid="{84A7A31C-439F-44F8-B1F4-DADAC3EF7204}"/>
    <hyperlink ref="K1288" r:id="rId1274" display="https://ppim-intra.pea.co.th:4434/request/PPIM19500C40" xr:uid="{BB584097-2BFE-476F-8367-B7121F40D627}"/>
    <hyperlink ref="K1289" r:id="rId1275" display="https://ppim-intra.pea.co.th:4434/request/PPIM1850490F" xr:uid="{503B47A5-AE78-4D7E-9787-D1419F411B36}"/>
    <hyperlink ref="K1290" r:id="rId1276" display="https://ppim-intra.pea.co.th:4434/request/PPIM18504860" xr:uid="{A3E4AF12-8143-4117-AA8C-815EAA26FDC9}"/>
    <hyperlink ref="K1291" r:id="rId1277" display="https://ppim-intra.pea.co.th:4434/request/PPIM19500C44" xr:uid="{2D81B286-4A1A-430D-8D27-DE38A2E46D09}"/>
    <hyperlink ref="K1292" r:id="rId1278" display="https://ppim-intra.pea.co.th:4434/request/PPIM19500C5D" xr:uid="{61411E85-F8F0-4176-AB8B-34998702C007}"/>
    <hyperlink ref="K1293" r:id="rId1279" display="https://ppim-intra.pea.co.th:4434/request/PPIM19500C63" xr:uid="{9DE02BB1-B050-4D0F-944B-B67CDF8D56B9}"/>
    <hyperlink ref="K1294" r:id="rId1280" display="https://ppim-intra.pea.co.th:4434/request/PPIM19500C68" xr:uid="{1C0006F1-A9DE-43CF-A0B6-2BFFD6E33994}"/>
    <hyperlink ref="K1295" r:id="rId1281" display="https://ppim-intra.pea.co.th:4434/request/PPIM19500C73" xr:uid="{E3F0A1FD-58C5-4D38-B0CA-EB5AB480CAAB}"/>
    <hyperlink ref="K1296" r:id="rId1282" display="https://ppim-intra.pea.co.th:4434/request/PPIM19500A2D" xr:uid="{3BEA78F7-00F5-41D5-AFD1-962452CE452A}"/>
    <hyperlink ref="K1297" r:id="rId1283" display="https://ppim-intra.pea.co.th:4434/request/PPIM19500C8B" xr:uid="{609F1868-7765-4AB8-8E12-9E2F413F8AC5}"/>
    <hyperlink ref="K1298" r:id="rId1284" display="https://ppim-intra.pea.co.th:4434/request/PPIM19500AFF" xr:uid="{272B392A-5FF7-49EE-BD29-9F3A2C066244}"/>
    <hyperlink ref="K1299" r:id="rId1285" display="https://ppim-intra.pea.co.th:4434/request/PPIM19500C9F" xr:uid="{3AB5C1DD-26D9-4C5F-9C44-9CC0A3A5C485}"/>
    <hyperlink ref="K1300" r:id="rId1286" display="https://ppim-intra.pea.co.th:4434/request/PPIM19500ABC" xr:uid="{DDEDAF22-A240-4A57-B84C-43A5B65A9101}"/>
    <hyperlink ref="K1302" r:id="rId1287" display="https://ppim-intra.pea.co.th:4434/request/PPIM19500CC0" xr:uid="{51263C51-7E2B-4A30-8E99-24302583D56A}"/>
    <hyperlink ref="K1303" r:id="rId1288" display="https://ppim-intra.pea.co.th:4434/request/PPIM19500CC4" xr:uid="{43AFF246-0AD8-454C-BBA0-FB76C5043C19}"/>
    <hyperlink ref="K1304" r:id="rId1289" display="https://ppim-intra.pea.co.th:4434/request/PPIM19500D08" xr:uid="{F61C3A36-A328-454D-BDFA-0F21E36CF0D9}"/>
    <hyperlink ref="K1305" r:id="rId1290" display="https://ppim-intra.pea.co.th:4434/request/PPIM19500D10" xr:uid="{7736E8A0-BD18-45CC-A816-2D4BD6620644}"/>
    <hyperlink ref="K1306" r:id="rId1291" display="https://ppim-intra.pea.co.th:4434/request/PPIM19500778" xr:uid="{6FED6BBB-1468-441F-9BAC-DCA2BA154E5C}"/>
    <hyperlink ref="K1307" r:id="rId1292" display="https://ppim-intra.pea.co.th:4434/request/PPIM19500D1A" xr:uid="{86467F45-F96B-4C00-8919-7378B563732E}"/>
    <hyperlink ref="K1308" r:id="rId1293" display="https://ppim-intra.pea.co.th:4434/request/PPIM19500D22" xr:uid="{9FD92F77-5854-4D88-88E4-E5DA7BF01D38}"/>
    <hyperlink ref="K1309" r:id="rId1294" display="https://ppim-intra.pea.co.th:4434/request/PPIM19500D31" xr:uid="{2EDEB155-7D9F-4828-AEF7-21AE22057313}"/>
    <hyperlink ref="K1310" r:id="rId1295" display="https://ppim-intra.pea.co.th:4434/request/PPIM19500D4F" xr:uid="{4CA48922-201B-4710-A92E-06CE71138603}"/>
    <hyperlink ref="K1311" r:id="rId1296" display="https://ppim-intra.pea.co.th:4434/request/PPIM19500D53" xr:uid="{1EB3C59C-8A19-438A-A2DE-138CDE0954C0}"/>
    <hyperlink ref="K1312" r:id="rId1297" display="https://ppim-intra.pea.co.th:4434/request/PPIM19500D72" xr:uid="{D5C6A76F-271C-4D06-8992-F60AF1379D7C}"/>
    <hyperlink ref="K1313" r:id="rId1298" display="https://ppim-intra.pea.co.th:4434/request/PPIM1950000C" xr:uid="{FA2D21BA-90D7-4869-915B-528C6F7DB594}"/>
    <hyperlink ref="K1314" r:id="rId1299" display="https://ppim-intra.pea.co.th:4434/request/PPIM195006A4" xr:uid="{A005D152-98D7-4A29-8C3C-7041549D8488}"/>
    <hyperlink ref="K1315" r:id="rId1300" display="https://ppim-intra.pea.co.th:4434/request/PPIM19500564" xr:uid="{AD651BA9-B60C-4937-A2F0-A0F4F5F077D0}"/>
    <hyperlink ref="K1316" r:id="rId1301" display="https://ppim-intra.pea.co.th:4434/request/PPIM19500D92" xr:uid="{F900A972-3053-435A-ACBC-E2251C9A13B0}"/>
    <hyperlink ref="K1317" r:id="rId1302" display="https://ppim-intra.pea.co.th:4434/request/PPIM19500DA7" xr:uid="{EB7CC083-A5CA-4E7A-B081-F910E22B4E12}"/>
    <hyperlink ref="K1318" r:id="rId1303" display="https://ppim-intra.pea.co.th:4434/request/PPIM19500DB2" xr:uid="{6ED4430D-BCEC-4D6A-A074-BFE2437486F9}"/>
    <hyperlink ref="K1319" r:id="rId1304" display="https://ppim-intra.pea.co.th:4434/request/PPIM19500DE8" xr:uid="{5A7222C9-666D-4E41-9A82-49DF56EC0BDF}"/>
    <hyperlink ref="K1320" r:id="rId1305" display="https://ppim-intra.pea.co.th:4434/request/PPIM19500C86" xr:uid="{B789BAF3-0642-4B25-B7DF-E908B2E952CF}"/>
    <hyperlink ref="K1321" r:id="rId1306" display="https://ppim-intra.pea.co.th:4434/request/PPIM19500DEB" xr:uid="{A2757908-F6F4-43B3-A6FF-367E6E1CED76}"/>
    <hyperlink ref="K1322" r:id="rId1307" display="https://ppim-intra.pea.co.th:4434/request/PPIM19500C27" xr:uid="{789D37FB-5E91-44CC-86FC-45B8AA57DA50}"/>
    <hyperlink ref="K1323" r:id="rId1308" display="https://ppim-intra.pea.co.th:4434/request/PPIM19500DED" xr:uid="{AED0F1DC-9C77-42A2-BBDE-F3AD65EA3E10}"/>
    <hyperlink ref="K1324" r:id="rId1309" display="https://ppim-intra.pea.co.th:4434/request/PPIM19500C26" xr:uid="{6BC560AC-1589-4F55-8D10-2EE4D11C9E48}"/>
    <hyperlink ref="K1325" r:id="rId1310" display="https://ppim-intra.pea.co.th:4434/request/PPIM19500DEF" xr:uid="{BDC1AA85-C11B-465D-90E3-F31F30AD9B26}"/>
    <hyperlink ref="K1326" r:id="rId1311" display="https://ppim-intra.pea.co.th:4434/request/PPIM19500DF2" xr:uid="{DFC2BC7F-0FB2-4801-9570-F7BAB3723CD8}"/>
    <hyperlink ref="K1327" r:id="rId1312" display="https://ppim-intra.pea.co.th:4434/request/PPIM19500DF3" xr:uid="{32484056-1848-470B-B862-B5F6E7278127}"/>
    <hyperlink ref="K1328" r:id="rId1313" display="https://ppim-intra.pea.co.th:4434/request/PPIM19500DF4" xr:uid="{F27AB511-8C29-4D4B-8FC6-5E7257D08E7D}"/>
    <hyperlink ref="K1329" r:id="rId1314" display="https://ppim-intra.pea.co.th:4434/request/PPIM19500DF5" xr:uid="{9464733C-18CA-4086-9E1E-B79BDA3ACD19}"/>
    <hyperlink ref="K1330" r:id="rId1315" display="https://ppim-intra.pea.co.th:4434/request/PPIM19500DF7" xr:uid="{BA6A9E2C-AB50-4586-B66E-0AABF9B0E17A}"/>
    <hyperlink ref="K1331" r:id="rId1316" display="https://ppim-intra.pea.co.th:4434/request/PPIM19500DFA" xr:uid="{30D0203D-F2C8-422B-A027-7E78221C7B2C}"/>
    <hyperlink ref="K1332" r:id="rId1317" display="https://ppim-intra.pea.co.th:4434/request/PPIM19500DFE" xr:uid="{226E9A52-1D0F-4A73-9895-3EC4E6DCD8B8}"/>
    <hyperlink ref="K1333" r:id="rId1318" display="https://ppim-intra.pea.co.th:4434/request/PPIM19500E02" xr:uid="{4A447B19-0016-4AB3-844D-1CB82BB397DE}"/>
    <hyperlink ref="K1334" r:id="rId1319" display="https://ppim-intra.pea.co.th:4434/request/PPIM19500E05" xr:uid="{88DC16BA-6945-42A7-BDB1-5961C233C5F3}"/>
    <hyperlink ref="K1335" r:id="rId1320" display="https://ppim-intra.pea.co.th:4434/request/PPIM19500E0E" xr:uid="{441CFE20-613A-4ECB-A928-04E5B92BE869}"/>
    <hyperlink ref="K1336" r:id="rId1321" display="https://ppim-intra.pea.co.th:4434/request/PPIM19500E0F" xr:uid="{311365F9-9F11-4918-B857-B6B057FBFDF4}"/>
    <hyperlink ref="K1337" r:id="rId1322" display="https://ppim-intra.pea.co.th:4434/request/PPIM19500E10" xr:uid="{14DF51DA-13E3-4A61-ADF4-1B82AD986C14}"/>
    <hyperlink ref="K1338" r:id="rId1323" display="https://ppim-intra.pea.co.th:4434/request/PPIM19500E11" xr:uid="{F0FA9C26-A3CE-4422-8013-E70ADC51589C}"/>
    <hyperlink ref="K1339" r:id="rId1324" display="https://ppim-intra.pea.co.th:4434/request/PPIM19500E12" xr:uid="{3EA012F5-12D4-400D-B00C-4C48D9E2C944}"/>
    <hyperlink ref="K1340" r:id="rId1325" display="https://ppim-intra.pea.co.th:4434/request/PPIM19500E13" xr:uid="{77D38B04-1364-4B1F-8FFA-EF0E1AD052FA}"/>
    <hyperlink ref="K1341" r:id="rId1326" display="https://ppim-intra.pea.co.th:4434/request/PPIM19500E16" xr:uid="{F0D38F6C-EFF5-41C1-86E3-AFA0F20F294C}"/>
    <hyperlink ref="K1342" r:id="rId1327" display="https://ppim-intra.pea.co.th:4434/request/PPIM19500E19" xr:uid="{45B7AC7C-AFDD-4BC3-8BBB-1925787133A2}"/>
    <hyperlink ref="K1343" r:id="rId1328" display="https://ppim-intra.pea.co.th:4434/request/PPIM19500E1D" xr:uid="{4A63CCB6-4627-4988-A17F-82AA2D531484}"/>
    <hyperlink ref="K1344" r:id="rId1329" display="https://ppim-intra.pea.co.th:4434/request/PPIM19500A97" xr:uid="{DCCE9E24-56EC-4258-8A2A-0D8890073CF0}"/>
    <hyperlink ref="K1345" r:id="rId1330" display="https://ppim-intra.pea.co.th:4434/request/PPIM19500E37" xr:uid="{D59575A9-92A2-48C3-8B09-51A76000070C}"/>
    <hyperlink ref="K1346" r:id="rId1331" display="https://ppim-intra.pea.co.th:4434/request/PPIM19500E07" xr:uid="{34A4FD83-2AC1-4275-8FC7-8BF52D84F5E1}"/>
    <hyperlink ref="K1347" r:id="rId1332" display="https://ppim-intra.pea.co.th:4434/request/PPIM19500E09" xr:uid="{C5F83743-54CB-40FD-8235-6AE82382FEB4}"/>
    <hyperlink ref="K1348" r:id="rId1333" display="https://ppim-intra.pea.co.th:4434/request/PPIM185042CF" xr:uid="{8DE91634-BFCE-4691-A760-CCEA933F88F7}"/>
    <hyperlink ref="K1349" r:id="rId1334" display="https://ppim-intra.pea.co.th:4434/request/PPIM19500E4F" xr:uid="{C91579CE-0042-4BF5-908E-61862B507845}"/>
    <hyperlink ref="K1350" r:id="rId1335" display="https://ppim-intra.pea.co.th:4434/request/PPIM19500E50" xr:uid="{E50A0E5F-BAD4-4C91-A51E-70D46BAC641D}"/>
    <hyperlink ref="K1351" r:id="rId1336" display="https://ppim-intra.pea.co.th:4434/request/PPIM19500E56" xr:uid="{5867629F-3B89-4959-B234-F0886DF56F3F}"/>
    <hyperlink ref="K1352" r:id="rId1337" display="https://ppim-intra.pea.co.th:4434/request/PPIM19500E57" xr:uid="{8862199C-8991-4A0C-88A3-C636B3D9BDC8}"/>
    <hyperlink ref="K1353" r:id="rId1338" display="https://ppim-intra.pea.co.th:4434/request/PPIM19500E62" xr:uid="{ADACFE3D-44B3-4315-A34D-AB83912EB5A8}"/>
    <hyperlink ref="K1354" r:id="rId1339" display="https://ppim-intra.pea.co.th:4434/request/PPIM19500E65" xr:uid="{49F0A1D6-BECA-4FBA-90EC-2BAC67A38F43}"/>
    <hyperlink ref="K1355" r:id="rId1340" display="https://ppim-intra.pea.co.th:4434/request/PPIM19500E66" xr:uid="{FB3799CB-FB78-45B5-B962-AC6BB96CF3D8}"/>
    <hyperlink ref="K1356" r:id="rId1341" display="https://ppim-intra.pea.co.th:4434/request/PPIM19500E69" xr:uid="{AB3C63C7-0CC4-4A13-A366-98EA20573866}"/>
    <hyperlink ref="K1357" r:id="rId1342" display="https://ppim-intra.pea.co.th:4434/request/PPIM19500E6A" xr:uid="{FFF9B54D-99C5-4469-89D6-C13D183C7A7F}"/>
    <hyperlink ref="K1358" r:id="rId1343" display="https://ppim-intra.pea.co.th:4434/request/PPIM19500E6B" xr:uid="{C4CEC684-0BEE-4A2B-9EBC-4D2BB846F04A}"/>
    <hyperlink ref="K1359" r:id="rId1344" display="https://ppim-intra.pea.co.th:4434/request/PPIM19500E7C" xr:uid="{D7C0AD5C-208E-414A-849D-2D0C60918C23}"/>
    <hyperlink ref="K1360" r:id="rId1345" display="https://ppim-intra.pea.co.th:4434/request/PPIM19500E88" xr:uid="{D1CE4A44-71FC-4B23-BE79-F9B5BFE4AA9F}"/>
    <hyperlink ref="K1361" r:id="rId1346" display="https://ppim-intra.pea.co.th:4434/request/PPIM19500E8E" xr:uid="{612608A5-A820-42EE-988E-D2DCAE5773AA}"/>
    <hyperlink ref="K1362" r:id="rId1347" display="https://ppim-intra.pea.co.th:4434/request/PPIM1850041B" xr:uid="{546060B2-72B1-4DFE-8A68-807CAE7F1016}"/>
    <hyperlink ref="K1363" r:id="rId1348" display="https://ppim-intra.pea.co.th:4434/request/PPIM19500E81" xr:uid="{4DECB8DC-C12E-46A4-BE7F-F97D75E3D1C0}"/>
    <hyperlink ref="K1364" r:id="rId1349" display="https://ppim-intra.pea.co.th:4434/request/PPIM19500E78" xr:uid="{F5A63C4D-F9F4-4C3F-88CC-7EA4512C2CBB}"/>
    <hyperlink ref="K1365" r:id="rId1350" display="https://ppim-intra.pea.co.th:4434/request/PPIM19500EB2" xr:uid="{D6451580-78F8-43E0-AB0A-5DCE7D16FB45}"/>
    <hyperlink ref="K1366" r:id="rId1351" display="https://ppim-intra.pea.co.th:4434/request/PPIM19500EDF" xr:uid="{536A4BAA-E99D-4FA3-A902-C3E1B4A185F4}"/>
    <hyperlink ref="K1367" r:id="rId1352" display="https://ppim-intra.pea.co.th:4434/request/PPIM19500335" xr:uid="{297E59C2-CE7B-4E91-9950-EBAE10F4EB90}"/>
    <hyperlink ref="K1368" r:id="rId1353" display="https://ppim-intra.pea.co.th:4434/request/PPIM19500EE2" xr:uid="{5D2A441D-9C77-4444-B3BD-31A3C38E8B77}"/>
    <hyperlink ref="K1369" r:id="rId1354" display="https://ppim-intra.pea.co.th:4434/request/PPIM19500F13" xr:uid="{DE62D61C-B121-4FE0-9DDC-6F59EB05323E}"/>
    <hyperlink ref="K1370" r:id="rId1355" display="https://ppim-intra.pea.co.th:4434/request/PPIM19500C69" xr:uid="{238927EB-BBB7-4818-98DF-40A826A7660B}"/>
    <hyperlink ref="K1371" r:id="rId1356" display="https://ppim-intra.pea.co.th:4434/request/PPIM19500AE7" xr:uid="{5E632332-603B-4DE0-AF96-0BA9D081CDB1}"/>
    <hyperlink ref="K1372" r:id="rId1357" display="https://ppim-intra.pea.co.th:4434/request/PPIM19500F36" xr:uid="{E8A3DECB-50BE-4A0B-9513-98153555A864}"/>
    <hyperlink ref="K1373" r:id="rId1358" display="https://ppim-intra.pea.co.th:4434/request/PPIM19500C72" xr:uid="{468FC353-FDC9-4151-BFF0-567B59462DB2}"/>
    <hyperlink ref="K1374" r:id="rId1359" display="https://ppim-intra.pea.co.th:4434/request/PPIM19500F4F" xr:uid="{B31991FD-0B92-44F6-A202-062B800DF068}"/>
    <hyperlink ref="K1375" r:id="rId1360" display="https://ppim-intra.pea.co.th:4434/request/PPIM19500C56" xr:uid="{E2722C5C-2836-442D-B13E-13013D6536A4}"/>
    <hyperlink ref="K1376" r:id="rId1361" display="https://ppim-intra.pea.co.th:4434/request/PPIM1950025A" xr:uid="{85818C4F-CDC6-44B3-99BD-ACEC0157CBB9}"/>
    <hyperlink ref="K1377" r:id="rId1362" display="https://ppim-intra.pea.co.th:4434/request/PPIM19500F7F" xr:uid="{BEBA6670-0BF1-4A2A-A3E2-7E7A7766EFE2}"/>
    <hyperlink ref="K1378" r:id="rId1363" display="https://ppim-intra.pea.co.th:4434/request/PPIM19500C7E" xr:uid="{9B206E2E-39ED-4518-8491-060D911A9CA3}"/>
    <hyperlink ref="K1379" r:id="rId1364" display="https://ppim-intra.pea.co.th:4434/request/PPIM19500144" xr:uid="{B064B956-8F87-480F-9507-69F45BAB4C83}"/>
    <hyperlink ref="K1380" r:id="rId1365" display="https://ppim-intra.pea.co.th:4434/request/PPIM19500C76" xr:uid="{ED83A118-57C1-4BD4-B267-7301C9FF99B5}"/>
    <hyperlink ref="K1381" r:id="rId1366" display="https://ppim-intra.pea.co.th:4434/request/PPIM185025CD" xr:uid="{D8C4446B-2954-498B-A929-81FB17F79E76}"/>
    <hyperlink ref="K1382" r:id="rId1367" display="https://ppim-intra.pea.co.th:4434/request/PPIM19500FCB" xr:uid="{CC4C40D5-0F8F-4CF4-BA8C-C448864372A2}"/>
    <hyperlink ref="K1383" r:id="rId1368" display="https://ppim-intra.pea.co.th:4434/request/PPIM19500FCD" xr:uid="{BB0FEFFF-0396-49BB-971A-DCCDE24E174F}"/>
    <hyperlink ref="K1384" r:id="rId1369" display="https://ppim-intra.pea.co.th:4434/request/PPIM195001C7" xr:uid="{7ADC698C-3335-4EA2-9451-F47C5BB09F90}"/>
    <hyperlink ref="K1385" r:id="rId1370" display="https://ppim-intra.pea.co.th:4434/request/PPIM18504706" xr:uid="{2661680D-1F10-4CFA-9912-2FEABCD87EEA}"/>
    <hyperlink ref="K1386" r:id="rId1371" display="https://ppim-intra.pea.co.th:4434/request/PPIM19500FEC" xr:uid="{3655E000-2AE1-497E-9F65-DC5F8AFC81E2}"/>
    <hyperlink ref="K1387" r:id="rId1372" display="https://ppim-intra.pea.co.th:4434/request/PPIM19500A7A" xr:uid="{4F39BBEC-4E8C-4F27-B213-B3C743A523A1}"/>
    <hyperlink ref="K1388" r:id="rId1373" display="https://ppim-intra.pea.co.th:4434/request/PPIM19500FF8" xr:uid="{76656126-8E98-4B59-A7DE-2B104B01B3A7}"/>
    <hyperlink ref="K1389" r:id="rId1374" display="https://ppim-intra.pea.co.th:4434/request/PPIM1950013C" xr:uid="{B7544CEC-5F7F-4421-8E56-48B6668C5B08}"/>
    <hyperlink ref="K1390" r:id="rId1375" display="https://ppim-intra.pea.co.th:4434/request/PPIM19500076" xr:uid="{81E8BE7D-C90F-4F9F-8EAE-CA8566D78771}"/>
    <hyperlink ref="K1391" r:id="rId1376" display="https://ppim-intra.pea.co.th:4434/request/PPIM19501022" xr:uid="{5E170EE4-BAD2-4AA6-84B0-582F09809716}"/>
    <hyperlink ref="K1392" r:id="rId1377" display="https://ppim-intra.pea.co.th:4434/request/PPIM1950102D" xr:uid="{B88F7563-76F0-4DD9-AD43-B880E96B6D23}"/>
    <hyperlink ref="K1393" r:id="rId1378" display="https://ppim-intra.pea.co.th:4434/request/PPIM19500BA6" xr:uid="{186C5AA4-4704-4C14-A4F5-70C028C50796}"/>
    <hyperlink ref="K1394" r:id="rId1379" display="https://ppim-intra.pea.co.th:4434/request/PPIM19501052" xr:uid="{3BEF360C-3E08-4B45-A8FA-47965DFD8AE6}"/>
    <hyperlink ref="K1395" r:id="rId1380" display="https://ppim-intra.pea.co.th:4434/request/PPIM19501058" xr:uid="{A15F8960-E61B-482A-BD4F-96D363EE0808}"/>
    <hyperlink ref="K1396" r:id="rId1381" display="https://ppim-intra.pea.co.th:4434/request/PPIM1950105A" xr:uid="{495338F4-8594-4897-B3AF-42733F42C7D6}"/>
    <hyperlink ref="K1397" r:id="rId1382" display="https://ppim-intra.pea.co.th:4434/request/PPIM19500443" xr:uid="{CD4411A5-1553-4EBA-8A7D-0AF878F3EB95}"/>
    <hyperlink ref="K1398" r:id="rId1383" display="https://ppim-intra.pea.co.th:4434/request/PPIM1950106C" xr:uid="{3334F01A-56B4-4F69-86E2-BC44F52998AC}"/>
    <hyperlink ref="K1399" r:id="rId1384" display="https://ppim-intra.pea.co.th:4434/request/PPIM19501080" xr:uid="{7C898486-17D5-465F-8AFB-3742A4CC6C6C}"/>
    <hyperlink ref="K1400" r:id="rId1385" display="https://ppim-intra.pea.co.th:4434/request/PPIM1950109D" xr:uid="{5DE2588F-869E-4781-998D-1D1747CBA773}"/>
    <hyperlink ref="K1402" r:id="rId1386" display="https://ppim-intra.pea.co.th:4434/request/PPIM195010B1" xr:uid="{586FD334-6981-4700-8BE0-A586ADF497BB}"/>
    <hyperlink ref="K1403" r:id="rId1387" display="https://ppim-intra.pea.co.th:4434/request/PPIM195010B5" xr:uid="{5341E549-0C87-45E8-9BA8-2AD031032B3C}"/>
    <hyperlink ref="K1404" r:id="rId1388" display="https://ppim-intra.pea.co.th:4434/request/PPIM195010B8" xr:uid="{B0822928-78A2-45AB-BEF9-ACFA7E61ED1F}"/>
    <hyperlink ref="K1405" r:id="rId1389" display="https://ppim-intra.pea.co.th:4434/request/PPIM195003BB" xr:uid="{62917196-8CE6-46BE-8F91-D6ACA31FA0A2}"/>
    <hyperlink ref="K1406" r:id="rId1390" display="https://ppim-intra.pea.co.th:4434/request/PPIM19500E3B" xr:uid="{C9CA5669-E4ED-40DF-B91C-E25709E4E10D}"/>
    <hyperlink ref="K1407" r:id="rId1391" display="https://ppim-intra.pea.co.th:4434/request/PPIM195010C2" xr:uid="{FC529991-1166-464E-ABC6-FBB2697BDF4F}"/>
    <hyperlink ref="K1408" r:id="rId1392" display="https://ppim-intra.pea.co.th:4434/request/PPIM195010C7" xr:uid="{F898A51F-8738-47D4-A426-DBC5FEA9C45F}"/>
    <hyperlink ref="K1409" r:id="rId1393" display="https://ppim-intra.pea.co.th:4434/request/PPIM195010D8" xr:uid="{06B9AB80-E3A2-4971-970F-EE1125B03D87}"/>
    <hyperlink ref="K1410" r:id="rId1394" display="https://ppim-intra.pea.co.th:4434/request/PPIM1950110E" xr:uid="{6F246EB6-2B9F-49D4-AD5F-AD0DFC7C403A}"/>
    <hyperlink ref="K1411" r:id="rId1395" display="https://ppim-intra.pea.co.th:4434/request/PPIM19501118" xr:uid="{2EF97982-4DD5-460C-A9EA-49B8F20E4E44}"/>
    <hyperlink ref="K1412" r:id="rId1396" display="https://ppim-intra.pea.co.th:4434/request/PPIM1950111C" xr:uid="{9609CD26-4EF3-4034-BE5B-A54C1044B12D}"/>
    <hyperlink ref="K1413" r:id="rId1397" display="https://ppim-intra.pea.co.th:4434/request/PPIM19501127" xr:uid="{E77150B8-92FC-47EF-BB6C-AC52CCA577A0}"/>
    <hyperlink ref="K1414" r:id="rId1398" display="https://ppim-intra.pea.co.th:4434/request/PPIM1950112D" xr:uid="{41B2E6F4-24BD-4DE9-94E5-BC25E44C71DA}"/>
    <hyperlink ref="K1415" r:id="rId1399" display="https://ppim-intra.pea.co.th:4434/request/PPIM1950112F" xr:uid="{2ABD5AEC-5318-4B97-AFA7-4E52EFDB3883}"/>
    <hyperlink ref="K1416" r:id="rId1400" display="https://ppim-intra.pea.co.th:4434/request/PPIM19501144" xr:uid="{C7EE08A5-8580-4C7E-96B3-8C13FADAB173}"/>
    <hyperlink ref="K1417" r:id="rId1401" display="https://ppim-intra.pea.co.th:4434/request/PPIM19501145" xr:uid="{888F4BDF-AB8C-4C58-847C-267566BD9DC3}"/>
    <hyperlink ref="K1418" r:id="rId1402" display="https://ppim-intra.pea.co.th:4434/request/PPIM19501146" xr:uid="{0D914E8D-5247-4749-BA27-7D8D2CC8A15C}"/>
    <hyperlink ref="K1419" r:id="rId1403" display="https://ppim-intra.pea.co.th:4434/request/PPIM19500EE6" xr:uid="{06FBB4F7-74F0-4F8C-BFCD-1956654FC9BB}"/>
    <hyperlink ref="K1420" r:id="rId1404" display="https://ppim-intra.pea.co.th:4434/request/PPIM1850252F" xr:uid="{AA0F9378-B295-4A04-A369-C32454FBDDCA}"/>
    <hyperlink ref="K1421" r:id="rId1405" display="https://ppim-intra.pea.co.th:4434/request/PPIM19501149" xr:uid="{7DFF8FE6-99A8-49E6-9142-FEE51FB0B521}"/>
    <hyperlink ref="K1422" r:id="rId1406" display="https://ppim-intra.pea.co.th:4434/request/PPIM1950114C" xr:uid="{B8F3C1C2-4DB9-4B18-805C-CD62F1FBC1DC}"/>
    <hyperlink ref="K1423" r:id="rId1407" display="https://ppim-intra.pea.co.th:4434/request/PPIM1950114E" xr:uid="{B4B3830B-DCE9-489F-8D90-2996F68757DB}"/>
    <hyperlink ref="K1424" r:id="rId1408" display="https://ppim-intra.pea.co.th:4434/request/PPIM1950115F" xr:uid="{73086F53-D1C4-4FD6-A242-D6059141BCF7}"/>
    <hyperlink ref="K1425" r:id="rId1409" display="https://ppim-intra.pea.co.th:4434/request/PPIM19501161" xr:uid="{67E1C545-9051-4BFD-B9C6-9D9E89648B46}"/>
    <hyperlink ref="K1426" r:id="rId1410" display="https://ppim-intra.pea.co.th:4434/request/PPIM19501164" xr:uid="{939F8541-8E6E-4F5C-B707-39A96EF6042B}"/>
    <hyperlink ref="K1427" r:id="rId1411" display="https://ppim-intra.pea.co.th:4434/request/PPIM19501168" xr:uid="{C22F5964-AB73-46FA-8331-58DB9C1F1D55}"/>
    <hyperlink ref="K1428" r:id="rId1412" display="https://ppim-intra.pea.co.th:4434/request/PPIM19501169" xr:uid="{721D0CFD-EC9F-4A28-878B-84272C21EBCB}"/>
    <hyperlink ref="K1429" r:id="rId1413" display="https://ppim-intra.pea.co.th:4434/request/PPIM1950116C" xr:uid="{E7D170FE-8818-425B-AC21-48B6462BF00A}"/>
    <hyperlink ref="K1430" r:id="rId1414" display="https://ppim-intra.pea.co.th:4434/request/PPIM19501180" xr:uid="{A63A1A2A-C706-4C16-8728-BDCE22EE0696}"/>
    <hyperlink ref="K1431" r:id="rId1415" display="https://ppim-intra.pea.co.th:4434/request/PPIM19501195" xr:uid="{305AC7F9-7A8C-4FB3-A820-92EE4030A9C3}"/>
    <hyperlink ref="K1432" r:id="rId1416" display="https://ppim-intra.pea.co.th:4434/request/PPIM19501198" xr:uid="{FF8E701F-0247-454F-84A3-634AEC4514D2}"/>
    <hyperlink ref="K1433" r:id="rId1417" display="https://ppim-intra.pea.co.th:4434/request/PPIM185043A4" xr:uid="{BEF71C4F-F250-4B2E-B6F7-F9510EDC8625}"/>
    <hyperlink ref="K1434" r:id="rId1418" display="https://ppim-intra.pea.co.th:4434/request/PPIM195011A3" xr:uid="{3F721979-99E5-4CF5-BBD4-FB02ADFBD4D0}"/>
    <hyperlink ref="K1435" r:id="rId1419" display="https://ppim-intra.pea.co.th:4434/request/PPIM19500F19" xr:uid="{BE3CCB39-C1B2-41CB-B80D-E622E732F2DD}"/>
    <hyperlink ref="K1436" r:id="rId1420" display="https://ppim-intra.pea.co.th:4434/request/PPIM1950257C" xr:uid="{6654B816-2091-44CD-AFC3-6CB98CAF53E8}"/>
    <hyperlink ref="K1437" r:id="rId1421" display="https://ppim-intra.pea.co.th:4434/request/PPIM18504099" xr:uid="{407B4C03-9F7A-4380-8401-4AFBB62D547E}"/>
    <hyperlink ref="K1438" r:id="rId1422" display="https://ppim-intra.pea.co.th:4434/request/PPIM195011BB" xr:uid="{1B32CD78-7818-457C-B372-4A9CE24D1910}"/>
    <hyperlink ref="K1439" r:id="rId1423" display="https://ppim-intra.pea.co.th:4434/request/PPIM18504705" xr:uid="{89F6C86D-DA8B-4102-B20F-3707C4C57436}"/>
    <hyperlink ref="K1440" r:id="rId1424" display="https://ppim-intra.pea.co.th:4434/request/PPIM185013A9" xr:uid="{72D21781-9D49-448B-BDF3-B2E9A68D1B75}"/>
    <hyperlink ref="K1441" r:id="rId1425" display="https://ppim-intra.pea.co.th:4434/request/PPIM195001BA" xr:uid="{9D32D1A8-800F-40E3-BDCC-9BB9122921BA}"/>
    <hyperlink ref="K1442" r:id="rId1426" display="https://ppim-intra.pea.co.th:4434/request/PPIM195011DC" xr:uid="{7F9C2586-7C99-49C4-89B5-A524098ABDD1}"/>
    <hyperlink ref="K1443" r:id="rId1427" display="https://ppim-intra.pea.co.th:4434/request/PPIM195011E5" xr:uid="{6D344519-1EF9-48B4-A947-8D97D16925AB}"/>
    <hyperlink ref="K1444" r:id="rId1428" display="https://ppim-intra.pea.co.th:4434/request/PPIM195011F6" xr:uid="{6F212D78-ED9A-4CAD-B755-59A96CB6EECC}"/>
    <hyperlink ref="K1445" r:id="rId1429" display="https://ppim-intra.pea.co.th:4434/request/PPIM195011F8" xr:uid="{7472F9E9-BAC0-45B4-BDB1-839A2A57767F}"/>
    <hyperlink ref="K1446" r:id="rId1430" display="https://ppim-intra.pea.co.th:4434/request/PPIM19501208" xr:uid="{563C1D53-B889-412C-B4F6-48DA6596F509}"/>
    <hyperlink ref="K1447" r:id="rId1431" display="https://ppim-intra.pea.co.th:4434/request/PPIM1950011D" xr:uid="{62422971-568A-4ADB-A354-F8CE71E54E12}"/>
    <hyperlink ref="K1448" r:id="rId1432" display="https://ppim-intra.pea.co.th:4434/request/PPIM1950122B" xr:uid="{B36C8CE2-07BE-4D7E-9F77-EF9A5108B074}"/>
    <hyperlink ref="K1449" r:id="rId1433" display="https://ppim-intra.pea.co.th:4434/request/PPIM1950123B" xr:uid="{7FA99360-A5F9-43D4-9380-7E1E3486DBE6}"/>
    <hyperlink ref="K1450" r:id="rId1434" display="https://ppim-intra.pea.co.th:4434/request/PPIM19501241" xr:uid="{105AF498-B00B-4F98-8B93-B262B574A477}"/>
    <hyperlink ref="K1451" r:id="rId1435" display="https://ppim-intra.pea.co.th:4434/request/PPIM19501242" xr:uid="{B96CF589-BBC4-47D6-B1F5-42536727F6F5}"/>
    <hyperlink ref="K1452" r:id="rId1436" display="https://ppim-intra.pea.co.th:4434/request/PPIM19501249" xr:uid="{31BF816F-7DBA-4534-BCC6-C0836E8039FB}"/>
    <hyperlink ref="K1453" r:id="rId1437" display="https://ppim-intra.pea.co.th:4434/request/PPIM1950048A" xr:uid="{75828D66-7EDC-4192-9E35-BE8B6B8EF415}"/>
    <hyperlink ref="K1454" r:id="rId1438" display="https://ppim-intra.pea.co.th:4434/request/PPIM19501260" xr:uid="{CE4F74FE-1947-4B98-8884-5F83819DFAE9}"/>
    <hyperlink ref="K1455" r:id="rId1439" display="https://ppim-intra.pea.co.th:4434/request/PPIM19501288" xr:uid="{B042836F-F29C-4BE8-A362-22329D83EDB1}"/>
    <hyperlink ref="K1456" r:id="rId1440" display="https://ppim-intra.pea.co.th:4434/request/PPIM19501296" xr:uid="{D7902346-5EAC-41C4-9D0A-B89A802F7564}"/>
    <hyperlink ref="K1457" r:id="rId1441" display="https://ppim-intra.pea.co.th:4434/request/PPIM195012B3" xr:uid="{FEA2671F-7B1C-4FB0-93BC-ADD9702EBF0D}"/>
    <hyperlink ref="K1458" r:id="rId1442" display="https://ppim-intra.pea.co.th:4434/request/PPIM195012DD" xr:uid="{DB1305F8-ED7C-49B7-B8CA-18AA148F5916}"/>
    <hyperlink ref="K1459" r:id="rId1443" display="https://ppim-intra.pea.co.th:4434/request/PPIM195012F4" xr:uid="{4EB9157D-2AC0-4707-BB95-CC538F4F0E49}"/>
    <hyperlink ref="K1460" r:id="rId1444" display="https://ppim-intra.pea.co.th:4434/request/PPIM195012F5" xr:uid="{93CB2518-17EB-4AF3-B7DE-204480FC4BBA}"/>
    <hyperlink ref="K1461" r:id="rId1445" display="https://ppim-intra.pea.co.th:4434/request/PPIM1950130D" xr:uid="{977D2F41-D8F3-464C-ADB0-6D42F2347CA4}"/>
    <hyperlink ref="K1462" r:id="rId1446" display="https://ppim-intra.pea.co.th:4434/request/PPIM19501313" xr:uid="{46E90204-838F-40B9-88F3-FC87EE0EA828}"/>
    <hyperlink ref="K1463" r:id="rId1447" display="https://ppim-intra.pea.co.th:4434/request/PPIM1950131C" xr:uid="{C203468B-B840-45B1-AFAF-9BFC73464D7A}"/>
    <hyperlink ref="K1464" r:id="rId1448" display="https://ppim-intra.pea.co.th:4434/request/PPIM195011B4" xr:uid="{D68FFDA3-81CE-418E-A03D-CDAC9D15E6B0}"/>
    <hyperlink ref="K1465" r:id="rId1449" display="https://ppim-intra.pea.co.th:4434/request/PPIM1950134C" xr:uid="{BDE57A4C-43EB-4005-9041-E1F7F323FC43}"/>
    <hyperlink ref="K1466" r:id="rId1450" display="https://ppim-intra.pea.co.th:4434/request/PPIM1950134D" xr:uid="{A2DD6821-0D71-4BFC-8F87-A5C34EE92B37}"/>
    <hyperlink ref="K1467" r:id="rId1451" display="https://ppim-intra.pea.co.th:4434/request/PPIM19501351" xr:uid="{ACC51F5C-A64C-43AA-988F-3641BEFF1D38}"/>
    <hyperlink ref="K1468" r:id="rId1452" display="https://ppim-intra.pea.co.th:4434/request/PPIM195010D3" xr:uid="{87B35CA4-027C-48C9-907B-0CAFC2B336EA}"/>
    <hyperlink ref="K1469" r:id="rId1453" display="https://ppim-intra.pea.co.th:4434/request/PPIM19501106" xr:uid="{403EC55C-C662-4794-BF93-95F99BA2369D}"/>
    <hyperlink ref="K1470" r:id="rId1454" display="https://ppim-intra.pea.co.th:4434/request/PPIM19501370" xr:uid="{501159FF-6E07-4A41-A10C-7DFAD555BB64}"/>
    <hyperlink ref="K1471" r:id="rId1455" display="https://ppim-intra.pea.co.th:4434/request/PPIM19500388" xr:uid="{0E5F62BC-14E7-4482-B079-5EA1EA40CE70}"/>
    <hyperlink ref="K1472" r:id="rId1456" display="https://ppim-intra.pea.co.th:4434/request/PPIM19501381" xr:uid="{3BFA9C2E-FB12-498B-B514-03533E21BA4D}"/>
    <hyperlink ref="K1473" r:id="rId1457" display="https://ppim-intra.pea.co.th:4434/request/PPIM19501384" xr:uid="{61076F96-661A-46C1-A486-FF86F64ED53B}"/>
    <hyperlink ref="K1474" r:id="rId1458" display="https://ppim-intra.pea.co.th:4434/request/PPIM1950138C" xr:uid="{F977C74A-EC02-4A46-A1C5-34D48315DE53}"/>
    <hyperlink ref="K1475" r:id="rId1459" display="https://ppim-intra.pea.co.th:4434/request/PPIM19501397" xr:uid="{F65B6FD0-9198-4FE2-9CBD-44AAE79ABC2A}"/>
    <hyperlink ref="K1476" r:id="rId1460" display="https://ppim-intra.pea.co.th:4434/request/PPIM195013A3" xr:uid="{87006F2E-4E38-4A0E-BADC-AD251981BEE0}"/>
    <hyperlink ref="K1477" r:id="rId1461" display="https://ppim-intra.pea.co.th:4434/request/PPIM195011FA" xr:uid="{30CC92FA-1E93-4632-A57A-B7E13270201A}"/>
    <hyperlink ref="K1478" r:id="rId1462" display="https://ppim-intra.pea.co.th:4434/request/PPIM195013A9" xr:uid="{B0789CBF-2EFA-4F74-88A6-A0F8B99E64F5}"/>
    <hyperlink ref="K1479" r:id="rId1463" display="https://ppim-intra.pea.co.th:4434/request/PPIM1950113D" xr:uid="{19238B34-1FBB-4164-89BD-BB84DB9BB45E}"/>
    <hyperlink ref="K1480" r:id="rId1464" display="https://ppim-intra.pea.co.th:4434/request/PPIM19500DAA" xr:uid="{2375929E-4B14-4156-B50B-7BF04C6BB14D}"/>
    <hyperlink ref="K1481" r:id="rId1465" display="https://ppim-intra.pea.co.th:4434/request/PPIM195013B5" xr:uid="{FFBEB24A-BBA6-43EE-9F1B-84605BA639B1}"/>
    <hyperlink ref="K1482" r:id="rId1466" display="https://ppim-intra.pea.co.th:4434/request/PPIM195013CA" xr:uid="{9D842166-DEA0-4381-9855-99AA5BC82731}"/>
    <hyperlink ref="K1483" r:id="rId1467" display="https://ppim-intra.pea.co.th:4434/request/PPIM195013DD" xr:uid="{20FA6410-8B0F-4C94-BB11-E72F8F22A021}"/>
    <hyperlink ref="K1484" r:id="rId1468" display="https://ppim-intra.pea.co.th:4434/request/PPIM195013DF" xr:uid="{46BC6004-D31F-497C-B29B-AF1A04F9EF6A}"/>
    <hyperlink ref="K1485" r:id="rId1469" display="https://ppim-intra.pea.co.th:4434/request/PPIM195013E1" xr:uid="{41E2143B-89BB-4BA4-A7D5-5DD6652BAD35}"/>
    <hyperlink ref="K1486" r:id="rId1470" display="https://ppim-intra.pea.co.th:4434/request/PPIM1950140F" xr:uid="{368C3F98-AA60-4FC0-B9FD-F4B03492FAE2}"/>
    <hyperlink ref="K1487" r:id="rId1471" display="https://ppim-intra.pea.co.th:4434/request/PPIM19501262" xr:uid="{4A226D6B-8093-4720-BF8A-D48B3160CD98}"/>
    <hyperlink ref="K1488" r:id="rId1472" display="https://ppim-intra.pea.co.th:4434/request/PPIM19501423" xr:uid="{88987F79-0582-47BB-B1BC-B45BCDEA6D05}"/>
    <hyperlink ref="K1489" r:id="rId1473" display="https://ppim-intra.pea.co.th:4434/request/PPIM19501442" xr:uid="{C13000C4-F3AD-48EE-86B2-41416709EA8A}"/>
    <hyperlink ref="K1490" r:id="rId1474" display="https://ppim-intra.pea.co.th:4434/request/PPIM1950144C" xr:uid="{5F4FB4DF-23A2-4C3E-A2FE-9E12D9A612DF}"/>
    <hyperlink ref="K1491" r:id="rId1475" display="https://ppim-intra.pea.co.th:4434/request/PPIM19501471" xr:uid="{482F84DE-DC76-43D6-A524-B8B48AAC43D6}"/>
    <hyperlink ref="K1492" r:id="rId1476" display="https://ppim-intra.pea.co.th:4434/request/PPIM19500F49" xr:uid="{B2DF74DD-010D-409E-9736-F370C8EC67A6}"/>
    <hyperlink ref="K1493" r:id="rId1477" display="https://ppim-intra.pea.co.th:4434/request/PPIM19501489" xr:uid="{6DE2F37A-C9F6-4A79-BA69-57666738EDE8}"/>
    <hyperlink ref="K1494" r:id="rId1478" display="https://ppim-intra.pea.co.th:4434/request/PPIM195011A7" xr:uid="{DD541A99-AEF7-47C2-8BDF-484963CC371E}"/>
    <hyperlink ref="K1495" r:id="rId1479" display="https://ppim-intra.pea.co.th:4434/request/PPIM195006B6" xr:uid="{A4FEE7C2-5EEF-40B1-B67C-C5337D8C03FA}"/>
    <hyperlink ref="K1496" r:id="rId1480" display="https://ppim-intra.pea.co.th:4434/request/PPIM195014CA" xr:uid="{D3DF747B-28B9-48C4-9132-A3B186BAA8C3}"/>
    <hyperlink ref="K1497" r:id="rId1481" display="https://ppim-intra.pea.co.th:4434/request/PPIM1950154F" xr:uid="{44003321-ED94-496C-9B5A-F044044FE176}"/>
    <hyperlink ref="K1498" r:id="rId1482" display="https://ppim-intra.pea.co.th:4434/request/PPIM19501082" xr:uid="{D0282FB7-AF39-4834-9A34-CE148E21A9C9}"/>
    <hyperlink ref="K1499" r:id="rId1483" display="https://ppim-intra.pea.co.th:4434/request/PPIM19500347" xr:uid="{0AC9D6E8-6851-412E-A3DE-CD80225A8751}"/>
    <hyperlink ref="K1500" r:id="rId1484" display="https://ppim-intra.pea.co.th:4434/request/PPIM19501566" xr:uid="{5F756740-A32E-4DF6-8ED8-3FAADBB0B99B}"/>
    <hyperlink ref="K1502" r:id="rId1485" display="https://ppim-intra.pea.co.th:4434/request/PPIM1950159F" xr:uid="{2F712F67-AAD3-4018-9E91-867BAEDEC37C}"/>
    <hyperlink ref="K1503" r:id="rId1486" display="https://ppim-intra.pea.co.th:4434/request/PPIM195015AB" xr:uid="{6C180954-A851-4487-B607-34B42DF16584}"/>
    <hyperlink ref="K1504" r:id="rId1487" display="https://ppim-intra.pea.co.th:4434/request/PPIM195015AC" xr:uid="{04ACDB72-317F-4600-BD88-4874A5A56FAF}"/>
    <hyperlink ref="K1505" r:id="rId1488" display="https://ppim-intra.pea.co.th:4434/request/PPIM195015BE" xr:uid="{BBFBA271-8C64-4081-9BE0-25DD62B10119}"/>
    <hyperlink ref="K1506" r:id="rId1489" display="https://ppim-intra.pea.co.th:4434/request/PPIM195015C0" xr:uid="{238F7674-81E3-4777-9024-2777F736FC97}"/>
    <hyperlink ref="K1507" r:id="rId1490" display="https://ppim-intra.pea.co.th:4434/request/PPIM195015C5" xr:uid="{E867BB93-C9C1-413F-86D9-B2568D9D9049}"/>
    <hyperlink ref="K1508" r:id="rId1491" display="https://ppim-intra.pea.co.th:4434/request/PPIM195015C6" xr:uid="{A4A90125-AEED-4BD0-A8FC-8D3FB877FF73}"/>
    <hyperlink ref="K1509" r:id="rId1492" display="https://ppim-intra.pea.co.th:4434/request/PPIM195012F2" xr:uid="{18B394D8-6681-4393-AAA8-41B6594D5E29}"/>
    <hyperlink ref="K1510" r:id="rId1493" display="https://ppim-intra.pea.co.th:4434/request/PPIM1950134B" xr:uid="{4D63AE36-659D-485F-879E-F074AAE2A657}"/>
    <hyperlink ref="K1511" r:id="rId1494" display="https://ppim-intra.pea.co.th:4434/request/PPIM19501111" xr:uid="{96CF444F-7421-413F-85E0-8A553C77B635}"/>
    <hyperlink ref="K1512" r:id="rId1495" display="https://ppim-intra.pea.co.th:4434/request/PPIM195006F3" xr:uid="{92187325-29EE-4E40-8E89-D7599CB52A76}"/>
    <hyperlink ref="K1513" r:id="rId1496" display="https://ppim-intra.pea.co.th:4434/request/PPIM1950162C" xr:uid="{18F877DB-D997-4F40-BCAC-E2922F6ACBD8}"/>
    <hyperlink ref="K1514" r:id="rId1497" display="https://ppim-intra.pea.co.th:4434/request/PPIM19501631" xr:uid="{EB86A006-C646-417A-94BF-DCE14045AE12}"/>
    <hyperlink ref="K1515" r:id="rId1498" display="https://ppim-intra.pea.co.th:4434/request/PPIM1950163C" xr:uid="{C0730D0D-00CD-406E-924B-9ABD0D40A695}"/>
    <hyperlink ref="K1516" r:id="rId1499" display="https://ppim-intra.pea.co.th:4434/request/PPIM19501640" xr:uid="{42CF18C5-A477-42D0-8578-802E90BE387D}"/>
    <hyperlink ref="K1517" r:id="rId1500" display="https://ppim-intra.pea.co.th:4434/request/PPIM19501649" xr:uid="{07C71E20-EBCA-4D4B-9EA8-2EC0A005CE49}"/>
    <hyperlink ref="K1518" r:id="rId1501" display="https://ppim-intra.pea.co.th:4434/request/PPIM19501668" xr:uid="{3561A8DC-DA09-4AA0-A195-B3D08ACA060F}"/>
    <hyperlink ref="K1519" r:id="rId1502" display="https://ppim-intra.pea.co.th:4434/request/PPIM19501695" xr:uid="{24A3E602-F80E-4C9D-9091-677FE52892B0}"/>
    <hyperlink ref="K1520" r:id="rId1503" display="https://ppim-intra.pea.co.th:4434/request/PPIM1950109F" xr:uid="{AD5EED76-FBAD-4D57-9817-4F3BEC452593}"/>
    <hyperlink ref="K1521" r:id="rId1504" display="https://ppim-intra.pea.co.th:4434/request/PPIM195010BF" xr:uid="{D2D66791-5B51-4F81-BBF0-B47B854A59F7}"/>
    <hyperlink ref="K1522" r:id="rId1505" display="https://ppim-intra.pea.co.th:4434/request/PPIM195016B7" xr:uid="{26E975F3-B053-4917-9C38-21ED5CB92553}"/>
    <hyperlink ref="K1523" r:id="rId1506" display="https://ppim-intra.pea.co.th:4434/request/PPIM195016BC" xr:uid="{50D51025-7EA6-4B5A-A285-C868EACF1EC3}"/>
    <hyperlink ref="K1524" r:id="rId1507" display="https://ppim-intra.pea.co.th:4434/request/PPIM195016BD" xr:uid="{835A03C8-3024-4F69-895D-B613A111A99F}"/>
    <hyperlink ref="K1525" r:id="rId1508" display="https://ppim-intra.pea.co.th:4434/request/PPIM195016C4" xr:uid="{7962DEBF-EF84-4DEC-8696-68443F4F4D6C}"/>
    <hyperlink ref="K1526" r:id="rId1509" display="https://ppim-intra.pea.co.th:4434/request/PPIM195016DB" xr:uid="{7F4DCD62-B440-42B0-A8AC-57A584063E63}"/>
    <hyperlink ref="K1527" r:id="rId1510" display="https://ppim-intra.pea.co.th:4434/request/PPIM195016E3" xr:uid="{F55270E4-0CFA-4288-BB16-97D57E82D4D1}"/>
    <hyperlink ref="K1528" r:id="rId1511" display="https://ppim-intra.pea.co.th:4434/request/PPIM195016F5" xr:uid="{B236ABDA-5E0D-47C7-B942-2223D84E98E2}"/>
    <hyperlink ref="K1529" r:id="rId1512" display="https://ppim-intra.pea.co.th:4434/request/PPIM195016F6" xr:uid="{E88B8DC8-AED1-429F-8179-41C27507DFC2}"/>
    <hyperlink ref="K1530" r:id="rId1513" display="https://ppim-intra.pea.co.th:4434/request/PPIM19501707" xr:uid="{9B975A41-6B30-41C6-BDA1-9A66856648F2}"/>
    <hyperlink ref="K1531" r:id="rId1514" display="https://ppim-intra.pea.co.th:4434/request/PPIM19501709" xr:uid="{FE94AAEE-65D3-4C75-B6FE-DDADFFFF7485}"/>
    <hyperlink ref="K1532" r:id="rId1515" display="https://ppim-intra.pea.co.th:4434/request/PPIM1950170E" xr:uid="{323CF0F1-61F7-478F-B9F1-295A3C84BFF1}"/>
    <hyperlink ref="K1533" r:id="rId1516" display="https://ppim-intra.pea.co.th:4434/request/PPIM19501715" xr:uid="{0315405A-9F41-4817-9E48-A63581A67A81}"/>
    <hyperlink ref="K1534" r:id="rId1517" display="https://ppim-intra.pea.co.th:4434/request/PPIM19501730" xr:uid="{0434A8EA-FBC7-4DBF-A8DA-1A352762C6BD}"/>
    <hyperlink ref="K1535" r:id="rId1518" display="https://ppim-intra.pea.co.th:4434/request/PPIM19501731" xr:uid="{7286DDDC-3C64-4CAA-9586-879A3FCA1B73}"/>
    <hyperlink ref="K1536" r:id="rId1519" display="https://ppim-intra.pea.co.th:4434/request/PPIM19501733" xr:uid="{CFD3A62A-37B0-46FD-B872-E17F41C42BFA}"/>
    <hyperlink ref="K1537" r:id="rId1520" display="https://ppim-intra.pea.co.th:4434/request/PPIM19501736" xr:uid="{C10AF94A-1CD6-44AA-8442-E2280BA5CB43}"/>
    <hyperlink ref="K1538" r:id="rId1521" display="https://ppim-intra.pea.co.th:4434/request/PPIM19501754" xr:uid="{D48FBA67-DE35-4E65-BB94-6C68CCCCA5C9}"/>
    <hyperlink ref="K1539" r:id="rId1522" display="https://ppim-intra.pea.co.th:4434/request/PPIM19501778" xr:uid="{38363772-1D44-430D-A2EF-5CB9A8A078C3}"/>
    <hyperlink ref="K1540" r:id="rId1523" display="https://ppim-intra.pea.co.th:4434/request/PPIM1950177B" xr:uid="{3CBD721D-0D03-4E3E-B5D8-C4774CDF60FB}"/>
    <hyperlink ref="K1541" r:id="rId1524" display="https://ppim-intra.pea.co.th:4434/request/PPIM19501780" xr:uid="{ECF4D00E-FE17-4D3D-BE48-7D0036BD21DE}"/>
    <hyperlink ref="K1542" r:id="rId1525" display="https://ppim-intra.pea.co.th:4434/request/PPIM1950178C" xr:uid="{7C70BD96-F910-41B0-ABA5-0A2EFE7E33CA}"/>
    <hyperlink ref="K1543" r:id="rId1526" display="https://ppim-intra.pea.co.th:4434/request/PPIM1950178E" xr:uid="{88B2F4AA-C0C8-46A4-AFAD-B96D92EE20AD}"/>
    <hyperlink ref="K1544" r:id="rId1527" display="https://ppim-intra.pea.co.th:4434/request/PPIM19501799" xr:uid="{16CD2D9E-BA16-481B-BAFC-CB1420292F6E}"/>
    <hyperlink ref="K1545" r:id="rId1528" display="https://ppim-intra.pea.co.th:4434/request/PPIM195017B1" xr:uid="{00202F55-0E45-4D13-ADB4-A8DAC871BE11}"/>
    <hyperlink ref="K1546" r:id="rId1529" display="https://ppim-intra.pea.co.th:4434/request/PPIM195017B5" xr:uid="{4BB4BCDC-F658-4022-BEC9-75BD1C786C5E}"/>
    <hyperlink ref="K1547" r:id="rId1530" display="https://ppim-intra.pea.co.th:4434/request/PPIM195017B7" xr:uid="{7FFF427A-00AD-4060-BC56-7893B408C393}"/>
    <hyperlink ref="K1548" r:id="rId1531" display="https://ppim-intra.pea.co.th:4434/request/PPIM195017C3" xr:uid="{7624CC22-AC50-4675-A9A3-C628CACE2D9E}"/>
    <hyperlink ref="K1549" r:id="rId1532" display="https://ppim-intra.pea.co.th:4434/request/PPIM195017C4" xr:uid="{8DFCC704-EC80-41FC-8407-FEF8098CDD98}"/>
    <hyperlink ref="K1550" r:id="rId1533" display="https://ppim-intra.pea.co.th:4434/request/PPIM195017DE" xr:uid="{7DEE08B2-A89F-4641-8921-8FB721249306}"/>
    <hyperlink ref="K1551" r:id="rId1534" display="https://ppim-intra.pea.co.th:4434/request/PPIM195017E9" xr:uid="{0A21E920-DC0B-42E7-AAF0-85A80FE42663}"/>
    <hyperlink ref="K1552" r:id="rId1535" display="https://ppim-intra.pea.co.th:4434/request/PPIM195017EB" xr:uid="{DB38B7DE-006B-405B-9B93-4694168DB58E}"/>
    <hyperlink ref="K1553" r:id="rId1536" display="https://ppim-intra.pea.co.th:4434/request/PPIM19501308" xr:uid="{09237AB2-9963-49EE-AD05-4CFD5AD1E31E}"/>
    <hyperlink ref="K1554" r:id="rId1537" display="https://ppim-intra.pea.co.th:4434/request/PPIM195017FF" xr:uid="{6A64C0EA-C170-4BED-88A8-E257323A5E5A}"/>
    <hyperlink ref="K1555" r:id="rId1538" display="https://ppim-intra.pea.co.th:4434/request/PPIM19501807" xr:uid="{B3CDBEC4-41C8-4624-A59F-E8D05612D540}"/>
    <hyperlink ref="K1556" r:id="rId1539" display="https://ppim-intra.pea.co.th:4434/request/PPIM19501809" xr:uid="{99473F40-7095-49F5-BAE3-54E0A05074A1}"/>
    <hyperlink ref="K1557" r:id="rId1540" display="https://ppim-intra.pea.co.th:4434/request/PPIM1950180C" xr:uid="{FFE25361-13F3-4E8A-BE9C-A29D9616204B}"/>
    <hyperlink ref="K1558" r:id="rId1541" display="https://ppim-intra.pea.co.th:4434/request/PPIM19501810" xr:uid="{2071C827-5B63-4FB1-9E3D-ACBC4F450BCB}"/>
    <hyperlink ref="K1559" r:id="rId1542" display="https://ppim-intra.pea.co.th:4434/request/PPIM1950181B" xr:uid="{CB675541-BFA9-4D50-A92E-474951A6895B}"/>
    <hyperlink ref="K1560" r:id="rId1543" display="https://ppim-intra.pea.co.th:4434/request/PPIM1950181D" xr:uid="{0082FEBB-92A0-425A-8959-A98281A4CBCC}"/>
    <hyperlink ref="K1561" r:id="rId1544" display="https://ppim-intra.pea.co.th:4434/request/PPIM1950181F" xr:uid="{4D857E26-1EAC-42F2-8F2F-9C073B84F799}"/>
    <hyperlink ref="K1562" r:id="rId1545" display="https://ppim-intra.pea.co.th:4434/request/PPIM19501821" xr:uid="{DE6DEEE0-D19C-492D-A159-55737CEAAD91}"/>
    <hyperlink ref="K1563" r:id="rId1546" display="https://ppim-intra.pea.co.th:4434/request/PPIM19501825" xr:uid="{8F5C97F7-D911-4EE7-B89E-BF280A9F875B}"/>
    <hyperlink ref="K1564" r:id="rId1547" display="https://ppim-intra.pea.co.th:4434/request/PPIM1950182C" xr:uid="{0F3C744E-054C-4679-BEBD-EDDD03CD394D}"/>
    <hyperlink ref="K1565" r:id="rId1548" display="https://ppim-intra.pea.co.th:4434/request/PPIM1950182E" xr:uid="{0AD6E5DA-68C2-45AD-9FB3-E05F4E9D193A}"/>
    <hyperlink ref="K1566" r:id="rId1549" display="https://ppim-intra.pea.co.th:4434/request/PPIM19501830" xr:uid="{B7BC6973-B5B9-48FE-881D-FF7883B15033}"/>
    <hyperlink ref="K1567" r:id="rId1550" display="https://ppim-intra.pea.co.th:4434/request/PPIM19501833" xr:uid="{405D4179-D1CA-4A69-9166-43C86A4812FF}"/>
    <hyperlink ref="K1568" r:id="rId1551" display="https://ppim-intra.pea.co.th:4434/request/PPIM19501836" xr:uid="{8669F980-59B9-4069-BAD6-3A8681832B3C}"/>
    <hyperlink ref="K1569" r:id="rId1552" display="https://ppim-intra.pea.co.th:4434/request/PPIM19501847" xr:uid="{4F10002A-DE7B-47BD-88B8-AB3ECCF29BE6}"/>
    <hyperlink ref="K1570" r:id="rId1553" display="https://ppim-intra.pea.co.th:4434/request/PPIM1950184D" xr:uid="{79B6572F-7F67-4D06-9913-6B02AD12EBC2}"/>
    <hyperlink ref="K1571" r:id="rId1554" display="https://ppim-intra.pea.co.th:4434/request/PPIM19501852" xr:uid="{A707BE7D-D770-47BC-8502-56FA61613E58}"/>
    <hyperlink ref="K1572" r:id="rId1555" display="https://ppim-intra.pea.co.th:4434/request/PPIM19501861" xr:uid="{337C01DB-2B34-4348-AD08-97E70B86215F}"/>
    <hyperlink ref="K1573" r:id="rId1556" display="https://ppim-intra.pea.co.th:4434/request/PPIM19501866" xr:uid="{690EBC33-76AE-460F-AD29-CCCF12D1DC0D}"/>
    <hyperlink ref="K1574" r:id="rId1557" display="https://ppim-intra.pea.co.th:4434/request/PPIM1850455A" xr:uid="{CF441C57-2AD9-42F0-A813-4EF5F5669EC9}"/>
    <hyperlink ref="K1575" r:id="rId1558" display="https://ppim-intra.pea.co.th:4434/request/PPIM19501882" xr:uid="{BDC40298-DEAB-462D-A050-8306CD51B856}"/>
    <hyperlink ref="K1576" r:id="rId1559" display="https://ppim-intra.pea.co.th:4434/request/PPIM195018AC" xr:uid="{23E772A5-6533-4DDA-891E-010EFD910FED}"/>
    <hyperlink ref="K1577" r:id="rId1560" display="https://ppim-intra.pea.co.th:4434/request/PPIM195018AF" xr:uid="{1C8F1C79-C768-4FB0-B120-47457D3C8807}"/>
    <hyperlink ref="K1578" r:id="rId1561" display="https://ppim-intra.pea.co.th:4434/request/PPIM1950034F" xr:uid="{DDF30644-EC4E-4739-9B12-C34CC23D22D1}"/>
    <hyperlink ref="K1579" r:id="rId1562" display="https://ppim-intra.pea.co.th:4434/request/PPIM195018B6" xr:uid="{7C260E30-4E72-4F68-BDF2-DDEE8E2C5836}"/>
    <hyperlink ref="K1580" r:id="rId1563" display="https://ppim-intra.pea.co.th:4434/request/PPIM195018BA" xr:uid="{AAF9B450-5227-409B-A0AD-C1B39FC55B19}"/>
    <hyperlink ref="K1581" r:id="rId1564" display="https://ppim-intra.pea.co.th:4434/request/PPIM195018CD" xr:uid="{79EB5473-B174-4961-8B8D-0D74D304F2D0}"/>
    <hyperlink ref="K1582" r:id="rId1565" display="https://ppim-intra.pea.co.th:4434/request/PPIM195018D5" xr:uid="{9534F556-906B-4B1E-8D05-C01ED410C1F9}"/>
    <hyperlink ref="K1583" r:id="rId1566" display="https://ppim-intra.pea.co.th:4434/request/PPIM195018D8" xr:uid="{B869A2CD-7420-4E3F-B4C7-F328F9DDBC54}"/>
    <hyperlink ref="K1584" r:id="rId1567" display="https://ppim-intra.pea.co.th:4434/request/PPIM195018E7" xr:uid="{08B10E30-3205-4044-AA99-EEA1BBB63DA3}"/>
    <hyperlink ref="K1585" r:id="rId1568" display="https://ppim-intra.pea.co.th:4434/request/PPIM195018EC" xr:uid="{D33A157B-EF8F-4318-AD93-A9633916EDED}"/>
    <hyperlink ref="K1586" r:id="rId1569" display="https://ppim-intra.pea.co.th:4434/request/PPIM195018EE" xr:uid="{9E059290-6489-42CA-8B74-BCC22B9E1B16}"/>
    <hyperlink ref="K1587" r:id="rId1570" display="https://ppim-intra.pea.co.th:4434/request/PPIM195018F0" xr:uid="{08409BFD-4D7A-4A97-B096-44001139B2E4}"/>
    <hyperlink ref="K1588" r:id="rId1571" display="https://ppim-intra.pea.co.th:4434/request/PPIM195018F1" xr:uid="{6DFBB49A-2068-47F0-82CA-B72787669E56}"/>
    <hyperlink ref="K1589" r:id="rId1572" display="https://ppim-intra.pea.co.th:4434/request/PPIM195018F7" xr:uid="{76BCC898-F8FE-4E0E-8E6B-E38A904ABF2C}"/>
    <hyperlink ref="K1590" r:id="rId1573" display="https://ppim-intra.pea.co.th:4434/request/PPIM19501907" xr:uid="{30E4247A-EA10-439C-91CE-AA580E640B3F}"/>
    <hyperlink ref="K1591" r:id="rId1574" display="https://ppim-intra.pea.co.th:4434/request/PPIM1950190C" xr:uid="{354CE1FE-B84C-4E5E-8A22-B3A5A7B170C4}"/>
    <hyperlink ref="K1592" r:id="rId1575" display="https://ppim-intra.pea.co.th:4434/request/PPIM19501912" xr:uid="{C1399707-2268-4044-8A6E-D34D88972A29}"/>
    <hyperlink ref="K1593" r:id="rId1576" display="https://ppim-intra.pea.co.th:4434/request/PPIM1950192B" xr:uid="{F1E84068-5BDA-4579-95AB-AD38018C0C62}"/>
    <hyperlink ref="K1594" r:id="rId1577" display="https://ppim-intra.pea.co.th:4434/request/PPIM1950192E" xr:uid="{A9DB5364-EA47-4EC0-92BD-DE161E26D23E}"/>
    <hyperlink ref="K1595" r:id="rId1578" display="https://ppim-intra.pea.co.th:4434/request/PPIM1950193E" xr:uid="{7D7E870F-DEB0-4089-8405-2D34A689CD01}"/>
    <hyperlink ref="K1596" r:id="rId1579" display="https://ppim-intra.pea.co.th:4434/request/PPIM19501942" xr:uid="{752174C9-7767-46D1-8FCB-68BDD7C6AB18}"/>
    <hyperlink ref="K1597" r:id="rId1580" display="https://ppim-intra.pea.co.th:4434/request/PPIM19501947" xr:uid="{E62919B2-269F-4987-9983-BE8E552DC5F2}"/>
    <hyperlink ref="K1598" r:id="rId1581" display="https://ppim-intra.pea.co.th:4434/request/PPIM1950194E" xr:uid="{127E8A04-B1DA-46A5-A118-11332BA1D42B}"/>
    <hyperlink ref="K1599" r:id="rId1582" display="https://ppim-intra.pea.co.th:4434/request/PPIM19501956" xr:uid="{7EF9C881-F91C-456B-89FB-54BEC72F14A3}"/>
    <hyperlink ref="K1600" r:id="rId1583" display="https://ppim-intra.pea.co.th:4434/request/PPIM19501958" xr:uid="{8119D336-54DE-4153-8467-DA801B10ABB2}"/>
    <hyperlink ref="K1602" r:id="rId1584" display="https://ppim-intra.pea.co.th:4434/request/PPIM1950198B" xr:uid="{0CD7C418-08FA-447A-A20A-98779D5D5BC0}"/>
    <hyperlink ref="K1603" r:id="rId1585" display="https://ppim-intra.pea.co.th:4434/request/PPIM195019AE" xr:uid="{E6886716-BF2F-4745-8B65-84614B35A5EE}"/>
    <hyperlink ref="K1604" r:id="rId1586" display="https://ppim-intra.pea.co.th:4434/request/PPIM195019BF" xr:uid="{B337E31C-CE94-4FD5-9A0D-ACEFB1FA4762}"/>
    <hyperlink ref="K1605" r:id="rId1587" display="https://ppim-intra.pea.co.th:4434/request/PPIM195019E9" xr:uid="{524AA32E-EE57-43A1-AC34-0BC9417224B9}"/>
    <hyperlink ref="K1606" r:id="rId1588" display="https://ppim-intra.pea.co.th:4434/request/PPIM19501A25" xr:uid="{5C1AEDE0-5E0C-4B24-A3D8-6D014E4D771E}"/>
    <hyperlink ref="K1607" r:id="rId1589" display="https://ppim-intra.pea.co.th:4434/request/PPIM19501A44" xr:uid="{6DA90F1D-5D02-44E2-A51A-E99314A995EF}"/>
    <hyperlink ref="K1608" r:id="rId1590" display="https://ppim-intra.pea.co.th:4434/request/PPIM19501A53" xr:uid="{14563DA8-2BB7-4C66-9B23-56B111F9ABD6}"/>
    <hyperlink ref="K1609" r:id="rId1591" display="https://ppim-intra.pea.co.th:4434/request/PPIM19501A68" xr:uid="{EBC82E43-B2FA-4E9C-8B5D-21636053EACA}"/>
    <hyperlink ref="K1610" r:id="rId1592" display="https://ppim-intra.pea.co.th:4434/request/PPIM19501A89" xr:uid="{2D4A792B-D2F5-45C5-ADC7-4A9E798E1CF3}"/>
    <hyperlink ref="K1611" r:id="rId1593" display="https://ppim-intra.pea.co.th:4434/request/PPIM19501A9C" xr:uid="{81B9273F-F0F7-4F09-938A-D764371C192B}"/>
    <hyperlink ref="K1612" r:id="rId1594" display="https://ppim-intra.pea.co.th:4434/request/PPIM19501AAC" xr:uid="{9AA3A913-42DE-4176-B220-4693CCEBC9FA}"/>
    <hyperlink ref="K1613" r:id="rId1595" display="https://ppim-intra.pea.co.th:4434/request/PPIM19501AC3" xr:uid="{DBC53AAD-A2FB-49B7-8068-1816C01F8266}"/>
    <hyperlink ref="K1614" r:id="rId1596" display="https://ppim-intra.pea.co.th:4434/request/PPIM19501ADA" xr:uid="{B1285095-CF81-40A8-A80A-85AB5405FDAA}"/>
    <hyperlink ref="K1615" r:id="rId1597" display="https://ppim-intra.pea.co.th:4434/request/PPIM19500193" xr:uid="{688C72E8-F52F-4E5B-9B50-BBD5252BAB0A}"/>
    <hyperlink ref="K1616" r:id="rId1598" display="https://ppim-intra.pea.co.th:4434/request/PPIM19501AF6" xr:uid="{7CD59E31-EF88-4BD5-B235-A3E1BECD7325}"/>
    <hyperlink ref="K1617" r:id="rId1599" display="https://ppim-intra.pea.co.th:4434/request/PPIM19501B26" xr:uid="{AFB15D3E-3ACE-4075-8BCC-4E0BBA3BBF94}"/>
    <hyperlink ref="K1618" r:id="rId1600" display="https://ppim-intra.pea.co.th:4434/request/PPIM19501B2A" xr:uid="{E4CA104E-1668-4390-9B56-CE1EAE00204A}"/>
    <hyperlink ref="K1619" r:id="rId1601" display="https://ppim-intra.pea.co.th:4434/request/PPIM19501B2E" xr:uid="{A6D441D0-030C-4495-BEAE-F200FA6643C9}"/>
    <hyperlink ref="K1620" r:id="rId1602" display="https://ppim-intra.pea.co.th:4434/request/PPIM19501555" xr:uid="{3B74475B-D9F5-4915-89A0-E589AE000AED}"/>
    <hyperlink ref="K1621" r:id="rId1603" display="https://ppim-intra.pea.co.th:4434/request/PPIM19501375" xr:uid="{1AD8FB1F-AFCB-47EF-8753-5D59F566ED37}"/>
    <hyperlink ref="K1622" r:id="rId1604" display="https://ppim-intra.pea.co.th:4434/request/PPIM19501B7C" xr:uid="{613AFA9D-8256-4DD4-A057-E8637A07E503}"/>
    <hyperlink ref="K1623" r:id="rId1605" display="https://ppim-intra.pea.co.th:4434/request/PPIM19501B94" xr:uid="{D595DC90-5E8C-4C3A-8C17-D7BC9AC3819A}"/>
    <hyperlink ref="K1624" r:id="rId1606" display="https://ppim-intra.pea.co.th:4434/request/PPIM19501B9F" xr:uid="{33810427-8377-418A-8535-5F0AA698F6A1}"/>
    <hyperlink ref="K1625" r:id="rId1607" display="https://ppim-intra.pea.co.th:4434/request/PPIM19501BAA" xr:uid="{CFABA0F4-6639-49A1-8B9E-F82421E7B745}"/>
    <hyperlink ref="K1626" r:id="rId1608" display="https://ppim-intra.pea.co.th:4434/request/PPIM1950150E" xr:uid="{AC9E996A-3B9B-490E-8355-0D5C0C8A0948}"/>
    <hyperlink ref="K1627" r:id="rId1609" display="https://ppim-intra.pea.co.th:4434/request/PPIM1950150A" xr:uid="{F1DB6402-5C88-4448-A18C-83E8B84EFE01}"/>
    <hyperlink ref="K1628" r:id="rId1610" display="https://ppim-intra.pea.co.th:4434/request/PPIM195015C7" xr:uid="{6546AC02-CBE8-4674-B1F1-1E06BFE9D80A}"/>
    <hyperlink ref="K1629" r:id="rId1611" display="https://ppim-intra.pea.co.th:4434/request/PPIM19501C4A" xr:uid="{3F7B4EB4-76CE-496D-9B5B-96CD7836F591}"/>
    <hyperlink ref="K1630" r:id="rId1612" display="https://ppim-intra.pea.co.th:4434/request/PPIM19501C61" xr:uid="{8E1F7F5C-817E-49C8-97A1-717C3B56DDE7}"/>
    <hyperlink ref="K1631" r:id="rId1613" display="https://ppim-intra.pea.co.th:4434/request/PPIM19501C96" xr:uid="{1CC51A11-C428-4A3A-8633-C38CFF8146C4}"/>
    <hyperlink ref="K1632" r:id="rId1614" display="https://ppim-intra.pea.co.th:4434/request/PPIM19501CAE" xr:uid="{5878CE58-B14E-4391-B69D-55A872F31921}"/>
    <hyperlink ref="K1633" r:id="rId1615" display="https://ppim-intra.pea.co.th:4434/request/PPIM19501CC4" xr:uid="{0190DD2E-C907-46C5-B51E-BF84BF67BC9B}"/>
    <hyperlink ref="K1634" r:id="rId1616" display="https://ppim-intra.pea.co.th:4434/request/PPIM195011F1" xr:uid="{AEE774D6-63E3-4617-B9C2-1AFD557F247D}"/>
    <hyperlink ref="K1635" r:id="rId1617" display="https://ppim-intra.pea.co.th:4434/request/PPIM19501CD3" xr:uid="{2D52CECA-E12E-47EA-AEB8-D7EB705D9E60}"/>
    <hyperlink ref="K1636" r:id="rId1618" display="https://ppim-intra.pea.co.th:4434/request/PPIM19501CD6" xr:uid="{0F8A1A0A-1169-4BA5-BACD-620E99203B15}"/>
    <hyperlink ref="K1637" r:id="rId1619" display="https://ppim-intra.pea.co.th:4434/request/PPIM19501CEE" xr:uid="{40C2D230-8FB5-41F0-8F0B-ED35C5844CA7}"/>
    <hyperlink ref="K1638" r:id="rId1620" display="https://ppim-intra.pea.co.th:4434/request/PPIM19501CF6" xr:uid="{40B6F0F3-5B9E-4996-8AB4-C01297FAEB33}"/>
    <hyperlink ref="K1639" r:id="rId1621" display="https://ppim-intra.pea.co.th:4434/request/PPIM19501D0A" xr:uid="{12EFF059-2437-4247-84EC-13B6589A1C9C}"/>
    <hyperlink ref="K1640" r:id="rId1622" display="https://ppim-intra.pea.co.th:4434/request/PPIM195016F2" xr:uid="{B5D7BB66-64B9-4725-95D0-A9CF34154CCD}"/>
    <hyperlink ref="K1641" r:id="rId1623" display="https://ppim-intra.pea.co.th:4434/request/PPIM19501D0F" xr:uid="{BB945803-FA71-4BEA-ACCB-BCF1932ABBA6}"/>
    <hyperlink ref="K1642" r:id="rId1624" display="https://ppim-intra.pea.co.th:4434/request/PPIM19501D2C" xr:uid="{1A93931F-06DE-48F9-838C-171B93615A5E}"/>
    <hyperlink ref="K1643" r:id="rId1625" display="https://ppim-intra.pea.co.th:4434/request/PPIM19501D33" xr:uid="{C4970564-BA2A-4973-A324-A6E4217A47B5}"/>
    <hyperlink ref="K1644" r:id="rId1626" display="https://ppim-intra.pea.co.th:4434/request/PPIM19501D49" xr:uid="{E9913431-ABC7-4D28-A942-4A17FEBDA972}"/>
    <hyperlink ref="K1645" r:id="rId1627" display="https://ppim-intra.pea.co.th:4434/request/PPIM19501265" xr:uid="{3EE6A418-EDE6-42AE-851E-495134FF8BF7}"/>
    <hyperlink ref="K1646" r:id="rId1628" display="https://ppim-intra.pea.co.th:4434/request/PPIM19501D5D" xr:uid="{06C5991D-3FF5-4AFB-BB5A-291372DEFC58}"/>
    <hyperlink ref="K1647" r:id="rId1629" display="https://ppim-intra.pea.co.th:4434/request/PPIM195000E3" xr:uid="{783DF41A-8F2D-46D4-890E-18BAD730CA8E}"/>
    <hyperlink ref="K1648" r:id="rId1630" display="https://ppim-intra.pea.co.th:4434/request/PPIM19501D7F" xr:uid="{9E4A0CB0-D626-479B-B915-0D9C35360E33}"/>
    <hyperlink ref="K1649" r:id="rId1631" display="https://ppim-intra.pea.co.th:4434/request/PPIM195016C1" xr:uid="{BC8945DB-4A0D-4B83-BA69-591C3AD0FDDE}"/>
    <hyperlink ref="K1650" r:id="rId1632" display="https://ppim-intra.pea.co.th:4434/request/PPIM19501DA8" xr:uid="{ADA6E8DE-8617-4E01-B917-7C0E8E3059BB}"/>
    <hyperlink ref="K1651" r:id="rId1633" display="https://ppim-intra.pea.co.th:4434/request/PPIM19501DB2" xr:uid="{7B689A02-916D-4896-915D-7BB05B68418A}"/>
    <hyperlink ref="K1652" r:id="rId1634" display="https://ppim-intra.pea.co.th:4434/request/PPIM19500E44" xr:uid="{25F7C4F8-367B-4F51-8D5A-E9F337945866}"/>
    <hyperlink ref="K1653" r:id="rId1635" display="https://ppim-intra.pea.co.th:4434/request/PPIM19501DDE" xr:uid="{B94226D5-2EB2-4BC6-BA4E-F3953C8FA42C}"/>
    <hyperlink ref="K1654" r:id="rId1636" display="https://ppim-intra.pea.co.th:4434/request/PPIM19501E03" xr:uid="{28101C14-2485-4C87-AB9A-8D161E93DDCC}"/>
    <hyperlink ref="K1655" r:id="rId1637" display="https://ppim-intra.pea.co.th:4434/request/PPIM19501E0B" xr:uid="{6DC496C1-4111-401A-AEEA-2873E41DD6F4}"/>
    <hyperlink ref="K1656" r:id="rId1638" display="https://ppim-intra.pea.co.th:4434/request/PPIM19501E0C" xr:uid="{76A9858A-08B9-4662-B651-BF93FB48D7C3}"/>
    <hyperlink ref="K1657" r:id="rId1639" display="https://ppim-intra.pea.co.th:4434/request/PPIM195017CC" xr:uid="{077C1050-BB75-40AA-819D-65D87313FEDC}"/>
    <hyperlink ref="K1658" r:id="rId1640" display="https://ppim-intra.pea.co.th:4434/request/PPIM195013E8" xr:uid="{240B4DDE-DAAD-4F54-87B7-64CE90761BC3}"/>
    <hyperlink ref="K1659" r:id="rId1641" display="https://ppim-intra.pea.co.th:4434/request/PPIM19501E47" xr:uid="{C4287CEF-A263-48E4-82D2-FA46814FD96F}"/>
    <hyperlink ref="K1660" r:id="rId1642" display="https://ppim-intra.pea.co.th:4434/request/PPIM19501E61" xr:uid="{5DE457CB-5F60-4F12-8D02-51417D207D1B}"/>
    <hyperlink ref="K1661" r:id="rId1643" display="https://ppim-intra.pea.co.th:4434/request/PPIM19501E6D" xr:uid="{62D76F05-7F0E-4081-A919-A329F63DB5B2}"/>
    <hyperlink ref="K1662" r:id="rId1644" display="https://ppim-intra.pea.co.th:4434/request/PPIM19501EA9" xr:uid="{5765ED3D-11D1-4522-83D1-8FCB43579B17}"/>
    <hyperlink ref="K1663" r:id="rId1645" display="https://ppim-intra.pea.co.th:4434/request/PPIM1950185C" xr:uid="{9DAFB875-786C-45A6-9158-ACF12914CFE6}"/>
    <hyperlink ref="K1664" r:id="rId1646" display="https://ppim-intra.pea.co.th:4434/request/PPIM19501EAB" xr:uid="{1BC0E987-A6C9-42E4-A92F-7F80C939963D}"/>
    <hyperlink ref="K1665" r:id="rId1647" display="https://ppim-intra.pea.co.th:4434/request/PPIM19501EAE" xr:uid="{AAC54DCD-C996-46C1-AAA9-0E1E518ED759}"/>
    <hyperlink ref="K1666" r:id="rId1648" display="https://ppim-intra.pea.co.th:4434/request/PPIM19501EB2" xr:uid="{A5EA89DF-462B-4FFC-B8E9-E188EBEA39E4}"/>
    <hyperlink ref="K1667" r:id="rId1649" display="https://ppim-intra.pea.co.th:4434/request/PPIM19501949" xr:uid="{BB4D25EB-0EA7-4D91-A86C-4948406EDDC8}"/>
    <hyperlink ref="K1668" r:id="rId1650" display="https://ppim-intra.pea.co.th:4434/request/PPIM19501EC0" xr:uid="{1D2C5306-8896-4C5D-BFB2-8E09F2083733}"/>
    <hyperlink ref="K1669" r:id="rId1651" display="https://ppim-intra.pea.co.th:4434/request/PPIM19501EE4" xr:uid="{AA8B40C5-AD64-4827-93B0-1C498DEC9CAB}"/>
    <hyperlink ref="K1670" r:id="rId1652" display="https://ppim-intra.pea.co.th:4434/request/PPIM19501F10" xr:uid="{653D8FFA-E0B0-4A4F-865C-DB2F9920FA39}"/>
    <hyperlink ref="K1671" r:id="rId1653" display="https://ppim-intra.pea.co.th:4434/request/PPIM19501F21" xr:uid="{79E34126-5200-4325-B7FE-44C6A49D0780}"/>
    <hyperlink ref="K1672" r:id="rId1654" display="https://ppim-intra.pea.co.th:4434/request/PPIM19501F22" xr:uid="{8C4E6A20-3D83-426A-8496-E54846D46B78}"/>
    <hyperlink ref="K1673" r:id="rId1655" display="https://ppim-intra.pea.co.th:4434/request/PPIM19501F23" xr:uid="{28A33196-CD3D-4DAD-8CA4-4AB1F091EF88}"/>
    <hyperlink ref="K1674" r:id="rId1656" display="https://ppim-intra.pea.co.th:4434/request/PPIM19501F24" xr:uid="{1F28A804-C913-4E8B-BCE4-89AEA1E0AF72}"/>
    <hyperlink ref="K1675" r:id="rId1657" display="https://ppim-intra.pea.co.th:4434/request/PPIM19501F35" xr:uid="{404A15E6-023E-4B96-A230-887960D0B16E}"/>
    <hyperlink ref="K1676" r:id="rId1658" display="https://ppim-intra.pea.co.th:4434/request/PPIM19501F3C" xr:uid="{5C668D8E-7DFD-49F7-9DF0-29009A10C37C}"/>
    <hyperlink ref="K1677" r:id="rId1659" display="https://ppim-intra.pea.co.th:4434/request/PPIM19501F4A" xr:uid="{C11A8B0F-3D8A-4D79-B64E-EC082E15C19A}"/>
    <hyperlink ref="K1678" r:id="rId1660" display="https://ppim-intra.pea.co.th:4434/request/PPIM19501F4B" xr:uid="{34929F01-B368-4805-8342-8319AEEC7BE2}"/>
    <hyperlink ref="K1679" r:id="rId1661" display="https://ppim-intra.pea.co.th:4434/request/PPIM1950138B" xr:uid="{28952AD4-7918-483A-94A4-F671F9F19895}"/>
    <hyperlink ref="K1680" r:id="rId1662" display="https://ppim-intra.pea.co.th:4434/request/PPIM19501572" xr:uid="{F64101C5-202B-4FE1-AB0E-AFF970DA53D7}"/>
    <hyperlink ref="K1681" r:id="rId1663" display="https://ppim-intra.pea.co.th:4434/request/PPIM19501F5E" xr:uid="{A0DA54C1-8566-4A10-B074-39D286B1484A}"/>
    <hyperlink ref="K1682" r:id="rId1664" display="https://ppim-intra.pea.co.th:4434/request/PPIM19501F60" xr:uid="{EFC0505C-DD42-40A7-B819-52CE4D4A3A11}"/>
    <hyperlink ref="K1683" r:id="rId1665" display="https://ppim-intra.pea.co.th:4434/request/PPIM19501F7C" xr:uid="{5097E318-FFD2-46F5-ABFB-7A75B4FB834E}"/>
    <hyperlink ref="K1684" r:id="rId1666" display="https://ppim-intra.pea.co.th:4434/request/PPIM195015EA" xr:uid="{7C37DDC8-C52F-4AAD-8B95-38FA23CDAD5B}"/>
    <hyperlink ref="K1685" r:id="rId1667" display="https://ppim-intra.pea.co.th:4434/request/PPIM19501F9E" xr:uid="{295FF75D-EB54-4F3B-831E-D898C7270019}"/>
    <hyperlink ref="K1686" r:id="rId1668" display="https://ppim-intra.pea.co.th:4434/request/PPIM19500B60" xr:uid="{A7805692-D9F5-4408-BF82-823179831ACB}"/>
    <hyperlink ref="K1687" r:id="rId1669" display="https://ppim-intra.pea.co.th:4434/request/PPIM19501FD0" xr:uid="{3E989417-986F-4757-9474-256BDF660347}"/>
    <hyperlink ref="K1688" r:id="rId1670" display="https://ppim-intra.pea.co.th:4434/request/PPIM19501FD9" xr:uid="{E94D5ED5-2D99-41BB-B0CC-E29C1FB64C2B}"/>
    <hyperlink ref="K1689" r:id="rId1671" display="https://ppim-intra.pea.co.th:4434/request/PPIM19501FF1" xr:uid="{6955D808-B19A-4503-8267-C0475C7C7D0B}"/>
    <hyperlink ref="K1690" r:id="rId1672" display="https://ppim-intra.pea.co.th:4434/request/PPIM19502007" xr:uid="{DAE3925D-5691-4626-A349-3C081F498E27}"/>
    <hyperlink ref="K1691" r:id="rId1673" display="https://ppim-intra.pea.co.th:4434/request/PPIM1950202C" xr:uid="{EE2B7AA9-066E-4096-8896-B2362029D65B}"/>
    <hyperlink ref="K1692" r:id="rId1674" display="https://ppim-intra.pea.co.th:4434/request/PPIM19502031" xr:uid="{248378F8-D5C4-4D4A-BC8D-DAFC484E6298}"/>
    <hyperlink ref="K1693" r:id="rId1675" display="https://ppim-intra.pea.co.th:4434/request/PPIM19502034" xr:uid="{B2B5FFE1-2198-4EF4-8A08-21B030847CEE}"/>
    <hyperlink ref="K1694" r:id="rId1676" display="https://ppim-intra.pea.co.th:4434/request/PPIM19502039" xr:uid="{3E6C57E2-4D52-43E6-8F3D-0399EE2081DB}"/>
    <hyperlink ref="K1695" r:id="rId1677" display="https://ppim-intra.pea.co.th:4434/request/PPIM19502042" xr:uid="{FA09982A-FD9B-46AD-8BCC-EBED9A9619F6}"/>
    <hyperlink ref="K1696" r:id="rId1678" display="https://ppim-intra.pea.co.th:4434/request/PPIM19502072" xr:uid="{2D77A233-F951-45DB-9619-352932D48396}"/>
    <hyperlink ref="K1697" r:id="rId1679" display="https://ppim-intra.pea.co.th:4434/request/PPIM19501F4E" xr:uid="{E26CC51D-1C75-44D3-A664-4080CDFE7FC9}"/>
    <hyperlink ref="K1698" r:id="rId1680" display="https://ppim-intra.pea.co.th:4434/request/PPIM19502080" xr:uid="{A694D41D-4E6C-4AB2-96E5-66AED7EA553A}"/>
    <hyperlink ref="K1699" r:id="rId1681" display="https://ppim-intra.pea.co.th:4434/request/PPIM19502085" xr:uid="{7EE4F427-EFCC-4864-8765-A5AB12E3B41A}"/>
    <hyperlink ref="K1700" r:id="rId1682" display="https://ppim-intra.pea.co.th:4434/request/PPIM19502090" xr:uid="{E94156B0-4F5C-454D-8E52-D9190A4D6862}"/>
    <hyperlink ref="K1702" r:id="rId1683" display="https://ppim-intra.pea.co.th:4434/request/PPIM195020CA" xr:uid="{D8D31AB9-7060-4BB2-998C-944FE97864CA}"/>
    <hyperlink ref="K1703" r:id="rId1684" display="https://ppim-intra.pea.co.th:4434/request/PPIM195020D7" xr:uid="{EE597589-7BDE-484A-BF4C-E40BE0C98B60}"/>
    <hyperlink ref="K1704" r:id="rId1685" display="https://ppim-intra.pea.co.th:4434/request/PPIM195020E6" xr:uid="{DA920BE6-FF95-40E5-BDD9-C9AC13E258AF}"/>
    <hyperlink ref="K1705" r:id="rId1686" display="https://ppim-intra.pea.co.th:4434/request/PPIM195020EF" xr:uid="{0F98561B-1866-4C59-85CE-629CA9289A4A}"/>
    <hyperlink ref="K1706" r:id="rId1687" display="https://ppim-intra.pea.co.th:4434/request/PPIM19502116" xr:uid="{6FDF243F-AD56-4E95-81A7-29ADC1B5E410}"/>
    <hyperlink ref="K1707" r:id="rId1688" display="https://ppim-intra.pea.co.th:4434/request/PPIM19502118" xr:uid="{C7E97FC4-3059-4152-96E0-F57A5F426E59}"/>
    <hyperlink ref="K1708" r:id="rId1689" display="https://ppim-intra.pea.co.th:4434/request/PPIM1950211C" xr:uid="{F1CC088A-A90D-4837-927F-C771AD8EAC38}"/>
    <hyperlink ref="K1709" r:id="rId1690" display="https://ppim-intra.pea.co.th:4434/request/PPIM19502120" xr:uid="{DCA54CDE-70B7-4868-9D01-A0135E9A59FD}"/>
    <hyperlink ref="K1710" r:id="rId1691" display="https://ppim-intra.pea.co.th:4434/request/PPIM19502121" xr:uid="{A0CAD064-86B4-4EDF-8BCB-BEF56A0244B2}"/>
    <hyperlink ref="K1711" r:id="rId1692" display="https://ppim-intra.pea.co.th:4434/request/PPIM19502126" xr:uid="{DDBA7F12-20AF-4054-857B-70DA8B9B23AD}"/>
    <hyperlink ref="K1712" r:id="rId1693" display="https://ppim-intra.pea.co.th:4434/request/PPIM19502136" xr:uid="{C9132E8B-DA9F-4EFC-8E40-D1FA13B03049}"/>
    <hyperlink ref="K1713" r:id="rId1694" display="https://ppim-intra.pea.co.th:4434/request/PPIM19501ABC" xr:uid="{63EC1912-F98E-47FF-8EAB-0BC89D1BB63E}"/>
    <hyperlink ref="K1714" r:id="rId1695" display="https://ppim-intra.pea.co.th:4434/request/PPIM19502158" xr:uid="{85ACE174-EE43-4012-BD6E-F877977FE736}"/>
    <hyperlink ref="K1715" r:id="rId1696" display="https://ppim-intra.pea.co.th:4434/request/PPIM1950215B" xr:uid="{3A5206E7-7393-4E67-AB8D-7F59A87E8514}"/>
    <hyperlink ref="K1716" r:id="rId1697" display="https://ppim-intra.pea.co.th:4434/request/PPIM19502172" xr:uid="{97E0B4FC-93B9-48EB-B773-C9ADB6603177}"/>
    <hyperlink ref="K1717" r:id="rId1698" display="https://ppim-intra.pea.co.th:4434/request/PPIM1950136E" xr:uid="{5C61C239-776B-499C-BB2D-86AA1359A7D0}"/>
    <hyperlink ref="K1718" r:id="rId1699" display="https://ppim-intra.pea.co.th:4434/request/PPIM19502181" xr:uid="{56C014EC-D330-4481-9C98-AD77B6269DB5}"/>
    <hyperlink ref="K1719" r:id="rId1700" display="https://ppim-intra.pea.co.th:4434/request/PPIM19502187" xr:uid="{3E730E0F-7566-4F2C-94FE-0BC74BA8D9AE}"/>
    <hyperlink ref="K1720" r:id="rId1701" display="https://ppim-intra.pea.co.th:4434/request/PPIM1950218A" xr:uid="{ACE0C4F5-B88F-45C2-9C59-D2E69D396442}"/>
    <hyperlink ref="K1721" r:id="rId1702" display="https://ppim-intra.pea.co.th:4434/request/PPIM19501B9C" xr:uid="{91633C65-22C0-4F7A-980A-0D8CD3690EF2}"/>
    <hyperlink ref="K1722" r:id="rId1703" display="https://ppim-intra.pea.co.th:4434/request/PPIM1950208C" xr:uid="{4773DFEF-B05E-44BF-B734-81853B8AC71F}"/>
    <hyperlink ref="K1723" r:id="rId1704" display="https://ppim-intra.pea.co.th:4434/request/PPIM195021D7" xr:uid="{A3810875-0857-4BFE-B284-B05DA035BAFA}"/>
    <hyperlink ref="K1724" r:id="rId1705" display="https://ppim-intra.pea.co.th:4434/request/PPIM19501315" xr:uid="{09F292D0-5BFC-464A-A273-BCCCC417CBA4}"/>
    <hyperlink ref="K1725" r:id="rId1706" display="https://ppim-intra.pea.co.th:4434/request/PPIM195021F2" xr:uid="{824536AF-F1CC-463F-B23A-D6357AA92F9C}"/>
    <hyperlink ref="K1726" r:id="rId1707" display="https://ppim-intra.pea.co.th:4434/request/PPIM195021FC" xr:uid="{77394441-CF35-4923-994E-AE8643361512}"/>
    <hyperlink ref="K1727" r:id="rId1708" display="https://ppim-intra.pea.co.th:4434/request/PPIM19502215" xr:uid="{B832020D-5F9F-4BE8-AE55-86CC8D56C412}"/>
    <hyperlink ref="K1728" r:id="rId1709" display="https://ppim-intra.pea.co.th:4434/request/PPIM195019CC" xr:uid="{9F7723B0-01FD-4722-B3EE-12C5A58707BE}"/>
    <hyperlink ref="K1729" r:id="rId1710" display="https://ppim-intra.pea.co.th:4434/request/PPIM19502261" xr:uid="{C4565A2D-49FB-4BE5-9CD7-3F482CD201BE}"/>
    <hyperlink ref="K1730" r:id="rId1711" display="https://ppim-intra.pea.co.th:4434/request/PPIM195022A0" xr:uid="{9A8AE006-4ACC-476E-AA19-B0718DF193ED}"/>
    <hyperlink ref="K1731" r:id="rId1712" display="https://ppim-intra.pea.co.th:4434/request/PPIM195022A3" xr:uid="{BC57B0E3-3555-412B-A886-704A2C32C5F0}"/>
    <hyperlink ref="K1732" r:id="rId1713" display="https://ppim-intra.pea.co.th:4434/request/PPIM195022C8" xr:uid="{7181BD0E-ED62-473C-AF71-733AAAC0D172}"/>
    <hyperlink ref="K1733" r:id="rId1714" display="https://ppim-intra.pea.co.th:4434/request/PPIM195022F6" xr:uid="{9D5349FF-A35A-41F5-AA0B-8A2D90AD2749}"/>
    <hyperlink ref="K1734" r:id="rId1715" display="https://ppim-intra.pea.co.th:4434/request/PPIM1950231C" xr:uid="{EE013096-92F5-4EE2-AE24-FC3748155AEE}"/>
    <hyperlink ref="K1735" r:id="rId1716" display="https://ppim-intra.pea.co.th:4434/request/PPIM19502329" xr:uid="{B059F5E5-4C7A-42DE-B670-F270FF196A22}"/>
    <hyperlink ref="K1736" r:id="rId1717" display="https://ppim-intra.pea.co.th:4434/request/PPIM1950233D" xr:uid="{823833CA-B37B-4335-9BD5-9AEFFBD35B35}"/>
    <hyperlink ref="K1737" r:id="rId1718" display="https://ppim-intra.pea.co.th:4434/request/PPIM19502349" xr:uid="{AAAA76D8-D1EE-4E6E-ACD1-01F7D2175133}"/>
    <hyperlink ref="K1738" r:id="rId1719" display="https://ppim-intra.pea.co.th:4434/request/PPIM1950234B" xr:uid="{0BA66149-BF31-4741-8FAE-C96BBC78B4B4}"/>
    <hyperlink ref="K1739" r:id="rId1720" display="https://ppim-intra.pea.co.th:4434/request/PPIM1950234F" xr:uid="{B391A120-69A0-4545-AF5F-8E00671D8ED1}"/>
    <hyperlink ref="K1740" r:id="rId1721" display="https://ppim-intra.pea.co.th:4434/request/PPIM19502353" xr:uid="{8B96486D-68B0-417C-B2B2-DF76F9C24FAC}"/>
    <hyperlink ref="K1741" r:id="rId1722" display="https://ppim-intra.pea.co.th:4434/request/PPIM19502356" xr:uid="{E2A4BB98-52DC-4A0E-8D98-D38874BDE0B0}"/>
    <hyperlink ref="K1742" r:id="rId1723" display="https://ppim-intra.pea.co.th:4434/request/PPIM1950235B" xr:uid="{D905D0A7-47BE-405C-B9F4-F6863669CA2D}"/>
    <hyperlink ref="K1743" r:id="rId1724" display="https://ppim-intra.pea.co.th:4434/request/PPIM1950235F" xr:uid="{E9DE61D0-0734-476A-98AD-D769E68D4656}"/>
    <hyperlink ref="K1744" r:id="rId1725" display="https://ppim-intra.pea.co.th:4434/request/PPIM19502362" xr:uid="{02D3049B-DC6A-41B2-8710-083D2197FBE6}"/>
    <hyperlink ref="K1745" r:id="rId1726" display="https://ppim-intra.pea.co.th:4434/request/PPIM19502366" xr:uid="{E1F62356-D63D-41E2-9D10-E2C8905C4C26}"/>
    <hyperlink ref="K1746" r:id="rId1727" display="https://ppim-intra.pea.co.th:4434/request/PPIM19502367" xr:uid="{3CEDF9A5-09A5-481C-95C9-09CECC3B4F8A}"/>
    <hyperlink ref="K1747" r:id="rId1728" display="https://ppim-intra.pea.co.th:4434/request/PPIM19502368" xr:uid="{9A01A97E-2EDD-467D-BA9A-110B20D7D681}"/>
    <hyperlink ref="K1748" r:id="rId1729" display="https://ppim-intra.pea.co.th:4434/request/PPIM1950236B" xr:uid="{6B26D199-ECD7-4661-BA8D-F9432C7D77DA}"/>
    <hyperlink ref="K1749" r:id="rId1730" display="https://ppim-intra.pea.co.th:4434/request/PPIM1950236C" xr:uid="{7F74DEC5-E8E2-49A0-815D-876B1F73BCE5}"/>
    <hyperlink ref="K1750" r:id="rId1731" display="https://ppim-intra.pea.co.th:4434/request/PPIM1950236D" xr:uid="{7E829B5F-67C6-4D30-A2A2-A28DC419134B}"/>
    <hyperlink ref="K1751" r:id="rId1732" display="https://ppim-intra.pea.co.th:4434/request/PPIM19502370" xr:uid="{B167DB28-2E15-4CD0-BC51-B453974AA0CA}"/>
    <hyperlink ref="K1752" r:id="rId1733" display="https://ppim-intra.pea.co.th:4434/request/PPIM19502371" xr:uid="{CE71BE7A-FCB2-4BDC-8510-7AE7BFEBDEB9}"/>
    <hyperlink ref="K1753" r:id="rId1734" display="https://ppim-intra.pea.co.th:4434/request/PPIM19502374" xr:uid="{D151DAD6-643A-423D-A090-55F5A278A1A5}"/>
    <hyperlink ref="K1754" r:id="rId1735" display="https://ppim-intra.pea.co.th:4434/request/PPIM19502378" xr:uid="{0851F890-E40D-41F4-BB94-541B52E79437}"/>
    <hyperlink ref="K1755" r:id="rId1736" display="https://ppim-intra.pea.co.th:4434/request/PPIM19502379" xr:uid="{1A3E1BCD-309C-42A1-999E-F93B4E24C257}"/>
    <hyperlink ref="K1756" r:id="rId1737" display="https://ppim-intra.pea.co.th:4434/request/PPIM1950237B" xr:uid="{B59E8464-8657-4782-BB48-84F1B6BDFB58}"/>
    <hyperlink ref="K1757" r:id="rId1738" display="https://ppim-intra.pea.co.th:4434/request/PPIM1850467B" xr:uid="{8BE18B44-AF12-4667-A780-FD927745FCC3}"/>
    <hyperlink ref="K1758" r:id="rId1739" display="https://ppim-intra.pea.co.th:4434/request/PPIM1950238C" xr:uid="{DA1DBE81-1512-414E-9425-4FDAF1E66F43}"/>
    <hyperlink ref="K1759" r:id="rId1740" display="https://ppim-intra.pea.co.th:4434/request/PPIM19501100" xr:uid="{3CB0CE95-2C72-4420-87CC-49DF4D51FE97}"/>
    <hyperlink ref="K1760" r:id="rId1741" display="https://ppim-intra.pea.co.th:4434/request/PPIM1950239D" xr:uid="{BF43E700-5F45-4669-B69D-BF4C6F163D1D}"/>
    <hyperlink ref="K1761" r:id="rId1742" display="https://ppim-intra.pea.co.th:4434/request/PPIM195023A0" xr:uid="{C66CB1CD-E440-4F5D-BB9E-BA90364AB863}"/>
    <hyperlink ref="K1762" r:id="rId1743" display="https://ppim-intra.pea.co.th:4434/request/PPIM195023A3" xr:uid="{45146B89-0173-4503-BC2B-B6C5A733587B}"/>
    <hyperlink ref="K1763" r:id="rId1744" display="https://ppim-intra.pea.co.th:4434/request/PPIM195023A6" xr:uid="{D7FDDBCD-415B-4060-A61F-5371A99A04D1}"/>
    <hyperlink ref="K1764" r:id="rId1745" display="https://ppim-intra.pea.co.th:4434/request/PPIM195023B3" xr:uid="{DFACAA41-C8C5-4479-8AAD-FCB712466119}"/>
    <hyperlink ref="K1765" r:id="rId1746" display="https://ppim-intra.pea.co.th:4434/request/PPIM195023DE" xr:uid="{6BDA0F2C-81FE-40C8-BBFC-36ED905FFE83}"/>
    <hyperlink ref="K1766" r:id="rId1747" display="https://ppim-intra.pea.co.th:4434/request/PPIM195023E3" xr:uid="{B063B8B0-CF0C-41A8-AD99-01D038B184BD}"/>
    <hyperlink ref="K1767" r:id="rId1748" display="https://ppim-intra.pea.co.th:4434/request/PPIM195023E6" xr:uid="{C1C692B1-26E0-4000-9167-C2D2AC7ABE5E}"/>
    <hyperlink ref="K1768" r:id="rId1749" display="https://ppim-intra.pea.co.th:4434/request/PPIM195023FD" xr:uid="{C37DADEF-38FE-4795-9CBC-E86911F72557}"/>
    <hyperlink ref="K1769" r:id="rId1750" display="https://ppim-intra.pea.co.th:4434/request/PPIM19502401" xr:uid="{7EF1F58E-4610-4391-A31A-A3B2717A5871}"/>
    <hyperlink ref="K1770" r:id="rId1751" display="https://ppim-intra.pea.co.th:4434/request/PPIM19502416" xr:uid="{E2FF2299-935F-4755-9617-E3FE0845DAD0}"/>
    <hyperlink ref="K1771" r:id="rId1752" display="https://ppim-intra.pea.co.th:4434/request/PPIM19502420" xr:uid="{2A9F092B-8FF0-40FF-A2E2-5155BB9F9021}"/>
    <hyperlink ref="K1772" r:id="rId1753" display="https://ppim-intra.pea.co.th:4434/request/PPIM1950249A" xr:uid="{A7AF7B48-F31A-414D-A835-1B172366B22A}"/>
    <hyperlink ref="K1773" r:id="rId1754" display="https://ppim-intra.pea.co.th:4434/request/PPIM195024C1" xr:uid="{5F821D87-53C1-48F7-BF6E-3BF60FC0DE1D}"/>
    <hyperlink ref="K1774" r:id="rId1755" display="https://ppim-intra.pea.co.th:4434/request/PPIM19502548" xr:uid="{37D5E3F2-365A-4C31-B1E6-48E1CC74C184}"/>
    <hyperlink ref="K1775" r:id="rId1756" display="https://ppim-intra.pea.co.th:4434/request/PPIM1950255A" xr:uid="{156CE2F1-699F-476D-91B3-8C7D57E0F101}"/>
    <hyperlink ref="K1776" r:id="rId1757" display="https://ppim-intra.pea.co.th:4434/request/PPIM19502571" xr:uid="{760AEB20-F3D0-49DD-9778-0EE7058F0275}"/>
    <hyperlink ref="K1777" r:id="rId1758" display="https://ppim-intra.pea.co.th:4434/request/PPIM1950257E" xr:uid="{D4F25934-2581-47F8-84CA-C8487AFC002E}"/>
    <hyperlink ref="K1778" r:id="rId1759" display="https://ppim-intra.pea.co.th:4434/request/PPIM19502584" xr:uid="{493CC318-CD6A-4167-80F8-F0A9DF3B23E7}"/>
    <hyperlink ref="K1779" r:id="rId1760" display="https://ppim-intra.pea.co.th:4434/request/PPIM19502585" xr:uid="{29823B13-6992-4A88-8AE2-F47A34C86E77}"/>
    <hyperlink ref="K1780" r:id="rId1761" display="https://ppim-intra.pea.co.th:4434/request/PPIM19502588" xr:uid="{490EDD16-B721-438C-A097-21950FB73172}"/>
    <hyperlink ref="K1781" r:id="rId1762" display="https://ppim-intra.pea.co.th:4434/request/PPIM1950258A" xr:uid="{DD4149D8-6503-441B-8733-7AE2F50C5A5E}"/>
    <hyperlink ref="K1782" r:id="rId1763" display="https://ppim-intra.pea.co.th:4434/request/PPIM1950258E" xr:uid="{BE329EA8-A6BE-4694-9AF2-4D8CB754AB1B}"/>
    <hyperlink ref="K1783" r:id="rId1764" display="https://ppim-intra.pea.co.th:4434/request/PPIM19502591" xr:uid="{50525D28-E292-439E-A327-DED1C9599E6B}"/>
    <hyperlink ref="K1784" r:id="rId1765" display="https://ppim-intra.pea.co.th:4434/request/PPIM19502593" xr:uid="{F3C429E4-4184-49FD-A6F6-9CAFF848D496}"/>
    <hyperlink ref="K1785" r:id="rId1766" display="https://ppim-intra.pea.co.th:4434/request/PPIM19502598" xr:uid="{BBD2675A-0EFE-4755-B7E3-1ADB9180D43B}"/>
    <hyperlink ref="K1786" r:id="rId1767" display="https://ppim-intra.pea.co.th:4434/request/PPIM19502599" xr:uid="{DC84520F-640D-4338-9AFC-536F2E8E3AF9}"/>
    <hyperlink ref="K1787" r:id="rId1768" display="https://ppim-intra.pea.co.th:4434/request/PPIM1950259B" xr:uid="{A56A55CF-67DB-42AB-B875-6DA8A7AE1465}"/>
    <hyperlink ref="K1788" r:id="rId1769" display="https://ppim-intra.pea.co.th:4434/request/PPIM1950259D" xr:uid="{82B284ED-A79C-49EB-BD80-3A521C222F70}"/>
    <hyperlink ref="K1789" r:id="rId1770" display="https://ppim-intra.pea.co.th:4434/request/PPIM195025A0" xr:uid="{0224D19D-E643-4EE8-8038-DCE129819904}"/>
    <hyperlink ref="K1790" r:id="rId1771" display="https://ppim-intra.pea.co.th:4434/request/PPIM195025A1" xr:uid="{251AE2A1-9512-4A01-A226-DE4AD47DB82A}"/>
    <hyperlink ref="K1791" r:id="rId1772" display="https://ppim-intra.pea.co.th:4434/request/PPIM195025A3" xr:uid="{2C7D237F-46D0-4515-B56F-A01F71B563EA}"/>
    <hyperlink ref="K1792" r:id="rId1773" display="https://ppim-intra.pea.co.th:4434/request/PPIM195025A6" xr:uid="{36A5DB68-8FE4-4A48-A32B-D2302F4DA0F6}"/>
    <hyperlink ref="K1793" r:id="rId1774" display="https://ppim-intra.pea.co.th:4434/request/PPIM195025AA" xr:uid="{79CE2857-DC00-4067-9744-70D88D5DD7CD}"/>
    <hyperlink ref="K1794" r:id="rId1775" display="https://ppim-intra.pea.co.th:4434/request/PPIM195025AB" xr:uid="{586BD9EE-F7A6-4D4C-B3B4-6423CED427E6}"/>
    <hyperlink ref="K1795" r:id="rId1776" display="https://ppim-intra.pea.co.th:4434/request/PPIM195025AD" xr:uid="{FAE68FC0-9D9A-40D2-A20B-5A6D03C98B81}"/>
    <hyperlink ref="K1796" r:id="rId1777" display="https://ppim-intra.pea.co.th:4434/request/PPIM195025AE" xr:uid="{9B384F5B-7DF3-4456-93D3-4E1320ECE77B}"/>
    <hyperlink ref="K1797" r:id="rId1778" display="https://ppim-intra.pea.co.th:4434/request/PPIM195025B1" xr:uid="{B43892D2-A7D0-4CF8-BFD8-554D5FF9D283}"/>
    <hyperlink ref="K1798" r:id="rId1779" display="https://ppim-intra.pea.co.th:4434/request/PPIM195025B8" xr:uid="{410A9546-544B-4B1B-A81A-7DD14DEAC79D}"/>
    <hyperlink ref="K1799" r:id="rId1780" display="https://ppim-intra.pea.co.th:4434/request/PPIM195025C3" xr:uid="{F56AB1C4-E2B0-488B-AA81-D6544319AACF}"/>
    <hyperlink ref="K1800" r:id="rId1781" display="https://ppim-intra.pea.co.th:4434/request/PPIM195025E0" xr:uid="{6478A3A7-4CB1-405B-88F6-BC40A82FC7F1}"/>
    <hyperlink ref="K1802" r:id="rId1782" display="https://ppim-intra.pea.co.th:4434/request/PPIM195025E3" xr:uid="{DFA8EEBF-AB72-4572-82FF-84606670BD6D}"/>
    <hyperlink ref="K1803" r:id="rId1783" display="https://ppim-intra.pea.co.th:4434/request/PPIM195025EB" xr:uid="{6C0CDAB5-FD0A-4090-AAC8-3776B98F900A}"/>
    <hyperlink ref="K1804" r:id="rId1784" display="https://ppim-intra.pea.co.th:4434/request/PPIM1950262B" xr:uid="{9B4562BA-DEA2-42FE-B74A-E15327E7AC2C}"/>
    <hyperlink ref="K1805" r:id="rId1785" display="https://ppim-intra.pea.co.th:4434/request/PPIM19502636" xr:uid="{E55190F8-FA95-4DA4-8544-A8C832ED11A8}"/>
    <hyperlink ref="K1806" r:id="rId1786" display="https://ppim-intra.pea.co.th:4434/request/PPIM1950269A" xr:uid="{6CDC6057-A27D-4FC7-AE5A-449E7EE3D787}"/>
    <hyperlink ref="K1807" r:id="rId1787" display="https://ppim-intra.pea.co.th:4434/request/PPIM195026AA" xr:uid="{A8BAE369-EC7E-465E-9D9C-D016E169202E}"/>
    <hyperlink ref="K1808" r:id="rId1788" display="https://ppim-intra.pea.co.th:4434/request/PPIM195026DA" xr:uid="{A43E7BA5-4DD4-4D8A-B529-59CB28F30303}"/>
    <hyperlink ref="K1809" r:id="rId1789" display="https://ppim-intra.pea.co.th:4434/request/PPIM195026EB" xr:uid="{8BD4A07B-B714-4547-952F-5D08F5C35EBD}"/>
    <hyperlink ref="K1810" r:id="rId1790" display="https://ppim-intra.pea.co.th:4434/request/PPIM195026F7" xr:uid="{D00C2FF7-1290-4A50-810B-E24AB94D7694}"/>
    <hyperlink ref="K1811" r:id="rId1791" display="https://ppim-intra.pea.co.th:4434/request/PPIM19502700" xr:uid="{999B3BCE-28E0-41A7-ADE4-3C7620B77A9B}"/>
    <hyperlink ref="K1812" r:id="rId1792" display="https://ppim-intra.pea.co.th:4434/request/PPIM19502744" xr:uid="{D878E555-7840-4B61-84D7-7E114C33E963}"/>
    <hyperlink ref="K1813" r:id="rId1793" display="https://ppim-intra.pea.co.th:4434/request/PPIM19502749" xr:uid="{8918E92B-4599-4C30-B681-28A2F293A130}"/>
    <hyperlink ref="K1814" r:id="rId1794" display="https://ppim-intra.pea.co.th:4434/request/PPIM1950274A" xr:uid="{7BC39C87-CD0D-49BA-9A84-A8FBE5353013}"/>
    <hyperlink ref="K1815" r:id="rId1795" display="https://ppim-intra.pea.co.th:4434/request/PPIM1950275F" xr:uid="{BAE4489F-B834-481F-AFE5-3C19321200C1}"/>
    <hyperlink ref="K1816" r:id="rId1796" display="https://ppim-intra.pea.co.th:4434/request/PPIM19502763" xr:uid="{96C36832-1081-4EC7-99AE-8199DA03034E}"/>
    <hyperlink ref="K1817" r:id="rId1797" display="https://ppim-intra.pea.co.th:4434/request/PPIM19502766" xr:uid="{AD96F71F-6462-4953-8BBF-51885FF05106}"/>
    <hyperlink ref="K1818" r:id="rId1798" display="https://ppim-intra.pea.co.th:4434/request/PPIM19502769" xr:uid="{18947287-567C-4380-8ABB-9FF9FF8B6E02}"/>
    <hyperlink ref="K1819" r:id="rId1799" display="https://ppim-intra.pea.co.th:4434/request/PPIM19501A4B" xr:uid="{11867F94-49EB-40B4-962E-87FD35AED107}"/>
    <hyperlink ref="K1820" r:id="rId1800" display="https://ppim-intra.pea.co.th:4434/request/PPIM195017BE" xr:uid="{02DE5134-5596-4347-B6AE-7B82C05F16A7}"/>
    <hyperlink ref="K1821" r:id="rId1801" display="https://ppim-intra.pea.co.th:4434/request/PPIM1950278C" xr:uid="{AD778F3D-4C1D-4EE6-A71A-34A3FF90D6B5}"/>
    <hyperlink ref="K1822" r:id="rId1802" display="https://ppim-intra.pea.co.th:4434/request/PPIM19502809" xr:uid="{23229388-DE76-4D1C-9B06-92C55F5B1C29}"/>
    <hyperlink ref="K1823" r:id="rId1803" display="https://ppim-intra.pea.co.th:4434/request/PPIM19502816" xr:uid="{5BBF96B4-C712-44FA-AE31-AEC3980833DC}"/>
    <hyperlink ref="K1824" r:id="rId1804" display="https://ppim-intra.pea.co.th:4434/request/PPIM19502817" xr:uid="{A38AF8AC-1DD8-4C49-BB3E-9EF208189684}"/>
    <hyperlink ref="K1825" r:id="rId1805" display="https://ppim-intra.pea.co.th:4434/request/PPIM1950281A" xr:uid="{1EDEDD45-AE8C-4712-8C43-3B2F0FF6D10C}"/>
    <hyperlink ref="K1826" r:id="rId1806" display="https://ppim-intra.pea.co.th:4434/request/PPIM19502825" xr:uid="{9F78899C-250B-4A72-A6E5-1329A8B3E54F}"/>
    <hyperlink ref="K1827" r:id="rId1807" display="https://ppim-intra.pea.co.th:4434/request/PPIM1950282E" xr:uid="{622BEE46-7317-4098-9A92-4F88E4A90DA6}"/>
    <hyperlink ref="K1828" r:id="rId1808" display="https://ppim-intra.pea.co.th:4434/request/PPIM19502832" xr:uid="{71C94345-94A2-4D74-99ED-C9E41AD151AF}"/>
    <hyperlink ref="K1829" r:id="rId1809" display="https://ppim-intra.pea.co.th:4434/request/PPIM19500490" xr:uid="{8A0A5E17-A0D0-4F3E-B311-F13C0BBE1AD5}"/>
    <hyperlink ref="K1830" r:id="rId1810" display="https://ppim-intra.pea.co.th:4434/request/PPIM195028A0" xr:uid="{B75893DF-F05E-47D9-870C-93C840E6806D}"/>
    <hyperlink ref="K1831" r:id="rId1811" display="https://ppim-intra.pea.co.th:4434/request/PPIM195028A1" xr:uid="{9769C4D3-5157-4DA1-BC9E-C9C0374099B6}"/>
    <hyperlink ref="K1832" r:id="rId1812" display="https://ppim-intra.pea.co.th:4434/request/PPIM1950209F" xr:uid="{89340D3D-BE25-48ED-865A-9E8025464214}"/>
    <hyperlink ref="K1833" r:id="rId1813" display="https://ppim-intra.pea.co.th:4434/request/PPIM195028B3" xr:uid="{99FFD050-A9A8-40B0-AF24-5E2EA6B208EE}"/>
    <hyperlink ref="K1834" r:id="rId1814" display="https://ppim-intra.pea.co.th:4434/request/PPIM195028B4" xr:uid="{B3BB7BC3-425C-4A62-9BEF-22BA3CE56E84}"/>
    <hyperlink ref="K1835" r:id="rId1815" display="https://ppim-intra.pea.co.th:4434/request/PPIM195028D1" xr:uid="{2E50D9DB-9230-47AE-AF6C-CC78E560F93F}"/>
    <hyperlink ref="K1836" r:id="rId1816" display="https://ppim-intra.pea.co.th:4434/request/PPIM1950172D" xr:uid="{7DCF7F56-44BE-454B-BD1C-B3980E669D7D}"/>
    <hyperlink ref="K1837" r:id="rId1817" display="https://ppim-intra.pea.co.th:4434/request/PPIM19502945" xr:uid="{A0A2EE6A-990B-48BA-AB34-CB605EB364E9}"/>
    <hyperlink ref="K1838" r:id="rId1818" display="https://ppim-intra.pea.co.th:4434/request/PPIM19502954" xr:uid="{52B22BAF-D20B-4BB0-86F5-8A3E6EC7C3BA}"/>
    <hyperlink ref="K1839" r:id="rId1819" display="https://ppim-intra.pea.co.th:4434/request/PPIM1950296D" xr:uid="{082A5679-D17F-4B97-B2C9-A6683F66D8EF}"/>
    <hyperlink ref="K1840" r:id="rId1820" display="https://ppim-intra.pea.co.th:4434/request/PPIM1950296F" xr:uid="{5642F0B3-B457-4E7B-A814-30ACB94ACE61}"/>
    <hyperlink ref="K1841" r:id="rId1821" display="https://ppim-intra.pea.co.th:4434/request/PPIM19502970" xr:uid="{C4F7051F-BC79-45F6-B19D-81BA72E6881D}"/>
    <hyperlink ref="K1842" r:id="rId1822" display="https://ppim-intra.pea.co.th:4434/request/PPIM195029B0" xr:uid="{ABDD7B8C-BD79-4216-93B9-AEEC6482D4F4}"/>
    <hyperlink ref="K1843" r:id="rId1823" display="https://ppim-intra.pea.co.th:4434/request/PPIM19502A1E" xr:uid="{98A8280D-0B6E-4BFD-99B0-77DBE96B1AC0}"/>
    <hyperlink ref="K1844" r:id="rId1824" display="https://ppim-intra.pea.co.th:4434/request/PPIM19502AD6" xr:uid="{820F7E75-783E-443D-82FA-6DA6E0C665F7}"/>
    <hyperlink ref="K1845" r:id="rId1825" display="https://ppim-intra.pea.co.th:4434/request/PPIM19502AE3" xr:uid="{0B264B45-B51B-4F20-905B-BB84E56DF416}"/>
    <hyperlink ref="K1846" r:id="rId1826" display="https://ppim-intra.pea.co.th:4434/request/PPIM19502AF0" xr:uid="{B7093B59-6106-44B1-ABCF-1403ED4D0ED8}"/>
    <hyperlink ref="K1847" r:id="rId1827" display="https://ppim-intra.pea.co.th:4434/request/PPIM195017E8" xr:uid="{BF8665B5-064B-4350-A197-99D0275E68A9}"/>
    <hyperlink ref="K1848" r:id="rId1828" display="https://ppim-intra.pea.co.th:4434/request/PPIM1950195D" xr:uid="{83337DCE-8928-4648-8AB3-E79FF2BF1066}"/>
    <hyperlink ref="K1849" r:id="rId1829" display="https://ppim-intra.pea.co.th:4434/request/PPIM19502B7C" xr:uid="{5DD5F773-0640-489F-92D0-1816500F4891}"/>
    <hyperlink ref="K1850" r:id="rId1830" display="https://ppim-intra.pea.co.th:4434/request/PPIM195018C8" xr:uid="{BA764075-E010-4B01-8D33-6BF41F790E8C}"/>
    <hyperlink ref="K1851" r:id="rId1831" display="https://ppim-intra.pea.co.th:4434/request/PPIM19500EB8" xr:uid="{C90FCDB0-2EF6-4E09-8630-35558544DB84}"/>
    <hyperlink ref="K1852" r:id="rId1832" display="https://ppim-intra.pea.co.th:4434/request/PPIM195018E9" xr:uid="{A1639CE3-B003-4961-8FA4-2B5114165D84}"/>
    <hyperlink ref="K1853" r:id="rId1833" display="https://ppim-intra.pea.co.th:4434/request/PPIM19502BBE" xr:uid="{573066CD-0746-4944-9357-97494F02AF64}"/>
    <hyperlink ref="K1854" r:id="rId1834" display="https://ppim-intra.pea.co.th:4434/request/PPIM19502BCC" xr:uid="{AA889351-984C-4366-9A70-C43A7EF0E075}"/>
    <hyperlink ref="K1855" r:id="rId1835" display="https://ppim-intra.pea.co.th:4434/request/PPIM19502BCF" xr:uid="{00B71D6A-E3F6-4553-B09D-FE59686D5E2C}"/>
    <hyperlink ref="K1856" r:id="rId1836" display="https://ppim-intra.pea.co.th:4434/request/PPIM19502315" xr:uid="{131C4026-7866-45C2-B687-5DD3C4D93574}"/>
    <hyperlink ref="K1857" r:id="rId1837" display="https://ppim-intra.pea.co.th:4434/request/PPIM19502318" xr:uid="{2AF92AC0-F8EF-4665-BCC4-19C2E158AD4F}"/>
    <hyperlink ref="K1858" r:id="rId1838" display="https://ppim-intra.pea.co.th:4434/request/PPIM19502302" xr:uid="{A0AF2295-3B5F-4BA2-ACCB-EF765B726C98}"/>
    <hyperlink ref="K1859" r:id="rId1839" display="https://ppim-intra.pea.co.th:4434/request/PPIM19502527" xr:uid="{8BA7BBD5-61E6-4A28-AB35-56F9845D7925}"/>
    <hyperlink ref="K1860" r:id="rId1840" display="https://ppim-intra.pea.co.th:4434/request/PPIM19502C1E" xr:uid="{CA1659EA-7786-4A02-BD57-512428DA0CBD}"/>
    <hyperlink ref="K1861" r:id="rId1841" display="https://ppim-intra.pea.co.th:4434/request/PPIM19502C1F" xr:uid="{F1CBCCA6-1CF1-4C2E-BF77-519B3EB50598}"/>
    <hyperlink ref="K1862" r:id="rId1842" display="https://ppim-intra.pea.co.th:4434/request/PPIM19502C27" xr:uid="{DD96F89B-88D6-4483-A5A8-262C255DC9FB}"/>
    <hyperlink ref="K1863" r:id="rId1843" display="https://ppim-intra.pea.co.th:4434/request/PPIM1950258B" xr:uid="{D7968743-E674-46EC-9A42-F557070C9D87}"/>
    <hyperlink ref="K1864" r:id="rId1844" display="https://ppim-intra.pea.co.th:4434/request/PPIM19502393" xr:uid="{987C8B07-05C3-4359-A7B8-5C6397CD7B0B}"/>
    <hyperlink ref="K1865" r:id="rId1845" display="https://ppim-intra.pea.co.th:4434/request/PPIM195025C1" xr:uid="{9F357019-D5C6-4CFF-8B0E-30939FF3CA12}"/>
    <hyperlink ref="K1866" r:id="rId1846" display="https://ppim-intra.pea.co.th:4434/request/PPIM19501F6B" xr:uid="{172D2AF2-E8CA-4C12-861B-3A58BE2F5FF4}"/>
    <hyperlink ref="K1867" r:id="rId1847" display="https://ppim-intra.pea.co.th:4434/request/PPIM195022FB" xr:uid="{456A5B16-EEC9-4BB8-9C68-25DFA37E8E04}"/>
    <hyperlink ref="K1868" r:id="rId1848" display="https://ppim-intra.pea.co.th:4434/request/PPIM19502CA1" xr:uid="{122023A7-675C-4490-8B68-19429E4912CC}"/>
    <hyperlink ref="K1869" r:id="rId1849" display="https://ppim-intra.pea.co.th:4434/request/PPIM195029E6" xr:uid="{B75A9910-BC5B-4A4B-8FD8-851C181C91D7}"/>
    <hyperlink ref="K1870" r:id="rId1850" display="https://ppim-intra.pea.co.th:4434/request/PPIM1950207A" xr:uid="{EFB30D2C-CE1E-4ECD-A27B-CADDEBC02ED0}"/>
    <hyperlink ref="K1871" r:id="rId1851" display="https://ppim-intra.pea.co.th:4434/request/PPIM195025D5" xr:uid="{1E09427A-59E5-4ED1-BC59-868815AFF392}"/>
    <hyperlink ref="K1872" r:id="rId1852" display="https://ppim-intra.pea.co.th:4434/request/PPIM19502CB1" xr:uid="{68B71FC7-33FC-4343-AF2D-A4FDAB1842ED}"/>
    <hyperlink ref="K1873" r:id="rId1853" display="https://ppim-intra.pea.co.th:4434/request/PPIM1950279B" xr:uid="{2EC4F58C-06D3-43B7-9246-3974FA140000}"/>
    <hyperlink ref="K1874" r:id="rId1854" display="https://ppim-intra.pea.co.th:4434/request/PPIM195023B1" xr:uid="{95143AF5-C736-4F25-BB2B-AECE591B16BE}"/>
    <hyperlink ref="K1875" r:id="rId1855" display="https://ppim-intra.pea.co.th:4434/request/PPIM19502CB9" xr:uid="{6CD80E98-EFD6-4BD2-9548-B787FF1A58F3}"/>
    <hyperlink ref="K1876" r:id="rId1856" display="https://ppim-intra.pea.co.th:4434/request/PPIM195021A1" xr:uid="{4F2BBABE-6E77-4CEA-B6A3-971146F9A7D0}"/>
    <hyperlink ref="K1877" r:id="rId1857" display="https://ppim-intra.pea.co.th:4434/request/PPIM19502CC5" xr:uid="{6E746E32-567E-41F0-A075-494D87402E06}"/>
    <hyperlink ref="K1878" r:id="rId1858" display="https://ppim-intra.pea.co.th:4434/request/PPIM195027C2" xr:uid="{8670E9B0-48D3-4346-B1D1-39EAC56CC4B1}"/>
    <hyperlink ref="K1879" r:id="rId1859" display="https://ppim-intra.pea.co.th:4434/request/PPIM19501E04" xr:uid="{CAC5A169-7107-48D0-BB75-A00D667D4440}"/>
    <hyperlink ref="K1880" r:id="rId1860" display="https://ppim-intra.pea.co.th:4434/request/PPIM195025AC" xr:uid="{0E278230-D932-4DB9-A0EF-C1FD0EBED719}"/>
    <hyperlink ref="K1881" r:id="rId1861" display="https://ppim-intra.pea.co.th:4434/request/PPIM19502D2C" xr:uid="{9E8D73B5-2A16-4B88-9DA1-BBD255E01FD6}"/>
    <hyperlink ref="K1882" r:id="rId1862" display="https://ppim-intra.pea.co.th:4434/request/PPIM19502545" xr:uid="{F5564E48-2A01-4BFB-9B01-CF6BDF6D00C7}"/>
    <hyperlink ref="K1883" r:id="rId1863" display="https://ppim-intra.pea.co.th:4434/request/PPIM19501939" xr:uid="{C19D6A4A-C73D-4053-8251-FDEB91248536}"/>
    <hyperlink ref="K1884" r:id="rId1864" display="https://ppim-intra.pea.co.th:4434/request/PPIM19502838" xr:uid="{64C23E1B-756B-4C91-ABB6-11CD5E2DEAD0}"/>
    <hyperlink ref="K1885" r:id="rId1865" display="https://ppim-intra.pea.co.th:4434/request/PPIM19502A20" xr:uid="{DE06E829-A5E9-4883-AC74-DB2F80E0BE83}"/>
    <hyperlink ref="K1886" r:id="rId1866" display="https://ppim-intra.pea.co.th:4434/request/PPIM19502A8D" xr:uid="{3B77336D-ED36-4677-A8C9-F159F9CE5D7F}"/>
    <hyperlink ref="K1887" r:id="rId1867" display="https://ppim-intra.pea.co.th:4434/request/PPIM19502A89" xr:uid="{B03088E8-CF03-4EE9-A75A-26FE8A30FB11}"/>
    <hyperlink ref="K1888" r:id="rId1868" display="https://ppim-intra.pea.co.th:4434/request/PPIM1950263D" xr:uid="{A05A9AB7-A11B-477D-B927-4D7063D4939E}"/>
    <hyperlink ref="K1889" r:id="rId1869" display="https://ppim-intra.pea.co.th:4434/request/PPIM19502D65" xr:uid="{A7AF3655-721F-4948-BABF-DFD1E938310A}"/>
    <hyperlink ref="K1890" r:id="rId1870" display="https://ppim-intra.pea.co.th:4434/request/PPIM19501473" xr:uid="{C4DCBDB9-DA16-4CCC-9882-152B16FD284C}"/>
    <hyperlink ref="K1891" r:id="rId1871" display="https://ppim-intra.pea.co.th:4434/request/PPIM19502946" xr:uid="{6A37055B-318A-422E-8C32-DAB7A53A35D3}"/>
    <hyperlink ref="K1892" r:id="rId1872" display="https://ppim-intra.pea.co.th:4434/request/PPIM19502823" xr:uid="{B654DB69-E7EE-4E03-9DFD-1D1840F34278}"/>
    <hyperlink ref="K1893" r:id="rId1873" display="https://ppim-intra.pea.co.th:4434/request/PPIM195024F7" xr:uid="{A627185A-F8EE-4CB9-802C-0DD9CCEDA69E}"/>
    <hyperlink ref="K1894" r:id="rId1874" display="https://ppim-intra.pea.co.th:4434/request/PPIM19502DBE" xr:uid="{269B665C-627E-4CE6-A447-46A7F6E2BCF2}"/>
    <hyperlink ref="K1895" r:id="rId1875" display="https://ppim-intra.pea.co.th:4434/request/PPIM19502B8F" xr:uid="{87AF4346-D624-428D-B5F2-D4F2C79D1933}"/>
    <hyperlink ref="K1896" r:id="rId1876" display="https://ppim-intra.pea.co.th:4434/request/PPIM1950193D" xr:uid="{ABE3D179-9180-4250-80C2-944D9912DC87}"/>
    <hyperlink ref="K1897" r:id="rId1877" display="https://ppim-intra.pea.co.th:4434/request/PPIM19502C6F" xr:uid="{1C2B7995-0EC5-47AF-AA88-96C7F4845A78}"/>
    <hyperlink ref="K1898" r:id="rId1878" display="https://ppim-intra.pea.co.th:4434/request/PPIM19502DF6" xr:uid="{96607159-D7A0-4D86-BBDF-8F1D1E495383}"/>
    <hyperlink ref="K1899" r:id="rId1879" display="https://ppim-intra.pea.co.th:4434/request/PPIM19501B58" xr:uid="{2EBE5271-5874-495E-BEB9-82B60C8ADB8F}"/>
    <hyperlink ref="K1900" r:id="rId1880" display="https://ppim-intra.pea.co.th:4434/request/PPIM195022B0" xr:uid="{9157E524-3022-48FE-85A1-E8E65D42103E}"/>
    <hyperlink ref="K1902" r:id="rId1881" display="https://ppim-intra.pea.co.th:4434/request/PPIM19502E1F" xr:uid="{D7BE9F26-BE82-401C-A242-B2EC512C2E47}"/>
    <hyperlink ref="K1903" r:id="rId1882" display="https://ppim-intra.pea.co.th:4434/request/PPIM1950250D" xr:uid="{A08539B8-81BD-4361-9FE0-C04571F786DC}"/>
    <hyperlink ref="K1904" r:id="rId1883" display="https://ppim-intra.pea.co.th:4434/request/PPIM195023E5" xr:uid="{23A12F9C-BC3A-4416-8306-B270F17B77DD}"/>
    <hyperlink ref="K1905" r:id="rId1884" display="https://ppim-intra.pea.co.th:4434/request/PPIM19502E27" xr:uid="{11FB0DFD-3F71-4249-98D8-91F08E223CEE}"/>
    <hyperlink ref="K1906" r:id="rId1885" display="https://ppim-intra.pea.co.th:4434/request/PPIM19501F07" xr:uid="{D1485C61-FA32-4F95-B912-A61C90484800}"/>
    <hyperlink ref="K1907" r:id="rId1886" display="https://ppim-intra.pea.co.th:4434/request/PPIM1950115B" xr:uid="{B02F20B8-33C3-49D8-839A-ABDB0A1F7A70}"/>
    <hyperlink ref="K1908" r:id="rId1887" display="https://ppim-intra.pea.co.th:4434/request/PPIM19501B9D" xr:uid="{5DB46A67-075B-4A2D-8575-EE13502B7580}"/>
    <hyperlink ref="K1909" r:id="rId1888" display="https://ppim-intra.pea.co.th:4434/request/PPIM19502DF1" xr:uid="{AC13CA9C-1812-44C6-AD6B-B7A991244CCA}"/>
    <hyperlink ref="K1910" r:id="rId1889" display="https://ppim-intra.pea.co.th:4434/request/PPIM19501FED" xr:uid="{04831284-75E2-47EF-A9C2-3973A0304452}"/>
    <hyperlink ref="K1911" r:id="rId1890" display="https://ppim-intra.pea.co.th:4434/request/PPIM19502788" xr:uid="{42EBCB6E-908C-42BE-9D1D-CD0EB1567503}"/>
    <hyperlink ref="K1912" r:id="rId1891" display="https://ppim-intra.pea.co.th:4434/request/PPIM19502DAA" xr:uid="{E3EC4F9E-D56B-4C90-B206-5482353A25D9}"/>
    <hyperlink ref="K1913" r:id="rId1892" display="https://ppim-intra.pea.co.th:4434/request/PPIM19502E8C" xr:uid="{1888CCD1-CB9C-450A-B5C7-7748B680012D}"/>
    <hyperlink ref="K1914" r:id="rId1893" display="https://ppim-intra.pea.co.th:4434/request/PPIM19502E91" xr:uid="{037D7775-14EA-4A67-9534-27785FE6E62D}"/>
    <hyperlink ref="K1915" r:id="rId1894" display="https://ppim-intra.pea.co.th:4434/request/PPIM1950201C" xr:uid="{4C9DB963-F253-49B5-800E-3397DB86DAF0}"/>
    <hyperlink ref="K1916" r:id="rId1895" display="https://ppim-intra.pea.co.th:4434/request/PPIM19501F8C" xr:uid="{72452376-ED3D-4622-9427-090362765F0F}"/>
    <hyperlink ref="K1917" r:id="rId1896" display="https://ppim-intra.pea.co.th:4434/request/PPIM19502ACF" xr:uid="{58C4C23F-C292-4D9F-80DA-F6823D7B5DB8}"/>
    <hyperlink ref="K1918" r:id="rId1897" display="https://ppim-intra.pea.co.th:4434/request/PPIM19502EB1" xr:uid="{8505D879-F5C9-40D1-8FFB-91BBDD98DB02}"/>
    <hyperlink ref="K1919" r:id="rId1898" display="https://ppim-intra.pea.co.th:4434/request/PPIM19502560" xr:uid="{0B2C92AB-6CAD-454E-95E6-59E487733F18}"/>
    <hyperlink ref="K1920" r:id="rId1899" display="https://ppim-intra.pea.co.th:4434/request/PPIM1950293B" xr:uid="{327B1C7B-92CA-461A-8E16-22E4FB0016BA}"/>
    <hyperlink ref="K1921" r:id="rId1900" display="https://ppim-intra.pea.co.th:4434/request/PPIM19502760" xr:uid="{F3ACCA11-F093-47C2-8BB9-43BBF9948475}"/>
    <hyperlink ref="K1922" r:id="rId1901" display="https://ppim-intra.pea.co.th:4434/request/PPIM19502ADE" xr:uid="{CC9A817F-FF85-46DA-90F5-ED7B0605B29E}"/>
    <hyperlink ref="K1923" r:id="rId1902" display="https://ppim-intra.pea.co.th:4434/request/PPIM19502CB8" xr:uid="{AF2F86A7-9AD1-43BB-9EF8-CD1C2CE5E216}"/>
    <hyperlink ref="K1924" r:id="rId1903" display="https://ppim-intra.pea.co.th:4434/request/PPIM19502EC1" xr:uid="{0FFCE16D-F930-4095-8242-0D7ABA31F39D}"/>
    <hyperlink ref="K1925" r:id="rId1904" display="https://ppim-intra.pea.co.th:4434/request/PPIM19502EA0" xr:uid="{8762502D-8AE9-4951-8D9E-897914A2A184}"/>
    <hyperlink ref="K1926" r:id="rId1905" display="https://ppim-intra.pea.co.th:4434/request/PPIM19502E9D" xr:uid="{ECF3B9A7-BFC7-4E7C-9714-8D722DE4EE3F}"/>
    <hyperlink ref="K1927" r:id="rId1906" display="https://ppim-intra.pea.co.th:4434/request/PPIM19502C2C" xr:uid="{BCA69EB6-ACAE-41CA-90C7-1008D7849807}"/>
    <hyperlink ref="K1928" r:id="rId1907" display="https://ppim-intra.pea.co.th:4434/request/PPIM1950275C" xr:uid="{49158446-1F29-4BBB-832A-5AB677178D02}"/>
    <hyperlink ref="K1929" r:id="rId1908" display="https://ppim-intra.pea.co.th:4434/request/PPIM19502828" xr:uid="{03A5AA78-8105-4B9C-ACA3-6B6BEB737572}"/>
    <hyperlink ref="K1930" r:id="rId1909" display="https://ppim-intra.pea.co.th:4434/request/PPIM19502D41" xr:uid="{E5ABBBE8-EB53-47C2-B1EC-1D5F5AE7EB46}"/>
    <hyperlink ref="K1931" r:id="rId1910" display="https://ppim-intra.pea.co.th:4434/request/PPIM19502E6C" xr:uid="{12A40F83-0D47-4297-8B88-F1E44F848F62}"/>
    <hyperlink ref="K1932" r:id="rId1911" display="https://ppim-intra.pea.co.th:4434/request/PPIM19501D6E" xr:uid="{07980969-717A-4469-9DE0-EE4FD8B90BFB}"/>
    <hyperlink ref="K1933" r:id="rId1912" display="https://ppim-intra.pea.co.th:4434/request/PPIM19501AD7" xr:uid="{28E9EF56-1325-473B-A01F-B92433E60C79}"/>
    <hyperlink ref="K1934" r:id="rId1913" display="https://ppim-intra.pea.co.th:4434/request/PPIM19502AA8" xr:uid="{F3C62777-9664-4805-BD0E-A241F77BDF45}"/>
    <hyperlink ref="K1935" r:id="rId1914" display="https://ppim-intra.pea.co.th:4434/request/PPIM195025D0" xr:uid="{EBBFE41D-3B32-4769-817E-6662DA8B65D5}"/>
    <hyperlink ref="K1936" r:id="rId1915" display="https://ppim-intra.pea.co.th:4434/request/PPIM19502AE9" xr:uid="{673AD809-BD48-4B83-84C8-8688E995155D}"/>
    <hyperlink ref="K1937" r:id="rId1916" display="https://ppim-intra.pea.co.th:4434/request/PPIM19502AEE" xr:uid="{7D832883-E1FE-453C-B012-D0632EF75B45}"/>
    <hyperlink ref="K1938" r:id="rId1917" display="https://ppim-intra.pea.co.th:4434/request/PPIM19502F1D" xr:uid="{B410B5FD-EEBC-4120-993E-26FD1E78D08E}"/>
    <hyperlink ref="K1939" r:id="rId1918" display="https://ppim-intra.pea.co.th:4434/request/PPIM19502F1F" xr:uid="{B67193D3-6D4F-4F0B-BFEE-8C3C69D2BD76}"/>
    <hyperlink ref="K1940" r:id="rId1919" display="https://ppim-intra.pea.co.th:4434/request/PPIM1950185D" xr:uid="{215A32CB-47B6-423D-927F-4BCBACCF807B}"/>
    <hyperlink ref="K1941" r:id="rId1920" display="https://ppim-intra.pea.co.th:4434/request/PPIM19502F1A" xr:uid="{1CCCE370-B7F2-4E09-B4F6-CABB10D38826}"/>
    <hyperlink ref="K1942" r:id="rId1921" display="https://ppim-intra.pea.co.th:4434/request/PPIM19501D6B" xr:uid="{6A9ED08F-65BE-4A11-B8D4-700D49AD85F1}"/>
    <hyperlink ref="K1943" r:id="rId1922" display="https://ppim-intra.pea.co.th:4434/request/PPIM19502F4E" xr:uid="{2213E778-119C-4E32-9589-6BF11E4D30A6}"/>
    <hyperlink ref="K1944" r:id="rId1923" display="https://ppim-intra.pea.co.th:4434/request/PPIM195029D9" xr:uid="{7F5EA439-52B0-4B8D-8268-36934C13474B}"/>
    <hyperlink ref="K1945" r:id="rId1924" display="https://ppim-intra.pea.co.th:4434/request/PPIM19502F55" xr:uid="{2CF26908-6123-479F-9960-FAFA47AFA8CD}"/>
    <hyperlink ref="K1946" r:id="rId1925" display="https://ppim-intra.pea.co.th:4434/request/PPIM19502F70" xr:uid="{4E9038C4-AE12-442B-A66D-347D7D18BD66}"/>
    <hyperlink ref="K1947" r:id="rId1926" display="https://ppim-intra.pea.co.th:4434/request/PPIM195027CA" xr:uid="{3ADA471B-001F-44B9-B550-87FE2DC89C96}"/>
    <hyperlink ref="K1948" r:id="rId1927" display="https://ppim-intra.pea.co.th:4434/request/PPIM195027DC" xr:uid="{470E2261-44CE-46AF-940C-717E53FE5EE6}"/>
    <hyperlink ref="K1949" r:id="rId1928" display="https://ppim-intra.pea.co.th:4434/request/PPIM19502FA3" xr:uid="{C92DF43B-DF59-45C7-8561-51344F8CFF5E}"/>
    <hyperlink ref="K1950" r:id="rId1929" display="https://ppim-intra.pea.co.th:4434/request/PPIM19502FA8" xr:uid="{6F3220B8-4CD1-48CB-99A7-DD07B53479CC}"/>
    <hyperlink ref="K1951" r:id="rId1930" display="https://ppim-intra.pea.co.th:4434/request/PPIM19502F94" xr:uid="{BDE53EB3-20E3-46C1-B47C-DEC0F679956E}"/>
    <hyperlink ref="K1952" r:id="rId1931" display="https://ppim-intra.pea.co.th:4434/request/PPIM19502DCF" xr:uid="{DD6E0DE3-C79D-4EC4-949F-52198F465627}"/>
    <hyperlink ref="K1953" r:id="rId1932" display="https://ppim-intra.pea.co.th:4434/request/PPIM19502D03" xr:uid="{62934FD1-C0B3-4C24-8F34-03FC36852F6F}"/>
    <hyperlink ref="K1954" r:id="rId1933" display="https://ppim-intra.pea.co.th:4434/request/PPIM19502F3E" xr:uid="{6AD66F69-F499-4F20-AFA9-B4CB61435632}"/>
    <hyperlink ref="K1955" r:id="rId1934" display="https://ppim-intra.pea.co.th:4434/request/PPIM19502FB6" xr:uid="{B596A64A-BA16-4B01-A663-65CE167B68B7}"/>
    <hyperlink ref="K1956" r:id="rId1935" display="https://ppim-intra.pea.co.th:4434/request/PPIM19502FC9" xr:uid="{2460429D-A47A-489D-8670-5BEE2C486AED}"/>
    <hyperlink ref="K1957" r:id="rId1936" display="https://ppim-intra.pea.co.th:4434/request/PPIM19502FCE" xr:uid="{A56D5E4E-A65D-4527-8DA9-7283A943581D}"/>
    <hyperlink ref="K1958" r:id="rId1937" display="https://ppim-intra.pea.co.th:4434/request/PPIM19502D1E" xr:uid="{86531E70-FD60-440A-BAB6-F68F8305632A}"/>
    <hyperlink ref="K1959" r:id="rId1938" display="https://ppim-intra.pea.co.th:4434/request/PPIM19502E3F" xr:uid="{D0BD303F-55CC-4862-B918-D771DE251040}"/>
    <hyperlink ref="K1960" r:id="rId1939" display="https://ppim-intra.pea.co.th:4434/request/PPIM19502FE4" xr:uid="{9E8DDF79-0A04-4943-BD75-E6A2ABA26D54}"/>
    <hyperlink ref="K1961" r:id="rId1940" display="https://ppim-intra.pea.co.th:4434/request/PPIM19502FEC" xr:uid="{40BDCF72-F13D-40ED-9780-FB5FC28D37DB}"/>
    <hyperlink ref="K1962" r:id="rId1941" display="https://ppim-intra.pea.co.th:4434/request/PPIM1950210A" xr:uid="{98F5F4DD-F6E9-4A2C-9AC4-A6FC0D10226D}"/>
    <hyperlink ref="K1963" r:id="rId1942" display="https://ppim-intra.pea.co.th:4434/request/PPIM19502858" xr:uid="{ECFCC19B-D1E3-4996-8610-04C54C68CA32}"/>
    <hyperlink ref="K1964" r:id="rId1943" display="https://ppim-intra.pea.co.th:4434/request/PPIM19502A2F" xr:uid="{0291243A-1E84-4330-B688-9D89A4EB2D68}"/>
    <hyperlink ref="K1965" r:id="rId1944" display="https://ppim-intra.pea.co.th:4434/request/PPIM19502D45" xr:uid="{793E782D-27F4-4867-80B7-FF0811D1B0F1}"/>
    <hyperlink ref="K1966" r:id="rId1945" display="https://ppim-intra.pea.co.th:4434/request/PPIM19503019" xr:uid="{00904700-FEA7-4F3E-8FBC-1CA8F51B0E71}"/>
    <hyperlink ref="K1967" r:id="rId1946" display="https://ppim-intra.pea.co.th:4434/request/PPIM195024FC" xr:uid="{14818AC6-403C-40E3-AE41-EE93CFCF6E87}"/>
    <hyperlink ref="K1968" r:id="rId1947" display="https://ppim-intra.pea.co.th:4434/request/PPIM19502A43" xr:uid="{23DDA3B5-BD59-48C8-B3FE-3FC0FF573ED6}"/>
    <hyperlink ref="K1969" r:id="rId1948" display="https://ppim-intra.pea.co.th:4434/request/PPIM19502D61" xr:uid="{1CFACF74-FD39-401E-BD80-4004C14CDF68}"/>
    <hyperlink ref="K1970" r:id="rId1949" display="https://ppim-intra.pea.co.th:4434/request/PPIM195028D8" xr:uid="{9F26878A-685F-4E16-9F98-832D54A20F7A}"/>
    <hyperlink ref="K1971" r:id="rId1950" display="https://ppim-intra.pea.co.th:4434/request/PPIM195028E6" xr:uid="{4160F272-9332-4B2E-BC25-DE06DF33EC57}"/>
    <hyperlink ref="K1972" r:id="rId1951" display="https://ppim-intra.pea.co.th:4434/request/PPIM195028E3" xr:uid="{5019C3A2-093B-4634-9353-8D1885DB4371}"/>
    <hyperlink ref="K1973" r:id="rId1952" display="https://ppim-intra.pea.co.th:4434/request/PPIM195028E0" xr:uid="{8AEEC356-5073-4510-AE93-DBD1534AC6DB}"/>
    <hyperlink ref="K1974" r:id="rId1953" display="https://ppim-intra.pea.co.th:4434/request/PPIM195027A8" xr:uid="{05C6AA1D-597D-4D23-971C-FB839064EA71}"/>
    <hyperlink ref="K1975" r:id="rId1954" display="https://ppim-intra.pea.co.th:4434/request/PPIM19501F44" xr:uid="{DA0B1318-3572-455E-9D22-E82BE833DA0E}"/>
    <hyperlink ref="K1976" r:id="rId1955" display="https://ppim-intra.pea.co.th:4434/request/PPIM1950306C" xr:uid="{4E453B1F-C42E-4D98-A2D5-2B2725311C1A}"/>
    <hyperlink ref="K1977" r:id="rId1956" display="https://ppim-intra.pea.co.th:4434/request/PPIM19503090" xr:uid="{47896660-7520-48B8-8195-F2CEED2F3120}"/>
    <hyperlink ref="K1978" r:id="rId1957" display="https://ppim-intra.pea.co.th:4434/request/PPIM19503098" xr:uid="{7DC01CCA-D07D-4723-A887-A0B345A8B325}"/>
    <hyperlink ref="K1979" r:id="rId1958" display="https://ppim-intra.pea.co.th:4434/request/PPIM1950309A" xr:uid="{3EB22AD1-5AAD-4D0C-9FD2-29F3BBDFEF7B}"/>
    <hyperlink ref="K1980" r:id="rId1959" display="https://ppim-intra.pea.co.th:4434/request/PPIM195025A2" xr:uid="{D1191ABE-3616-4BE8-8FC9-9CB87C3C5945}"/>
    <hyperlink ref="K1981" r:id="rId1960" display="https://ppim-intra.pea.co.th:4434/request/PPIM19502FA9" xr:uid="{4396D64F-F7D2-44B9-80C2-6FEB50DB0018}"/>
    <hyperlink ref="K1982" r:id="rId1961" display="https://ppim-intra.pea.co.th:4434/request/PPIM19502AE1" xr:uid="{B221F276-2417-4ACC-B041-E71D53153F82}"/>
    <hyperlink ref="K1983" r:id="rId1962" display="https://ppim-intra.pea.co.th:4434/request/PPIM19502868" xr:uid="{6E2B692F-CD80-4F27-96F2-B037F759B938}"/>
    <hyperlink ref="K1984" r:id="rId1963" display="https://ppim-intra.pea.co.th:4434/request/PPIM195030C7" xr:uid="{816CCF21-5FC0-43EE-9E70-BC850866DAC1}"/>
    <hyperlink ref="K1985" r:id="rId1964" display="https://ppim-intra.pea.co.th:4434/request/PPIM195030DD" xr:uid="{50C54D70-AACF-499F-A988-E71BD9FCE81F}"/>
    <hyperlink ref="K1986" r:id="rId1965" display="https://ppim-intra.pea.co.th:4434/request/PPIM195030E2" xr:uid="{E0B8A2C5-0B31-40A1-A800-B94FF16B5989}"/>
    <hyperlink ref="K1987" r:id="rId1966" display="https://ppim-intra.pea.co.th:4434/request/PPIM19502F51" xr:uid="{EDBDAC9C-357C-402A-B596-BBB2DD19FFDB}"/>
    <hyperlink ref="K1988" r:id="rId1967" display="https://ppim-intra.pea.co.th:4434/request/PPIM19503004" xr:uid="{B22DF3CB-5BAA-4309-BF88-0E1A81596597}"/>
    <hyperlink ref="K1989" r:id="rId1968" display="https://ppim-intra.pea.co.th:4434/request/PPIM19502D70" xr:uid="{F0869B86-4D7C-43ED-9E39-BD7CE91578FD}"/>
    <hyperlink ref="K1990" r:id="rId1969" display="https://ppim-intra.pea.co.th:4434/request/PPIM19503141" xr:uid="{EE04FDD8-0F01-498F-8264-A2759641A33B}"/>
    <hyperlink ref="K1991" r:id="rId1970" display="https://ppim-intra.pea.co.th:4434/request/PPIM1950314E" xr:uid="{B458FD22-F7D1-464E-B595-B2A9BC7D00AD}"/>
    <hyperlink ref="K1992" r:id="rId1971" display="https://ppim-intra.pea.co.th:4434/request/PPIM19502D11" xr:uid="{AFEE3A29-74F5-46A0-A6DA-BD3B1295F513}"/>
    <hyperlink ref="K1993" r:id="rId1972" display="https://ppim-intra.pea.co.th:4434/request/PPIM19503181" xr:uid="{7130B3E2-CF1F-4DC5-969C-7EE7B6F27E44}"/>
    <hyperlink ref="K1994" r:id="rId1973" display="https://ppim-intra.pea.co.th:4434/request/PPIM195024BA" xr:uid="{A32617BD-D187-40A1-84A7-1CD418BF6785}"/>
    <hyperlink ref="K1995" r:id="rId1974" display="https://ppim-intra.pea.co.th:4434/request/PPIM195024DF" xr:uid="{2EAA1F1E-9CBD-4D44-9399-7CD766291FC3}"/>
    <hyperlink ref="K1996" r:id="rId1975" display="https://ppim-intra.pea.co.th:4434/request/PPIM19501732" xr:uid="{3805C11B-763D-40C4-9B0B-2380EC07239C}"/>
    <hyperlink ref="K1997" r:id="rId1976" display="https://ppim-intra.pea.co.th:4434/request/PPIM19502732" xr:uid="{067A0D88-AE36-452B-B6E6-F1969967304A}"/>
    <hyperlink ref="K1998" r:id="rId1977" display="https://ppim-intra.pea.co.th:4434/request/PPIM19502733" xr:uid="{DE61E613-3F6E-4CB7-8376-AD5EF0BF879B}"/>
    <hyperlink ref="K1999" r:id="rId1978" display="https://ppim-intra.pea.co.th:4434/request/PPIM19501C88" xr:uid="{8EF2ED19-339D-4C40-9805-C7BE4F66EFBF}"/>
    <hyperlink ref="K2000" r:id="rId1979" display="https://ppim-intra.pea.co.th:4434/request/PPIM19502771" xr:uid="{79D41DFE-E9B8-487F-8B02-55638B941712}"/>
    <hyperlink ref="K2002" r:id="rId1980" display="https://ppim-intra.pea.co.th:4434/request/PPIM19501D99" xr:uid="{DA490198-61EF-4D68-8ED4-89437442E92D}"/>
    <hyperlink ref="K2003" r:id="rId1981" display="https://ppim-intra.pea.co.th:4434/request/PPIM195031A2" xr:uid="{AC09F9D9-BC33-4E5F-BBA9-5B2C4D81AC5D}"/>
    <hyperlink ref="K2004" r:id="rId1982" display="https://ppim-intra.pea.co.th:4434/request/PPIM19501E31" xr:uid="{B747CDA3-0942-4E8C-8F0C-1ABC32929F90}"/>
    <hyperlink ref="K2005" r:id="rId1983" display="https://ppim-intra.pea.co.th:4434/request/PPIM195020BC" xr:uid="{A3472114-B9E5-4E4E-9AD6-E7A97A560892}"/>
    <hyperlink ref="K2006" r:id="rId1984" display="https://ppim-intra.pea.co.th:4434/request/PPIM19502F61" xr:uid="{B1C024AA-8682-4DD5-AE73-70C2CEF69985}"/>
    <hyperlink ref="K2007" r:id="rId1985" display="https://ppim-intra.pea.co.th:4434/request/PPIM195024CE" xr:uid="{374BA2BF-0E00-4210-9580-1B221A931726}"/>
    <hyperlink ref="K2008" r:id="rId1986" display="https://ppim-intra.pea.co.th:4434/request/PPIM19503200" xr:uid="{4BDE8C16-A648-41D5-BB5A-1E4CB8579F49}"/>
    <hyperlink ref="K2009" r:id="rId1987" display="https://ppim-intra.pea.co.th:4434/request/PPIM19503044" xr:uid="{C09AE42F-8E19-4195-AF26-E8A1936BDB37}"/>
    <hyperlink ref="K2010" r:id="rId1988" display="https://ppim-intra.pea.co.th:4434/request/PPIM19502E07" xr:uid="{C30D5441-A3B2-4FFF-AE47-44DDB8801FCB}"/>
    <hyperlink ref="K2011" r:id="rId1989" display="https://ppim-intra.pea.co.th:4434/request/PPIM19502151" xr:uid="{B07517C6-4546-4C3D-9E52-271E93F5777F}"/>
    <hyperlink ref="K2012" r:id="rId1990" display="https://ppim-intra.pea.co.th:4434/request/PPIM19502E53" xr:uid="{F3DA99DF-0C82-4ADB-8446-26C1B90A8FA8}"/>
    <hyperlink ref="K2013" r:id="rId1991" display="https://ppim-intra.pea.co.th:4434/request/PPIM19503263" xr:uid="{2DC65EE6-1126-4415-B5B6-2E2C76A3955F}"/>
    <hyperlink ref="K2014" r:id="rId1992" display="https://ppim-intra.pea.co.th:4434/request/PPIM19502F89" xr:uid="{A9493FE3-7988-4F62-A1D5-511D6D607D91}"/>
    <hyperlink ref="K2015" r:id="rId1993" display="https://ppim-intra.pea.co.th:4434/request/PPIM1950327D" xr:uid="{AA241386-F017-4E35-BF7C-C22E8A59F333}"/>
    <hyperlink ref="K2016" r:id="rId1994" display="https://ppim-intra.pea.co.th:4434/request/PPIM19502D78" xr:uid="{8F46DEB6-7C63-41A9-9614-35108854FD6F}"/>
    <hyperlink ref="K2017" r:id="rId1995" display="https://ppim-intra.pea.co.th:4434/request/PPIM19502D62" xr:uid="{083E316D-6DAF-40F1-BF4D-11AD104D7522}"/>
    <hyperlink ref="K2018" r:id="rId1996" display="https://ppim-intra.pea.co.th:4434/request/PPIM195022A5" xr:uid="{017267F8-E780-4DCC-8746-E165BBBAF1F8}"/>
    <hyperlink ref="K2019" r:id="rId1997" display="https://ppim-intra.pea.co.th:4434/request/PPIM19502D52" xr:uid="{698BB970-06E4-4888-9C77-C3FD60367B6E}"/>
    <hyperlink ref="K2020" r:id="rId1998" display="https://ppim-intra.pea.co.th:4434/request/PPIM19502872" xr:uid="{72213493-121E-4110-BB02-C13A677B80C0}"/>
    <hyperlink ref="K2021" r:id="rId1999" display="https://ppim-intra.pea.co.th:4434/request/PPIM1950328B" xr:uid="{928266AA-5219-48B4-8558-8FAF6B2CB75E}"/>
    <hyperlink ref="K2022" r:id="rId2000" display="https://ppim-intra.pea.co.th:4434/request/PPIM19503290" xr:uid="{AE3BE7EB-C489-4603-B7FA-19B69FEC04A1}"/>
    <hyperlink ref="K2023" r:id="rId2001" display="https://ppim-intra.pea.co.th:4434/request/PPIM1950329B" xr:uid="{948E9D61-71B5-463F-BC4C-D85A075F0869}"/>
    <hyperlink ref="K2024" r:id="rId2002" display="https://ppim-intra.pea.co.th:4434/request/PPIM19503226" xr:uid="{CFAF2F9B-ECE5-4540-980F-2765888DBDF5}"/>
    <hyperlink ref="K2025" r:id="rId2003" display="https://ppim-intra.pea.co.th:4434/request/PPIM1950326B" xr:uid="{7D713D71-EADB-40FC-A513-0C5E4D07E7E4}"/>
    <hyperlink ref="K2026" r:id="rId2004" display="https://ppim-intra.pea.co.th:4434/request/PPIM19502AF2" xr:uid="{63F83722-89EE-45DD-A187-9A8B1F8D922D}"/>
    <hyperlink ref="K2027" r:id="rId2005" display="https://ppim-intra.pea.co.th:4434/request/PPIM19502C9C" xr:uid="{FB9F892B-35BD-4C95-914C-0AB66FD6A341}"/>
    <hyperlink ref="K2028" r:id="rId2006" display="https://ppim-intra.pea.co.th:4434/request/PPIM1950309C" xr:uid="{FAC2D5D2-3EA3-4ADD-9E25-DCD9E6E3F103}"/>
    <hyperlink ref="K2029" r:id="rId2007" display="https://ppim-intra.pea.co.th:4434/request/PPIM1950214A" xr:uid="{465236E6-59AF-45FF-B839-9C62C4AFBBF7}"/>
    <hyperlink ref="K2030" r:id="rId2008" display="https://ppim-intra.pea.co.th:4434/request/PPIM195032DD" xr:uid="{2232EE9D-C597-45B4-9366-3344A48D8609}"/>
    <hyperlink ref="K2031" r:id="rId2009" display="https://ppim-intra.pea.co.th:4434/request/PPIM19502CD4" xr:uid="{2C4FCB50-4DA9-4E1B-B288-E11F5DC8CA87}"/>
    <hyperlink ref="K2032" r:id="rId2010" display="https://ppim-intra.pea.co.th:4434/request/PPIM19502BF3" xr:uid="{AC7888C0-0B17-44C8-AD2C-D10E17D37046}"/>
    <hyperlink ref="K2033" r:id="rId2011" display="https://ppim-intra.pea.co.th:4434/request/PPIM19501C87" xr:uid="{1B1B284D-52C8-4A4B-B30A-6BA6CFFD1948}"/>
    <hyperlink ref="K2034" r:id="rId2012" display="https://ppim-intra.pea.co.th:4434/request/PPIM19501CA9" xr:uid="{5019229D-7D83-4A5C-891E-F897F532AD1E}"/>
    <hyperlink ref="K2035" r:id="rId2013" display="https://ppim-intra.pea.co.th:4434/request/PPIM19502BAE" xr:uid="{08333DC3-4EFE-4826-840D-F5CAC9FDBFBA}"/>
    <hyperlink ref="K2036" r:id="rId2014" display="https://ppim-intra.pea.co.th:4434/request/PPIM195026C4" xr:uid="{AAEB595B-BEE5-42C9-B071-54A76661BD96}"/>
    <hyperlink ref="K2037" r:id="rId2015" display="https://ppim-intra.pea.co.th:4434/request/PPIM19502CE6" xr:uid="{A31F79EA-7E0A-44E1-AD9A-6287E868D44C}"/>
    <hyperlink ref="K2038" r:id="rId2016" display="https://ppim-intra.pea.co.th:4434/request/PPIM19503332" xr:uid="{D3829E49-16B3-422F-9FAD-63513173FB7B}"/>
    <hyperlink ref="K2039" r:id="rId2017" display="https://ppim-intra.pea.co.th:4434/request/PPIM195026EE" xr:uid="{199992F6-FB20-4372-8C6B-0B16BB686CBC}"/>
    <hyperlink ref="K2040" r:id="rId2018" display="https://ppim-intra.pea.co.th:4434/request/PPIM19502DF2" xr:uid="{4733DA4A-4490-4973-AC04-43EFE6CD1566}"/>
    <hyperlink ref="K2041" r:id="rId2019" display="https://ppim-intra.pea.co.th:4434/request/PPIM19502B1C" xr:uid="{53BB5497-61B2-4434-B4DA-27907AA2678C}"/>
    <hyperlink ref="K2042" r:id="rId2020" display="https://ppim-intra.pea.co.th:4434/request/PPIM19501908" xr:uid="{88F27B67-83FF-4A3C-88A6-B003EBC13F18}"/>
    <hyperlink ref="K2043" r:id="rId2021" display="https://ppim-intra.pea.co.th:4434/request/PPIM1950333F" xr:uid="{F4DD9347-A651-4DDC-9C4B-69CA4299A81A}"/>
    <hyperlink ref="K2044" r:id="rId2022" display="https://ppim-intra.pea.co.th:4434/request/PPIM19503374" xr:uid="{7FC39AE3-9D56-4178-9AC5-316CFA949527}"/>
    <hyperlink ref="K2045" r:id="rId2023" display="https://ppim-intra.pea.co.th:4434/request/PPIM19502FA1" xr:uid="{8B31C016-3E49-4539-9249-BB91C763CB98}"/>
    <hyperlink ref="K2046" r:id="rId2024" display="https://ppim-intra.pea.co.th:4434/request/PPIM19502A09" xr:uid="{B2A448D9-D4D4-4A7A-9829-C8AF90C6F478}"/>
    <hyperlink ref="K2047" r:id="rId2025" display="https://ppim-intra.pea.co.th:4434/request/PPIM195029AE" xr:uid="{2B2D2707-11E5-46EF-B37A-10E477C551C7}"/>
    <hyperlink ref="K2048" r:id="rId2026" display="https://ppim-intra.pea.co.th:4434/request/PPIM1950275E" xr:uid="{6E9962A2-C007-4FFC-B2B4-9A835313B0D8}"/>
    <hyperlink ref="K2049" r:id="rId2027" display="https://ppim-intra.pea.co.th:4434/request/PPIM195023D5" xr:uid="{AE714F83-84FA-4187-90BC-BC9CCC67548B}"/>
    <hyperlink ref="K2050" r:id="rId2028" display="https://ppim-intra.pea.co.th:4434/request/PPIM195023D4" xr:uid="{E863A178-38F9-41AC-92BD-447A153AB65B}"/>
    <hyperlink ref="K2051" r:id="rId2029" display="https://ppim-intra.pea.co.th:4434/request/PPIM1950304E" xr:uid="{23EE486C-0883-492E-B99A-A02C114A488B}"/>
    <hyperlink ref="K2052" r:id="rId2030" display="https://ppim-intra.pea.co.th:4434/request/PPIM195030E5" xr:uid="{58623DB0-A0A1-49E1-A4E8-5E2720043C88}"/>
    <hyperlink ref="K2053" r:id="rId2031" display="https://ppim-intra.pea.co.th:4434/request/PPIM195030E3" xr:uid="{715B04DF-B7A1-425B-BCAD-CEA5B7747E5A}"/>
    <hyperlink ref="K2054" r:id="rId2032" display="https://ppim-intra.pea.co.th:4434/request/PPIM195032A2" xr:uid="{8E67A782-3C03-4A9E-B95C-364193FA7A79}"/>
    <hyperlink ref="K2055" r:id="rId2033" display="https://ppim-intra.pea.co.th:4434/request/PPIM195030CC" xr:uid="{22F5BB87-24F1-4EF5-A253-81928AC644A8}"/>
    <hyperlink ref="K2056" r:id="rId2034" display="https://ppim-intra.pea.co.th:4434/request/PPIM1950341A" xr:uid="{C174DBBE-10E7-41B8-B959-10AE661C0C58}"/>
    <hyperlink ref="K2057" r:id="rId2035" display="https://ppim-intra.pea.co.th:4434/request/PPIM19503427" xr:uid="{DC64DE48-1005-4C96-85AC-1A3A276FCF5D}"/>
    <hyperlink ref="K2058" r:id="rId2036" display="https://ppim-intra.pea.co.th:4434/request/PPIM195022A2" xr:uid="{A0AED27C-EBC1-48C4-8C5B-0B00302C6D0B}"/>
    <hyperlink ref="K2059" r:id="rId2037" display="https://ppim-intra.pea.co.th:4434/request/PPIM19502F21" xr:uid="{C59C299A-938C-470B-9DA8-0D7E23971626}"/>
    <hyperlink ref="K2060" r:id="rId2038" display="https://ppim-intra.pea.co.th:4434/request/PPIM1950306D" xr:uid="{D1B32927-0D3E-472F-858F-B8F22FD645A3}"/>
    <hyperlink ref="K2061" r:id="rId2039" display="https://ppim-intra.pea.co.th:4434/request/PPIM195032C9" xr:uid="{0F51EB62-DDEB-41FA-90CA-D73BAEC55C44}"/>
    <hyperlink ref="K2062" r:id="rId2040" display="https://ppim-intra.pea.co.th:4434/request/PPIM195012EF" xr:uid="{FA8C0579-3DA1-4765-807C-CE0CC4CE8F41}"/>
    <hyperlink ref="K2063" r:id="rId2041" display="https://ppim-intra.pea.co.th:4434/request/PPIM1950298F" xr:uid="{9BE6D0BE-AB3B-456E-89FC-334E83F9BE86}"/>
    <hyperlink ref="K2064" r:id="rId2042" display="https://ppim-intra.pea.co.th:4434/request/PPIM195028B2" xr:uid="{934F1275-7D44-4C41-BCF0-DEBEDDCF27AD}"/>
    <hyperlink ref="K2065" r:id="rId2043" display="https://ppim-intra.pea.co.th:4434/request/PPIM19503475" xr:uid="{F776952F-24E7-4E22-8B30-0D60E874E99C}"/>
    <hyperlink ref="K2066" r:id="rId2044" display="https://ppim-intra.pea.co.th:4434/request/PPIM19503359" xr:uid="{2FBBAB6F-7434-4C9B-BBD6-1B1215D8B811}"/>
    <hyperlink ref="K2067" r:id="rId2045" display="https://ppim-intra.pea.co.th:4434/request/PPIM19503425" xr:uid="{19DD859D-6C03-4942-A101-BEC1D1F38509}"/>
    <hyperlink ref="K2068" r:id="rId2046" display="https://ppim-intra.pea.co.th:4434/request/PPIM1950349A" xr:uid="{CFBBE47F-0423-4751-8F0F-C1827D9D98E2}"/>
    <hyperlink ref="K2069" r:id="rId2047" display="https://ppim-intra.pea.co.th:4434/request/PPIM1950290E" xr:uid="{FA164761-50F9-4479-B866-3C95C4590F35}"/>
    <hyperlink ref="K2070" r:id="rId2048" display="https://ppim-intra.pea.co.th:4434/request/PPIM195034AB" xr:uid="{8D4B249B-0A26-4C05-86AC-DA27AF74E3C2}"/>
    <hyperlink ref="K2071" r:id="rId2049" display="https://ppim-intra.pea.co.th:4434/request/PPIM195034B3" xr:uid="{D863F0BA-832B-4704-9196-EECA1AD0D865}"/>
    <hyperlink ref="K2072" r:id="rId2050" display="https://ppim-intra.pea.co.th:4434/request/PPIM195034BB" xr:uid="{63377CBB-D7E0-404F-ABB5-193B11E0D99A}"/>
    <hyperlink ref="K2073" r:id="rId2051" display="https://ppim-intra.pea.co.th:4434/request/PPIM19502EEF" xr:uid="{85CE010D-F392-4EE9-88A7-D81F1CD63F82}"/>
    <hyperlink ref="K2074" r:id="rId2052" display="https://ppim-intra.pea.co.th:4434/request/PPIM195034E8" xr:uid="{B9B003FA-8CE1-4068-9D6C-AA07E66CF2F5}"/>
    <hyperlink ref="K2075" r:id="rId2053" display="https://ppim-intra.pea.co.th:4434/request/PPIM195034EA" xr:uid="{C6E32AC3-7FBC-4802-B913-658C76D152DE}"/>
    <hyperlink ref="K2076" r:id="rId2054" display="https://ppim-intra.pea.co.th:4434/request/PPIM195034F2" xr:uid="{2B5AF4B0-8B09-437A-A2E5-B071EEB30C14}"/>
    <hyperlink ref="K2077" r:id="rId2055" display="https://ppim-intra.pea.co.th:4434/request/PPIM195034F5" xr:uid="{9F3D7498-5278-45DF-BB9E-AB227F03609E}"/>
    <hyperlink ref="K2078" r:id="rId2056" display="https://ppim-intra.pea.co.th:4434/request/PPIM195034F7" xr:uid="{7F73E361-B5AA-4CB6-87C2-43521DC751C3}"/>
    <hyperlink ref="K2079" r:id="rId2057" display="https://ppim-intra.pea.co.th:4434/request/PPIM195034F9" xr:uid="{D104375D-AB25-4145-912B-F73DEEDADBD0}"/>
    <hyperlink ref="K2080" r:id="rId2058" display="https://ppim-intra.pea.co.th:4434/request/PPIM195034FC" xr:uid="{B9284D1B-28DA-484D-B6F9-FFAEFD31D3F4}"/>
    <hyperlink ref="K2081" r:id="rId2059" display="https://ppim-intra.pea.co.th:4434/request/PPIM195034FE" xr:uid="{4E18818F-4D1E-4496-B3CF-6B7D45C777EC}"/>
    <hyperlink ref="K2082" r:id="rId2060" display="https://ppim-intra.pea.co.th:4434/request/PPIM19503503" xr:uid="{B8EBCD79-CEC0-4B9F-B48A-B6EA68A99252}"/>
    <hyperlink ref="K2083" r:id="rId2061" display="https://ppim-intra.pea.co.th:4434/request/PPIM19503504" xr:uid="{DFF657B5-58FF-4AF8-B7F1-5D629F27B766}"/>
    <hyperlink ref="K2084" r:id="rId2062" display="https://ppim-intra.pea.co.th:4434/request/PPIM19503506" xr:uid="{F4F6E28B-FCA3-484F-8ADF-2A82F6F35157}"/>
    <hyperlink ref="K2085" r:id="rId2063" display="https://ppim-intra.pea.co.th:4434/request/PPIM19503398" xr:uid="{801DACE1-B3F1-47C1-BD76-EC0B5E179126}"/>
    <hyperlink ref="K2086" r:id="rId2064" display="https://ppim-intra.pea.co.th:4434/request/PPIM1950352C" xr:uid="{42D7D270-7DEC-49DF-B547-82604B8D3180}"/>
    <hyperlink ref="K2087" r:id="rId2065" display="https://ppim-intra.pea.co.th:4434/request/PPIM19503534" xr:uid="{247CD1DB-A2CA-407F-8CCD-805C03FA6E56}"/>
    <hyperlink ref="K2088" r:id="rId2066" display="https://ppim-intra.pea.co.th:4434/request/PPIM19502FBD" xr:uid="{1981B2C8-A9FF-488A-815C-6ABCC528C19F}"/>
    <hyperlink ref="K2089" r:id="rId2067" display="https://ppim-intra.pea.co.th:4434/request/PPIM19502F57" xr:uid="{BEBA57C6-3740-43C3-BB18-014AD8C1508E}"/>
    <hyperlink ref="K2090" r:id="rId2068" display="https://ppim-intra.pea.co.th:4434/request/PPIM19501C5D" xr:uid="{1FE66652-FF6C-4F97-97A4-2E685CA36E0D}"/>
    <hyperlink ref="K2091" r:id="rId2069" display="https://ppim-intra.pea.co.th:4434/request/PPIM19503563" xr:uid="{9122B8F1-E91F-449B-9DFB-9B81DC809084}"/>
    <hyperlink ref="K2092" r:id="rId2070" display="https://ppim-intra.pea.co.th:4434/request/PPIM19503565" xr:uid="{3F9291C3-20A2-47F9-93EE-A408157C7FFD}"/>
    <hyperlink ref="K2093" r:id="rId2071" display="https://ppim-intra.pea.co.th:4434/request/PPIM1950356F" xr:uid="{7BE697B1-C1FD-45DC-898D-A80C7B614C70}"/>
    <hyperlink ref="K2094" r:id="rId2072" display="https://ppim-intra.pea.co.th:4434/request/PPIM19503573" xr:uid="{1A99B3ED-77B9-4BB5-BE8D-0B53AEC89C85}"/>
    <hyperlink ref="K2095" r:id="rId2073" display="https://ppim-intra.pea.co.th:4434/request/PPIM19503532" xr:uid="{56ECD5CE-035C-47A8-9EA6-C9F3B9220865}"/>
    <hyperlink ref="K2096" r:id="rId2074" display="https://ppim-intra.pea.co.th:4434/request/PPIM19503577" xr:uid="{A93529D8-3D8F-40DC-ACFD-D8175188CCB5}"/>
    <hyperlink ref="K2097" r:id="rId2075" display="https://ppim-intra.pea.co.th:4434/request/PPIM1950357A" xr:uid="{F0130E93-ED54-4607-9D2F-64708A044D13}"/>
    <hyperlink ref="K2098" r:id="rId2076" display="https://ppim-intra.pea.co.th:4434/request/PPIM19503596" xr:uid="{D443184D-D1EF-4A0F-8C91-0AE3C4E7267B}"/>
    <hyperlink ref="K2099" r:id="rId2077" display="https://ppim-intra.pea.co.th:4434/request/PPIM19503412" xr:uid="{4483BE81-C7AF-4283-8CB3-42854683C39C}"/>
    <hyperlink ref="K2100" r:id="rId2078" display="https://ppim-intra.pea.co.th:4434/request/PPIM1950359F" xr:uid="{69A30FB4-F13D-4146-B9DA-42E62813EAAC}"/>
    <hyperlink ref="K2102" r:id="rId2079" display="https://ppim-intra.pea.co.th:4434/request/PPIM195035A2" xr:uid="{455CE9F7-AA24-40E3-9ADC-520AA1AB5B23}"/>
    <hyperlink ref="K2103" r:id="rId2080" display="https://ppim-intra.pea.co.th:4434/request/PPIM195035A7" xr:uid="{C619E723-758A-4531-8147-4CA684A8B71A}"/>
    <hyperlink ref="K2104" r:id="rId2081" display="https://ppim-intra.pea.co.th:4434/request/PPIM195035A9" xr:uid="{F2B6B921-AFEF-4BE4-8B03-E31D0C458C40}"/>
    <hyperlink ref="K2105" r:id="rId2082" display="https://ppim-intra.pea.co.th:4434/request/PPIM195035AE" xr:uid="{C06F88C4-E8D8-41E1-B272-2E22A35C46E8}"/>
    <hyperlink ref="K2106" r:id="rId2083" display="https://ppim-intra.pea.co.th:4434/request/PPIM195035B1" xr:uid="{F5681743-5A2D-4A0D-88DE-8B486EFBE080}"/>
    <hyperlink ref="K2107" r:id="rId2084" display="https://ppim-intra.pea.co.th:4434/request/PPIM19502F16" xr:uid="{DD2FB092-07CE-48ED-A775-4DC644DE6B9F}"/>
    <hyperlink ref="K2108" r:id="rId2085" display="https://ppim-intra.pea.co.th:4434/request/PPIM19502E63" xr:uid="{B7BC479B-A5AE-4A6D-A84F-5DA2C15B116C}"/>
    <hyperlink ref="K2109" r:id="rId2086" display="https://ppim-intra.pea.co.th:4434/request/PPIM195035C3" xr:uid="{AAD8CF6F-2B24-4519-94F6-64E91F1DADB0}"/>
    <hyperlink ref="K2110" r:id="rId2087" display="https://ppim-intra.pea.co.th:4434/request/PPIM195035C5" xr:uid="{5EE61C5C-2D06-4E73-8B9B-0422873F9BC8}"/>
    <hyperlink ref="K2111" r:id="rId2088" display="https://ppim-intra.pea.co.th:4434/request/PPIM195035C9" xr:uid="{E21ED15D-2503-4395-89D1-0605EE6A033D}"/>
    <hyperlink ref="K2112" r:id="rId2089" display="https://ppim-intra.pea.co.th:4434/request/PPIM19502ADB" xr:uid="{9AD0D135-8C60-4ED6-9526-B1FB4B3E4D2A}"/>
    <hyperlink ref="K2113" r:id="rId2090" display="https://ppim-intra.pea.co.th:4434/request/PPIM19503530" xr:uid="{AA6DB7BE-1333-4F4B-928D-D6EA89562372}"/>
    <hyperlink ref="K2114" r:id="rId2091" display="https://ppim-intra.pea.co.th:4434/request/PPIM1950355E" xr:uid="{F26BAE17-4BED-49A7-9E89-63517FC08DF5}"/>
    <hyperlink ref="K2115" r:id="rId2092" display="https://ppim-intra.pea.co.th:4434/request/PPIM195031A8" xr:uid="{3CAA8B84-566D-4833-BEE6-207596CBE5E3}"/>
    <hyperlink ref="K2116" r:id="rId2093" display="https://ppim-intra.pea.co.th:4434/request/PPIM1950360B" xr:uid="{EF2A62E4-56EC-4AE3-8839-B272918C4CE8}"/>
    <hyperlink ref="K2117" r:id="rId2094" display="https://ppim-intra.pea.co.th:4434/request/PPIM19503121" xr:uid="{E92B069A-EF07-44D0-8413-4032CCEF81E7}"/>
    <hyperlink ref="K2118" r:id="rId2095" display="https://ppim-intra.pea.co.th:4434/request/PPIM19503627" xr:uid="{0A807689-DF3D-4D7E-BF47-416A608E084F}"/>
    <hyperlink ref="K2119" r:id="rId2096" display="https://ppim-intra.pea.co.th:4434/request/PPIM19503568" xr:uid="{67CF4982-5B2A-4A4A-B75B-60ABA8830EA7}"/>
    <hyperlink ref="K2120" r:id="rId2097" display="https://ppim-intra.pea.co.th:4434/request/PPIM19502CC3" xr:uid="{A33640A4-0888-4750-BA6B-777E5C0C7F6F}"/>
    <hyperlink ref="K2121" r:id="rId2098" display="https://ppim-intra.pea.co.th:4434/request/PPIM1950362D" xr:uid="{CD039BCF-DBE1-4E85-B496-E4F3E1FEC10F}"/>
    <hyperlink ref="K2122" r:id="rId2099" display="https://ppim-intra.pea.co.th:4434/request/PPIM1950357B" xr:uid="{85340AA0-8BD4-494B-8D26-F6A7CC128643}"/>
    <hyperlink ref="K2123" r:id="rId2100" display="https://ppim-intra.pea.co.th:4434/request/PPIM19503588" xr:uid="{B933D498-2E39-4406-AD82-BF313DE54A5C}"/>
    <hyperlink ref="K2124" r:id="rId2101" display="https://ppim-intra.pea.co.th:4434/request/PPIM19503592" xr:uid="{75BD5102-2201-412C-99A6-8A62084BF805}"/>
    <hyperlink ref="K2125" r:id="rId2102" display="https://ppim-intra.pea.co.th:4434/request/PPIM19503599" xr:uid="{CA3D1F84-4D2F-4BFD-B676-C6E805E615B4}"/>
    <hyperlink ref="K2126" r:id="rId2103" display="https://ppim-intra.pea.co.th:4434/request/PPIM1950359C" xr:uid="{B4AE0734-EEF6-44BE-8E78-1DE5E71065F3}"/>
    <hyperlink ref="K2127" r:id="rId2104" display="https://ppim-intra.pea.co.th:4434/request/PPIM195035A1" xr:uid="{3236A3E9-56BD-42A0-BEBA-3867A2273E19}"/>
    <hyperlink ref="K2128" r:id="rId2105" display="https://ppim-intra.pea.co.th:4434/request/PPIM195035C7" xr:uid="{E2022C11-38E3-498D-8B32-8B0E67A0D83A}"/>
    <hyperlink ref="K2129" r:id="rId2106" display="https://ppim-intra.pea.co.th:4434/request/PPIM195032E4" xr:uid="{4668FD95-0A35-4BC1-BE27-6C9330F4D597}"/>
    <hyperlink ref="K2130" r:id="rId2107" display="https://ppim-intra.pea.co.th:4434/request/PPIM195035CB" xr:uid="{1CC2D2FD-B453-48A4-B366-FC25675CA1FA}"/>
    <hyperlink ref="K2131" r:id="rId2108" display="https://ppim-intra.pea.co.th:4434/request/PPIM1950364F" xr:uid="{63449027-894F-40AE-B08B-3E990D0F2B58}"/>
    <hyperlink ref="K2132" r:id="rId2109" display="https://ppim-intra.pea.co.th:4434/request/PPIM19503655" xr:uid="{781AF552-A3FC-4786-8431-9BD34BDCA5B0}"/>
    <hyperlink ref="K2133" r:id="rId2110" display="https://ppim-intra.pea.co.th:4434/request/PPIM19503661" xr:uid="{3B4BBFF5-C844-418C-93BD-EF5CC0694E1A}"/>
    <hyperlink ref="K2134" r:id="rId2111" display="https://ppim-intra.pea.co.th:4434/request/PPIM19503664" xr:uid="{83913174-8A19-4122-BF13-980FE8FF7840}"/>
    <hyperlink ref="K2135" r:id="rId2112" display="https://ppim-intra.pea.co.th:4434/request/PPIM19502CF8" xr:uid="{693D32FE-605E-43F2-BCFA-FAF53A384BCA}"/>
    <hyperlink ref="K2136" r:id="rId2113" display="https://ppim-intra.pea.co.th:4434/request/PPIM1950367D" xr:uid="{1C1645CC-7A26-47EA-BA5B-CD673F9611D2}"/>
    <hyperlink ref="K2137" r:id="rId2114" display="https://ppim-intra.pea.co.th:4434/request/PPIM1950367E" xr:uid="{3955165F-E9EB-4E3A-89A0-EC2AE9DA69B2}"/>
    <hyperlink ref="K2138" r:id="rId2115" display="https://ppim-intra.pea.co.th:4434/request/PPIM195030D2" xr:uid="{105B9D96-05F9-4700-9984-E51738E1C51C}"/>
    <hyperlink ref="K2139" r:id="rId2116" display="https://ppim-intra.pea.co.th:4434/request/PPIM1950368A" xr:uid="{5DC394ED-7C2E-46E6-8103-FDF1351A3C32}"/>
    <hyperlink ref="K2140" r:id="rId2117" display="https://ppim-intra.pea.co.th:4434/request/PPIM1950368B" xr:uid="{5E541C6D-9FA6-4DCA-B5CF-2B28349E6568}"/>
    <hyperlink ref="K2141" r:id="rId2118" display="https://ppim-intra.pea.co.th:4434/request/PPIM19502F98" xr:uid="{049C74C6-049E-4031-B406-110A1D01F929}"/>
    <hyperlink ref="K2142" r:id="rId2119" display="https://ppim-intra.pea.co.th:4434/request/PPIM19503678" xr:uid="{00A64C09-6236-499C-96BE-9EE5C484BDA3}"/>
    <hyperlink ref="K2143" r:id="rId2120" display="https://ppim-intra.pea.co.th:4434/request/PPIM19503349" xr:uid="{301B5EBB-AADE-4593-AC73-C720658D340F}"/>
    <hyperlink ref="K2144" r:id="rId2121" display="https://ppim-intra.pea.co.th:4434/request/PPIM1950365A" xr:uid="{FB7F8220-052E-417D-A993-DE51ACD024D0}"/>
    <hyperlink ref="K2145" r:id="rId2122" display="https://ppim-intra.pea.co.th:4434/request/PPIM195035DE" xr:uid="{B1A40C80-00F9-4E27-9526-9D8BBF2CEB35}"/>
    <hyperlink ref="K2146" r:id="rId2123" display="https://ppim-intra.pea.co.th:4434/request/PPIM19501AC8" xr:uid="{823D5BF6-BCB4-4937-9919-3F5B771F0C01}"/>
    <hyperlink ref="K2147" r:id="rId2124" display="https://ppim-intra.pea.co.th:4434/request/PPIM195036B6" xr:uid="{7BA992AF-8051-4C95-8F43-487D23058D73}"/>
    <hyperlink ref="K2148" r:id="rId2125" display="https://ppim-intra.pea.co.th:4434/request/PPIM19503561" xr:uid="{0ADA1DD2-F6BB-4C47-B65E-F81F4640EDC6}"/>
    <hyperlink ref="K2149" r:id="rId2126" display="https://ppim-intra.pea.co.th:4434/request/PPIM19502D85" xr:uid="{248208A8-10F3-40AE-B21B-0B00EC3E3B68}"/>
    <hyperlink ref="K2150" r:id="rId2127" display="https://ppim-intra.pea.co.th:4434/request/PPIM19501DEA" xr:uid="{EA89B768-72AB-45A6-857F-BDA9DE1460E5}"/>
    <hyperlink ref="K2151" r:id="rId2128" display="https://ppim-intra.pea.co.th:4434/request/PPIM1950375D" xr:uid="{C46CE8B3-D44F-4FE1-998A-029D7D3D1287}"/>
    <hyperlink ref="K2152" r:id="rId2129" display="https://ppim-intra.pea.co.th:4434/request/PPIM195037A8" xr:uid="{95358483-5138-47D3-8849-6C9EBE73DE83}"/>
    <hyperlink ref="K2153" r:id="rId2130" display="https://ppim-intra.pea.co.th:4434/request/PPIM195037B1" xr:uid="{0B7D007F-67A2-4319-A1AC-85A6ED3DCB03}"/>
    <hyperlink ref="K2154" r:id="rId2131" display="https://ppim-intra.pea.co.th:4434/request/PPIM195037B4" xr:uid="{59CAAC93-48E6-41E5-94D6-C23BB674CD5A}"/>
    <hyperlink ref="K2155" r:id="rId2132" display="https://ppim-intra.pea.co.th:4434/request/PPIM195037D0" xr:uid="{EFA8A66D-0667-47D9-A5A9-DDCB8FB126A9}"/>
    <hyperlink ref="K2156" r:id="rId2133" display="https://ppim-intra.pea.co.th:4434/request/PPIM195037DA" xr:uid="{807C3061-AFCD-4AB2-B8A2-32999179AB53}"/>
    <hyperlink ref="K2157" r:id="rId2134" display="https://ppim-intra.pea.co.th:4434/request/PPIM195033DE" xr:uid="{DD65B3E9-5BD6-4584-AB84-E12BED56AA01}"/>
    <hyperlink ref="K2158" r:id="rId2135" display="https://ppim-intra.pea.co.th:4434/request/PPIM19503737" xr:uid="{AB630436-132C-4490-BD45-9946D74BBE70}"/>
    <hyperlink ref="K2159" r:id="rId2136" display="https://ppim-intra.pea.co.th:4434/request/PPIM19503715" xr:uid="{221B25F4-75DC-4EAC-B582-B69E9692E13C}"/>
    <hyperlink ref="K2160" r:id="rId2137" display="https://ppim-intra.pea.co.th:4434/request/PPIM1950372D" xr:uid="{EF01CA78-2F25-4E92-8B48-4EB63DB301DB}"/>
    <hyperlink ref="K2161" r:id="rId2138" display="https://ppim-intra.pea.co.th:4434/request/PPIM1950372F" xr:uid="{637785ED-D96C-481F-9177-2BD524568AB6}"/>
    <hyperlink ref="K2162" r:id="rId2139" display="https://ppim-intra.pea.co.th:4434/request/PPIM19503732" xr:uid="{C6777F6B-9A12-45AC-8EE8-13FBD4C2279C}"/>
    <hyperlink ref="K2163" r:id="rId2140" display="https://ppim-intra.pea.co.th:4434/request/PPIM1950378D" xr:uid="{ABAEC313-B990-4F94-9EED-CCB86734B51B}"/>
    <hyperlink ref="K2164" r:id="rId2141" display="https://ppim-intra.pea.co.th:4434/request/PPIM1950361F" xr:uid="{F013B26D-8813-4C45-BC8F-2834A8357995}"/>
    <hyperlink ref="K2165" r:id="rId2142" display="https://ppim-intra.pea.co.th:4434/request/PPIM195037B6" xr:uid="{F2A6618B-6FA5-409E-B916-5F0DAAD44D75}"/>
    <hyperlink ref="K2166" r:id="rId2143" display="https://ppim-intra.pea.co.th:4434/request/PPIM19503288" xr:uid="{32091DEE-B93B-4B7C-93DD-10EA97ADD94D}"/>
    <hyperlink ref="K2167" r:id="rId2144" display="https://ppim-intra.pea.co.th:4434/request/PPIM195037FF" xr:uid="{1B39CE16-6C4E-41D4-9201-D8D16199B6A9}"/>
    <hyperlink ref="K2168" r:id="rId2145" display="https://ppim-intra.pea.co.th:4434/request/PPIM1950381D" xr:uid="{2CDE0A12-68E1-4657-8A5C-83B80BDDE99F}"/>
    <hyperlink ref="K2169" r:id="rId2146" display="https://ppim-intra.pea.co.th:4434/request/PPIM19501A43" xr:uid="{1EBB0D88-E733-48D4-86EB-C707481CC08D}"/>
    <hyperlink ref="K2170" r:id="rId2147" display="https://ppim-intra.pea.co.th:4434/request/PPIM195036CF" xr:uid="{E2306084-CBC7-4087-8292-5D682C826044}"/>
    <hyperlink ref="K2171" r:id="rId2148" display="https://ppim-intra.pea.co.th:4434/request/PPIM195036C1" xr:uid="{2211C028-331B-443F-84B7-19DF2B2D2D10}"/>
    <hyperlink ref="K2172" r:id="rId2149" display="https://ppim-intra.pea.co.th:4434/request/PPIM19503844" xr:uid="{90E97F9D-4386-4156-87B3-23C641A4E913}"/>
    <hyperlink ref="K2173" r:id="rId2150" display="https://ppim-intra.pea.co.th:4434/request/PPIM1950384C" xr:uid="{199F5145-0A63-49FF-B043-0FA74ABB73AC}"/>
    <hyperlink ref="K2174" r:id="rId2151" display="https://ppim-intra.pea.co.th:4434/request/PPIM195035A5" xr:uid="{224158DC-C130-4083-AD0D-4316548C5E04}"/>
    <hyperlink ref="K2175" r:id="rId2152" display="https://ppim-intra.pea.co.th:4434/request/PPIM1950388C" xr:uid="{7E372612-94D1-4EAC-9988-DA67F2B2A671}"/>
    <hyperlink ref="K2176" r:id="rId2153" display="https://ppim-intra.pea.co.th:4434/request/PPIM195032E0" xr:uid="{538D4255-627C-4A0A-B55F-289F48EBB09A}"/>
    <hyperlink ref="K2177" r:id="rId2154" display="https://ppim-intra.pea.co.th:4434/request/PPIM19503836" xr:uid="{1D1CA4FB-3398-436E-8A02-B8FAA07553C7}"/>
    <hyperlink ref="K2178" r:id="rId2155" display="https://ppim-intra.pea.co.th:4434/request/PPIM195033BC" xr:uid="{41B99D03-4C7B-402F-8B81-95B70A74260C}"/>
    <hyperlink ref="K2179" r:id="rId2156" display="https://ppim-intra.pea.co.th:4434/request/PPIM195032F3" xr:uid="{B62DBBC9-C40E-4F4B-BFEA-F5C045B74CA4}"/>
    <hyperlink ref="K2180" r:id="rId2157" display="https://ppim-intra.pea.co.th:4434/request/PPIM195033B1" xr:uid="{6B67BDD7-1A7A-411B-B72D-D0D642B3B55B}"/>
    <hyperlink ref="K2181" r:id="rId2158" display="https://ppim-intra.pea.co.th:4434/request/PPIM195038F8" xr:uid="{A3A76F80-0229-41DC-B644-4E31E4A27223}"/>
    <hyperlink ref="K2182" r:id="rId2159" display="https://ppim-intra.pea.co.th:4434/request/PPIM195038FC" xr:uid="{D77CDA17-F4BA-4602-A18C-971035CEBE32}"/>
    <hyperlink ref="K2183" r:id="rId2160" display="https://ppim-intra.pea.co.th:4434/request/PPIM19503900" xr:uid="{0C6AE5C4-0A50-4467-868E-5C5CF551D3A2}"/>
    <hyperlink ref="K2184" r:id="rId2161" display="https://ppim-intra.pea.co.th:4434/request/PPIM195033C3" xr:uid="{F843AA25-0CF1-4E6A-BA7C-E4C4FABF09D3}"/>
    <hyperlink ref="K2185" r:id="rId2162" display="https://ppim-intra.pea.co.th:4434/request/PPIM195033BF" xr:uid="{A317E575-D2AB-4F15-A180-5D6B84FD5C60}"/>
    <hyperlink ref="K2186" r:id="rId2163" display="https://ppim-intra.pea.co.th:4434/request/PPIM195034D1" xr:uid="{AFA249A2-352B-4D6A-9DA9-5B69B373690C}"/>
    <hyperlink ref="K2187" r:id="rId2164" display="https://ppim-intra.pea.co.th:4434/request/PPIM19503294" xr:uid="{3E6E78C0-73BE-42EE-AE4A-9B9D3C12D868}"/>
    <hyperlink ref="K2188" r:id="rId2165" display="https://ppim-intra.pea.co.th:4434/request/PPIM1950393E" xr:uid="{4F27C125-4D45-42D8-927E-182034B991D7}"/>
    <hyperlink ref="K2189" r:id="rId2166" display="https://ppim-intra.pea.co.th:4434/request/PPIM19501E7D" xr:uid="{5D0E99E7-10B9-42CD-9F3A-017A7632EC51}"/>
    <hyperlink ref="K2190" r:id="rId2167" display="https://ppim-intra.pea.co.th:4434/request/PPIM19503940" xr:uid="{10FD446D-1705-4392-B962-9A2FEE6CC88C}"/>
    <hyperlink ref="K2191" r:id="rId2168" display="https://ppim-intra.pea.co.th:4434/request/PPIM19503949" xr:uid="{B3C92ABB-2358-4A4B-B1BE-F20B0E07579C}"/>
    <hyperlink ref="K2192" r:id="rId2169" display="https://ppim-intra.pea.co.th:4434/request/PPIM1950395A" xr:uid="{B7678495-9DD9-43FC-B4F3-E8FF7207D643}"/>
    <hyperlink ref="K2193" r:id="rId2170" display="https://ppim-intra.pea.co.th:4434/request/PPIM1950395F" xr:uid="{0FF8A6C6-7604-4E98-B7D8-3B7B654DE466}"/>
    <hyperlink ref="K2194" r:id="rId2171" display="https://ppim-intra.pea.co.th:4434/request/PPIM19503960" xr:uid="{C3BA7E08-E89C-4638-A3A9-298D2BF91211}"/>
    <hyperlink ref="K2195" r:id="rId2172" display="https://ppim-intra.pea.co.th:4434/request/PPIM1950396B" xr:uid="{FB172DCD-C9DC-47EE-AE7F-CAF30437F0CB}"/>
    <hyperlink ref="K2196" r:id="rId2173" display="https://ppim-intra.pea.co.th:4434/request/PPIM1950396C" xr:uid="{F6F65BA4-A9C0-4D60-A6D4-1BA288856244}"/>
    <hyperlink ref="K2197" r:id="rId2174" display="https://ppim-intra.pea.co.th:4434/request/PPIM19503985" xr:uid="{A46A0BDF-E3C5-448D-B418-8D145ACE1ECF}"/>
    <hyperlink ref="K2198" r:id="rId2175" display="https://ppim-intra.pea.co.th:4434/request/PPIM19503990" xr:uid="{E79A14B2-BD9F-4AF0-A7E9-5976629587D6}"/>
    <hyperlink ref="K2199" r:id="rId2176" display="https://ppim-intra.pea.co.th:4434/request/PPIM19503992" xr:uid="{BFA1FFAB-25F2-4720-86B7-871E76D58075}"/>
    <hyperlink ref="K2200" r:id="rId2177" display="https://ppim-intra.pea.co.th:4434/request/PPIM195039C9" xr:uid="{6A0F23C4-E789-42DA-85BD-3D06443C8614}"/>
    <hyperlink ref="K2202" r:id="rId2178" display="https://ppim-intra.pea.co.th:4434/request/PPIM195039ED" xr:uid="{14D3E4EF-88BE-473E-A2DC-914D2567D369}"/>
    <hyperlink ref="K2203" r:id="rId2179" display="https://ppim-intra.pea.co.th:4434/request/PPIM195039EE" xr:uid="{0E9112BA-9930-46CF-99F7-7C67BD9C54E7}"/>
    <hyperlink ref="K2204" r:id="rId2180" display="https://ppim-intra.pea.co.th:4434/request/PPIM195039FE" xr:uid="{B4A3D910-F4DB-48A5-8418-3C8841775E7C}"/>
    <hyperlink ref="K2205" r:id="rId2181" display="https://ppim-intra.pea.co.th:4434/request/PPIM19503A0C" xr:uid="{FF6035E6-B108-4654-BE44-56E0CA66097A}"/>
    <hyperlink ref="K2206" r:id="rId2182" display="https://ppim-intra.pea.co.th:4434/request/PPIM19503A09" xr:uid="{4E3A4116-26E3-4CF6-B312-0DD7336E3769}"/>
    <hyperlink ref="K2207" r:id="rId2183" display="https://ppim-intra.pea.co.th:4434/request/PPIM195039EB" xr:uid="{757337EB-208A-46B4-BA46-70F8669E27E8}"/>
    <hyperlink ref="K2208" r:id="rId2184" display="https://ppim-intra.pea.co.th:4434/request/PPIM1950331D" xr:uid="{A68B3056-D4A5-4785-9E5B-2FCB2703056C}"/>
    <hyperlink ref="K2209" r:id="rId2185" display="https://ppim-intra.pea.co.th:4434/request/PPIM195039C2" xr:uid="{A33BF228-F4D3-4B67-8F30-89ED35D89BA1}"/>
    <hyperlink ref="K2210" r:id="rId2186" display="https://ppim-intra.pea.co.th:4434/request/PPIM195039B2" xr:uid="{75D1EFD2-3C6B-4F84-A260-8E2F8A035660}"/>
    <hyperlink ref="K2211" r:id="rId2187" display="https://ppim-intra.pea.co.th:4434/request/PPIM195039D0" xr:uid="{9871171D-F4CF-4C00-BD6C-368614B4B9DA}"/>
    <hyperlink ref="K2212" r:id="rId2188" display="https://ppim-intra.pea.co.th:4434/request/PPIM19503A4E" xr:uid="{32A346EB-A1B9-4B3E-9728-6371CA7B4F6F}"/>
    <hyperlink ref="K2213" r:id="rId2189" display="https://ppim-intra.pea.co.th:4434/request/PPIM19503A66" xr:uid="{0E71105E-FA6C-492E-BD7C-1E9961EA78EA}"/>
    <hyperlink ref="K2214" r:id="rId2190" display="https://ppim-intra.pea.co.th:4434/request/PPIM19503A71" xr:uid="{24BB699F-1FFC-49BF-A7A2-1B564FF72CB3}"/>
    <hyperlink ref="K2215" r:id="rId2191" display="https://ppim-intra.pea.co.th:4434/request/PPIM19503700" xr:uid="{ACD847D4-2A86-4BE2-BE58-945D633AFF57}"/>
    <hyperlink ref="K2216" r:id="rId2192" display="https://ppim-intra.pea.co.th:4434/request/PPIM19503A90" xr:uid="{0D498CCB-67B2-4568-9AE4-69564CD5627A}"/>
    <hyperlink ref="K2217" r:id="rId2193" display="https://ppim-intra.pea.co.th:4434/request/PPIM19503750" xr:uid="{273C4D64-E470-42B1-92DE-494460A246C0}"/>
    <hyperlink ref="K2218" r:id="rId2194" display="https://ppim-intra.pea.co.th:4434/request/PPIM19503614" xr:uid="{DE0CB4F5-BCB7-4C32-AF45-10DE5D799E81}"/>
    <hyperlink ref="K2219" r:id="rId2195" display="https://ppim-intra.pea.co.th:4434/request/PPIM19503AC1" xr:uid="{E5AF0672-37C3-4C11-8383-2C2E00FD2551}"/>
    <hyperlink ref="K2220" r:id="rId2196" display="https://ppim-intra.pea.co.th:4434/request/PPIM19503B0D" xr:uid="{9B128055-ED52-4690-8BC9-582DD7750591}"/>
    <hyperlink ref="K2221" r:id="rId2197" display="https://ppim-intra.pea.co.th:4434/request/PPIM19503B10" xr:uid="{4CE367FE-1CE1-4659-90F8-C3D164EFF375}"/>
    <hyperlink ref="K2222" r:id="rId2198" display="https://ppim-intra.pea.co.th:4434/request/PPIM195033F6" xr:uid="{9A8A6E13-4E2F-4731-9E33-89C30B828220}"/>
    <hyperlink ref="K2223" r:id="rId2199" display="https://ppim-intra.pea.co.th:4434/request/PPIM19503A03" xr:uid="{F3E5385F-20E1-4F12-AB78-DA852B990842}"/>
    <hyperlink ref="K2224" r:id="rId2200" display="https://ppim-intra.pea.co.th:4434/request/PPIM19503B38" xr:uid="{D5CF1D4D-F17E-44EC-98D0-A2E2A00676E7}"/>
    <hyperlink ref="K2225" r:id="rId2201" display="https://ppim-intra.pea.co.th:4434/request/PPIM19503B8E" xr:uid="{2B7E04B9-1DBA-4AF8-8ABF-36FB6220E33E}"/>
    <hyperlink ref="K2226" r:id="rId2202" display="https://ppim-intra.pea.co.th:4434/request/PPIM19503B94" xr:uid="{3F2E7B29-C8D6-4E0F-8A34-2396C648B948}"/>
    <hyperlink ref="K2227" r:id="rId2203" display="https://ppim-intra.pea.co.th:4434/request/PPIM19503BA0" xr:uid="{270BFF70-D505-42FB-9B7D-872CE25A5AC2}"/>
    <hyperlink ref="K2228" r:id="rId2204" display="https://ppim-intra.pea.co.th:4434/request/PPIM19503BA4" xr:uid="{2C1AB8D8-23F9-4F89-9215-F98BE376A64C}"/>
    <hyperlink ref="K2229" r:id="rId2205" display="https://ppim-intra.pea.co.th:4434/request/PPIM19503BC7" xr:uid="{AF6F44CF-AEA8-48B9-86F9-4991DEF81982}"/>
    <hyperlink ref="K2230" r:id="rId2206" display="https://ppim-intra.pea.co.th:4434/request/PPIM19503BCB" xr:uid="{6D755F3B-4D07-49DD-BF63-9C7C0776CE72}"/>
    <hyperlink ref="K2231" r:id="rId2207" display="https://ppim-intra.pea.co.th:4434/request/PPIM19503B98" xr:uid="{620D8ABB-751B-42EE-A564-638AAB7F83FD}"/>
    <hyperlink ref="K2232" r:id="rId2208" display="https://ppim-intra.pea.co.th:4434/request/PPIM195036CD" xr:uid="{6C7DE0CC-44EB-46F0-99ED-7E9325F2AB9E}"/>
    <hyperlink ref="K2233" r:id="rId2209" display="https://ppim-intra.pea.co.th:4434/request/PPIM19503C27" xr:uid="{16F959EB-7301-4063-9E1F-2791A64DA79C}"/>
    <hyperlink ref="K2234" r:id="rId2210" display="https://ppim-intra.pea.co.th:4434/request/PPIM19503B99" xr:uid="{DAA9F46E-6FA5-4995-9143-0A300FDE9484}"/>
    <hyperlink ref="K2235" r:id="rId2211" display="https://ppim-intra.pea.co.th:4434/request/PPIM19502FCD" xr:uid="{402FB829-8A7E-4CE6-AE7F-C8FCC45215C1}"/>
    <hyperlink ref="K2236" r:id="rId2212" display="https://ppim-intra.pea.co.th:4434/request/PPIM19503BBD" xr:uid="{E66F9613-694D-419A-B381-48C50CB4E3C7}"/>
    <hyperlink ref="K2237" r:id="rId2213" display="https://ppim-intra.pea.co.th:4434/request/PPIM19503B9A" xr:uid="{0C37BDBB-9013-48A5-B557-3822E8045529}"/>
    <hyperlink ref="K2238" r:id="rId2214" display="https://ppim-intra.pea.co.th:4434/request/PPIM19503681" xr:uid="{4D22D286-E6D2-4926-A03C-9BDA05146B03}"/>
    <hyperlink ref="K2239" r:id="rId2215" display="https://ppim-intra.pea.co.th:4434/request/PPIM19503A76" xr:uid="{4079EE1D-BF2A-4940-940F-A65EBC0696FB}"/>
    <hyperlink ref="K2240" r:id="rId2216" display="https://ppim-intra.pea.co.th:4434/request/PPIM19503C5E" xr:uid="{49D47C4D-439D-4300-A773-68332241EF77}"/>
    <hyperlink ref="K2241" r:id="rId2217" display="https://ppim-intra.pea.co.th:4434/request/PPIM19502AA5" xr:uid="{EDCFF0D6-60D2-4714-8953-A8B55DF1DD72}"/>
    <hyperlink ref="K2242" r:id="rId2218" display="https://ppim-intra.pea.co.th:4434/request/PPIM19503D28" xr:uid="{578B84AD-644D-4394-8DD7-1E0B140F1E4E}"/>
    <hyperlink ref="K2243" r:id="rId2219" display="https://ppim-intra.pea.co.th:4434/request/PPIM1950315F" xr:uid="{50715C5F-0B97-4F62-B4C2-89805B9973D3}"/>
    <hyperlink ref="K2244" r:id="rId2220" display="https://ppim-intra.pea.co.th:4434/request/PPIM19503995" xr:uid="{719341D3-5E8C-467B-9BC5-612C147C0C78}"/>
    <hyperlink ref="K2245" r:id="rId2221" display="https://ppim-intra.pea.co.th:4434/request/PPIM19503D40" xr:uid="{1D589B0A-7C02-40DD-836F-86E5606585F4}"/>
    <hyperlink ref="K2246" r:id="rId2222" display="https://ppim-intra.pea.co.th:4434/request/PPIM19503AD2" xr:uid="{0BA51797-3BFD-4458-B32F-C795A9AF018B}"/>
    <hyperlink ref="K2247" r:id="rId2223" display="https://ppim-intra.pea.co.th:4434/request/PPIM19503C91" xr:uid="{9AF4A30C-EF4F-4C3D-8FC0-B351B6EE93DB}"/>
    <hyperlink ref="K2248" r:id="rId2224" display="https://ppim-intra.pea.co.th:4434/request/PPIM1950394A" xr:uid="{C5E835A1-8886-43D4-991B-EEBF9A280B19}"/>
    <hyperlink ref="K2249" r:id="rId2225" display="https://ppim-intra.pea.co.th:4434/request/PPIM1950226D" xr:uid="{9AB0275A-CF40-43EF-BB66-4B120DB4C472}"/>
    <hyperlink ref="K2250" r:id="rId2226" display="https://ppim-intra.pea.co.th:4434/request/PPIM19503DAC" xr:uid="{B9C4628B-DB47-4303-819E-F2C70E56F68A}"/>
    <hyperlink ref="K2251" r:id="rId2227" display="https://ppim-intra.pea.co.th:4434/request/PPIM19503CAE" xr:uid="{05FF9364-44FE-488C-A71B-FCBB7877F396}"/>
    <hyperlink ref="K2252" r:id="rId2228" display="https://ppim-intra.pea.co.th:4434/request/PPIM19503CDD" xr:uid="{BE708616-EBDA-41B1-9CDA-7CE74545809E}"/>
    <hyperlink ref="K2253" r:id="rId2229" display="https://ppim-intra.pea.co.th:4434/request/PPIM19503CE0" xr:uid="{F7FFF53D-5939-442D-B878-E68B15556F1F}"/>
    <hyperlink ref="K2254" r:id="rId2230" display="https://ppim-intra.pea.co.th:4434/request/PPIM19503CFF" xr:uid="{8B2F55BF-B7A1-4ED3-AF57-A2B018C07A73}"/>
    <hyperlink ref="K2255" r:id="rId2231" display="https://ppim-intra.pea.co.th:4434/request/PPIM19503D18" xr:uid="{B2CE886A-BAA3-4ADA-A6A4-78D5003701D7}"/>
    <hyperlink ref="K2256" r:id="rId2232" display="https://ppim-intra.pea.co.th:4434/request/PPIM19502572" xr:uid="{49608184-0CCE-489E-B802-576ACEC8A067}"/>
    <hyperlink ref="K2257" r:id="rId2233" display="https://ppim-intra.pea.co.th:4434/request/PPIM19503A1D" xr:uid="{C6B01B4B-17CE-47C6-B53C-3BE594822022}"/>
    <hyperlink ref="K2258" r:id="rId2234" display="https://ppim-intra.pea.co.th:4434/request/PPIM19503DBE" xr:uid="{6360D4B8-6CF1-4CA4-9E54-D8B8DFE13F2D}"/>
    <hyperlink ref="K2259" r:id="rId2235" display="https://ppim-intra.pea.co.th:4434/request/PPIM19503E11" xr:uid="{700C30A1-2BF7-4158-B977-C4E33E5550F4}"/>
    <hyperlink ref="K2260" r:id="rId2236" display="https://ppim-intra.pea.co.th:4434/request/PPIM19503E4A" xr:uid="{ECCC11F5-0578-48E3-862E-755A5E6CAFFA}"/>
    <hyperlink ref="K2261" r:id="rId2237" display="https://ppim-intra.pea.co.th:4434/request/PPIM19503DF6" xr:uid="{7905B7C6-E6C9-4FC6-8749-164508D13D72}"/>
    <hyperlink ref="K2262" r:id="rId2238" display="https://ppim-intra.pea.co.th:4434/request/PPIM19503E6F" xr:uid="{19E031E8-B7B3-416E-95BC-404B1596CDF1}"/>
    <hyperlink ref="K2263" r:id="rId2239" display="https://ppim-intra.pea.co.th:4434/request/PPIM19503CF1" xr:uid="{B5C8ACE5-3547-4943-8DC4-78072E9D23F2}"/>
    <hyperlink ref="K2264" r:id="rId2240" display="https://ppim-intra.pea.co.th:4434/request/PPIM19503E7E" xr:uid="{E9B7D2B9-C9E3-48C1-9730-E09BB6F0B4AF}"/>
    <hyperlink ref="K2265" r:id="rId2241" display="https://ppim-intra.pea.co.th:4434/request/PPIM19503E9E" xr:uid="{18306F2C-0773-49E5-BE25-08B2A0CE609F}"/>
    <hyperlink ref="K2266" r:id="rId2242" display="https://ppim-intra.pea.co.th:4434/request/PPIM19503D3D" xr:uid="{7685F2D7-8B6B-400A-A24A-A0C2D04C223C}"/>
    <hyperlink ref="K2267" r:id="rId2243" display="https://ppim-intra.pea.co.th:4434/request/PPIM19501DA9" xr:uid="{5244D2F2-4608-4F4D-8E3D-BF8BDE7C9E28}"/>
    <hyperlink ref="K2268" r:id="rId2244" display="https://ppim-intra.pea.co.th:4434/request/PPIM19503B11" xr:uid="{9C035EB2-7B86-41DC-89DD-DC7083E8EBC5}"/>
    <hyperlink ref="K2269" r:id="rId2245" display="https://ppim-intra.pea.co.th:4434/request/PPIM19503E41" xr:uid="{7D1EA722-FA55-4D80-AFF8-B6CEA2F953BA}"/>
    <hyperlink ref="K2270" r:id="rId2246" display="https://ppim-intra.pea.co.th:4434/request/PPIM19502A6E" xr:uid="{4A4B9E4B-D643-481E-9D5A-F72912829C6A}"/>
    <hyperlink ref="K2271" r:id="rId2247" display="https://ppim-intra.pea.co.th:4434/request/PPIM19503525" xr:uid="{A07F5BD3-0746-41CF-8B39-7BA164E1E76B}"/>
    <hyperlink ref="K2272" r:id="rId2248" display="https://ppim-intra.pea.co.th:4434/request/PPIM19503D13" xr:uid="{ABD6B324-1F4F-42CB-938B-D7A7E08BA15B}"/>
    <hyperlink ref="K2273" r:id="rId2249" display="https://ppim-intra.pea.co.th:4434/request/PPIM19503F9B" xr:uid="{F5DC6C09-6206-447B-A5A9-05E2810C3640}"/>
    <hyperlink ref="K2274" r:id="rId2250" display="https://ppim-intra.pea.co.th:4434/request/PPIM19503C6A" xr:uid="{3D726568-7A6C-4B1C-90EE-DE2987CE1D9B}"/>
    <hyperlink ref="K2275" r:id="rId2251" display="https://ppim-intra.pea.co.th:4434/request/PPIM195039D7" xr:uid="{FDDB6006-E7EB-4B8F-BFCE-33C62D7F4BC6}"/>
    <hyperlink ref="K2276" r:id="rId2252" display="https://ppim-intra.pea.co.th:4434/request/PPIM19503DD5" xr:uid="{21223E5D-CDB9-48C1-B3C7-51B7293F8DA9}"/>
    <hyperlink ref="K2277" r:id="rId2253" display="https://ppim-intra.pea.co.th:4434/request/PPIM19503F41" xr:uid="{8B4AA2F0-43E6-40AB-B5C0-B7DBB5263E2C}"/>
    <hyperlink ref="K2278" r:id="rId2254" display="https://ppim-intra.pea.co.th:4434/request/PPIM19503F7F" xr:uid="{4B43E1FC-0732-40AB-80B1-573B77DB82B8}"/>
    <hyperlink ref="K2279" r:id="rId2255" display="https://ppim-intra.pea.co.th:4434/request/PPIM19503BEB" xr:uid="{5AE6F57B-E1EF-4835-9E62-EC8822C5E229}"/>
    <hyperlink ref="K2280" r:id="rId2256" display="https://ppim-intra.pea.co.th:4434/request/PPIM19503A7F" xr:uid="{215B26C5-B126-42C5-BD2F-44D6F15FF1C0}"/>
    <hyperlink ref="K2281" r:id="rId2257" display="https://ppim-intra.pea.co.th:4434/request/PPIM19503FE4" xr:uid="{5E4C4B5C-E2A3-46EA-BDE4-16E81D8EF416}"/>
    <hyperlink ref="K2282" r:id="rId2258" display="https://ppim-intra.pea.co.th:4434/request/PPIM19503F1F" xr:uid="{50642077-95AD-4458-BCD4-560FDE10D8B2}"/>
    <hyperlink ref="K2283" r:id="rId2259" display="https://ppim-intra.pea.co.th:4434/request/PPIM19504015" xr:uid="{49C3A516-087F-4511-95F8-4F0DB26DCBB4}"/>
    <hyperlink ref="K2284" r:id="rId2260" display="https://ppim-intra.pea.co.th:4434/request/PPIM19503054" xr:uid="{FC99BCD1-9D85-40BA-8AB4-E4EBA64C2CFE}"/>
    <hyperlink ref="K2285" r:id="rId2261" display="https://ppim-intra.pea.co.th:4434/request/PPIM19504027" xr:uid="{DF4AAC3F-FA08-4F58-B671-E11402346560}"/>
    <hyperlink ref="K2286" r:id="rId2262" display="https://ppim-intra.pea.co.th:4434/request/PPIM1950406B" xr:uid="{67AF13AE-7487-4D6B-B872-01DF6E8F4ED0}"/>
    <hyperlink ref="K2287" r:id="rId2263" display="https://ppim-intra.pea.co.th:4434/request/PPIM19503684" xr:uid="{728D5623-26C9-4F28-AC8C-721A593635AC}"/>
    <hyperlink ref="K2288" r:id="rId2264" display="https://ppim-intra.pea.co.th:4434/request/PPIM19503134" xr:uid="{91AC9353-3599-4168-A153-854D3E262295}"/>
    <hyperlink ref="K2289" r:id="rId2265" display="https://ppim-intra.pea.co.th:4434/request/PPIM19503922" xr:uid="{EBCD0426-BC2F-4E24-AF6F-667E7EFB8841}"/>
    <hyperlink ref="K2290" r:id="rId2266" display="https://ppim-intra.pea.co.th:4434/request/PPIM19503B0F" xr:uid="{2FEF509C-2BF2-4C33-996E-92DBD37E0418}"/>
    <hyperlink ref="K2291" r:id="rId2267" display="https://ppim-intra.pea.co.th:4434/request/PPIM19503CE3" xr:uid="{E1110A82-71F7-4FAE-BBC8-FE40777B0D1D}"/>
    <hyperlink ref="K2292" r:id="rId2268" display="https://ppim-intra.pea.co.th:4434/request/PPIM19503872" xr:uid="{FE4B2C31-3451-4295-8B68-637D96653D6F}"/>
    <hyperlink ref="K2293" r:id="rId2269" display="https://ppim-intra.pea.co.th:4434/request/PPIM195040C3" xr:uid="{FF17552A-C9DC-4010-B973-ABEA797093D9}"/>
    <hyperlink ref="K2294" r:id="rId2270" display="https://ppim-intra.pea.co.th:4434/request/PPIM195040A5" xr:uid="{1FC2DDF9-DF54-495B-9414-2E1DC612A884}"/>
    <hyperlink ref="K2295" r:id="rId2271" display="https://ppim-intra.pea.co.th:4434/request/PPIM195040AF" xr:uid="{A06A1375-DFC1-4EE6-A56E-BC0F7C2D6D87}"/>
    <hyperlink ref="K2296" r:id="rId2272" display="https://ppim-intra.pea.co.th:4434/request/PPIM195040BA" xr:uid="{E8333D3B-6C98-40AB-9511-6E1E1F60FF33}"/>
    <hyperlink ref="K2297" r:id="rId2273" display="https://ppim-intra.pea.co.th:4434/request/PPIM1950396E" xr:uid="{8CFCE195-1CAB-4213-9C2D-B910B6A79431}"/>
    <hyperlink ref="K2298" r:id="rId2274" display="https://ppim-intra.pea.co.th:4434/request/PPIM195040D8" xr:uid="{CA3D7AB2-535F-4C59-99DB-3F432D1B0AD5}"/>
    <hyperlink ref="K2299" r:id="rId2275" display="https://ppim-intra.pea.co.th:4434/request/PPIM19504030" xr:uid="{6943B8D3-0EDF-4DFF-B510-12389DED1135}"/>
    <hyperlink ref="K2300" r:id="rId2276" display="https://ppim-intra.pea.co.th:4434/request/PPIM195040F6" xr:uid="{5AE6D66F-E0B5-403A-A4D6-BCE9D5980365}"/>
    <hyperlink ref="K2302" r:id="rId2277" display="https://ppim-intra.pea.co.th:4434/request/PPIM19503502" xr:uid="{AB838FA4-AE62-4961-B956-6A82290E1763}"/>
    <hyperlink ref="K2303" r:id="rId2278" display="https://ppim-intra.pea.co.th:4434/request/PPIM19503D7A" xr:uid="{CC94A886-EEAC-4F22-BF00-21BB004B2A5C}"/>
    <hyperlink ref="K2304" r:id="rId2279" display="https://ppim-intra.pea.co.th:4434/request/PPIM195040DB" xr:uid="{EFC31339-4005-442A-8C73-C2D320E1E8AF}"/>
    <hyperlink ref="K2305" r:id="rId2280" display="https://ppim-intra.pea.co.th:4434/request/PPIM19503D67" xr:uid="{F683468F-9D5A-4456-834B-C20FB0AF3F0D}"/>
    <hyperlink ref="K2306" r:id="rId2281" display="https://ppim-intra.pea.co.th:4434/request/PPIM195040DE" xr:uid="{F9F992FA-F67B-4E2E-B7DE-EACCADE8E3B5}"/>
    <hyperlink ref="K2307" r:id="rId2282" display="https://ppim-intra.pea.co.th:4434/request/PPIM195040E0" xr:uid="{27BFA315-1663-4359-AD3D-3696B6D4D363}"/>
    <hyperlink ref="K2308" r:id="rId2283" display="https://ppim-intra.pea.co.th:4434/request/PPIM195041CE" xr:uid="{0ACC888C-B36E-4043-B2E8-0C709275780D}"/>
    <hyperlink ref="K2309" r:id="rId2284" display="https://ppim-intra.pea.co.th:4434/request/PPIM195040DA" xr:uid="{B53FF836-19DB-439C-A352-9D5D05DA958C}"/>
    <hyperlink ref="K2310" r:id="rId2285" display="https://ppim-intra.pea.co.th:4434/request/PPIM195041DF" xr:uid="{71847BA5-DB5F-49E3-9149-5A0016CEDD29}"/>
    <hyperlink ref="K2311" r:id="rId2286" display="https://ppim-intra.pea.co.th:4434/request/PPIM19503C98" xr:uid="{9934BB69-476F-46D0-BE37-3CE62E59F158}"/>
    <hyperlink ref="K2312" r:id="rId2287" display="https://ppim-intra.pea.co.th:4434/request/PPIM19503A80" xr:uid="{EA549F99-F8BF-4370-BDB4-0EDD64B0D4C3}"/>
    <hyperlink ref="K2313" r:id="rId2288" display="https://ppim-intra.pea.co.th:4434/request/PPIM19504207" xr:uid="{2E7908C5-4BBA-4A15-B3D0-1687FE19C6F0}"/>
    <hyperlink ref="K2314" r:id="rId2289" display="https://ppim-intra.pea.co.th:4434/request/PPIM19503EDA" xr:uid="{749AB91C-2692-4B92-87E8-89734CFB1518}"/>
    <hyperlink ref="K2315" r:id="rId2290" display="https://ppim-intra.pea.co.th:4434/request/PPIM19504186" xr:uid="{6B01AF02-E6FC-46E5-A55D-AE53F4A5D077}"/>
    <hyperlink ref="K2316" r:id="rId2291" display="https://ppim-intra.pea.co.th:4434/request/PPIM195034FD" xr:uid="{363B738A-6A73-480C-A0EC-25B16779AEBE}"/>
    <hyperlink ref="K2317" r:id="rId2292" display="https://ppim-intra.pea.co.th:4434/request/PPIM19504224" xr:uid="{3F8685A3-ED61-4CA8-B948-1FDD2BCD184F}"/>
    <hyperlink ref="K2318" r:id="rId2293" display="https://ppim-intra.pea.co.th:4434/request/PPIM19503E1C" xr:uid="{03DA4F51-F6FB-4214-A408-29233F6EC5B4}"/>
    <hyperlink ref="K2319" r:id="rId2294" display="https://ppim-intra.pea.co.th:4434/request/PPIM19504184" xr:uid="{DE53E79E-C892-45C7-AD3C-B5F12FFA1261}"/>
    <hyperlink ref="K2320" r:id="rId2295" display="https://ppim-intra.pea.co.th:4434/request/PPIM19504180" xr:uid="{181D6FC4-96DC-43F8-95A8-5DDBF24CCB5A}"/>
    <hyperlink ref="K2321" r:id="rId2296" display="https://ppim-intra.pea.co.th:4434/request/PPIM19504239" xr:uid="{B75F3478-86A7-4D6A-964F-99411E7CFC4A}"/>
    <hyperlink ref="K2322" r:id="rId2297" display="https://ppim-intra.pea.co.th:4434/request/PPIM19503E9D" xr:uid="{3E3495E7-97FA-461B-8B76-E54C61083E61}"/>
    <hyperlink ref="K2323" r:id="rId2298" display="https://ppim-intra.pea.co.th:4434/request/PPIM19504259" xr:uid="{8B876443-35EE-4161-91C0-2912F363BF3B}"/>
    <hyperlink ref="K2324" r:id="rId2299" display="https://ppim-intra.pea.co.th:4434/request/PPIM19504160" xr:uid="{C89DB9E0-AD4B-4958-9AB6-28BA50C0A331}"/>
    <hyperlink ref="K2325" r:id="rId2300" display="https://ppim-intra.pea.co.th:4434/request/PPIM19504273" xr:uid="{6B054E4D-C6A0-400D-B19B-BCDC0D54DA7F}"/>
    <hyperlink ref="K2326" r:id="rId2301" display="https://ppim-intra.pea.co.th:4434/request/PPIM195042C4" xr:uid="{0191BD38-4152-4933-AD8D-2210E48AF4D2}"/>
    <hyperlink ref="K2327" r:id="rId2302" display="https://ppim-intra.pea.co.th:4434/request/PPIM195040E9" xr:uid="{09434221-A55E-4495-ABE5-707C5D059F5B}"/>
    <hyperlink ref="K2328" r:id="rId2303" display="https://ppim-intra.pea.co.th:4434/request/PPIM1950422E" xr:uid="{863AA0FE-6861-4158-814A-559428BE7408}"/>
    <hyperlink ref="K2329" r:id="rId2304" display="https://ppim-intra.pea.co.th:4434/request/PPIM19503D52" xr:uid="{C9ABBE83-3A5B-42F4-9E2D-081AA820E0ED}"/>
    <hyperlink ref="K2330" r:id="rId2305" display="https://ppim-intra.pea.co.th:4434/request/PPIM195041C5" xr:uid="{B884F157-51DD-4165-8894-1B76BE72CD79}"/>
    <hyperlink ref="K2331" r:id="rId2306" display="https://ppim-intra.pea.co.th:4434/request/PPIM19503AA6" xr:uid="{14F3B01F-CD6D-481C-95BD-64548870B263}"/>
    <hyperlink ref="K2332" r:id="rId2307" display="https://ppim-intra.pea.co.th:4434/request/PPIM19504332" xr:uid="{EF3576C5-C103-4441-95CB-3B5E898A45D8}"/>
    <hyperlink ref="K2333" r:id="rId2308" display="https://ppim-intra.pea.co.th:4434/request/PPIM19504140" xr:uid="{BD9CA066-CA17-4E60-93DC-34AC3C5B5191}"/>
    <hyperlink ref="K2334" r:id="rId2309" display="https://ppim-intra.pea.co.th:4434/request/PPIM1950414E" xr:uid="{ACFD749F-9B22-4A2C-841E-644C545C5D59}"/>
    <hyperlink ref="K2335" r:id="rId2310" display="https://ppim-intra.pea.co.th:4434/request/PPIM19504086" xr:uid="{DF63BF38-5C48-44F4-9DCF-69FCDC53B92D}"/>
    <hyperlink ref="K2336" r:id="rId2311" display="https://ppim-intra.pea.co.th:4434/request/PPIM19504351" xr:uid="{4ED9C931-3B00-4CFA-958F-4ECF444B7011}"/>
    <hyperlink ref="K2337" r:id="rId2312" display="https://ppim-intra.pea.co.th:4434/request/PPIM19504357" xr:uid="{3930A3EB-9EC1-4281-84CB-0651FD636677}"/>
    <hyperlink ref="K2338" r:id="rId2313" display="https://ppim-intra.pea.co.th:4434/request/PPIM19504358" xr:uid="{7423CF3D-5D4B-437C-A833-20165A0C5C40}"/>
    <hyperlink ref="K2339" r:id="rId2314" display="https://ppim-intra.pea.co.th:4434/request/PPIM19503A39" xr:uid="{CDA958D0-B28C-4742-82D0-9BD8598D399D}"/>
    <hyperlink ref="K2340" r:id="rId2315" display="https://ppim-intra.pea.co.th:4434/request/PPIM1950435F" xr:uid="{9EAE7A78-F7B8-4F1B-A367-7FBA74C2E835}"/>
    <hyperlink ref="K2341" r:id="rId2316" display="https://ppim-intra.pea.co.th:4434/request/PPIM19504360" xr:uid="{EAFDDD7F-F26F-49A3-BE1D-BDCD695E14DF}"/>
    <hyperlink ref="K2342" r:id="rId2317" display="https://ppim-intra.pea.co.th:4434/request/PPIM1950436B" xr:uid="{175E9ECE-73F2-45A3-9298-FFE0B28628D0}"/>
    <hyperlink ref="K2343" r:id="rId2318" display="https://ppim-intra.pea.co.th:4434/request/PPIM195035A8" xr:uid="{CD084587-7B33-4EC7-8868-FA036195E08D}"/>
    <hyperlink ref="K2344" r:id="rId2319" display="https://ppim-intra.pea.co.th:4434/request/PPIM19503D32" xr:uid="{0ED0E6D8-C99D-4A4C-8790-47AEC5AB4AC7}"/>
    <hyperlink ref="K2345" r:id="rId2320" display="https://ppim-intra.pea.co.th:4434/request/PPIM19502EB3" xr:uid="{D7F40AF3-1A4D-4B91-AE49-8E539C2D4A7F}"/>
    <hyperlink ref="K2346" r:id="rId2321" display="https://ppim-intra.pea.co.th:4434/request/PPIM19504396" xr:uid="{5828B8A3-3060-4713-A623-9D3077CEC74A}"/>
    <hyperlink ref="K2347" r:id="rId2322" display="https://ppim-intra.pea.co.th:4434/request/PPIM1950345B" xr:uid="{DDF57CA0-8C62-48B2-82DE-A0017096AC9C}"/>
    <hyperlink ref="K2348" r:id="rId2323" display="https://ppim-intra.pea.co.th:4434/request/PPIM195043D1" xr:uid="{3FCDDEAD-AE2E-4B06-89A4-FA91C9144FCB}"/>
    <hyperlink ref="K2349" r:id="rId2324" display="https://ppim-intra.pea.co.th:4434/request/PPIM195043DA" xr:uid="{198F9780-943F-4CA9-BAE2-85FE317CADEC}"/>
    <hyperlink ref="K2350" r:id="rId2325" display="https://ppim-intra.pea.co.th:4434/request/PPIM195043E6" xr:uid="{7D1618BA-C47D-49E6-8392-F02268C94F1A}"/>
    <hyperlink ref="K2351" r:id="rId2326" display="https://ppim-intra.pea.co.th:4434/request/PPIM195042B6" xr:uid="{7E8CA42B-0D19-4B78-B6C7-EF0865EFB3FA}"/>
    <hyperlink ref="K2352" r:id="rId2327" display="https://ppim-intra.pea.co.th:4434/request/PPIM195040C9" xr:uid="{E2C881D1-60F6-42C6-AE5C-C10F69FEC4D3}"/>
    <hyperlink ref="K2353" r:id="rId2328" display="https://ppim-intra.pea.co.th:4434/request/PPIM19504106" xr:uid="{A256F438-F3D5-4D93-A440-121C949AF8D1}"/>
    <hyperlink ref="K2354" r:id="rId2329" display="https://ppim-intra.pea.co.th:4434/request/PPIM19503DCC" xr:uid="{10DD04A0-607B-4740-95A2-B86FCF700562}"/>
    <hyperlink ref="K2355" r:id="rId2330" display="https://ppim-intra.pea.co.th:4434/request/PPIM19504308" xr:uid="{47040F29-34C7-40CD-B265-8FE59E70B1F5}"/>
    <hyperlink ref="K2356" r:id="rId2331" display="https://ppim-intra.pea.co.th:4434/request/PPIM195042E2" xr:uid="{C2695BFA-F177-47F0-8E36-AF93DFBA9A60}"/>
    <hyperlink ref="K2357" r:id="rId2332" display="https://ppim-intra.pea.co.th:4434/request/PPIM19504482" xr:uid="{212C5F10-31D7-42AD-B83C-6BED99BE6152}"/>
    <hyperlink ref="K2358" r:id="rId2333" display="https://ppim-intra.pea.co.th:4434/request/PPIM1950448A" xr:uid="{637AB693-02DB-431F-8A88-C19D84E1A883}"/>
    <hyperlink ref="K2359" r:id="rId2334" display="https://ppim-intra.pea.co.th:4434/request/PPIM195040D2" xr:uid="{C7AC21A1-DECF-4051-9151-62EC9A7F6C33}"/>
    <hyperlink ref="K2360" r:id="rId2335" display="https://ppim-intra.pea.co.th:4434/request/PPIM195044A9" xr:uid="{94D9F02F-271B-4AAC-8FC1-E38AD8AB0E14}"/>
    <hyperlink ref="K2361" r:id="rId2336" display="https://ppim-intra.pea.co.th:4434/request/PPIM195044EA" xr:uid="{3777C044-E32B-45CE-A35A-F9339418B5FB}"/>
    <hyperlink ref="K2362" r:id="rId2337" display="https://ppim-intra.pea.co.th:4434/request/PPIM19504500" xr:uid="{50BB5B87-C41B-4D46-BF50-EF6F142AAE25}"/>
    <hyperlink ref="K2363" r:id="rId2338" display="https://ppim-intra.pea.co.th:4434/request/PPIM19504401" xr:uid="{F240FE91-282D-4587-B53D-867207193970}"/>
    <hyperlink ref="K2364" r:id="rId2339" display="https://ppim-intra.pea.co.th:4434/request/PPIM1950457D" xr:uid="{8C981EF3-A646-4C9B-B204-3FB8A82B8675}"/>
    <hyperlink ref="K2365" r:id="rId2340" display="https://ppim-intra.pea.co.th:4434/request/PPIM1950457F" xr:uid="{2E2EFF8C-9458-49CE-AE56-48547855BF92}"/>
    <hyperlink ref="K2366" r:id="rId2341" display="https://ppim-intra.pea.co.th:4434/request/PPIM195045AA" xr:uid="{42B02D17-6883-4EB1-9DF7-07F227CF2E4B}"/>
    <hyperlink ref="K2367" r:id="rId2342" display="https://ppim-intra.pea.co.th:4434/request/PPIM195040C0" xr:uid="{2B6A1B25-F664-4C0C-B09E-2377F98C35E3}"/>
    <hyperlink ref="K2368" r:id="rId2343" display="https://ppim-intra.pea.co.th:4434/request/PPIM19504609" xr:uid="{72F5758E-5CE2-4978-84D4-45865610AD30}"/>
    <hyperlink ref="K2369" r:id="rId2344" display="https://ppim-intra.pea.co.th:4434/request/PPIM1950438E" xr:uid="{2F9668C8-869D-401B-A589-B2BE0234B16C}"/>
    <hyperlink ref="K2370" r:id="rId2345" display="https://ppim-intra.pea.co.th:4434/request/PPIM19504617" xr:uid="{13408912-5921-4D29-A2DF-4B2F4F7F4FCE}"/>
    <hyperlink ref="K2371" r:id="rId2346" display="https://ppim-intra.pea.co.th:4434/request/PPIM1950438D" xr:uid="{B9E7AB1A-02ED-4C76-8F26-27A647E27C38}"/>
    <hyperlink ref="K2372" r:id="rId2347" display="https://ppim-intra.pea.co.th:4434/request/PPIM19504389" xr:uid="{D322ECCF-25B5-4A16-9DD8-C20C2F7D21EE}"/>
    <hyperlink ref="K2373" r:id="rId2348" display="https://ppim-intra.pea.co.th:4434/request/PPIM19504381" xr:uid="{773FDD52-F9A0-4022-B838-40659BC1656B}"/>
    <hyperlink ref="K2374" r:id="rId2349" display="https://ppim-intra.pea.co.th:4434/request/PPIM1950437B" xr:uid="{9DFBFD61-DD99-42EE-93D2-6C6075231F88}"/>
    <hyperlink ref="K2375" r:id="rId2350" display="https://ppim-intra.pea.co.th:4434/request/PPIM19504376" xr:uid="{4855D64D-CB1B-44B2-BCC2-1078143DB3AB}"/>
    <hyperlink ref="K2376" r:id="rId2351" display="https://ppim-intra.pea.co.th:4434/request/PPIM19504348" xr:uid="{AEFCDABD-B28B-4D0A-9DA1-21D6A64BFF31}"/>
    <hyperlink ref="K2377" r:id="rId2352" display="https://ppim-intra.pea.co.th:4434/request/PPIM19504346" xr:uid="{000393E2-1918-4FAC-8468-DCB49F3BDB02}"/>
    <hyperlink ref="K2378" r:id="rId2353" display="https://ppim-intra.pea.co.th:4434/request/PPIM1950433F" xr:uid="{84C274DE-0C9C-44EE-8573-50D9C72481D2}"/>
    <hyperlink ref="K2379" r:id="rId2354" display="https://ppim-intra.pea.co.th:4434/request/PPIM1950433E" xr:uid="{BBB46AA9-1157-4EB2-9EFA-A927BE2125F9}"/>
    <hyperlink ref="K2380" r:id="rId2355" display="https://ppim-intra.pea.co.th:4434/request/PPIM1950433A" xr:uid="{E89FF609-20D7-484D-AE9D-3DACAC6F0B51}"/>
    <hyperlink ref="K2381" r:id="rId2356" display="https://ppim-intra.pea.co.th:4434/request/PPIM19504337" xr:uid="{3CF63B9B-D93D-4EA8-8103-E74BFA381C48}"/>
    <hyperlink ref="K2382" r:id="rId2357" display="https://ppim-intra.pea.co.th:4434/request/PPIM195042BA" xr:uid="{431A6A1C-7E8D-4187-97EC-431FDA1E0FE5}"/>
    <hyperlink ref="K2383" r:id="rId2358" display="https://ppim-intra.pea.co.th:4434/request/PPIM1950433C" xr:uid="{7D5445B4-ADC0-488D-9246-1227A43668C1}"/>
    <hyperlink ref="K2384" r:id="rId2359" display="https://ppim-intra.pea.co.th:4434/request/PPIM19504417" xr:uid="{19D2AA54-3EF5-41DC-8B21-158688EF42E7}"/>
    <hyperlink ref="K2385" r:id="rId2360" display="https://ppim-intra.pea.co.th:4434/request/PPIM195046CD" xr:uid="{E5142F25-9F0B-47CD-974F-79FA0107293C}"/>
    <hyperlink ref="K2386" r:id="rId2361" display="https://ppim-intra.pea.co.th:4434/request/PPIM195046E3" xr:uid="{FF69FB9F-D601-4ED3-98FC-3B3D10F23146}"/>
    <hyperlink ref="K2387" r:id="rId2362" display="https://ppim-intra.pea.co.th:4434/request/PPIM19504383" xr:uid="{6AA3C6B0-31A5-4522-B115-289CE7F3FD68}"/>
    <hyperlink ref="K2388" r:id="rId2363" display="https://ppim-intra.pea.co.th:4434/request/PPIM19504045" xr:uid="{5FF4746F-7A98-4BE4-86B9-2C58E7A0F85C}"/>
    <hyperlink ref="K2389" r:id="rId2364" display="https://ppim-intra.pea.co.th:4434/request/PPIM19504752" xr:uid="{B179CFA1-AE60-4E1C-99E0-C0C2C7B6A906}"/>
    <hyperlink ref="K2390" r:id="rId2365" display="https://ppim-intra.pea.co.th:4434/request/PPIM19504477" xr:uid="{64FD1B4E-F4FF-44F6-BF5D-2D552356CAAF}"/>
    <hyperlink ref="K2391" r:id="rId2366" display="https://ppim-intra.pea.co.th:4434/request/PPIM1950455E" xr:uid="{564B328F-5FB6-44DF-A46B-1B2DEE261CE3}"/>
    <hyperlink ref="K2392" r:id="rId2367" display="https://ppim-intra.pea.co.th:4434/request/PPIM19504780" xr:uid="{537B5E0D-E44C-4102-993F-2EAD8126E589}"/>
    <hyperlink ref="K2393" r:id="rId2368" display="https://ppim-intra.pea.co.th:4434/request/PPIM19501E83" xr:uid="{74C59DD2-2A84-4DA8-B628-595D8BD4E2F6}"/>
    <hyperlink ref="K2394" r:id="rId2369" display="https://ppim-intra.pea.co.th:4434/request/PPIM19504799" xr:uid="{876271B2-C6CA-4E2A-A566-3BA5091972D6}"/>
    <hyperlink ref="K2395" r:id="rId2370" display="https://ppim-intra.pea.co.th:4434/request/PPIM1950479A" xr:uid="{762E5ACF-524A-4FBC-A790-B204B7EC241E}"/>
    <hyperlink ref="K2396" r:id="rId2371" display="https://ppim-intra.pea.co.th:4434/request/PPIM1950479B" xr:uid="{4DCEA7A9-3611-4A86-9C9D-4D89BD204AF2}"/>
    <hyperlink ref="K2397" r:id="rId2372" display="https://ppim-intra.pea.co.th:4434/request/PPIM19504612" xr:uid="{88EF1FAA-C0A3-4FC8-8976-30D7C26C20FB}"/>
    <hyperlink ref="K2398" r:id="rId2373" display="https://ppim-intra.pea.co.th:4434/request/PPIM19504254" xr:uid="{23A0AA0B-6C93-4E4A-8D66-0AB850240BD9}"/>
    <hyperlink ref="K2399" r:id="rId2374" display="https://ppim-intra.pea.co.th:4434/request/PPIM19504557" xr:uid="{50CA65F6-2ABE-4A77-BFC5-82CE297E1CB1}"/>
    <hyperlink ref="K2400" r:id="rId2375" display="https://ppim-intra.pea.co.th:4434/request/PPIM19504873" xr:uid="{6D32C1E7-3C9D-421E-BAA7-697536A28706}"/>
    <hyperlink ref="K2402" r:id="rId2376" display="https://ppim-intra.pea.co.th:4434/request/PPIM195048A8" xr:uid="{D6C73F1D-369A-4D1C-B56E-E6442020D513}"/>
    <hyperlink ref="K2403" r:id="rId2377" display="https://ppim-intra.pea.co.th:4434/request/PPIM195041F7" xr:uid="{904F58C6-3B3A-4490-BFD8-B0AEF4D2BA26}"/>
    <hyperlink ref="K2404" r:id="rId2378" display="https://ppim-intra.pea.co.th:4434/request/PPIM195048EA" xr:uid="{4462B474-9D5D-4D49-975F-458BA9741E8A}"/>
    <hyperlink ref="K2405" r:id="rId2379" display="https://ppim-intra.pea.co.th:4434/request/PPIM195048FA" xr:uid="{52D93E5B-D5F4-4033-AC1C-C862F7EFCCED}"/>
    <hyperlink ref="K2406" r:id="rId2380" display="https://ppim-intra.pea.co.th:4434/request/PPIM1950490A" xr:uid="{6B1132CB-D966-4343-BD16-1759CD346C9A}"/>
    <hyperlink ref="K2407" r:id="rId2381" display="https://ppim-intra.pea.co.th:4434/request/PPIM1950490E" xr:uid="{E7C6F7DC-4480-40EF-9B2B-86FE63BD76B4}"/>
    <hyperlink ref="K2408" r:id="rId2382" display="https://ppim-intra.pea.co.th:4434/request/PPIM19504928" xr:uid="{57991BA1-C9D3-4355-A70E-D084D9DEEE46}"/>
    <hyperlink ref="K2409" r:id="rId2383" display="https://ppim-intra.pea.co.th:4434/request/PPIM195049AB" xr:uid="{AEFB9584-C136-43CF-9101-4C1877C5C7E4}"/>
    <hyperlink ref="K2410" r:id="rId2384" display="https://ppim-intra.pea.co.th:4434/request/PPIM19504566" xr:uid="{525AC384-03AD-4FED-93E5-EECC25295BD5}"/>
    <hyperlink ref="K2411" r:id="rId2385" display="https://ppim-intra.pea.co.th:4434/request/PPIM195047C3" xr:uid="{AE010C77-394D-4906-9737-53852E13B106}"/>
    <hyperlink ref="K2412" r:id="rId2386" display="https://ppim-intra.pea.co.th:4434/request/PPIM19504798" xr:uid="{D56BB1AF-3328-4C8A-8614-2662F611E924}"/>
    <hyperlink ref="K2413" r:id="rId2387" display="https://ppim-intra.pea.co.th:4434/request/PPIM19504797" xr:uid="{DDA18987-CC1A-4F44-BA7A-994855CD702C}"/>
    <hyperlink ref="K2414" r:id="rId2388" display="https://ppim-intra.pea.co.th:4434/request/PPIM19504A1A" xr:uid="{23C2E47A-2048-4CFD-BB72-BC5FF1AF94A2}"/>
    <hyperlink ref="K2415" r:id="rId2389" display="https://ppim-intra.pea.co.th:4434/request/PPIM195047C5" xr:uid="{F78C1C00-A0DF-4597-AAC0-D583F841CA64}"/>
    <hyperlink ref="K2416" r:id="rId2390" display="https://ppim-intra.pea.co.th:4434/request/PPIM19504A3B" xr:uid="{84B9A6FF-100D-418D-AF6F-E235FD6DA9D9}"/>
    <hyperlink ref="K2417" r:id="rId2391" display="https://ppim-intra.pea.co.th:4434/request/PPIM19504298" xr:uid="{4B7EFDA9-5C24-4AA2-9FD0-A2186D51435F}"/>
    <hyperlink ref="K2418" r:id="rId2392" display="https://ppim-intra.pea.co.th:4434/request/PPIM195047DE" xr:uid="{473F5E68-EE21-47CD-8F6D-3A082B430746}"/>
    <hyperlink ref="K2419" r:id="rId2393" display="https://ppim-intra.pea.co.th:4434/request/PPIM19504857" xr:uid="{1B16F6A5-511D-44EA-A191-17F9E19484A7}"/>
    <hyperlink ref="K2420" r:id="rId2394" display="https://ppim-intra.pea.co.th:4434/request/PPIM19504418" xr:uid="{3F9F6DAB-F64A-43EA-8312-55B7A8E76E62}"/>
    <hyperlink ref="K2421" r:id="rId2395" display="https://ppim-intra.pea.co.th:4434/request/PPIM19502EA3" xr:uid="{509AD0CC-E517-4964-8594-EC8E516F12D0}"/>
    <hyperlink ref="K2422" r:id="rId2396" display="https://ppim-intra.pea.co.th:4434/request/PPIM19504AB7" xr:uid="{F9EA566B-5598-4779-B974-7DADEF5B86AB}"/>
    <hyperlink ref="K2423" r:id="rId2397" display="https://ppim-intra.pea.co.th:4434/request/PPIM19504AB8" xr:uid="{B901F90A-7817-413B-9E4E-5DE7D5431418}"/>
    <hyperlink ref="K2424" r:id="rId2398" display="https://ppim-intra.pea.co.th:4434/request/PPIM19504ACB" xr:uid="{9ABAAC46-2EEE-47F5-9D95-087E313D296A}"/>
    <hyperlink ref="K2425" r:id="rId2399" display="https://ppim-intra.pea.co.th:4434/request/PPIM19504ACF" xr:uid="{ADCC20ED-3120-4CAA-83EC-A81F3F82F4A0}"/>
    <hyperlink ref="K2426" r:id="rId2400" display="https://ppim-intra.pea.co.th:4434/request/PPIM19504AD0" xr:uid="{ACFC9ECE-AE34-4D11-9B9C-FC2FE3329CF6}"/>
    <hyperlink ref="K2427" r:id="rId2401" display="https://ppim-intra.pea.co.th:4434/request/PPIM19504AF9" xr:uid="{E4486179-4C00-4D83-9CCD-A647A28A733D}"/>
    <hyperlink ref="K2428" r:id="rId2402" display="https://ppim-intra.pea.co.th:4434/request/PPIM19504829" xr:uid="{48FE7E34-48E6-44A3-A201-B49778564222}"/>
    <hyperlink ref="K2429" r:id="rId2403" display="https://ppim-intra.pea.co.th:4434/request/PPIM195043E2" xr:uid="{4C9C2A9D-A5C3-42A0-B442-AA5E61E634EB}"/>
    <hyperlink ref="K2430" r:id="rId2404" display="https://ppim-intra.pea.co.th:4434/request/PPIM1950485E" xr:uid="{6F584400-E615-4F3F-80AB-B3FF93F97B5E}"/>
    <hyperlink ref="K2431" r:id="rId2405" display="https://ppim-intra.pea.co.th:4434/request/PPIM19504841" xr:uid="{84F1BA29-255F-4E2B-9F7F-9FB0548B9D6B}"/>
    <hyperlink ref="K2432" r:id="rId2406" display="https://ppim-intra.pea.co.th:4434/request/PPIM1950435D" xr:uid="{68CB3C36-B504-4D48-BDA2-749A64780901}"/>
    <hyperlink ref="K2433" r:id="rId2407" display="https://ppim-intra.pea.co.th:4434/request/PPIM19504B6A" xr:uid="{30588B98-0826-4474-A51B-00C51434A234}"/>
    <hyperlink ref="K2434" r:id="rId2408" display="https://ppim-intra.pea.co.th:4434/request/PPIM19504A56" xr:uid="{AE33D4AF-629F-40DB-B870-9CDE26C3BA2E}"/>
    <hyperlink ref="K2435" r:id="rId2409" display="https://ppim-intra.pea.co.th:4434/request/PPIM19504AA1" xr:uid="{AC9BB52A-3505-4D5C-9AF8-80639CFC0C08}"/>
    <hyperlink ref="K2436" r:id="rId2410" display="https://ppim-intra.pea.co.th:4434/request/PPIM19504B27" xr:uid="{26EAD160-E8EB-4376-B65A-A761354AEC94}"/>
    <hyperlink ref="K2437" r:id="rId2411" display="https://ppim-intra.pea.co.th:4434/request/PPIM1950356E" xr:uid="{23D8BE3D-7F07-4B77-AC0C-49F389B22342}"/>
    <hyperlink ref="K2438" r:id="rId2412" display="https://ppim-intra.pea.co.th:4434/request/PPIM19504C0D" xr:uid="{CBA2EEFD-E9C7-4572-9ED7-26CB68D1EE2D}"/>
    <hyperlink ref="K2439" r:id="rId2413" display="https://ppim-intra.pea.co.th:4434/request/PPIM1950487E" xr:uid="{3F3E33DA-682E-49C9-BB07-39F8CB486772}"/>
    <hyperlink ref="K2440" r:id="rId2414" display="https://ppim-intra.pea.co.th:4434/request/PPIM19504B28" xr:uid="{4D98F1C5-38E8-4400-98DB-3F56590DE7E8}"/>
    <hyperlink ref="K2441" r:id="rId2415" display="https://ppim-intra.pea.co.th:4434/request/PPIM19504A1F" xr:uid="{9D9574A9-202E-4729-9CE8-6C18A44346FE}"/>
    <hyperlink ref="K2442" r:id="rId2416" display="https://ppim-intra.pea.co.th:4434/request/PPIM1950475B" xr:uid="{9796D796-80A0-47C0-90B3-6B3C1EAFA20F}"/>
    <hyperlink ref="K2443" r:id="rId2417" display="https://ppim-intra.pea.co.th:4434/request/PPIM1950450C" xr:uid="{DDB6D33D-1ED6-4E19-8909-F70B56814D21}"/>
    <hyperlink ref="K2444" r:id="rId2418" display="https://ppim-intra.pea.co.th:4434/request/PPIM195045BF" xr:uid="{BD47B32A-B26B-4B03-85BD-05B03134BE63}"/>
    <hyperlink ref="K2445" r:id="rId2419" display="https://ppim-intra.pea.co.th:4434/request/PPIM195047B1" xr:uid="{408B4A61-2FC2-4D70-9963-20B91121705A}"/>
    <hyperlink ref="K2446" r:id="rId2420" display="https://ppim-intra.pea.co.th:4434/request/PPIM19504C77" xr:uid="{AF463EB7-FBEB-45E8-87DC-E30DB8AF0726}"/>
    <hyperlink ref="K2447" r:id="rId2421" display="https://ppim-intra.pea.co.th:4434/request/PPIM19504905" xr:uid="{9B4787CE-B91B-405E-B5E9-5C7B8320602E}"/>
    <hyperlink ref="K2448" r:id="rId2422" display="https://ppim-intra.pea.co.th:4434/request/PPIM195048FE" xr:uid="{E60E5DB5-7D90-40B3-94E2-B0C462B75EA6}"/>
    <hyperlink ref="K2449" r:id="rId2423" display="https://ppim-intra.pea.co.th:4434/request/PPIM195049F6" xr:uid="{5BC76F93-1E6E-413E-AE06-42D2D0F59B5F}"/>
    <hyperlink ref="K2450" r:id="rId2424" display="https://ppim-intra.pea.co.th:4434/request/PPIM19504CA8" xr:uid="{F130AD2C-E26A-42F2-989F-379D7B9462C1}"/>
    <hyperlink ref="K2451" r:id="rId2425" display="https://ppim-intra.pea.co.th:4434/request/PPIM19504880" xr:uid="{D79414DB-2FA3-43B9-89F1-460CD3C8415A}"/>
    <hyperlink ref="K2452" r:id="rId2426" display="https://ppim-intra.pea.co.th:4434/request/PPIM19504D32" xr:uid="{22B74703-25B3-44E6-8109-039C76672691}"/>
    <hyperlink ref="K2453" r:id="rId2427" display="https://ppim-intra.pea.co.th:4434/request/PPIM19504575" xr:uid="{8329E33E-6FDB-46F1-85C5-6F2B63AF7860}"/>
    <hyperlink ref="K2454" r:id="rId2428" display="https://ppim-intra.pea.co.th:4434/request/PPIM19504D47" xr:uid="{B95EBC81-1BA8-4A11-AF76-A042B1F9D305}"/>
    <hyperlink ref="K2455" r:id="rId2429" display="https://ppim-intra.pea.co.th:4434/request/PPIM19504D5A" xr:uid="{6C2DE0A2-BB2D-4123-85C5-2F29F9F94D9F}"/>
    <hyperlink ref="K2456" r:id="rId2430" display="https://ppim-intra.pea.co.th:4434/request/PPIM1950462C" xr:uid="{EFD3D53F-493B-46F9-8DA0-1E47673CBFD7}"/>
    <hyperlink ref="K2457" r:id="rId2431" display="https://ppim-intra.pea.co.th:4434/request/PPIM195047F8" xr:uid="{DFCC221E-3146-476B-8650-03CA94A630D0}"/>
    <hyperlink ref="K2458" r:id="rId2432" display="https://ppim-intra.pea.co.th:4434/request/PPIM195045F6" xr:uid="{7901072E-6D85-4D00-9441-912C50E4267C}"/>
    <hyperlink ref="K2459" r:id="rId2433" display="https://ppim-intra.pea.co.th:4434/request/PPIM19504D9A" xr:uid="{E910E356-9CB4-436F-892B-FC879C06AA44}"/>
    <hyperlink ref="K2460" r:id="rId2434" display="https://ppim-intra.pea.co.th:4434/request/PPIM19504DA8" xr:uid="{2D54C888-9477-4096-BBEA-B39E8BB17C22}"/>
    <hyperlink ref="K2461" r:id="rId2435" display="https://ppim-intra.pea.co.th:4434/request/PPIM19504C69" xr:uid="{D636DD4B-D2C4-43B6-9E76-333AEC135146}"/>
    <hyperlink ref="K2462" r:id="rId2436" display="https://ppim-intra.pea.co.th:4434/request/PPIM19504DD1" xr:uid="{C15F6E5C-7D4A-4FB3-991F-915D03054FC4}"/>
    <hyperlink ref="K2463" r:id="rId2437" display="https://ppim-intra.pea.co.th:4434/request/PPIM19504DF6" xr:uid="{C081704E-0BEB-4965-8A8C-D47C158D7CC8}"/>
    <hyperlink ref="K2464" r:id="rId2438" display="https://ppim-intra.pea.co.th:4434/request/PPIM195045B8" xr:uid="{A680100F-4584-4E93-890D-5E547C1CE78F}"/>
    <hyperlink ref="K2465" r:id="rId2439" display="https://ppim-intra.pea.co.th:4434/request/PPIM19504E26" xr:uid="{75D821CE-8E49-4329-9D74-9ABA75E28AD6}"/>
    <hyperlink ref="K2466" r:id="rId2440" display="https://ppim-intra.pea.co.th:4434/request/PPIM19504E43" xr:uid="{04E74ABC-9C4D-4E7D-B322-AF46A7CE2031}"/>
    <hyperlink ref="K2467" r:id="rId2441" display="https://ppim-intra.pea.co.th:4434/request/PPIM19504E8A" xr:uid="{AF2ACF72-8E33-44CA-8FB0-314BD1C02448}"/>
    <hyperlink ref="K2468" r:id="rId2442" display="https://ppim-intra.pea.co.th:4434/request/PPIM19504E91" xr:uid="{73E1A6F0-71A0-45CC-A077-8568E0352E00}"/>
    <hyperlink ref="K2469" r:id="rId2443" display="https://ppim-intra.pea.co.th:4434/request/PPIM19504E9F" xr:uid="{DFD4121F-8118-44D7-8A75-E49614D34874}"/>
    <hyperlink ref="K2470" r:id="rId2444" display="https://ppim-intra.pea.co.th:4434/request/PPIM19504EA3" xr:uid="{A9B7A625-7B90-406A-B72C-93224844F6F0}"/>
    <hyperlink ref="K2471" r:id="rId2445" display="https://ppim-intra.pea.co.th:4434/request/PPIM19504EAB" xr:uid="{527FE101-C5AF-427E-BECA-D45E6A6FF86A}"/>
    <hyperlink ref="K2472" r:id="rId2446" display="https://ppim-intra.pea.co.th:4434/request/PPIM19504EAD" xr:uid="{9FCE791E-647E-4BE1-B88B-161BE7779339}"/>
    <hyperlink ref="K2473" r:id="rId2447" display="https://ppim-intra.pea.co.th:4434/request/PPIM19504EB2" xr:uid="{1C5799BF-3196-4C2E-B6D4-248FDA1EEAED}"/>
    <hyperlink ref="K2474" r:id="rId2448" display="https://ppim-intra.pea.co.th:4434/request/PPIM19504AEE" xr:uid="{81680323-C956-4975-87CA-3ACB2E2E26E1}"/>
    <hyperlink ref="K2475" r:id="rId2449" display="https://ppim-intra.pea.co.th:4434/request/PPIM19504B11" xr:uid="{CD9D08F7-DDD1-44A6-B8E8-41DC11637D12}"/>
    <hyperlink ref="K2476" r:id="rId2450" display="https://ppim-intra.pea.co.th:4434/request/PPIM195049EF" xr:uid="{B65C00B6-1EF8-40C8-B40A-B09C8D1FD289}"/>
    <hyperlink ref="K2477" r:id="rId2451" display="https://ppim-intra.pea.co.th:4434/request/PPIM19504ED7" xr:uid="{341967EF-C11F-4B51-86E9-11FE5BCC7145}"/>
    <hyperlink ref="K2478" r:id="rId2452" display="https://ppim-intra.pea.co.th:4434/request/PPIM19504EEB" xr:uid="{C33284C2-CEE8-4A66-B7EC-36658059BAAC}"/>
    <hyperlink ref="K2479" r:id="rId2453" display="https://ppim-intra.pea.co.th:4434/request/PPIM19504A22" xr:uid="{43AFF5F3-AC32-4596-8776-7CF8090CBD00}"/>
    <hyperlink ref="K2480" r:id="rId2454" display="https://ppim-intra.pea.co.th:4434/request/PPIM19504F3B" xr:uid="{E80B08A2-23BA-4AE8-8056-5AF01F30D0F1}"/>
    <hyperlink ref="K2481" r:id="rId2455" display="https://ppim-intra.pea.co.th:4434/request/PPIM1950484B" xr:uid="{B438FEC8-26D3-43A6-BB18-706CCB28A4F4}"/>
    <hyperlink ref="K2482" r:id="rId2456" display="https://ppim-intra.pea.co.th:4434/request/PPIM195046E1" xr:uid="{9E34ADB1-C1F2-48AA-88F4-5C3FF68D0375}"/>
    <hyperlink ref="K2483" r:id="rId2457" display="https://ppim-intra.pea.co.th:4434/request/PPIM195047CD" xr:uid="{056CAEF6-5CB9-4AAF-99D8-BC04EB2C363F}"/>
    <hyperlink ref="K2484" r:id="rId2458" display="https://ppim-intra.pea.co.th:4434/request/PPIM19504A6E" xr:uid="{957ED0C7-D60A-4AB4-B6DE-D102E757DF70}"/>
    <hyperlink ref="K2485" r:id="rId2459" display="https://ppim-intra.pea.co.th:4434/request/PPIM19504786" xr:uid="{CF40E626-04AD-4AB6-BCAA-35A617890FA8}"/>
    <hyperlink ref="K2486" r:id="rId2460" display="https://ppim-intra.pea.co.th:4434/request/PPIM19504FD2" xr:uid="{7C24659B-A071-4AB3-8E13-88C6BA4717C5}"/>
    <hyperlink ref="K2487" r:id="rId2461" display="https://ppim-intra.pea.co.th:4434/request/PPIM19504FD6" xr:uid="{D9392226-ECB2-4150-B627-E77A340F485D}"/>
    <hyperlink ref="K2488" r:id="rId2462" display="https://ppim-intra.pea.co.th:4434/request/PPIM195045C1" xr:uid="{990E9DA9-37B2-4109-8E5F-FFF04F3655C9}"/>
    <hyperlink ref="K2489" r:id="rId2463" display="https://ppim-intra.pea.co.th:4434/request/PPIM19504FE1" xr:uid="{B9854FFE-BC2D-4B53-80E0-9B6C31AB4E32}"/>
    <hyperlink ref="K2490" r:id="rId2464" display="https://ppim-intra.pea.co.th:4434/request/PPIM19504FED" xr:uid="{B360B722-1787-4AB8-AF0A-683680EC4C5F}"/>
    <hyperlink ref="K2491" r:id="rId2465" display="https://ppim-intra.pea.co.th:4434/request/PPIM19504FF0" xr:uid="{88D1A47D-987E-4DD0-A468-FAE9B1E5BEF0}"/>
    <hyperlink ref="K2492" r:id="rId2466" display="https://ppim-intra.pea.co.th:4434/request/PPIM19504FFE" xr:uid="{5654D56A-4EE3-44BF-83A2-60B30481CD90}"/>
    <hyperlink ref="K2493" r:id="rId2467" display="https://ppim-intra.pea.co.th:4434/request/PPIM19504950" xr:uid="{72A3A3B6-2759-4FA8-A249-1E7B3AD594B0}"/>
    <hyperlink ref="K2494" r:id="rId2468" display="https://ppim-intra.pea.co.th:4434/request/PPIM19505040" xr:uid="{5982A824-1020-4C76-8552-F76B768E777D}"/>
    <hyperlink ref="K2495" r:id="rId2469" display="https://ppim-intra.pea.co.th:4434/request/PPIM19504E27" xr:uid="{2E6BD57B-7F0C-4737-ADE5-11B19163C576}"/>
    <hyperlink ref="K2496" r:id="rId2470" display="https://ppim-intra.pea.co.th:4434/request/PPIM19504735" xr:uid="{8EDE324A-A141-4A96-95F5-337939B8CDAC}"/>
    <hyperlink ref="K2497" r:id="rId2471" display="https://ppim-intra.pea.co.th:4434/request/PPIM19504663" xr:uid="{EEFA01F8-62E3-4046-8356-59745CDF1D10}"/>
    <hyperlink ref="K2498" r:id="rId2472" display="https://ppim-intra.pea.co.th:4434/request/PPIM195050A7" xr:uid="{74D65F1D-9ED5-4545-8F47-DB19756B3DA4}"/>
    <hyperlink ref="K2499" r:id="rId2473" display="https://ppim-intra.pea.co.th:4434/request/PPIM195050B2" xr:uid="{F445C201-8CD3-4E36-933D-B9B2FA863E60}"/>
    <hyperlink ref="K2500" r:id="rId2474" display="https://ppim-intra.pea.co.th:4434/request/PPIM195050B3" xr:uid="{A11DF4B8-579C-4C3D-B41C-37FF07829DBA}"/>
    <hyperlink ref="K2502" r:id="rId2475" display="https://ppim-intra.pea.co.th:4434/request/PPIM19504ED2" xr:uid="{8D0D74E9-F542-4308-BF46-1EF1FA629EF4}"/>
    <hyperlink ref="K2503" r:id="rId2476" display="https://ppim-intra.pea.co.th:4434/request/PPIM195050C1" xr:uid="{FBE2DBBA-7C7F-4398-BAE0-FCBE18189362}"/>
    <hyperlink ref="K2504" r:id="rId2477" display="https://ppim-intra.pea.co.th:4434/request/PPIM195050D5" xr:uid="{A9B8D01C-DC70-444E-8273-EE33A91B72F3}"/>
    <hyperlink ref="K2505" r:id="rId2478" display="https://ppim-intra.pea.co.th:4434/request/PPIM1950511A" xr:uid="{AA78F9CE-53B3-4BF7-BD7E-21BF7E57EB88}"/>
    <hyperlink ref="K2506" r:id="rId2479" display="https://ppim-intra.pea.co.th:4434/request/PPIM19504DD3" xr:uid="{23D04CBF-E6E1-4D4E-92D2-5ABF13414C6E}"/>
    <hyperlink ref="K2507" r:id="rId2480" display="https://ppim-intra.pea.co.th:4434/request/PPIM19505146" xr:uid="{4639B0C9-9235-4531-8052-DFD85BAC1B6F}"/>
    <hyperlink ref="K2508" r:id="rId2481" display="https://ppim-intra.pea.co.th:4434/request/PPIM195051B7" xr:uid="{1DF8FF20-B34F-4E9A-B2C6-F35A51919314}"/>
    <hyperlink ref="K2509" r:id="rId2482" display="https://ppim-intra.pea.co.th:4434/request/PPIM195051BD" xr:uid="{36F1C86A-8A7C-4488-94B3-3B79FD6327AD}"/>
    <hyperlink ref="K2510" r:id="rId2483" display="https://ppim-intra.pea.co.th:4434/request/PPIM195051BE" xr:uid="{A3094E76-E5AE-4960-8CBE-4CE9F1A18D0A}"/>
    <hyperlink ref="K2511" r:id="rId2484" display="https://ppim-intra.pea.co.th:4434/request/PPIM195051CB" xr:uid="{9CDAFC8A-1CAB-4FCC-B683-9FD1E5880D57}"/>
    <hyperlink ref="K2512" r:id="rId2485" display="https://ppim-intra.pea.co.th:4434/request/PPIM195051F4" xr:uid="{18A75C91-EB8F-494A-83D8-F5A935F34B44}"/>
    <hyperlink ref="K2513" r:id="rId2486" display="https://ppim-intra.pea.co.th:4434/request/PPIM19505201" xr:uid="{AE875D17-B399-4754-8D24-948100484C5F}"/>
    <hyperlink ref="K2514" r:id="rId2487" display="https://ppim-intra.pea.co.th:4434/request/PPIM1950505B" xr:uid="{FA386740-6637-4D24-97E1-8C5F0512D768}"/>
    <hyperlink ref="K2515" r:id="rId2488" display="https://ppim-intra.pea.co.th:4434/request/PPIM19504E86" xr:uid="{6013CF41-5E86-4C3C-B23B-5C786D968293}"/>
    <hyperlink ref="K2516" r:id="rId2489" display="https://ppim-intra.pea.co.th:4434/request/PPIM19504A0F" xr:uid="{A70BD952-99F9-404C-B92D-443800C4F6C0}"/>
    <hyperlink ref="K2517" r:id="rId2490" display="https://ppim-intra.pea.co.th:4434/request/PPIM19504F2C" xr:uid="{675F08A6-0EF3-451D-9124-C61E218231AE}"/>
    <hyperlink ref="K2518" r:id="rId2491" display="https://ppim-intra.pea.co.th:4434/request/PPIM19505098" xr:uid="{62B821FB-D2F4-4414-BB79-D9DE503C2EA1}"/>
    <hyperlink ref="K2519" r:id="rId2492" display="https://ppim-intra.pea.co.th:4434/request/PPIM19505296" xr:uid="{A931210C-3C33-422E-B479-D6743943EB30}"/>
    <hyperlink ref="K2520" r:id="rId2493" display="https://ppim-intra.pea.co.th:4434/request/PPIM19504FC1" xr:uid="{75D5147D-D1E2-4BD8-9F35-3FCB49E23870}"/>
    <hyperlink ref="K2521" r:id="rId2494" display="https://ppim-intra.pea.co.th:4434/request/PPIM19504FC3" xr:uid="{6C9585EB-EED8-4CFF-B1FF-E67A28F1059D}"/>
    <hyperlink ref="K2522" r:id="rId2495" display="https://ppim-intra.pea.co.th:4434/request/PPIM195052C9" xr:uid="{9A11609B-AAC6-46E6-B667-1BB345ED2DC9}"/>
    <hyperlink ref="K2523" r:id="rId2496" display="https://ppim-intra.pea.co.th:4434/request/PPIM195052E4" xr:uid="{FD692B11-9C95-4255-A7E6-D61C1604BF6E}"/>
    <hyperlink ref="K2524" r:id="rId2497" display="https://ppim-intra.pea.co.th:4434/request/PPIM19505303" xr:uid="{EF1BD944-4E35-4CAA-94F8-AD2C3E6F2A64}"/>
    <hyperlink ref="K2525" r:id="rId2498" display="https://ppim-intra.pea.co.th:4434/request/PPIM1950530E" xr:uid="{95F48918-523C-471B-9707-EE418D831FC9}"/>
    <hyperlink ref="K2526" r:id="rId2499" display="https://ppim-intra.pea.co.th:4434/request/PPIM195049EA" xr:uid="{37CAF14E-7114-454B-8731-F4182D7FFE8B}"/>
    <hyperlink ref="K2527" r:id="rId2500" display="https://ppim-intra.pea.co.th:4434/request/PPIM19505326" xr:uid="{848D8238-AD22-4FF8-B359-5B69A4B20430}"/>
    <hyperlink ref="K2528" r:id="rId2501" display="https://ppim-intra.pea.co.th:4434/request/PPIM1950532A" xr:uid="{AA5B550E-7CE6-4F11-ACEA-3F5E60A43EA8}"/>
    <hyperlink ref="K2529" r:id="rId2502" display="https://ppim-intra.pea.co.th:4434/request/PPIM195051DE" xr:uid="{7FEED7F8-7145-4AA9-9384-DC37803509CA}"/>
    <hyperlink ref="K2530" r:id="rId2503" display="https://ppim-intra.pea.co.th:4434/request/PPIM19505332" xr:uid="{34C9574C-4BF3-49E1-BDD9-99296C595DBF}"/>
    <hyperlink ref="K2531" r:id="rId2504" display="https://ppim-intra.pea.co.th:4434/request/PPIM19505338" xr:uid="{379E2B0B-4002-4B89-A581-AFEF9569848A}"/>
    <hyperlink ref="K2532" r:id="rId2505" display="https://ppim-intra.pea.co.th:4434/request/PPIM19504B7C" xr:uid="{ECEB7842-58F2-4595-9746-2892F2C646A6}"/>
    <hyperlink ref="K2533" r:id="rId2506" display="https://ppim-intra.pea.co.th:4434/request/PPIM19505340" xr:uid="{5D2D17DC-6CF8-4E5A-A4D1-C03B59E1CF71}"/>
    <hyperlink ref="K2534" r:id="rId2507" display="https://ppim-intra.pea.co.th:4434/request/PPIM19504AFE" xr:uid="{55184B25-2206-4841-8FD5-3F4469813EF8}"/>
    <hyperlink ref="K2535" r:id="rId2508" display="https://ppim-intra.pea.co.th:4434/request/PPIM19504F2B" xr:uid="{EDF8AF5E-5FD3-493E-B429-B6222C5D45F3}"/>
    <hyperlink ref="K2536" r:id="rId2509" display="https://ppim-intra.pea.co.th:4434/request/PPIM1950538D" xr:uid="{A63E4C72-13E3-4BCF-92C8-E3243E47749B}"/>
    <hyperlink ref="K2537" r:id="rId2510" display="https://ppim-intra.pea.co.th:4434/request/PPIM1950538E" xr:uid="{3D7D5CA8-9923-4D9A-83FB-3A50AED7305A}"/>
    <hyperlink ref="K2538" r:id="rId2511" display="https://ppim-intra.pea.co.th:4434/request/PPIM1950539A" xr:uid="{25BA0C8A-5552-4591-AEE9-4704F6103DA9}"/>
    <hyperlink ref="K2539" r:id="rId2512" display="https://ppim-intra.pea.co.th:4434/request/PPIM19505363" xr:uid="{E2721D0A-1AE7-432D-BBF3-B1BEA7DAEA85}"/>
    <hyperlink ref="K2540" r:id="rId2513" display="https://ppim-intra.pea.co.th:4434/request/PPIM195053D1" xr:uid="{25E50488-48E7-424E-B7AF-5D89BC9168C5}"/>
    <hyperlink ref="K2541" r:id="rId2514" display="https://ppim-intra.pea.co.th:4434/request/PPIM195053D2" xr:uid="{BF85C917-ACB1-4984-B411-9BEFB774D58A}"/>
    <hyperlink ref="K2542" r:id="rId2515" display="https://ppim-intra.pea.co.th:4434/request/PPIM19504F37" xr:uid="{2E41DE78-83BF-48A4-9D49-DCC5809D87EB}"/>
    <hyperlink ref="K2543" r:id="rId2516" display="https://ppim-intra.pea.co.th:4434/request/PPIM1950509A" xr:uid="{0BAD8C8A-1488-4071-B2B9-0F10511BBF2B}"/>
    <hyperlink ref="K2544" r:id="rId2517" display="https://ppim-intra.pea.co.th:4434/request/PPIM19505403" xr:uid="{9CB821ED-9038-497B-A952-437542671CC5}"/>
    <hyperlink ref="K2545" r:id="rId2518" display="https://ppim-intra.pea.co.th:4434/request/PPIM19504A11" xr:uid="{4343B0DC-FA4A-4D50-8A4E-3748087CC61B}"/>
    <hyperlink ref="K2546" r:id="rId2519" display="https://ppim-intra.pea.co.th:4434/request/PPIM1950540E" xr:uid="{CD0E5143-1D06-4D3C-8A60-92E417480C99}"/>
    <hyperlink ref="K2547" r:id="rId2520" display="https://ppim-intra.pea.co.th:4434/request/PPIM19504FD8" xr:uid="{C73A8357-68E8-4BC0-A9F8-FCF93D46B53C}"/>
    <hyperlink ref="K2548" r:id="rId2521" display="https://ppim-intra.pea.co.th:4434/request/PPIM1950505D" xr:uid="{D634161F-D949-45AC-81B1-8CC0EEEC83A0}"/>
    <hyperlink ref="K2549" r:id="rId2522" display="https://ppim-intra.pea.co.th:4434/request/PPIM19504E40" xr:uid="{855D297A-6A1E-4DB4-B0EF-AE2AAA56AF79}"/>
    <hyperlink ref="K2550" r:id="rId2523" display="https://ppim-intra.pea.co.th:4434/request/PPIM1950503E" xr:uid="{86086755-0B2A-4519-AE35-D809F7553892}"/>
    <hyperlink ref="K2551" r:id="rId2524" display="https://ppim-intra.pea.co.th:4434/request/PPIM1950541C" xr:uid="{84311D75-E7A5-47BD-8309-977A0346DF80}"/>
    <hyperlink ref="K2552" r:id="rId2525" display="https://ppim-intra.pea.co.th:4434/request/PPIM1950548A" xr:uid="{C1238FA9-0C8B-4B55-931D-2FE9ADB5993E}"/>
    <hyperlink ref="K2553" r:id="rId2526" display="https://ppim-intra.pea.co.th:4434/request/PPIM1950540A" xr:uid="{3B5919FA-B15D-4A94-AE9F-960A220F3E89}"/>
    <hyperlink ref="K2554" r:id="rId2527" display="https://ppim-intra.pea.co.th:4434/request/PPIM195051AC" xr:uid="{8C157A15-97A6-4E4D-9A55-73ECFEA2CE59}"/>
    <hyperlink ref="K2555" r:id="rId2528" display="https://ppim-intra.pea.co.th:4434/request/PPIM19505048" xr:uid="{A5E4B8E7-2C58-4587-AEF0-2DC8BE421694}"/>
    <hyperlink ref="K2556" r:id="rId2529" display="https://ppim-intra.pea.co.th:4434/request/PPIM1950542A" xr:uid="{5B76E876-24AF-4106-9506-B8244C524F28}"/>
    <hyperlink ref="K2557" r:id="rId2530" display="https://ppim-intra.pea.co.th:4434/request/PPIM19504F4D" xr:uid="{5C11010E-A540-419F-A6EB-69CBF1E20C7A}"/>
    <hyperlink ref="K2558" r:id="rId2531" display="https://ppim-intra.pea.co.th:4434/request/PPIM19505476" xr:uid="{E4D958C2-65E9-47EF-B346-92A9E7648434}"/>
    <hyperlink ref="K2559" r:id="rId2532" display="https://ppim-intra.pea.co.th:4434/request/PPIM195046FA" xr:uid="{3AE68708-45A5-4102-BB32-6F2117EBC686}"/>
    <hyperlink ref="K2560" r:id="rId2533" display="https://ppim-intra.pea.co.th:4434/request/PPIM195046F8" xr:uid="{8503BEF3-F50A-40DE-B0A4-4000D188FEB9}"/>
    <hyperlink ref="K2561" r:id="rId2534" display="https://ppim-intra.pea.co.th:4434/request/PPIM195040B8" xr:uid="{0F2AA2FD-1E34-4B8D-91C8-077D6632D631}"/>
    <hyperlink ref="K2562" r:id="rId2535" display="https://ppim-intra.pea.co.th:4434/request/PPIM19505565" xr:uid="{5631701C-C661-4278-AABE-016D2C63CC23}"/>
    <hyperlink ref="K2563" r:id="rId2536" display="https://ppim-intra.pea.co.th:4434/request/PPIM1950556A" xr:uid="{7DF8C8EC-B387-4F13-A133-BD98771B89D4}"/>
    <hyperlink ref="K2564" r:id="rId2537" display="https://ppim-intra.pea.co.th:4434/request/PPIM195024A0" xr:uid="{B469FBCA-6284-4B81-A9D8-6D8A4B8AE3F5}"/>
    <hyperlink ref="K2565" r:id="rId2538" display="https://ppim-intra.pea.co.th:4434/request/PPIM1950551C" xr:uid="{9DBCAFFA-A61C-40E6-8F8A-F647EB17D80A}"/>
    <hyperlink ref="K2566" r:id="rId2539" display="https://ppim-intra.pea.co.th:4434/request/PPIM195055CE" xr:uid="{BE6D0CBC-9208-4802-A91C-489B129F1DD7}"/>
    <hyperlink ref="K2567" r:id="rId2540" display="https://ppim-intra.pea.co.th:4434/request/PPIM195055D4" xr:uid="{F3372AF3-1FC4-46D6-8193-54B8D6C8ABE5}"/>
    <hyperlink ref="K2568" r:id="rId2541" display="https://ppim-intra.pea.co.th:4434/request/PPIM19504F23" xr:uid="{F6297B8D-BF69-4923-ADF5-FCCF9F81F0C6}"/>
    <hyperlink ref="K2569" r:id="rId2542" display="https://ppim-intra.pea.co.th:4434/request/PPIM195055FD" xr:uid="{DD8E0C38-0712-41C6-B4E2-425EAB7B0CB8}"/>
    <hyperlink ref="K2570" r:id="rId2543" display="https://ppim-intra.pea.co.th:4434/request/PPIM19505598" xr:uid="{1744AA2B-7E7B-49F1-BA3D-EA38CC34370F}"/>
    <hyperlink ref="K2571" r:id="rId2544" display="https://ppim-intra.pea.co.th:4434/request/PPIM19501E74" xr:uid="{25CED841-490A-4561-A2EF-49230ABA3351}"/>
    <hyperlink ref="K2572" r:id="rId2545" display="https://ppim-intra.pea.co.th:4434/request/PPIM19504EDD" xr:uid="{DC7CDC12-500D-4EBC-814A-12EA5C27BF5F}"/>
    <hyperlink ref="K2573" r:id="rId2546" display="https://ppim-intra.pea.co.th:4434/request/PPIM1950562E" xr:uid="{2BC75190-BDFC-4512-AD9C-8C6BB77B513A}"/>
    <hyperlink ref="K2574" r:id="rId2547" display="https://ppim-intra.pea.co.th:4434/request/PPIM19505632" xr:uid="{8B168E57-2A49-4C4A-8100-18090460DAD9}"/>
    <hyperlink ref="K2575" r:id="rId2548" display="https://ppim-intra.pea.co.th:4434/request/PPIM19505639" xr:uid="{85235678-23C5-4981-8120-5FCF36F6812C}"/>
    <hyperlink ref="K2576" r:id="rId2549" display="https://ppim-intra.pea.co.th:4434/request/PPIM19505644" xr:uid="{03BAD682-2758-4E75-AF37-41A38C26C324}"/>
    <hyperlink ref="K2577" r:id="rId2550" display="https://ppim-intra.pea.co.th:4434/request/PPIM19505651" xr:uid="{633546F3-7B87-4E85-9DF2-198E42112C95}"/>
    <hyperlink ref="K2578" r:id="rId2551" display="https://ppim-intra.pea.co.th:4434/request/PPIM195050DF" xr:uid="{811C2782-CE26-4B5D-B10E-9EC0F522E56F}"/>
    <hyperlink ref="K2579" r:id="rId2552" display="https://ppim-intra.pea.co.th:4434/request/PPIM1950566B" xr:uid="{785C20EC-926C-4DE9-88A0-48A0B15D7420}"/>
    <hyperlink ref="K2580" r:id="rId2553" display="https://ppim-intra.pea.co.th:4434/request/PPIM1950566F" xr:uid="{DC4DF5CF-6482-4312-9251-FAB4860149DE}"/>
    <hyperlink ref="K2581" r:id="rId2554" display="https://ppim-intra.pea.co.th:4434/request/PPIM195056AA" xr:uid="{A5F0A3F7-AAC5-4A3D-8656-20B75C40243D}"/>
    <hyperlink ref="K2582" r:id="rId2555" display="https://ppim-intra.pea.co.th:4434/request/PPIM195056F1" xr:uid="{A61F1AB7-D744-4A9E-8458-B5ACA3350F4B}"/>
    <hyperlink ref="K2583" r:id="rId2556" display="https://ppim-intra.pea.co.th:4434/request/PPIM1950542E" xr:uid="{DE02DE69-A032-4D7A-AC0E-9B03324F03C7}"/>
    <hyperlink ref="K2584" r:id="rId2557" display="https://ppim-intra.pea.co.th:4434/request/PPIM1950571C" xr:uid="{4379DE7E-CD1D-4815-BA9C-9F64C1E40B07}"/>
    <hyperlink ref="K2585" r:id="rId2558" display="https://ppim-intra.pea.co.th:4434/request/PPIM1950572B" xr:uid="{A840921A-3D13-4796-94F4-AB8327239F9B}"/>
    <hyperlink ref="K2586" r:id="rId2559" display="https://ppim-intra.pea.co.th:4434/request/PPIM1950574B" xr:uid="{43073D60-3BFD-49DC-8570-0495D74DAE0C}"/>
    <hyperlink ref="K2587" r:id="rId2560" display="https://ppim-intra.pea.co.th:4434/request/PPIM19505399" xr:uid="{823F8B3A-DBA0-43BD-BD65-7C4E406CF50C}"/>
    <hyperlink ref="K2588" r:id="rId2561" display="https://ppim-intra.pea.co.th:4434/request/PPIM1950469A" xr:uid="{BA5643B8-00E8-4B4B-9D70-E02490375064}"/>
    <hyperlink ref="K2589" r:id="rId2562" display="https://ppim-intra.pea.co.th:4434/request/PPIM195051B9" xr:uid="{212EADDA-6C38-4177-8E2A-05A64AE4364B}"/>
    <hyperlink ref="K2590" r:id="rId2563" display="https://ppim-intra.pea.co.th:4434/request/PPIM19505784" xr:uid="{DFD6FF51-5FC3-49A2-B398-59225B2B56E9}"/>
    <hyperlink ref="K2591" r:id="rId2564" display="https://ppim-intra.pea.co.th:4434/request/PPIM19505785" xr:uid="{25977864-54CF-4671-84F0-9D61E756B68F}"/>
    <hyperlink ref="K2592" r:id="rId2565" display="https://ppim-intra.pea.co.th:4434/request/PPIM1950533B" xr:uid="{9F3E9F7E-FC46-4B50-9D5D-F1938B912D31}"/>
    <hyperlink ref="K2593" r:id="rId2566" display="https://ppim-intra.pea.co.th:4434/request/PPIM195057AD" xr:uid="{68C3E87A-4E77-4BDF-A91B-E341C9BF3D1A}"/>
    <hyperlink ref="K2594" r:id="rId2567" display="https://ppim-intra.pea.co.th:4434/request/PPIM195057C5" xr:uid="{3653B9BC-E27C-46DC-BEB9-B315B97C114C}"/>
    <hyperlink ref="K2595" r:id="rId2568" display="https://ppim-intra.pea.co.th:4434/request/PPIM195057F4" xr:uid="{EB15FC4E-9C5D-43EA-AC96-377257116BEF}"/>
    <hyperlink ref="K2596" r:id="rId2569" display="https://ppim-intra.pea.co.th:4434/request/PPIM1950547C" xr:uid="{1913AD4F-9330-41F1-BBF5-DBB35DB7A696}"/>
    <hyperlink ref="K2597" r:id="rId2570" display="https://ppim-intra.pea.co.th:4434/request/PPIM19505802" xr:uid="{BB8E0739-E4F8-45A9-B4EB-9DB256F56F1D}"/>
    <hyperlink ref="K2598" r:id="rId2571" display="https://ppim-intra.pea.co.th:4434/request/PPIM195052C2" xr:uid="{0F26BB6A-C35A-44D0-A5A9-857F0D627889}"/>
    <hyperlink ref="K2599" r:id="rId2572" display="https://ppim-intra.pea.co.th:4434/request/PPIM1950539B" xr:uid="{9113C75F-556A-4A2B-BD60-D5BFD342E839}"/>
    <hyperlink ref="K2600" r:id="rId2573" display="https://ppim-intra.pea.co.th:4434/request/PPIM1950582C" xr:uid="{EAEB07E6-88EB-4903-89CB-4B502A09B5B2}"/>
    <hyperlink ref="K2602" r:id="rId2574" display="https://ppim-intra.pea.co.th:4434/request/PPIM19505854" xr:uid="{37281538-86DE-4262-9A43-381B5B22437D}"/>
    <hyperlink ref="K2603" r:id="rId2575" display="https://ppim-intra.pea.co.th:4434/request/PPIM19505875" xr:uid="{5B34B2A3-A67F-44BB-B9AD-A06BB3AB869B}"/>
    <hyperlink ref="K2604" r:id="rId2576" display="https://ppim-intra.pea.co.th:4434/request/PPIM19505777" xr:uid="{43C5403D-6FA1-43BF-8A4C-5B4A06BF0DC7}"/>
    <hyperlink ref="K2605" r:id="rId2577" display="https://ppim-intra.pea.co.th:4434/request/PPIM19505179" xr:uid="{957C1517-4401-49E3-BFAF-8FAB4C159151}"/>
    <hyperlink ref="K2606" r:id="rId2578" display="https://ppim-intra.pea.co.th:4434/request/PPIM195051D4" xr:uid="{CB11C614-BC61-479D-B934-F9ED2C9B33FE}"/>
    <hyperlink ref="K2607" r:id="rId2579" display="https://ppim-intra.pea.co.th:4434/request/PPIM19505271" xr:uid="{75AF3D23-D6BF-4CE0-9C1F-9D40A318CD27}"/>
    <hyperlink ref="K2608" r:id="rId2580" display="https://ppim-intra.pea.co.th:4434/request/PPIM1950455F" xr:uid="{704DF86F-CE38-446E-A167-D310E87C92BA}"/>
    <hyperlink ref="K2609" r:id="rId2581" display="https://ppim-intra.pea.co.th:4434/request/PPIM195058D4" xr:uid="{04B5D384-9EB0-4FFD-97EC-9151E0A4FD56}"/>
    <hyperlink ref="K2610" r:id="rId2582" display="https://ppim-intra.pea.co.th:4434/request/PPIM1950593E" xr:uid="{4BB0B5F3-3BF9-43C7-B709-755E1B5CEA73}"/>
    <hyperlink ref="K2611" r:id="rId2583" display="https://ppim-intra.pea.co.th:4434/request/PPIM19505944" xr:uid="{DB42D99F-6425-4DD1-AD0C-544F2A029B74}"/>
    <hyperlink ref="K2612" r:id="rId2584" display="https://ppim-intra.pea.co.th:4434/request/PPIM19505420" xr:uid="{3DF905E0-C343-4C44-AD43-4C289A04A643}"/>
    <hyperlink ref="K2613" r:id="rId2585" display="https://ppim-intra.pea.co.th:4434/request/PPIM19504AD6" xr:uid="{8083CC8A-972A-40BA-83C6-5B56BDFCC96E}"/>
    <hyperlink ref="K2614" r:id="rId2586" display="https://ppim-intra.pea.co.th:4434/request/PPIM1950573B" xr:uid="{55A2862F-1F6E-4424-A76D-5C9254CCED57}"/>
    <hyperlink ref="K2615" r:id="rId2587" display="https://ppim-intra.pea.co.th:4434/request/PPIM1950595B" xr:uid="{5D63BC4B-1E0A-4A5F-B12A-E1C6F2CE623E}"/>
    <hyperlink ref="K2616" r:id="rId2588" display="https://ppim-intra.pea.co.th:4434/request/PPIM1950595C" xr:uid="{2F12EE3C-EF60-40DF-B015-6360E226A8FC}"/>
    <hyperlink ref="K2617" r:id="rId2589" display="https://ppim-intra.pea.co.th:4434/request/PPIM195052B0" xr:uid="{E3BA0E2F-93B0-498A-A8BA-38994D6F6AE4}"/>
    <hyperlink ref="K2618" r:id="rId2590" display="https://ppim-intra.pea.co.th:4434/request/PPIM1950599A" xr:uid="{552FCB75-9936-444A-924D-EFF7DE4D858D}"/>
    <hyperlink ref="K2619" r:id="rId2591" display="https://ppim-intra.pea.co.th:4434/request/PPIM195055E8" xr:uid="{C74783E6-57A0-4E1B-902D-518A799874E6}"/>
    <hyperlink ref="K2620" r:id="rId2592" display="https://ppim-intra.pea.co.th:4434/request/PPIM195057E5" xr:uid="{5C134FCF-E025-429C-97A1-813CE7BDEA30}"/>
    <hyperlink ref="K2621" r:id="rId2593" display="https://ppim-intra.pea.co.th:4434/request/PPIM195056F0" xr:uid="{A56E0C3A-5C09-414C-A4D5-B72C3F10D973}"/>
    <hyperlink ref="K2622" r:id="rId2594" display="https://ppim-intra.pea.co.th:4434/request/PPIM19505728" xr:uid="{E89DF3E3-C5FF-4B22-B2E7-9B39C221BFA4}"/>
    <hyperlink ref="K2623" r:id="rId2595" display="https://ppim-intra.pea.co.th:4434/request/PPIM195059C9" xr:uid="{C46157D2-981B-4A8B-B8D0-72D92CF0B9C0}"/>
    <hyperlink ref="K2624" r:id="rId2596" display="https://ppim-intra.pea.co.th:4434/request/PPIM195059D3" xr:uid="{87F0CF45-0C14-433E-B3FD-E347A9E90B25}"/>
    <hyperlink ref="K2625" r:id="rId2597" display="https://ppim-intra.pea.co.th:4434/request/PPIM195059D8" xr:uid="{89EFE439-5326-4B41-94BB-46DB64963194}"/>
    <hyperlink ref="K2626" r:id="rId2598" display="https://ppim-intra.pea.co.th:4434/request/PPIM195059DE" xr:uid="{58EEAB84-A717-4A75-8A47-F1D9EFAC16AD}"/>
    <hyperlink ref="K2627" r:id="rId2599" display="https://ppim-intra.pea.co.th:4434/request/PPIM19505A03" xr:uid="{D39F9E50-D2EB-4CB7-A365-3957757C364E}"/>
    <hyperlink ref="K2628" r:id="rId2600" display="https://ppim-intra.pea.co.th:4434/request/PPIM19505A24" xr:uid="{F835F902-CA0C-47F2-8CBF-E387794E1461}"/>
    <hyperlink ref="K2629" r:id="rId2601" display="https://ppim-intra.pea.co.th:4434/request/PPIM195053EA" xr:uid="{43501B8F-0EAF-4AB5-9F50-5065C281735C}"/>
    <hyperlink ref="K2630" r:id="rId2602" display="https://ppim-intra.pea.co.th:4434/request/PPIM19505A2F" xr:uid="{A3CA5A12-758E-4E15-AD59-BBC11F8D702E}"/>
    <hyperlink ref="K2631" r:id="rId2603" display="https://ppim-intra.pea.co.th:4434/request/PPIM19505A32" xr:uid="{4D204B7D-35A0-47D7-BAF6-3FF26438871B}"/>
    <hyperlink ref="K2632" r:id="rId2604" display="https://ppim-intra.pea.co.th:4434/request/PPIM19505A76" xr:uid="{EADB394B-FFDE-4E8D-837D-0F7A63446C47}"/>
    <hyperlink ref="K2633" r:id="rId2605" display="https://ppim-intra.pea.co.th:4434/request/PPIM1950513F" xr:uid="{C065551C-7AF3-4837-9A35-014D43C7ACD8}"/>
    <hyperlink ref="K2634" r:id="rId2606" display="https://ppim-intra.pea.co.th:4434/request/PPIM19505A77" xr:uid="{A03F56B8-995C-441B-9915-D75B63D2B305}"/>
    <hyperlink ref="K2635" r:id="rId2607" display="https://ppim-intra.pea.co.th:4434/request/PPIM19505740" xr:uid="{3D0BBFBF-4E30-49BC-830D-4C1CA1482982}"/>
    <hyperlink ref="K2636" r:id="rId2608" display="https://ppim-intra.pea.co.th:4434/request/PPIM19505A89" xr:uid="{0C17502A-B4E7-4AB4-9935-628723B8F48C}"/>
    <hyperlink ref="K2637" r:id="rId2609" display="https://ppim-intra.pea.co.th:4434/request/PPIM19505AC5" xr:uid="{86621CDC-8E05-4F42-8825-08F5F4D8C3C8}"/>
    <hyperlink ref="K2638" r:id="rId2610" display="https://ppim-intra.pea.co.th:4434/request/PPIM19505B04" xr:uid="{ECE817BB-E2C0-4D4C-93AB-80F7A0721B52}"/>
    <hyperlink ref="K2639" r:id="rId2611" display="https://ppim-intra.pea.co.th:4434/request/PPIM19505B10" xr:uid="{557088B9-C0D4-4470-903F-ED519BE31351}"/>
    <hyperlink ref="K2640" r:id="rId2612" display="https://ppim-intra.pea.co.th:4434/request/PPIM19505B1C" xr:uid="{48810B15-E21C-404E-ADAC-C273E70387D9}"/>
    <hyperlink ref="K2641" r:id="rId2613" display="https://ppim-intra.pea.co.th:4434/request/PPIM19505B23" xr:uid="{E88EDFF4-0BF2-4824-88A5-884D6A6861E1}"/>
    <hyperlink ref="K2642" r:id="rId2614" display="https://ppim-intra.pea.co.th:4434/request/PPIM195051FB" xr:uid="{5E19D9FF-504D-4D5C-AFB8-D0EEDD8FD0DD}"/>
    <hyperlink ref="K2643" r:id="rId2615" display="https://ppim-intra.pea.co.th:4434/request/PPIM19505206" xr:uid="{193C6F11-9B1C-4092-81BC-C488D4751A92}"/>
    <hyperlink ref="K2644" r:id="rId2616" display="https://ppim-intra.pea.co.th:4434/request/PPIM19505B49" xr:uid="{6D59E859-9CE8-4D37-8828-5D7E629E932D}"/>
    <hyperlink ref="K2645" r:id="rId2617" display="https://ppim-intra.pea.co.th:4434/request/PPIM19505B50" xr:uid="{19BFA8F5-15EB-40A2-B388-17B082C14EA4}"/>
    <hyperlink ref="K2646" r:id="rId2618" display="https://ppim-intra.pea.co.th:4434/request/PPIM19505B51" xr:uid="{A7AD1905-5A07-4E4E-B8F5-3B3EFEAAD84C}"/>
    <hyperlink ref="K2647" r:id="rId2619" display="https://ppim-intra.pea.co.th:4434/request/PPIM19505B53" xr:uid="{F9C84C79-F7C4-47C6-B8BE-AA8F811F97BB}"/>
    <hyperlink ref="K2648" r:id="rId2620" display="https://ppim-intra.pea.co.th:4434/request/PPIM19505B54" xr:uid="{EB67F172-D778-4D5A-B1A6-0B0BAE4C190A}"/>
    <hyperlink ref="K2649" r:id="rId2621" display="https://ppim-intra.pea.co.th:4434/request/PPIM195057EC" xr:uid="{48BD3A10-3837-40BD-B070-D78FFDE439BC}"/>
    <hyperlink ref="K2650" r:id="rId2622" display="https://ppim-intra.pea.co.th:4434/request/PPIM19505B5E" xr:uid="{47FCBEAC-F0DF-4FA7-A7A2-E44F094BEEF6}"/>
    <hyperlink ref="K2651" r:id="rId2623" display="https://ppim-intra.pea.co.th:4434/request/PPIM19505B66" xr:uid="{68B43C48-3258-4612-A859-71E955593926}"/>
    <hyperlink ref="K2652" r:id="rId2624" display="https://ppim-intra.pea.co.th:4434/request/PPIM19505364" xr:uid="{50152B0E-6888-4641-8685-557DA03130A3}"/>
    <hyperlink ref="K2653" r:id="rId2625" display="https://ppim-intra.pea.co.th:4434/request/PPIM19505366" xr:uid="{5D2A3A97-7E66-4663-8228-2A805D3EA83B}"/>
    <hyperlink ref="K2654" r:id="rId2626" display="https://ppim-intra.pea.co.th:4434/request/PPIM19505B7C" xr:uid="{63F536A5-DEA6-4DD5-AECA-E515A6BC7F4B}"/>
    <hyperlink ref="K2655" r:id="rId2627" display="https://ppim-intra.pea.co.th:4434/request/PPIM195057F0" xr:uid="{D0646DAF-62F5-4BF8-B225-EBECDD6BFCEE}"/>
    <hyperlink ref="K2656" r:id="rId2628" display="https://ppim-intra.pea.co.th:4434/request/PPIM19505BAA" xr:uid="{809E16DC-EC07-4569-A304-6E6F51900A7A}"/>
    <hyperlink ref="K2657" r:id="rId2629" display="https://ppim-intra.pea.co.th:4434/request/PPIM19505BAD" xr:uid="{A051CA49-B976-4B15-B370-4205152D4D3D}"/>
    <hyperlink ref="K2658" r:id="rId2630" display="https://ppim-intra.pea.co.th:4434/request/PPIM1950585C" xr:uid="{7863850E-B810-44F7-AFA2-A14E2FFB805A}"/>
    <hyperlink ref="K2659" r:id="rId2631" display="https://ppim-intra.pea.co.th:4434/request/PPIM19505BDE" xr:uid="{2A1787C3-3B43-4B8C-82E0-F8CAFAED4824}"/>
    <hyperlink ref="K2660" r:id="rId2632" display="https://ppim-intra.pea.co.th:4434/request/PPIM195051E0" xr:uid="{6DCD9B31-A202-4128-9A8B-20296808D973}"/>
    <hyperlink ref="K2661" r:id="rId2633" display="https://ppim-intra.pea.co.th:4434/request/PPIM19505968" xr:uid="{912EA833-9569-44B2-942A-911C74D35A69}"/>
    <hyperlink ref="K2662" r:id="rId2634" display="https://ppim-intra.pea.co.th:4434/request/PPIM19505A3B" xr:uid="{B59955B8-890B-4675-8A2B-1F1559F60676}"/>
    <hyperlink ref="K2663" r:id="rId2635" display="https://ppim-intra.pea.co.th:4434/request/PPIM195058E9" xr:uid="{A6E6DAF8-A301-4A88-B205-779B039ED504}"/>
    <hyperlink ref="K2664" r:id="rId2636" display="https://ppim-intra.pea.co.th:4434/request/PPIM195056B0" xr:uid="{9BD232F4-299D-4EE4-A865-21FBA04D4848}"/>
    <hyperlink ref="K2665" r:id="rId2637" display="https://ppim-intra.pea.co.th:4434/request/PPIM19505BFC" xr:uid="{19E9AF60-9A16-40C5-839B-E2CAC7323AEA}"/>
    <hyperlink ref="K2666" r:id="rId2638" display="https://ppim-intra.pea.co.th:4434/request/PPIM19505C03" xr:uid="{98BB7BD4-13A5-408E-BB1E-3332E6EB93B9}"/>
    <hyperlink ref="K2667" r:id="rId2639" display="https://ppim-intra.pea.co.th:4434/request/PPIM19505C09" xr:uid="{BF86DF2D-CFD4-4C04-A223-8D743FCB7D54}"/>
    <hyperlink ref="K2668" r:id="rId2640" display="https://ppim-intra.pea.co.th:4434/request/PPIM19505C0C" xr:uid="{AC84F364-9EDD-4F2C-AA22-5DB13A8517D4}"/>
    <hyperlink ref="K2669" r:id="rId2641" display="https://ppim-intra.pea.co.th:4434/request/PPIM19505C2F" xr:uid="{3257A179-3DB1-40A6-B9A1-E29A8B684848}"/>
    <hyperlink ref="K2670" r:id="rId2642" display="https://ppim-intra.pea.co.th:4434/request/PPIM19505C44" xr:uid="{01742687-8A30-461B-B491-2E2773BA8010}"/>
    <hyperlink ref="K2671" r:id="rId2643" display="https://ppim-intra.pea.co.th:4434/request/PPIM19505C4E" xr:uid="{D62B687B-D8A3-4F76-B4F8-0D6043122D7B}"/>
    <hyperlink ref="K2672" r:id="rId2644" display="https://ppim-intra.pea.co.th:4434/request/PPIM195058BB" xr:uid="{00FAEF0A-D4FF-4514-9FAF-7876B77FE010}"/>
    <hyperlink ref="K2673" r:id="rId2645" display="https://ppim-intra.pea.co.th:4434/request/PPIM19505C59" xr:uid="{841D0500-43D9-4110-A063-0AD0CB4754A6}"/>
    <hyperlink ref="K2674" r:id="rId2646" display="https://ppim-intra.pea.co.th:4434/request/PPIM19505695" xr:uid="{D675BFB2-C0FF-4E9E-94EC-B3FCCA6025CB}"/>
    <hyperlink ref="K2675" r:id="rId2647" display="https://ppim-intra.pea.co.th:4434/request/PPIM19505BD3" xr:uid="{E62C17C2-841B-4FA8-B694-DD4B50B69412}"/>
    <hyperlink ref="K2676" r:id="rId2648" display="https://ppim-intra.pea.co.th:4434/request/PPIM19505BC4" xr:uid="{3566B25A-6293-4ACA-90EB-074E181AAFA1}"/>
    <hyperlink ref="K2677" r:id="rId2649" display="https://ppim-intra.pea.co.th:4434/request/PPIM19505BCC" xr:uid="{AC9B0D13-959F-479D-9625-7A49DEE98562}"/>
    <hyperlink ref="K2678" r:id="rId2650" display="https://ppim-intra.pea.co.th:4434/request/PPIM19505BD0" xr:uid="{682EDFB7-2A03-42AB-AACA-F24D43D11B10}"/>
    <hyperlink ref="K2679" r:id="rId2651" display="https://ppim-intra.pea.co.th:4434/request/PPIM19505CA1" xr:uid="{0351AC69-D4A0-4C1F-8D52-F8634A46D546}"/>
    <hyperlink ref="K2680" r:id="rId2652" display="https://ppim-intra.pea.co.th:4434/request/PPIM19505CAF" xr:uid="{46380F7F-D06D-49E3-B44B-CA4B5D202C53}"/>
    <hyperlink ref="K2681" r:id="rId2653" display="https://ppim-intra.pea.co.th:4434/request/PPIM19505A56" xr:uid="{DB32BEA0-FCD2-47C9-8ABE-90530648BF50}"/>
    <hyperlink ref="K2682" r:id="rId2654" display="https://ppim-intra.pea.co.th:4434/request/PPIM19505CEC" xr:uid="{90CD4723-7C7B-450C-A39C-771333D8F82E}"/>
  </hyperlinks>
  <pageMargins left="0.7" right="0.7" top="0.75" bottom="0.75" header="0.3" footer="0.3"/>
  <pageSetup paperSize="9" orientation="portrait" horizontalDpi="4294967293" r:id="rId265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43CE-068B-4235-9A18-DF2DDA55D18B}">
  <sheetPr codeName="Sheet2">
    <tabColor theme="7" tint="0.59999389629810485"/>
  </sheetPr>
  <dimension ref="A2:T252"/>
  <sheetViews>
    <sheetView zoomScale="70" zoomScaleNormal="70" workbookViewId="0">
      <selection activeCell="A2" sqref="A2:J2"/>
    </sheetView>
  </sheetViews>
  <sheetFormatPr defaultColWidth="18.7109375" defaultRowHeight="23.25"/>
  <cols>
    <col min="1" max="1" width="21.42578125" style="6" customWidth="1"/>
    <col min="2" max="2" width="20.140625" style="6" bestFit="1" customWidth="1"/>
    <col min="3" max="3" width="31" style="6" customWidth="1"/>
    <col min="4" max="5" width="24.7109375" style="6" bestFit="1" customWidth="1"/>
    <col min="6" max="6" width="18.7109375" style="6"/>
    <col min="7" max="7" width="24.7109375" style="6" bestFit="1" customWidth="1"/>
    <col min="8" max="8" width="38.140625" style="6" bestFit="1" customWidth="1"/>
    <col min="9" max="10" width="18.7109375" style="6"/>
    <col min="11" max="11" width="18.7109375" style="7"/>
    <col min="12" max="12" width="38.28515625" style="7" bestFit="1" customWidth="1"/>
    <col min="13" max="13" width="18.7109375" style="7"/>
    <col min="14" max="14" width="18.7109375" style="11"/>
    <col min="15" max="16384" width="18.7109375" style="7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250</v>
      </c>
      <c r="N2" s="13" t="s">
        <v>214</v>
      </c>
    </row>
    <row r="3" spans="1:15" ht="37.5" thickTop="1" thickBot="1">
      <c r="A3" s="21" t="s">
        <v>239</v>
      </c>
      <c r="B3" s="21">
        <v>20027163223</v>
      </c>
      <c r="C3" s="21" t="s">
        <v>9</v>
      </c>
      <c r="D3" s="22">
        <v>45314.474305555559</v>
      </c>
      <c r="E3" s="21" t="s">
        <v>10</v>
      </c>
      <c r="F3" s="21">
        <v>3</v>
      </c>
      <c r="G3" s="21" t="s">
        <v>10</v>
      </c>
      <c r="H3" s="21" t="s">
        <v>178</v>
      </c>
      <c r="I3" s="21" t="s">
        <v>10</v>
      </c>
      <c r="J3" s="21" t="s">
        <v>12</v>
      </c>
      <c r="K3" s="20"/>
      <c r="L3" s="7" t="s">
        <v>2656</v>
      </c>
      <c r="M3" s="7">
        <f>COUNTIF(H:H,"รอตรวจสอบคำขอ")</f>
        <v>0</v>
      </c>
      <c r="N3" s="11" t="s">
        <v>214</v>
      </c>
    </row>
    <row r="4" spans="1:15" ht="36.75" thickBot="1">
      <c r="A4" s="18" t="s">
        <v>7832</v>
      </c>
      <c r="B4" s="18">
        <v>20018116166</v>
      </c>
      <c r="C4" s="18" t="s">
        <v>7833</v>
      </c>
      <c r="D4" s="19">
        <v>45320.577777777777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7834</v>
      </c>
      <c r="K4" s="20"/>
      <c r="L4" s="7" t="s">
        <v>178</v>
      </c>
      <c r="M4" s="7">
        <f>COUNTIF(H:H,"ยกเลิก")</f>
        <v>50</v>
      </c>
      <c r="N4" s="11" t="s">
        <v>214</v>
      </c>
    </row>
    <row r="5" spans="1:15" ht="36.75" thickBot="1">
      <c r="A5" s="18" t="s">
        <v>27</v>
      </c>
      <c r="B5" s="18">
        <v>20023433138</v>
      </c>
      <c r="C5" s="18" t="s">
        <v>28</v>
      </c>
      <c r="D5" s="19">
        <v>45325.904861111114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12</v>
      </c>
      <c r="K5" s="20"/>
      <c r="L5" s="7" t="s">
        <v>235</v>
      </c>
      <c r="M5" s="7">
        <f>COUNTIF(H:H,"รอผู้ยื่นคำขอส่งเอกสารแก้ไข")</f>
        <v>2</v>
      </c>
      <c r="N5" s="11" t="s">
        <v>214</v>
      </c>
    </row>
    <row r="6" spans="1:15" ht="36.75" thickBot="1">
      <c r="A6" s="18" t="s">
        <v>25</v>
      </c>
      <c r="B6" s="18">
        <v>20002853791</v>
      </c>
      <c r="C6" s="18" t="s">
        <v>26</v>
      </c>
      <c r="D6" s="19">
        <v>45350.704861111109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12</v>
      </c>
      <c r="K6" s="20"/>
      <c r="L6" s="7" t="s">
        <v>189</v>
      </c>
      <c r="M6" s="24">
        <f>COUNTIF(H:H,"รอชำระเงิน")</f>
        <v>44</v>
      </c>
      <c r="N6" s="11" t="s">
        <v>214</v>
      </c>
      <c r="O6" s="7" t="s">
        <v>359</v>
      </c>
    </row>
    <row r="7" spans="1:15" ht="36.75" thickBot="1">
      <c r="A7" s="18" t="s">
        <v>237</v>
      </c>
      <c r="B7" s="18">
        <v>20023342451</v>
      </c>
      <c r="C7" s="18" t="s">
        <v>238</v>
      </c>
      <c r="D7" s="19">
        <v>45358.606249999997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12</v>
      </c>
      <c r="K7" s="20"/>
      <c r="L7" s="7" t="s">
        <v>2652</v>
      </c>
      <c r="M7" s="94">
        <f>COUNTIF(H:H,"รออนุมัติเชื่อมต่อ/รับพิจารณา")+COUNTIF(H:H,"รอ หผ. อนุมัติ")+COUNTIF(H:H,"รอ ผจก./อก. อนุมัติ")</f>
        <v>2</v>
      </c>
      <c r="N7" s="11" t="s">
        <v>214</v>
      </c>
    </row>
    <row r="8" spans="1:15" ht="36.75" thickBot="1">
      <c r="A8" s="18" t="s">
        <v>21</v>
      </c>
      <c r="B8" s="18">
        <v>20026213318</v>
      </c>
      <c r="C8" s="18" t="s">
        <v>22</v>
      </c>
      <c r="D8" s="19">
        <v>45368.843055555553</v>
      </c>
      <c r="E8" s="18" t="s">
        <v>10</v>
      </c>
      <c r="F8" s="18">
        <v>10</v>
      </c>
      <c r="G8" s="18" t="s">
        <v>10</v>
      </c>
      <c r="H8" s="18" t="s">
        <v>178</v>
      </c>
      <c r="I8" s="18" t="s">
        <v>10</v>
      </c>
      <c r="J8" s="18" t="s">
        <v>12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17</v>
      </c>
      <c r="N8" s="11" t="s">
        <v>214</v>
      </c>
    </row>
    <row r="9" spans="1:15" ht="47.25" thickBot="1">
      <c r="A9" s="18" t="s">
        <v>19</v>
      </c>
      <c r="B9" s="18">
        <v>20027094943</v>
      </c>
      <c r="C9" s="18" t="s">
        <v>20</v>
      </c>
      <c r="D9" s="19">
        <v>45376.602777777778</v>
      </c>
      <c r="E9" s="18" t="s">
        <v>10</v>
      </c>
      <c r="F9" s="18">
        <v>10</v>
      </c>
      <c r="G9" s="18" t="s">
        <v>10</v>
      </c>
      <c r="H9" s="18" t="s">
        <v>178</v>
      </c>
      <c r="I9" s="18" t="s">
        <v>10</v>
      </c>
      <c r="J9" s="18" t="s">
        <v>12</v>
      </c>
      <c r="K9" s="20"/>
      <c r="L9" s="96" t="s">
        <v>2688</v>
      </c>
      <c r="M9" s="94">
        <f>COUNTIF(H:H,"รอแก้ไขเอกสารหลังอนุมัติเชื่อมต่อ / รับพิจารณา")</f>
        <v>1</v>
      </c>
      <c r="N9" s="11" t="s">
        <v>214</v>
      </c>
    </row>
    <row r="10" spans="1:15" ht="36.75" thickBot="1">
      <c r="A10" s="18" t="s">
        <v>13</v>
      </c>
      <c r="B10" s="18">
        <v>20017796116</v>
      </c>
      <c r="C10" s="18" t="s">
        <v>14</v>
      </c>
      <c r="D10" s="19">
        <v>45383.60833333333</v>
      </c>
      <c r="E10" s="18" t="s">
        <v>10</v>
      </c>
      <c r="F10" s="18">
        <v>3</v>
      </c>
      <c r="G10" s="18" t="s">
        <v>10</v>
      </c>
      <c r="H10" s="18" t="s">
        <v>178</v>
      </c>
      <c r="I10" s="18" t="s">
        <v>10</v>
      </c>
      <c r="J10" s="18" t="s">
        <v>12</v>
      </c>
      <c r="K10" s="20"/>
      <c r="L10" s="7" t="s">
        <v>2687</v>
      </c>
      <c r="M10" s="7">
        <f>COUNTIF(H:H,"รออนุมัติเชื่อมต่อ (200 kW ขึ้นไป)")</f>
        <v>0</v>
      </c>
      <c r="N10" s="11" t="s">
        <v>214</v>
      </c>
    </row>
    <row r="11" spans="1:15" ht="36.75" thickBot="1">
      <c r="A11" s="18" t="s">
        <v>8</v>
      </c>
      <c r="B11" s="18">
        <v>20027163223</v>
      </c>
      <c r="C11" s="18" t="s">
        <v>9</v>
      </c>
      <c r="D11" s="19">
        <v>45384.354861111111</v>
      </c>
      <c r="E11" s="18" t="s">
        <v>10</v>
      </c>
      <c r="F11" s="18">
        <v>3</v>
      </c>
      <c r="G11" s="18" t="s">
        <v>10</v>
      </c>
      <c r="H11" s="18" t="s">
        <v>178</v>
      </c>
      <c r="I11" s="18" t="s">
        <v>10</v>
      </c>
      <c r="J11" s="18" t="s">
        <v>12</v>
      </c>
      <c r="K11" s="20"/>
      <c r="L11" s="7" t="s">
        <v>2654</v>
      </c>
      <c r="M11" s="7">
        <f>COUNTIF(H:H,"รอตรวจสอบระบบผลิต")</f>
        <v>2</v>
      </c>
      <c r="N11" s="11" t="s">
        <v>214</v>
      </c>
    </row>
    <row r="12" spans="1:15" ht="36.75" thickBot="1">
      <c r="A12" s="18" t="s">
        <v>15</v>
      </c>
      <c r="B12" s="18">
        <v>20002676443</v>
      </c>
      <c r="C12" s="18" t="s">
        <v>16</v>
      </c>
      <c r="D12" s="19">
        <v>45381.749305555553</v>
      </c>
      <c r="E12" s="19">
        <v>45410.415972222225</v>
      </c>
      <c r="F12" s="18">
        <v>5</v>
      </c>
      <c r="G12" s="19">
        <v>45482.359722222223</v>
      </c>
      <c r="H12" s="18" t="s">
        <v>236</v>
      </c>
      <c r="I12" s="18" t="s">
        <v>10</v>
      </c>
      <c r="J12" s="18" t="s">
        <v>12</v>
      </c>
      <c r="K12" s="20"/>
      <c r="L12" s="7" t="s">
        <v>2651</v>
      </c>
      <c r="M12" s="7">
        <f>COUNTIF(H:H,"รอทดสอบเชื่อมต่อ")</f>
        <v>0</v>
      </c>
      <c r="N12" s="11" t="s">
        <v>214</v>
      </c>
    </row>
    <row r="13" spans="1:15" ht="36.75" thickBot="1">
      <c r="A13" s="18" t="s">
        <v>273</v>
      </c>
      <c r="B13" s="18">
        <v>20027225860</v>
      </c>
      <c r="C13" s="18" t="s">
        <v>274</v>
      </c>
      <c r="D13" s="19">
        <v>45411.998611111114</v>
      </c>
      <c r="E13" s="18" t="s">
        <v>10</v>
      </c>
      <c r="F13" s="18">
        <v>5</v>
      </c>
      <c r="G13" s="18" t="s">
        <v>10</v>
      </c>
      <c r="H13" s="18" t="s">
        <v>178</v>
      </c>
      <c r="I13" s="18" t="s">
        <v>10</v>
      </c>
      <c r="J13" s="18" t="s">
        <v>12</v>
      </c>
      <c r="K13" s="20"/>
      <c r="L13" s="7" t="s">
        <v>2655</v>
      </c>
      <c r="M13" s="7">
        <f>COUNTIF(H:H,"รออนุมัติแจ้งวันเริ่มเชื่อมต่อ")</f>
        <v>0</v>
      </c>
      <c r="N13" s="11" t="s">
        <v>214</v>
      </c>
    </row>
    <row r="14" spans="1:15" ht="36.75" thickBot="1">
      <c r="A14" s="18" t="s">
        <v>7835</v>
      </c>
      <c r="B14" s="18">
        <v>20018116166</v>
      </c>
      <c r="C14" s="18" t="s">
        <v>7836</v>
      </c>
      <c r="D14" s="19">
        <v>45412.706944444442</v>
      </c>
      <c r="E14" s="18" t="s">
        <v>10</v>
      </c>
      <c r="F14" s="18">
        <v>10</v>
      </c>
      <c r="G14" s="19">
        <v>45827.584027777775</v>
      </c>
      <c r="H14" s="18" t="s">
        <v>236</v>
      </c>
      <c r="I14" s="18" t="s">
        <v>10</v>
      </c>
      <c r="J14" s="18" t="s">
        <v>7834</v>
      </c>
      <c r="K14" s="20"/>
      <c r="L14" s="7" t="s">
        <v>236</v>
      </c>
      <c r="M14" s="7">
        <f>COUNTIF(H:H,"เชื่อมต่อเรียบร้อยแล้ว")</f>
        <v>132</v>
      </c>
      <c r="N14" s="11" t="s">
        <v>214</v>
      </c>
    </row>
    <row r="15" spans="1:15" ht="36.75" thickBot="1">
      <c r="A15" s="18" t="s">
        <v>23</v>
      </c>
      <c r="B15" s="18">
        <v>20023342451</v>
      </c>
      <c r="C15" s="18" t="s">
        <v>24</v>
      </c>
      <c r="D15" s="19">
        <v>45365.684027777781</v>
      </c>
      <c r="E15" s="19">
        <v>45414.436805555553</v>
      </c>
      <c r="F15" s="18">
        <v>5</v>
      </c>
      <c r="G15" s="19">
        <v>45481.449305555558</v>
      </c>
      <c r="H15" s="18" t="s">
        <v>236</v>
      </c>
      <c r="I15" s="18" t="s">
        <v>10</v>
      </c>
      <c r="J15" s="18" t="s">
        <v>12</v>
      </c>
      <c r="K15" s="20"/>
    </row>
    <row r="16" spans="1:15" ht="36.75" thickBot="1">
      <c r="A16" s="18" t="s">
        <v>275</v>
      </c>
      <c r="B16" s="18">
        <v>20023593873</v>
      </c>
      <c r="C16" s="18" t="s">
        <v>276</v>
      </c>
      <c r="D16" s="19">
        <v>45414.498611111114</v>
      </c>
      <c r="E16" s="18" t="s">
        <v>10</v>
      </c>
      <c r="F16" s="18">
        <v>2</v>
      </c>
      <c r="G16" s="19">
        <v>45471.495833333334</v>
      </c>
      <c r="H16" s="18" t="s">
        <v>236</v>
      </c>
      <c r="I16" s="18" t="s">
        <v>10</v>
      </c>
      <c r="J16" s="18" t="s">
        <v>12</v>
      </c>
      <c r="K16" s="20"/>
    </row>
    <row r="17" spans="1:20" ht="36.75" thickBot="1">
      <c r="A17" s="18" t="s">
        <v>29</v>
      </c>
      <c r="B17" s="18">
        <v>20002675170</v>
      </c>
      <c r="C17" s="18" t="s">
        <v>30</v>
      </c>
      <c r="D17" s="19">
        <v>45319.859722222223</v>
      </c>
      <c r="E17" s="19">
        <v>45418.398611111108</v>
      </c>
      <c r="F17" s="18">
        <v>5</v>
      </c>
      <c r="G17" s="18" t="s">
        <v>10</v>
      </c>
      <c r="H17" s="18" t="s">
        <v>189</v>
      </c>
      <c r="I17" s="18" t="s">
        <v>10</v>
      </c>
      <c r="J17" s="18" t="s">
        <v>12</v>
      </c>
      <c r="K17" s="20"/>
    </row>
    <row r="18" spans="1:20" ht="36.75" thickBot="1">
      <c r="A18" s="18" t="s">
        <v>338</v>
      </c>
      <c r="B18" s="18">
        <v>20024838539</v>
      </c>
      <c r="C18" s="18" t="s">
        <v>339</v>
      </c>
      <c r="D18" s="19">
        <v>45421.513888888891</v>
      </c>
      <c r="E18" s="18" t="s">
        <v>10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12</v>
      </c>
      <c r="K18" s="20"/>
    </row>
    <row r="19" spans="1:20" ht="36.75" thickBot="1">
      <c r="A19" s="18" t="s">
        <v>340</v>
      </c>
      <c r="B19" s="18">
        <v>20021611132</v>
      </c>
      <c r="C19" s="18" t="s">
        <v>341</v>
      </c>
      <c r="D19" s="19">
        <v>45421.984027777777</v>
      </c>
      <c r="E19" s="18" t="s">
        <v>10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12</v>
      </c>
      <c r="K19" s="20"/>
    </row>
    <row r="20" spans="1:20" ht="36.75" thickBot="1">
      <c r="A20" s="18" t="s">
        <v>17</v>
      </c>
      <c r="B20" s="18">
        <v>20021378623</v>
      </c>
      <c r="C20" s="18" t="s">
        <v>18</v>
      </c>
      <c r="D20" s="19">
        <v>45381.488888888889</v>
      </c>
      <c r="E20" s="19">
        <v>45427.474999999999</v>
      </c>
      <c r="F20" s="18">
        <v>10</v>
      </c>
      <c r="G20" s="19">
        <v>45461.588194444441</v>
      </c>
      <c r="H20" s="18" t="s">
        <v>236</v>
      </c>
      <c r="I20" s="18" t="s">
        <v>10</v>
      </c>
      <c r="J20" s="18" t="s">
        <v>12</v>
      </c>
      <c r="K20" s="20"/>
    </row>
    <row r="21" spans="1:20" ht="36.75" thickBot="1">
      <c r="A21" s="18" t="s">
        <v>362</v>
      </c>
      <c r="B21" s="18">
        <v>20023435176</v>
      </c>
      <c r="C21" s="18" t="s">
        <v>363</v>
      </c>
      <c r="D21" s="19">
        <v>45427.640277777777</v>
      </c>
      <c r="E21" s="18" t="s">
        <v>10</v>
      </c>
      <c r="F21" s="18">
        <v>5</v>
      </c>
      <c r="G21" s="18" t="s">
        <v>10</v>
      </c>
      <c r="H21" s="18" t="s">
        <v>178</v>
      </c>
      <c r="I21" s="18" t="s">
        <v>10</v>
      </c>
      <c r="J21" s="18" t="s">
        <v>12</v>
      </c>
      <c r="K21" s="20"/>
    </row>
    <row r="22" spans="1:20" ht="36.75" thickBot="1">
      <c r="A22" s="18" t="s">
        <v>271</v>
      </c>
      <c r="B22" s="18">
        <v>20002943286</v>
      </c>
      <c r="C22" s="18" t="s">
        <v>272</v>
      </c>
      <c r="D22" s="19">
        <v>45391.877083333333</v>
      </c>
      <c r="E22" s="19">
        <v>45428.056250000001</v>
      </c>
      <c r="F22" s="18">
        <v>10</v>
      </c>
      <c r="G22" s="19">
        <v>45469.606944444444</v>
      </c>
      <c r="H22" s="18" t="s">
        <v>236</v>
      </c>
      <c r="I22" s="18" t="s">
        <v>10</v>
      </c>
      <c r="J22" s="18" t="s">
        <v>12</v>
      </c>
      <c r="K22" s="20"/>
    </row>
    <row r="23" spans="1:20" ht="36.75" thickBot="1">
      <c r="A23" s="18" t="s">
        <v>7837</v>
      </c>
      <c r="B23" s="18">
        <v>20017742076</v>
      </c>
      <c r="C23" s="18" t="s">
        <v>7838</v>
      </c>
      <c r="D23" s="19">
        <v>45429.579861111109</v>
      </c>
      <c r="E23" s="18" t="s">
        <v>10</v>
      </c>
      <c r="F23" s="18">
        <v>6</v>
      </c>
      <c r="G23" s="19">
        <v>45842.449305555558</v>
      </c>
      <c r="H23" s="18" t="s">
        <v>236</v>
      </c>
      <c r="I23" s="18" t="s">
        <v>10</v>
      </c>
      <c r="J23" s="18" t="s">
        <v>7834</v>
      </c>
      <c r="K23" s="20"/>
    </row>
    <row r="24" spans="1:20" ht="36.75" thickBot="1">
      <c r="A24" s="18" t="s">
        <v>364</v>
      </c>
      <c r="B24" s="18">
        <v>20002764424</v>
      </c>
      <c r="C24" s="18" t="s">
        <v>365</v>
      </c>
      <c r="D24" s="19">
        <v>45433.652083333334</v>
      </c>
      <c r="E24" s="18" t="s">
        <v>10</v>
      </c>
      <c r="F24" s="18">
        <v>5</v>
      </c>
      <c r="G24" s="19">
        <v>45483.561805555553</v>
      </c>
      <c r="H24" s="18" t="s">
        <v>236</v>
      </c>
      <c r="I24" s="18" t="s">
        <v>10</v>
      </c>
      <c r="J24" s="18" t="s">
        <v>12</v>
      </c>
      <c r="K24" s="20"/>
    </row>
    <row r="25" spans="1:20" ht="36.75" thickBot="1">
      <c r="A25" s="18" t="s">
        <v>366</v>
      </c>
      <c r="B25" s="18">
        <v>20023039250</v>
      </c>
      <c r="C25" s="18" t="s">
        <v>367</v>
      </c>
      <c r="D25" s="19">
        <v>45433.922222222223</v>
      </c>
      <c r="E25" s="18" t="s">
        <v>10</v>
      </c>
      <c r="F25" s="18">
        <v>5</v>
      </c>
      <c r="G25" s="18" t="s">
        <v>10</v>
      </c>
      <c r="H25" s="18" t="s">
        <v>178</v>
      </c>
      <c r="I25" s="18" t="s">
        <v>10</v>
      </c>
      <c r="J25" s="18" t="s">
        <v>12</v>
      </c>
      <c r="K25" s="20"/>
      <c r="L25" s="15"/>
      <c r="M25" s="16"/>
      <c r="N25" s="15"/>
      <c r="O25" s="15"/>
      <c r="P25" s="15"/>
      <c r="Q25" s="15"/>
      <c r="R25" s="15"/>
      <c r="S25" s="15"/>
      <c r="T25" s="15"/>
    </row>
    <row r="26" spans="1:20" ht="36.75" thickBot="1">
      <c r="A26" s="18" t="s">
        <v>342</v>
      </c>
      <c r="B26" s="18">
        <v>20027094943</v>
      </c>
      <c r="C26" s="18" t="s">
        <v>343</v>
      </c>
      <c r="D26" s="19">
        <v>45423.65347222222</v>
      </c>
      <c r="E26" s="19">
        <v>45441.472222222219</v>
      </c>
      <c r="F26" s="18">
        <v>10</v>
      </c>
      <c r="G26" s="19">
        <v>45464.633333333331</v>
      </c>
      <c r="H26" s="18" t="s">
        <v>236</v>
      </c>
      <c r="I26" s="18" t="s">
        <v>10</v>
      </c>
      <c r="J26" s="18" t="s">
        <v>12</v>
      </c>
      <c r="K26" s="20"/>
      <c r="L26" s="3"/>
      <c r="M26" s="3"/>
      <c r="N26" s="4"/>
      <c r="O26" s="2"/>
      <c r="P26" s="3"/>
      <c r="Q26" s="2"/>
      <c r="R26" s="5"/>
      <c r="S26" s="5"/>
      <c r="T26" s="1"/>
    </row>
    <row r="27" spans="1:20" ht="36.75" thickBot="1">
      <c r="A27" s="18" t="s">
        <v>438</v>
      </c>
      <c r="B27" s="18">
        <v>20002707372</v>
      </c>
      <c r="C27" s="18" t="s">
        <v>439</v>
      </c>
      <c r="D27" s="19">
        <v>45442.493750000001</v>
      </c>
      <c r="E27" s="18" t="s">
        <v>10</v>
      </c>
      <c r="F27" s="18">
        <v>3</v>
      </c>
      <c r="G27" s="18" t="s">
        <v>10</v>
      </c>
      <c r="H27" s="18" t="s">
        <v>178</v>
      </c>
      <c r="I27" s="18" t="s">
        <v>10</v>
      </c>
      <c r="J27" s="18" t="s">
        <v>12</v>
      </c>
      <c r="K27" s="20"/>
    </row>
    <row r="28" spans="1:20" ht="36.75" thickBot="1">
      <c r="A28" s="18" t="s">
        <v>369</v>
      </c>
      <c r="B28" s="18">
        <v>20026472842</v>
      </c>
      <c r="C28" s="18" t="s">
        <v>216</v>
      </c>
      <c r="D28" s="19">
        <v>45440.415277777778</v>
      </c>
      <c r="E28" s="19">
        <v>45442.606249999997</v>
      </c>
      <c r="F28" s="18">
        <v>16.835999999999999</v>
      </c>
      <c r="G28" s="19">
        <v>45476.652777777781</v>
      </c>
      <c r="H28" s="18" t="s">
        <v>236</v>
      </c>
      <c r="I28" s="18" t="s">
        <v>10</v>
      </c>
      <c r="J28" s="18" t="s">
        <v>12</v>
      </c>
      <c r="K28" s="20"/>
    </row>
    <row r="29" spans="1:20" ht="36.75" thickBot="1">
      <c r="A29" s="18" t="s">
        <v>440</v>
      </c>
      <c r="B29" s="18">
        <v>20027163223</v>
      </c>
      <c r="C29" s="18" t="s">
        <v>9</v>
      </c>
      <c r="D29" s="19">
        <v>45443.582638888889</v>
      </c>
      <c r="E29" s="18" t="s">
        <v>10</v>
      </c>
      <c r="F29" s="18">
        <v>3</v>
      </c>
      <c r="G29" s="19">
        <v>45463.413888888892</v>
      </c>
      <c r="H29" s="18" t="s">
        <v>236</v>
      </c>
      <c r="I29" s="18" t="s">
        <v>10</v>
      </c>
      <c r="J29" s="18" t="s">
        <v>12</v>
      </c>
      <c r="K29" s="20"/>
    </row>
    <row r="30" spans="1:20" ht="36.75" thickBot="1">
      <c r="A30" s="18" t="s">
        <v>368</v>
      </c>
      <c r="B30" s="18">
        <v>20002853791</v>
      </c>
      <c r="C30" s="18" t="s">
        <v>26</v>
      </c>
      <c r="D30" s="19">
        <v>45435.553472222222</v>
      </c>
      <c r="E30" s="19">
        <v>45447.354861111111</v>
      </c>
      <c r="F30" s="18">
        <v>10</v>
      </c>
      <c r="G30" s="19">
        <v>45464.609027777777</v>
      </c>
      <c r="H30" s="18" t="s">
        <v>236</v>
      </c>
      <c r="I30" s="18" t="s">
        <v>10</v>
      </c>
      <c r="J30" s="18" t="s">
        <v>12</v>
      </c>
      <c r="K30" s="20"/>
    </row>
    <row r="31" spans="1:20" ht="36.75" thickBot="1">
      <c r="A31" s="18" t="s">
        <v>370</v>
      </c>
      <c r="B31" s="18">
        <v>20026980901</v>
      </c>
      <c r="C31" s="18" t="s">
        <v>371</v>
      </c>
      <c r="D31" s="19">
        <v>45440.419444444444</v>
      </c>
      <c r="E31" s="19">
        <v>45447.474999999999</v>
      </c>
      <c r="F31" s="18">
        <v>10</v>
      </c>
      <c r="G31" s="19">
        <v>45462.548611111109</v>
      </c>
      <c r="H31" s="18" t="s">
        <v>236</v>
      </c>
      <c r="I31" s="18" t="s">
        <v>10</v>
      </c>
      <c r="J31" s="18" t="s">
        <v>12</v>
      </c>
      <c r="K31" s="20"/>
    </row>
    <row r="32" spans="1:20" ht="36.75" thickBot="1">
      <c r="A32" s="18" t="s">
        <v>441</v>
      </c>
      <c r="B32" s="18">
        <v>20017561720</v>
      </c>
      <c r="C32" s="18" t="s">
        <v>442</v>
      </c>
      <c r="D32" s="19">
        <v>45448.557638888888</v>
      </c>
      <c r="E32" s="18" t="s">
        <v>10</v>
      </c>
      <c r="F32" s="18">
        <v>4</v>
      </c>
      <c r="G32" s="18" t="s">
        <v>10</v>
      </c>
      <c r="H32" s="18" t="s">
        <v>178</v>
      </c>
      <c r="I32" s="18" t="s">
        <v>10</v>
      </c>
      <c r="J32" s="18" t="s">
        <v>12</v>
      </c>
      <c r="K32" s="20"/>
    </row>
    <row r="33" spans="1:11" ht="36.75" thickBot="1">
      <c r="A33" s="18" t="s">
        <v>7839</v>
      </c>
      <c r="B33" s="18">
        <v>20026070112</v>
      </c>
      <c r="C33" s="18" t="s">
        <v>7840</v>
      </c>
      <c r="D33" s="19">
        <v>45453.71875</v>
      </c>
      <c r="E33" s="18" t="s">
        <v>10</v>
      </c>
      <c r="F33" s="18">
        <v>20</v>
      </c>
      <c r="G33" s="19">
        <v>45783.469444444447</v>
      </c>
      <c r="H33" s="18" t="s">
        <v>236</v>
      </c>
      <c r="I33" s="18" t="s">
        <v>10</v>
      </c>
      <c r="J33" s="18" t="s">
        <v>7834</v>
      </c>
      <c r="K33" s="20"/>
    </row>
    <row r="34" spans="1:11" ht="36.75" thickBot="1">
      <c r="A34" s="18" t="s">
        <v>7841</v>
      </c>
      <c r="B34" s="18">
        <v>20026070112</v>
      </c>
      <c r="C34" s="18" t="s">
        <v>7840</v>
      </c>
      <c r="D34" s="19">
        <v>45453.727083333331</v>
      </c>
      <c r="E34" s="18" t="s">
        <v>10</v>
      </c>
      <c r="F34" s="18">
        <v>20</v>
      </c>
      <c r="G34" s="18" t="s">
        <v>10</v>
      </c>
      <c r="H34" s="18" t="s">
        <v>178</v>
      </c>
      <c r="I34" s="18" t="s">
        <v>10</v>
      </c>
      <c r="J34" s="18" t="s">
        <v>7834</v>
      </c>
      <c r="K34" s="20"/>
    </row>
    <row r="35" spans="1:11" ht="36.75" thickBot="1">
      <c r="A35" s="18" t="s">
        <v>443</v>
      </c>
      <c r="B35" s="18">
        <v>20024842226</v>
      </c>
      <c r="C35" s="18" t="s">
        <v>444</v>
      </c>
      <c r="D35" s="19">
        <v>45456.419444444444</v>
      </c>
      <c r="E35" s="18" t="s">
        <v>10</v>
      </c>
      <c r="F35" s="18">
        <v>20</v>
      </c>
      <c r="G35" s="19">
        <v>45475.634722222225</v>
      </c>
      <c r="H35" s="18" t="s">
        <v>236</v>
      </c>
      <c r="I35" s="18" t="s">
        <v>10</v>
      </c>
      <c r="J35" s="18" t="s">
        <v>12</v>
      </c>
      <c r="K35" s="20"/>
    </row>
    <row r="36" spans="1:11" ht="36.75" thickBot="1">
      <c r="A36" s="18" t="s">
        <v>445</v>
      </c>
      <c r="B36" s="18">
        <v>20019867913</v>
      </c>
      <c r="C36" s="18" t="s">
        <v>446</v>
      </c>
      <c r="D36" s="19">
        <v>45460.406944444447</v>
      </c>
      <c r="E36" s="18" t="s">
        <v>10</v>
      </c>
      <c r="F36" s="18">
        <v>4</v>
      </c>
      <c r="G36" s="18" t="s">
        <v>10</v>
      </c>
      <c r="H36" s="18" t="s">
        <v>178</v>
      </c>
      <c r="I36" s="18" t="s">
        <v>10</v>
      </c>
      <c r="J36" s="18" t="s">
        <v>12</v>
      </c>
      <c r="K36" s="20"/>
    </row>
    <row r="37" spans="1:11" ht="36.75" thickBot="1">
      <c r="A37" s="18" t="s">
        <v>447</v>
      </c>
      <c r="B37" s="18">
        <v>20023435716</v>
      </c>
      <c r="C37" s="18" t="s">
        <v>363</v>
      </c>
      <c r="D37" s="19">
        <v>45460.688888888886</v>
      </c>
      <c r="E37" s="18" t="s">
        <v>10</v>
      </c>
      <c r="F37" s="18">
        <v>5</v>
      </c>
      <c r="G37" s="18" t="s">
        <v>10</v>
      </c>
      <c r="H37" s="18" t="s">
        <v>178</v>
      </c>
      <c r="I37" s="18" t="s">
        <v>10</v>
      </c>
      <c r="J37" s="18" t="s">
        <v>12</v>
      </c>
      <c r="K37" s="20"/>
    </row>
    <row r="38" spans="1:11" ht="36.75" thickBot="1">
      <c r="A38" s="18" t="s">
        <v>448</v>
      </c>
      <c r="B38" s="18">
        <v>20018355913</v>
      </c>
      <c r="C38" s="18" t="s">
        <v>449</v>
      </c>
      <c r="D38" s="19">
        <v>45462.782638888886</v>
      </c>
      <c r="E38" s="19">
        <v>45465.738194444442</v>
      </c>
      <c r="F38" s="18">
        <v>5</v>
      </c>
      <c r="G38" s="19">
        <v>45471.495833333334</v>
      </c>
      <c r="H38" s="18" t="s">
        <v>236</v>
      </c>
      <c r="I38" s="18" t="s">
        <v>10</v>
      </c>
      <c r="J38" s="18" t="s">
        <v>12</v>
      </c>
      <c r="K38" s="20"/>
    </row>
    <row r="39" spans="1:11" ht="36.75" thickBot="1">
      <c r="A39" s="18" t="s">
        <v>452</v>
      </c>
      <c r="B39" s="18">
        <v>20002760034</v>
      </c>
      <c r="C39" s="18" t="s">
        <v>453</v>
      </c>
      <c r="D39" s="19">
        <v>45468.603472222225</v>
      </c>
      <c r="E39" s="18" t="s">
        <v>10</v>
      </c>
      <c r="F39" s="18">
        <v>10</v>
      </c>
      <c r="G39" s="19">
        <v>45474.526388888888</v>
      </c>
      <c r="H39" s="18" t="s">
        <v>236</v>
      </c>
      <c r="I39" s="18" t="s">
        <v>10</v>
      </c>
      <c r="J39" s="18" t="s">
        <v>12</v>
      </c>
      <c r="K39" s="20"/>
    </row>
    <row r="40" spans="1:11" ht="36.75" thickBot="1">
      <c r="A40" s="18" t="s">
        <v>454</v>
      </c>
      <c r="B40" s="18">
        <v>20002957188</v>
      </c>
      <c r="C40" s="18" t="s">
        <v>455</v>
      </c>
      <c r="D40" s="19">
        <v>45468.642361111109</v>
      </c>
      <c r="E40" s="18" t="s">
        <v>10</v>
      </c>
      <c r="F40" s="18">
        <v>15</v>
      </c>
      <c r="G40" s="18" t="s">
        <v>10</v>
      </c>
      <c r="H40" s="18" t="s">
        <v>178</v>
      </c>
      <c r="I40" s="18" t="s">
        <v>10</v>
      </c>
      <c r="J40" s="18" t="s">
        <v>12</v>
      </c>
      <c r="K40" s="20"/>
    </row>
    <row r="41" spans="1:11" ht="36.75" thickBot="1">
      <c r="A41" s="18" t="s">
        <v>456</v>
      </c>
      <c r="B41" s="18">
        <v>20027639490</v>
      </c>
      <c r="C41" s="18" t="s">
        <v>457</v>
      </c>
      <c r="D41" s="19">
        <v>45448.69027777778</v>
      </c>
      <c r="E41" s="19">
        <v>45468.993055555555</v>
      </c>
      <c r="F41" s="18">
        <v>4</v>
      </c>
      <c r="G41" s="18" t="s">
        <v>10</v>
      </c>
      <c r="H41" s="18" t="s">
        <v>189</v>
      </c>
      <c r="I41" s="18" t="s">
        <v>10</v>
      </c>
      <c r="J41" s="18" t="s">
        <v>12</v>
      </c>
      <c r="K41" s="20"/>
    </row>
    <row r="42" spans="1:11" ht="36.75" thickBot="1">
      <c r="A42" s="18" t="s">
        <v>458</v>
      </c>
      <c r="B42" s="18">
        <v>20019597536</v>
      </c>
      <c r="C42" s="18" t="s">
        <v>459</v>
      </c>
      <c r="D42" s="19">
        <v>45470.573611111111</v>
      </c>
      <c r="E42" s="18" t="s">
        <v>10</v>
      </c>
      <c r="F42" s="18">
        <v>5</v>
      </c>
      <c r="G42" s="18" t="s">
        <v>10</v>
      </c>
      <c r="H42" s="18" t="s">
        <v>178</v>
      </c>
      <c r="I42" s="18" t="s">
        <v>10</v>
      </c>
      <c r="J42" s="18" t="s">
        <v>12</v>
      </c>
      <c r="K42" s="20"/>
    </row>
    <row r="43" spans="1:11" ht="36.75" thickBot="1">
      <c r="A43" s="18" t="s">
        <v>460</v>
      </c>
      <c r="B43" s="18">
        <v>20019725700</v>
      </c>
      <c r="C43" s="18" t="s">
        <v>461</v>
      </c>
      <c r="D43" s="19">
        <v>45464.939583333333</v>
      </c>
      <c r="E43" s="19">
        <v>45471.445138888892</v>
      </c>
      <c r="F43" s="18">
        <v>8</v>
      </c>
      <c r="G43" s="18" t="s">
        <v>10</v>
      </c>
      <c r="H43" s="18" t="s">
        <v>178</v>
      </c>
      <c r="I43" s="18" t="s">
        <v>10</v>
      </c>
      <c r="J43" s="18" t="s">
        <v>12</v>
      </c>
      <c r="K43" s="20"/>
    </row>
    <row r="44" spans="1:11" ht="36.75" thickBot="1">
      <c r="A44" s="18" t="s">
        <v>450</v>
      </c>
      <c r="B44" s="18">
        <v>20027687432</v>
      </c>
      <c r="C44" s="18" t="s">
        <v>451</v>
      </c>
      <c r="D44" s="19">
        <v>45468.570138888892</v>
      </c>
      <c r="E44" s="19">
        <v>45475.405555555553</v>
      </c>
      <c r="F44" s="18">
        <v>10</v>
      </c>
      <c r="G44" s="19">
        <v>45499.440972222219</v>
      </c>
      <c r="H44" s="18" t="s">
        <v>236</v>
      </c>
      <c r="I44" s="18" t="s">
        <v>10</v>
      </c>
      <c r="J44" s="18" t="s">
        <v>12</v>
      </c>
      <c r="K44" s="20"/>
    </row>
    <row r="45" spans="1:11" ht="36.75" thickBot="1">
      <c r="A45" s="18" t="s">
        <v>617</v>
      </c>
      <c r="B45" s="18">
        <v>20017924707</v>
      </c>
      <c r="C45" s="18" t="s">
        <v>618</v>
      </c>
      <c r="D45" s="19">
        <v>45475.666666666664</v>
      </c>
      <c r="E45" s="18" t="s">
        <v>10</v>
      </c>
      <c r="F45" s="18">
        <v>3</v>
      </c>
      <c r="G45" s="18" t="s">
        <v>10</v>
      </c>
      <c r="H45" s="18" t="s">
        <v>178</v>
      </c>
      <c r="I45" s="18" t="s">
        <v>10</v>
      </c>
      <c r="J45" s="18" t="s">
        <v>12</v>
      </c>
      <c r="K45" s="20"/>
    </row>
    <row r="46" spans="1:11" ht="36.75" thickBot="1">
      <c r="A46" s="18" t="s">
        <v>462</v>
      </c>
      <c r="B46" s="18">
        <v>20019597536</v>
      </c>
      <c r="C46" s="18" t="s">
        <v>459</v>
      </c>
      <c r="D46" s="19">
        <v>45472.824999999997</v>
      </c>
      <c r="E46" s="19">
        <v>45477.486805555556</v>
      </c>
      <c r="F46" s="18">
        <v>5</v>
      </c>
      <c r="G46" s="19">
        <v>45518.576388888891</v>
      </c>
      <c r="H46" s="18" t="s">
        <v>236</v>
      </c>
      <c r="I46" s="18" t="s">
        <v>10</v>
      </c>
      <c r="J46" s="18" t="s">
        <v>12</v>
      </c>
      <c r="K46" s="20"/>
    </row>
    <row r="47" spans="1:11" ht="36.75" thickBot="1">
      <c r="A47" s="18" t="s">
        <v>619</v>
      </c>
      <c r="B47" s="18">
        <v>20019867913</v>
      </c>
      <c r="C47" s="18" t="s">
        <v>446</v>
      </c>
      <c r="D47" s="19">
        <v>45477.677777777775</v>
      </c>
      <c r="E47" s="18" t="s">
        <v>10</v>
      </c>
      <c r="F47" s="18">
        <v>4</v>
      </c>
      <c r="G47" s="19">
        <v>45503.611805555556</v>
      </c>
      <c r="H47" s="18" t="s">
        <v>236</v>
      </c>
      <c r="I47" s="18" t="s">
        <v>10</v>
      </c>
      <c r="J47" s="18" t="s">
        <v>12</v>
      </c>
      <c r="K47" s="20"/>
    </row>
    <row r="48" spans="1:11" ht="36.75" thickBot="1">
      <c r="A48" s="18" t="s">
        <v>620</v>
      </c>
      <c r="B48" s="18">
        <v>20026213318</v>
      </c>
      <c r="C48" s="18" t="s">
        <v>22</v>
      </c>
      <c r="D48" s="19">
        <v>45482.727083333331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12</v>
      </c>
      <c r="K48" s="20"/>
    </row>
    <row r="49" spans="1:11" ht="36.75" thickBot="1">
      <c r="A49" s="18" t="s">
        <v>621</v>
      </c>
      <c r="B49" s="18">
        <v>20002707372</v>
      </c>
      <c r="C49" s="18" t="s">
        <v>622</v>
      </c>
      <c r="D49" s="19">
        <v>45484.435416666667</v>
      </c>
      <c r="E49" s="18" t="s">
        <v>10</v>
      </c>
      <c r="F49" s="18">
        <v>3</v>
      </c>
      <c r="G49" s="18" t="s">
        <v>10</v>
      </c>
      <c r="H49" s="18" t="s">
        <v>178</v>
      </c>
      <c r="I49" s="18" t="s">
        <v>10</v>
      </c>
      <c r="J49" s="18" t="s">
        <v>12</v>
      </c>
      <c r="K49" s="20"/>
    </row>
    <row r="50" spans="1:11" ht="36.75" thickBot="1">
      <c r="A50" s="18" t="s">
        <v>623</v>
      </c>
      <c r="B50" s="18">
        <v>20020640711</v>
      </c>
      <c r="C50" s="18" t="s">
        <v>624</v>
      </c>
      <c r="D50" s="19">
        <v>45486.602777777778</v>
      </c>
      <c r="E50" s="18" t="s">
        <v>10</v>
      </c>
      <c r="F50" s="18">
        <v>12</v>
      </c>
      <c r="G50" s="18" t="s">
        <v>10</v>
      </c>
      <c r="H50" s="18" t="s">
        <v>178</v>
      </c>
      <c r="I50" s="18" t="s">
        <v>10</v>
      </c>
      <c r="J50" s="18" t="s">
        <v>12</v>
      </c>
      <c r="K50" s="20"/>
    </row>
    <row r="51" spans="1:11" ht="36.75" thickBot="1">
      <c r="A51" s="18" t="s">
        <v>691</v>
      </c>
      <c r="B51" s="18">
        <v>20017561720</v>
      </c>
      <c r="C51" s="18" t="s">
        <v>442</v>
      </c>
      <c r="D51" s="19">
        <v>45492.404861111114</v>
      </c>
      <c r="E51" s="18" t="s">
        <v>10</v>
      </c>
      <c r="F51" s="18">
        <v>4</v>
      </c>
      <c r="G51" s="19">
        <v>45552.620833333334</v>
      </c>
      <c r="H51" s="18" t="s">
        <v>236</v>
      </c>
      <c r="I51" s="18" t="s">
        <v>10</v>
      </c>
      <c r="J51" s="18" t="s">
        <v>12</v>
      </c>
      <c r="K51" s="20"/>
    </row>
    <row r="52" spans="1:11" ht="36.75" thickBot="1">
      <c r="A52" s="18" t="s">
        <v>692</v>
      </c>
      <c r="B52" s="18">
        <v>20021116167</v>
      </c>
      <c r="C52" s="18" t="s">
        <v>693</v>
      </c>
      <c r="D52" s="19">
        <v>45494.002083333333</v>
      </c>
      <c r="E52" s="18" t="s">
        <v>10</v>
      </c>
      <c r="F52" s="18">
        <v>10</v>
      </c>
      <c r="G52" s="19">
        <v>45545.482638888891</v>
      </c>
      <c r="H52" s="18" t="s">
        <v>236</v>
      </c>
      <c r="I52" s="18" t="s">
        <v>10</v>
      </c>
      <c r="J52" s="18" t="s">
        <v>12</v>
      </c>
      <c r="K52" s="20"/>
    </row>
    <row r="53" spans="1:11" ht="36.75" thickBot="1">
      <c r="A53" s="18" t="s">
        <v>696</v>
      </c>
      <c r="B53" s="18">
        <v>20025025237</v>
      </c>
      <c r="C53" s="18" t="s">
        <v>697</v>
      </c>
      <c r="D53" s="19">
        <v>45489.620138888888</v>
      </c>
      <c r="E53" s="19">
        <v>45497.37222222222</v>
      </c>
      <c r="F53" s="18">
        <v>20</v>
      </c>
      <c r="G53" s="19">
        <v>45538.615972222222</v>
      </c>
      <c r="H53" s="18" t="s">
        <v>236</v>
      </c>
      <c r="I53" s="18" t="s">
        <v>10</v>
      </c>
      <c r="J53" s="18" t="s">
        <v>12</v>
      </c>
      <c r="K53" s="20"/>
    </row>
    <row r="54" spans="1:11" ht="36.75" thickBot="1">
      <c r="A54" s="18" t="s">
        <v>698</v>
      </c>
      <c r="B54" s="18">
        <v>20002779460</v>
      </c>
      <c r="C54" s="18" t="s">
        <v>699</v>
      </c>
      <c r="D54" s="19">
        <v>45500.706944444442</v>
      </c>
      <c r="E54" s="18" t="s">
        <v>10</v>
      </c>
      <c r="F54" s="18">
        <v>5</v>
      </c>
      <c r="G54" s="18" t="s">
        <v>10</v>
      </c>
      <c r="H54" s="18" t="s">
        <v>178</v>
      </c>
      <c r="I54" s="18" t="s">
        <v>10</v>
      </c>
      <c r="J54" s="18" t="s">
        <v>12</v>
      </c>
      <c r="K54" s="20"/>
    </row>
    <row r="55" spans="1:11" ht="36.75" thickBot="1">
      <c r="A55" s="18" t="s">
        <v>700</v>
      </c>
      <c r="B55" s="18">
        <v>20027151571</v>
      </c>
      <c r="C55" s="18" t="s">
        <v>701</v>
      </c>
      <c r="D55" s="19">
        <v>45488.682638888888</v>
      </c>
      <c r="E55" s="19">
        <v>45503.570138888892</v>
      </c>
      <c r="F55" s="18">
        <v>10</v>
      </c>
      <c r="G55" s="19">
        <v>45546.51666666667</v>
      </c>
      <c r="H55" s="18" t="s">
        <v>236</v>
      </c>
      <c r="I55" s="18" t="s">
        <v>10</v>
      </c>
      <c r="J55" s="18" t="s">
        <v>12</v>
      </c>
      <c r="K55" s="20"/>
    </row>
    <row r="56" spans="1:11" ht="36.75" thickBot="1">
      <c r="A56" s="18" t="s">
        <v>702</v>
      </c>
      <c r="B56" s="18">
        <v>20002823172</v>
      </c>
      <c r="C56" s="18" t="s">
        <v>703</v>
      </c>
      <c r="D56" s="19">
        <v>45498.72152777778</v>
      </c>
      <c r="E56" s="19">
        <v>45503.652777777781</v>
      </c>
      <c r="F56" s="18">
        <v>10</v>
      </c>
      <c r="G56" s="19">
        <v>45567.431250000001</v>
      </c>
      <c r="H56" s="18" t="s">
        <v>236</v>
      </c>
      <c r="I56" s="18" t="s">
        <v>10</v>
      </c>
      <c r="J56" s="18" t="s">
        <v>12</v>
      </c>
      <c r="K56" s="20"/>
    </row>
    <row r="57" spans="1:11" ht="36.75" thickBot="1">
      <c r="A57" s="18" t="s">
        <v>704</v>
      </c>
      <c r="B57" s="18">
        <v>20002779160</v>
      </c>
      <c r="C57" s="18" t="s">
        <v>705</v>
      </c>
      <c r="D57" s="19">
        <v>45503.60833333333</v>
      </c>
      <c r="E57" s="19">
        <v>45504.398611111108</v>
      </c>
      <c r="F57" s="18">
        <v>5</v>
      </c>
      <c r="G57" s="19">
        <v>45567.50277777778</v>
      </c>
      <c r="H57" s="18" t="s">
        <v>236</v>
      </c>
      <c r="I57" s="18" t="s">
        <v>10</v>
      </c>
      <c r="J57" s="18" t="s">
        <v>12</v>
      </c>
      <c r="K57" s="20"/>
    </row>
    <row r="58" spans="1:11" ht="36.75" thickBot="1">
      <c r="A58" s="18" t="s">
        <v>7842</v>
      </c>
      <c r="B58" s="18">
        <v>20024409413</v>
      </c>
      <c r="C58" s="18" t="s">
        <v>7843</v>
      </c>
      <c r="D58" s="19">
        <v>45505.681250000001</v>
      </c>
      <c r="E58" s="18" t="s">
        <v>10</v>
      </c>
      <c r="F58" s="18">
        <v>6</v>
      </c>
      <c r="G58" s="19">
        <v>45842.449305555558</v>
      </c>
      <c r="H58" s="18" t="s">
        <v>236</v>
      </c>
      <c r="I58" s="18" t="s">
        <v>10</v>
      </c>
      <c r="J58" s="18" t="s">
        <v>7834</v>
      </c>
      <c r="K58" s="20"/>
    </row>
    <row r="59" spans="1:11" ht="36.75" thickBot="1">
      <c r="A59" s="18" t="s">
        <v>814</v>
      </c>
      <c r="B59" s="18">
        <v>20023727267</v>
      </c>
      <c r="C59" s="18" t="s">
        <v>815</v>
      </c>
      <c r="D59" s="19">
        <v>45509.459027777775</v>
      </c>
      <c r="E59" s="18" t="s">
        <v>10</v>
      </c>
      <c r="F59" s="18">
        <v>6</v>
      </c>
      <c r="G59" s="18" t="s">
        <v>10</v>
      </c>
      <c r="H59" s="18" t="s">
        <v>178</v>
      </c>
      <c r="I59" s="18" t="s">
        <v>10</v>
      </c>
      <c r="J59" s="18" t="s">
        <v>12</v>
      </c>
      <c r="K59" s="20"/>
    </row>
    <row r="60" spans="1:11" ht="36.75" thickBot="1">
      <c r="A60" s="18" t="s">
        <v>694</v>
      </c>
      <c r="B60" s="18">
        <v>20020640711</v>
      </c>
      <c r="C60" s="18" t="s">
        <v>695</v>
      </c>
      <c r="D60" s="19">
        <v>45495.396527777775</v>
      </c>
      <c r="E60" s="19">
        <v>45511.585416666669</v>
      </c>
      <c r="F60" s="18">
        <v>12</v>
      </c>
      <c r="G60" s="19">
        <v>45541.390277777777</v>
      </c>
      <c r="H60" s="18" t="s">
        <v>236</v>
      </c>
      <c r="I60" s="18" t="s">
        <v>10</v>
      </c>
      <c r="J60" s="18" t="s">
        <v>12</v>
      </c>
      <c r="K60" s="20"/>
    </row>
    <row r="61" spans="1:11" ht="36.75" thickBot="1">
      <c r="A61" s="18" t="s">
        <v>816</v>
      </c>
      <c r="B61" s="18">
        <v>20020922200</v>
      </c>
      <c r="C61" s="18" t="s">
        <v>817</v>
      </c>
      <c r="D61" s="19">
        <v>45513.738888888889</v>
      </c>
      <c r="E61" s="18" t="s">
        <v>10</v>
      </c>
      <c r="F61" s="18">
        <v>20</v>
      </c>
      <c r="G61" s="19">
        <v>45539.611111111109</v>
      </c>
      <c r="H61" s="18" t="s">
        <v>236</v>
      </c>
      <c r="I61" s="18" t="s">
        <v>10</v>
      </c>
      <c r="J61" s="18" t="s">
        <v>12</v>
      </c>
      <c r="K61" s="20"/>
    </row>
    <row r="62" spans="1:11" ht="36.75" thickBot="1">
      <c r="A62" s="18" t="s">
        <v>818</v>
      </c>
      <c r="B62" s="18">
        <v>20002940206</v>
      </c>
      <c r="C62" s="18" t="s">
        <v>819</v>
      </c>
      <c r="D62" s="19">
        <v>45518.768750000003</v>
      </c>
      <c r="E62" s="18" t="s">
        <v>10</v>
      </c>
      <c r="F62" s="18">
        <v>10</v>
      </c>
      <c r="G62" s="18" t="s">
        <v>10</v>
      </c>
      <c r="H62" s="18" t="s">
        <v>178</v>
      </c>
      <c r="I62" s="18" t="s">
        <v>10</v>
      </c>
      <c r="J62" s="18" t="s">
        <v>12</v>
      </c>
      <c r="K62" s="20"/>
    </row>
    <row r="63" spans="1:11" ht="36.75" thickBot="1">
      <c r="A63" s="18" t="s">
        <v>820</v>
      </c>
      <c r="B63" s="18">
        <v>20002707372</v>
      </c>
      <c r="C63" s="18" t="s">
        <v>622</v>
      </c>
      <c r="D63" s="19">
        <v>45520.450694444444</v>
      </c>
      <c r="E63" s="18" t="s">
        <v>10</v>
      </c>
      <c r="F63" s="18">
        <v>3</v>
      </c>
      <c r="G63" s="19">
        <v>45544.577777777777</v>
      </c>
      <c r="H63" s="18" t="s">
        <v>236</v>
      </c>
      <c r="I63" s="18" t="s">
        <v>10</v>
      </c>
      <c r="J63" s="18" t="s">
        <v>12</v>
      </c>
      <c r="K63" s="20"/>
    </row>
    <row r="64" spans="1:11" ht="36.75" thickBot="1">
      <c r="A64" s="18" t="s">
        <v>821</v>
      </c>
      <c r="B64" s="18">
        <v>20010768380</v>
      </c>
      <c r="C64" s="18" t="s">
        <v>703</v>
      </c>
      <c r="D64" s="19">
        <v>45510.629166666666</v>
      </c>
      <c r="E64" s="19">
        <v>45523.458333333336</v>
      </c>
      <c r="F64" s="18">
        <v>10</v>
      </c>
      <c r="G64" s="19">
        <v>45562.53402777778</v>
      </c>
      <c r="H64" s="18" t="s">
        <v>236</v>
      </c>
      <c r="I64" s="18" t="s">
        <v>10</v>
      </c>
      <c r="J64" s="18" t="s">
        <v>12</v>
      </c>
      <c r="K64" s="20"/>
    </row>
    <row r="65" spans="1:11" ht="36.75" thickBot="1">
      <c r="A65" s="18" t="s">
        <v>822</v>
      </c>
      <c r="B65" s="18">
        <v>20002674658</v>
      </c>
      <c r="C65" s="18" t="s">
        <v>823</v>
      </c>
      <c r="D65" s="19">
        <v>45512.974999999999</v>
      </c>
      <c r="E65" s="19">
        <v>45525.532638888886</v>
      </c>
      <c r="F65" s="18">
        <v>15</v>
      </c>
      <c r="G65" s="19">
        <v>45546.631249999999</v>
      </c>
      <c r="H65" s="18" t="s">
        <v>236</v>
      </c>
      <c r="I65" s="18" t="s">
        <v>10</v>
      </c>
      <c r="J65" s="18" t="s">
        <v>12</v>
      </c>
      <c r="K65" s="20"/>
    </row>
    <row r="66" spans="1:11" ht="54.75" thickBot="1">
      <c r="A66" s="18" t="s">
        <v>824</v>
      </c>
      <c r="B66" s="18">
        <v>20020012881</v>
      </c>
      <c r="C66" s="18" t="s">
        <v>825</v>
      </c>
      <c r="D66" s="19">
        <v>45530.476388888892</v>
      </c>
      <c r="E66" s="18" t="s">
        <v>10</v>
      </c>
      <c r="F66" s="18">
        <v>6</v>
      </c>
      <c r="G66" s="19">
        <v>45544.446527777778</v>
      </c>
      <c r="H66" s="18" t="s">
        <v>236</v>
      </c>
      <c r="I66" s="18" t="s">
        <v>10</v>
      </c>
      <c r="J66" s="18" t="s">
        <v>12</v>
      </c>
      <c r="K66" s="20"/>
    </row>
    <row r="67" spans="1:11" ht="36.75" thickBot="1">
      <c r="A67" s="18" t="s">
        <v>826</v>
      </c>
      <c r="B67" s="18">
        <v>20002957188</v>
      </c>
      <c r="C67" s="18" t="s">
        <v>455</v>
      </c>
      <c r="D67" s="19">
        <v>45507.594444444447</v>
      </c>
      <c r="E67" s="19">
        <v>45532.559027777781</v>
      </c>
      <c r="F67" s="18">
        <v>15</v>
      </c>
      <c r="G67" s="18" t="s">
        <v>10</v>
      </c>
      <c r="H67" s="18" t="s">
        <v>178</v>
      </c>
      <c r="I67" s="18" t="s">
        <v>10</v>
      </c>
      <c r="J67" s="18" t="s">
        <v>12</v>
      </c>
      <c r="K67" s="20"/>
    </row>
    <row r="68" spans="1:11" ht="36.75" thickBot="1">
      <c r="A68" s="18" t="s">
        <v>827</v>
      </c>
      <c r="B68" s="18">
        <v>20023435716</v>
      </c>
      <c r="C68" s="18" t="s">
        <v>363</v>
      </c>
      <c r="D68" s="19">
        <v>45534.397222222222</v>
      </c>
      <c r="E68" s="19">
        <v>45537.572916666664</v>
      </c>
      <c r="F68" s="18">
        <v>5</v>
      </c>
      <c r="G68" s="19">
        <v>45545.443055555559</v>
      </c>
      <c r="H68" s="18" t="s">
        <v>236</v>
      </c>
      <c r="I68" s="18" t="s">
        <v>10</v>
      </c>
      <c r="J68" s="18" t="s">
        <v>12</v>
      </c>
      <c r="K68" s="20"/>
    </row>
    <row r="69" spans="1:11" ht="36.75" thickBot="1">
      <c r="A69" s="18" t="s">
        <v>1022</v>
      </c>
      <c r="B69" s="18">
        <v>20002662439</v>
      </c>
      <c r="C69" s="18" t="s">
        <v>1023</v>
      </c>
      <c r="D69" s="19">
        <v>45537.614583333336</v>
      </c>
      <c r="E69" s="18" t="s">
        <v>10</v>
      </c>
      <c r="F69" s="18">
        <v>3</v>
      </c>
      <c r="G69" s="18" t="s">
        <v>10</v>
      </c>
      <c r="H69" s="18" t="s">
        <v>178</v>
      </c>
      <c r="I69" s="18" t="s">
        <v>10</v>
      </c>
      <c r="J69" s="18" t="s">
        <v>12</v>
      </c>
      <c r="K69" s="20"/>
    </row>
    <row r="70" spans="1:11" ht="36.75" thickBot="1">
      <c r="A70" s="18" t="s">
        <v>1024</v>
      </c>
      <c r="B70" s="18">
        <v>20003615649</v>
      </c>
      <c r="C70" s="18" t="s">
        <v>1025</v>
      </c>
      <c r="D70" s="19">
        <v>45535.563194444447</v>
      </c>
      <c r="E70" s="19">
        <v>45539.495833333334</v>
      </c>
      <c r="F70" s="18">
        <v>3.6</v>
      </c>
      <c r="G70" s="19">
        <v>45545.331250000003</v>
      </c>
      <c r="H70" s="18" t="s">
        <v>236</v>
      </c>
      <c r="I70" s="18" t="s">
        <v>10</v>
      </c>
      <c r="J70" s="18" t="s">
        <v>12</v>
      </c>
      <c r="K70" s="20"/>
    </row>
    <row r="71" spans="1:11" ht="36.75" thickBot="1">
      <c r="A71" s="18" t="s">
        <v>1026</v>
      </c>
      <c r="B71" s="18">
        <v>20002812029</v>
      </c>
      <c r="C71" s="18" t="s">
        <v>1027</v>
      </c>
      <c r="D71" s="19">
        <v>45540.67291666667</v>
      </c>
      <c r="E71" s="19">
        <v>45541.49722222222</v>
      </c>
      <c r="F71" s="18">
        <v>10</v>
      </c>
      <c r="G71" s="19">
        <v>45559.554861111108</v>
      </c>
      <c r="H71" s="18" t="s">
        <v>236</v>
      </c>
      <c r="I71" s="18" t="s">
        <v>10</v>
      </c>
      <c r="J71" s="18" t="s">
        <v>12</v>
      </c>
      <c r="K71" s="20"/>
    </row>
    <row r="72" spans="1:11" ht="36.75" thickBot="1">
      <c r="A72" s="18" t="s">
        <v>1028</v>
      </c>
      <c r="B72" s="18">
        <v>20017588116</v>
      </c>
      <c r="C72" s="18" t="s">
        <v>1029</v>
      </c>
      <c r="D72" s="19">
        <v>45542.48541666667</v>
      </c>
      <c r="E72" s="18" t="s">
        <v>10</v>
      </c>
      <c r="F72" s="18">
        <v>5</v>
      </c>
      <c r="G72" s="18" t="s">
        <v>10</v>
      </c>
      <c r="H72" s="18" t="s">
        <v>189</v>
      </c>
      <c r="I72" s="18" t="s">
        <v>10</v>
      </c>
      <c r="J72" s="18" t="s">
        <v>12</v>
      </c>
      <c r="K72" s="20"/>
    </row>
    <row r="73" spans="1:11" ht="36.75" thickBot="1">
      <c r="A73" s="18" t="s">
        <v>7844</v>
      </c>
      <c r="B73" s="18">
        <v>20027252869</v>
      </c>
      <c r="C73" s="18" t="s">
        <v>7845</v>
      </c>
      <c r="D73" s="19">
        <v>45549.695833333331</v>
      </c>
      <c r="E73" s="18" t="s">
        <v>10</v>
      </c>
      <c r="F73" s="18">
        <v>5</v>
      </c>
      <c r="G73" s="18" t="s">
        <v>10</v>
      </c>
      <c r="H73" s="18" t="s">
        <v>178</v>
      </c>
      <c r="I73" s="18" t="s">
        <v>10</v>
      </c>
      <c r="J73" s="18" t="s">
        <v>7834</v>
      </c>
      <c r="K73" s="20"/>
    </row>
    <row r="74" spans="1:11" ht="36.75" thickBot="1">
      <c r="A74" s="18" t="s">
        <v>1165</v>
      </c>
      <c r="B74" s="18">
        <v>20027943245</v>
      </c>
      <c r="C74" s="18" t="s">
        <v>1166</v>
      </c>
      <c r="D74" s="19">
        <v>45554.572916666664</v>
      </c>
      <c r="E74" s="18" t="s">
        <v>10</v>
      </c>
      <c r="F74" s="18">
        <v>5</v>
      </c>
      <c r="G74" s="18" t="s">
        <v>10</v>
      </c>
      <c r="H74" s="18" t="s">
        <v>178</v>
      </c>
      <c r="I74" s="18" t="s">
        <v>10</v>
      </c>
      <c r="J74" s="18" t="s">
        <v>12</v>
      </c>
      <c r="K74" s="20"/>
    </row>
    <row r="75" spans="1:11" ht="36.75" thickBot="1">
      <c r="A75" s="18" t="s">
        <v>1167</v>
      </c>
      <c r="B75" s="18">
        <v>20002737231</v>
      </c>
      <c r="C75" s="18" t="s">
        <v>1168</v>
      </c>
      <c r="D75" s="19">
        <v>45556.436805555553</v>
      </c>
      <c r="E75" s="18" t="s">
        <v>10</v>
      </c>
      <c r="F75" s="18">
        <v>2.375</v>
      </c>
      <c r="G75" s="19">
        <v>45576.481944444444</v>
      </c>
      <c r="H75" s="18" t="s">
        <v>236</v>
      </c>
      <c r="I75" s="18" t="s">
        <v>10</v>
      </c>
      <c r="J75" s="18" t="s">
        <v>12</v>
      </c>
      <c r="K75" s="20"/>
    </row>
    <row r="76" spans="1:11" ht="36.75" thickBot="1">
      <c r="A76" s="18" t="s">
        <v>1031</v>
      </c>
      <c r="B76" s="18">
        <v>20002957188</v>
      </c>
      <c r="C76" s="18" t="s">
        <v>455</v>
      </c>
      <c r="D76" s="19">
        <v>45551.420138888891</v>
      </c>
      <c r="E76" s="19">
        <v>45559.62222222222</v>
      </c>
      <c r="F76" s="18">
        <v>15</v>
      </c>
      <c r="G76" s="19">
        <v>45693.617361111108</v>
      </c>
      <c r="H76" s="18" t="s">
        <v>236</v>
      </c>
      <c r="I76" s="18" t="s">
        <v>10</v>
      </c>
      <c r="J76" s="18" t="s">
        <v>12</v>
      </c>
      <c r="K76" s="20"/>
    </row>
    <row r="77" spans="1:11" ht="36.75" thickBot="1">
      <c r="A77" s="18" t="s">
        <v>1171</v>
      </c>
      <c r="B77" s="18">
        <v>20020938237</v>
      </c>
      <c r="C77" s="18" t="s">
        <v>1125</v>
      </c>
      <c r="D77" s="19">
        <v>45560.49722222222</v>
      </c>
      <c r="E77" s="18" t="s">
        <v>10</v>
      </c>
      <c r="F77" s="18">
        <v>10</v>
      </c>
      <c r="G77" s="19">
        <v>45604.597916666666</v>
      </c>
      <c r="H77" s="18" t="s">
        <v>236</v>
      </c>
      <c r="I77" s="18" t="s">
        <v>10</v>
      </c>
      <c r="J77" s="18" t="s">
        <v>12</v>
      </c>
      <c r="K77" s="20"/>
    </row>
    <row r="78" spans="1:11" ht="36.75" thickBot="1">
      <c r="A78" s="18" t="s">
        <v>1032</v>
      </c>
      <c r="B78" s="18">
        <v>20016509584</v>
      </c>
      <c r="C78" s="18" t="s">
        <v>1033</v>
      </c>
      <c r="D78" s="19">
        <v>45551.490277777775</v>
      </c>
      <c r="E78" s="19">
        <v>45560.524305555555</v>
      </c>
      <c r="F78" s="18">
        <v>6</v>
      </c>
      <c r="G78" s="19">
        <v>45610.497916666667</v>
      </c>
      <c r="H78" s="18" t="s">
        <v>236</v>
      </c>
      <c r="I78" s="18" t="s">
        <v>10</v>
      </c>
      <c r="J78" s="18" t="s">
        <v>12</v>
      </c>
      <c r="K78" s="20"/>
    </row>
    <row r="79" spans="1:11" ht="36.75" thickBot="1">
      <c r="A79" s="18" t="s">
        <v>1173</v>
      </c>
      <c r="B79" s="18">
        <v>20027870515</v>
      </c>
      <c r="C79" s="18" t="s">
        <v>1174</v>
      </c>
      <c r="D79" s="19">
        <v>45562.621527777781</v>
      </c>
      <c r="E79" s="18" t="s">
        <v>10</v>
      </c>
      <c r="F79" s="18">
        <v>20</v>
      </c>
      <c r="G79" s="19">
        <v>45569.509027777778</v>
      </c>
      <c r="H79" s="18" t="s">
        <v>236</v>
      </c>
      <c r="I79" s="18" t="s">
        <v>10</v>
      </c>
      <c r="J79" s="18" t="s">
        <v>12</v>
      </c>
      <c r="K79" s="20"/>
    </row>
    <row r="80" spans="1:11" ht="36.75" thickBot="1">
      <c r="A80" s="18" t="s">
        <v>7846</v>
      </c>
      <c r="B80" s="18">
        <v>20002847539</v>
      </c>
      <c r="C80" s="18" t="s">
        <v>7847</v>
      </c>
      <c r="D80" s="19">
        <v>45566.601388888892</v>
      </c>
      <c r="E80" s="18" t="s">
        <v>10</v>
      </c>
      <c r="F80" s="18">
        <v>10</v>
      </c>
      <c r="G80" s="19">
        <v>45639.447916666664</v>
      </c>
      <c r="H80" s="18" t="s">
        <v>236</v>
      </c>
      <c r="I80" s="18" t="s">
        <v>10</v>
      </c>
      <c r="J80" s="18" t="s">
        <v>7834</v>
      </c>
      <c r="K80" s="20"/>
    </row>
    <row r="81" spans="1:11" ht="36.75" thickBot="1">
      <c r="A81" s="18" t="s">
        <v>1030</v>
      </c>
      <c r="B81" s="18">
        <v>20027703825</v>
      </c>
      <c r="C81" s="18" t="s">
        <v>1023</v>
      </c>
      <c r="D81" s="19">
        <v>45543.580555555556</v>
      </c>
      <c r="E81" s="19">
        <v>45567.418749999997</v>
      </c>
      <c r="F81" s="18">
        <v>3</v>
      </c>
      <c r="G81" s="18" t="s">
        <v>10</v>
      </c>
      <c r="H81" s="18" t="s">
        <v>189</v>
      </c>
      <c r="I81" s="18" t="s">
        <v>10</v>
      </c>
      <c r="J81" s="18" t="s">
        <v>12</v>
      </c>
      <c r="K81" s="20"/>
    </row>
    <row r="82" spans="1:11" ht="36.75" thickBot="1">
      <c r="A82" s="18" t="s">
        <v>1274</v>
      </c>
      <c r="B82" s="18">
        <v>20002674246</v>
      </c>
      <c r="C82" s="18" t="s">
        <v>1275</v>
      </c>
      <c r="D82" s="19">
        <v>45568.428472222222</v>
      </c>
      <c r="E82" s="18" t="s">
        <v>10</v>
      </c>
      <c r="F82" s="18">
        <v>5</v>
      </c>
      <c r="G82" s="19">
        <v>45603.431250000001</v>
      </c>
      <c r="H82" s="18" t="s">
        <v>236</v>
      </c>
      <c r="I82" s="18" t="s">
        <v>10</v>
      </c>
      <c r="J82" s="18" t="s">
        <v>12</v>
      </c>
      <c r="K82" s="20"/>
    </row>
    <row r="83" spans="1:11" ht="36.75" thickBot="1">
      <c r="A83" s="18" t="s">
        <v>1276</v>
      </c>
      <c r="B83" s="18">
        <v>20002953227</v>
      </c>
      <c r="C83" s="18" t="s">
        <v>1277</v>
      </c>
      <c r="D83" s="19">
        <v>45566.720833333333</v>
      </c>
      <c r="E83" s="19">
        <v>45569.663194444445</v>
      </c>
      <c r="F83" s="18">
        <v>5</v>
      </c>
      <c r="G83" s="19">
        <v>45603.431250000001</v>
      </c>
      <c r="H83" s="18" t="s">
        <v>236</v>
      </c>
      <c r="I83" s="18" t="s">
        <v>10</v>
      </c>
      <c r="J83" s="18" t="s">
        <v>12</v>
      </c>
      <c r="K83" s="20"/>
    </row>
    <row r="84" spans="1:11" ht="36.75" thickBot="1">
      <c r="A84" s="18" t="s">
        <v>1172</v>
      </c>
      <c r="B84" s="18">
        <v>20027943245</v>
      </c>
      <c r="C84" s="18" t="s">
        <v>1166</v>
      </c>
      <c r="D84" s="19">
        <v>45562.368055555555</v>
      </c>
      <c r="E84" s="19">
        <v>45569.684027777781</v>
      </c>
      <c r="F84" s="18">
        <v>5</v>
      </c>
      <c r="G84" s="18" t="s">
        <v>10</v>
      </c>
      <c r="H84" s="18" t="s">
        <v>178</v>
      </c>
      <c r="I84" s="18" t="s">
        <v>10</v>
      </c>
      <c r="J84" s="18" t="s">
        <v>12</v>
      </c>
      <c r="K84" s="20"/>
    </row>
    <row r="85" spans="1:11" ht="36.75" thickBot="1">
      <c r="A85" s="18" t="s">
        <v>1175</v>
      </c>
      <c r="B85" s="18">
        <v>20027915656</v>
      </c>
      <c r="C85" s="18" t="s">
        <v>1176</v>
      </c>
      <c r="D85" s="19">
        <v>45565.624305555553</v>
      </c>
      <c r="E85" s="19">
        <v>45572.474999999999</v>
      </c>
      <c r="F85" s="18">
        <v>4</v>
      </c>
      <c r="G85" s="18" t="s">
        <v>10</v>
      </c>
      <c r="H85" s="18" t="s">
        <v>189</v>
      </c>
      <c r="I85" s="18" t="s">
        <v>10</v>
      </c>
      <c r="J85" s="18" t="s">
        <v>12</v>
      </c>
      <c r="K85" s="20"/>
    </row>
    <row r="86" spans="1:11" ht="36.75" thickBot="1">
      <c r="A86" s="18" t="s">
        <v>1278</v>
      </c>
      <c r="B86" s="18">
        <v>20017841552</v>
      </c>
      <c r="C86" s="18" t="s">
        <v>1279</v>
      </c>
      <c r="D86" s="19">
        <v>45567.448611111111</v>
      </c>
      <c r="E86" s="19">
        <v>45572.564583333333</v>
      </c>
      <c r="F86" s="18">
        <v>15</v>
      </c>
      <c r="G86" s="19">
        <v>45603.356249999997</v>
      </c>
      <c r="H86" s="18" t="s">
        <v>236</v>
      </c>
      <c r="I86" s="18" t="s">
        <v>10</v>
      </c>
      <c r="J86" s="18" t="s">
        <v>12</v>
      </c>
      <c r="K86" s="20"/>
    </row>
    <row r="87" spans="1:11" ht="36.75" thickBot="1">
      <c r="A87" s="18" t="s">
        <v>1280</v>
      </c>
      <c r="B87" s="18">
        <v>20023727267</v>
      </c>
      <c r="C87" s="18" t="s">
        <v>815</v>
      </c>
      <c r="D87" s="19">
        <v>45572.625</v>
      </c>
      <c r="E87" s="18" t="s">
        <v>10</v>
      </c>
      <c r="F87" s="18">
        <v>6</v>
      </c>
      <c r="G87" s="19">
        <v>45667.543055555558</v>
      </c>
      <c r="H87" s="18" t="s">
        <v>236</v>
      </c>
      <c r="I87" s="18" t="s">
        <v>10</v>
      </c>
      <c r="J87" s="18" t="s">
        <v>12</v>
      </c>
      <c r="K87" s="20"/>
    </row>
    <row r="88" spans="1:11" ht="36.75" thickBot="1">
      <c r="A88" s="18" t="s">
        <v>1281</v>
      </c>
      <c r="B88" s="18">
        <v>20002736095</v>
      </c>
      <c r="C88" s="18" t="s">
        <v>1282</v>
      </c>
      <c r="D88" s="19">
        <v>45573.508333333331</v>
      </c>
      <c r="E88" s="18" t="s">
        <v>10</v>
      </c>
      <c r="F88" s="18">
        <v>5</v>
      </c>
      <c r="G88" s="19">
        <v>45595.456250000003</v>
      </c>
      <c r="H88" s="18" t="s">
        <v>236</v>
      </c>
      <c r="I88" s="18" t="s">
        <v>10</v>
      </c>
      <c r="J88" s="18" t="s">
        <v>12</v>
      </c>
      <c r="K88" s="20"/>
    </row>
    <row r="89" spans="1:11" ht="36.75" thickBot="1">
      <c r="A89" s="18" t="s">
        <v>1169</v>
      </c>
      <c r="B89" s="18">
        <v>20025567531</v>
      </c>
      <c r="C89" s="18" t="s">
        <v>1170</v>
      </c>
      <c r="D89" s="19">
        <v>45558.463888888888</v>
      </c>
      <c r="E89" s="19">
        <v>45582.856944444444</v>
      </c>
      <c r="F89" s="18">
        <v>5</v>
      </c>
      <c r="G89" s="18" t="s">
        <v>10</v>
      </c>
      <c r="H89" s="18" t="s">
        <v>189</v>
      </c>
      <c r="I89" s="18" t="s">
        <v>10</v>
      </c>
      <c r="J89" s="18" t="s">
        <v>12</v>
      </c>
      <c r="K89" s="20"/>
    </row>
    <row r="90" spans="1:11" ht="54.75" thickBot="1">
      <c r="A90" s="18" t="s">
        <v>1387</v>
      </c>
      <c r="B90" s="18">
        <v>20021450826</v>
      </c>
      <c r="C90" s="18" t="s">
        <v>1388</v>
      </c>
      <c r="D90" s="19">
        <v>45590.387499999997</v>
      </c>
      <c r="E90" s="18" t="s">
        <v>10</v>
      </c>
      <c r="F90" s="18">
        <v>20</v>
      </c>
      <c r="G90" s="19">
        <v>45643.494444444441</v>
      </c>
      <c r="H90" s="18" t="s">
        <v>236</v>
      </c>
      <c r="I90" s="18" t="s">
        <v>10</v>
      </c>
      <c r="J90" s="18" t="s">
        <v>12</v>
      </c>
      <c r="K90" s="20"/>
    </row>
    <row r="91" spans="1:11" ht="36.75" thickBot="1">
      <c r="A91" s="18" t="s">
        <v>1391</v>
      </c>
      <c r="B91" s="18">
        <v>20027915260</v>
      </c>
      <c r="C91" s="18" t="s">
        <v>1392</v>
      </c>
      <c r="D91" s="19">
        <v>45590.595833333333</v>
      </c>
      <c r="E91" s="18" t="s">
        <v>10</v>
      </c>
      <c r="F91" s="18">
        <v>20</v>
      </c>
      <c r="G91" s="19">
        <v>45649.402777777781</v>
      </c>
      <c r="H91" s="18" t="s">
        <v>236</v>
      </c>
      <c r="I91" s="18" t="s">
        <v>10</v>
      </c>
      <c r="J91" s="18" t="s">
        <v>12</v>
      </c>
      <c r="K91" s="20"/>
    </row>
    <row r="92" spans="1:11" ht="36.75" thickBot="1">
      <c r="A92" s="18" t="s">
        <v>1393</v>
      </c>
      <c r="B92" s="18">
        <v>20026589154</v>
      </c>
      <c r="C92" s="18" t="s">
        <v>1394</v>
      </c>
      <c r="D92" s="19">
        <v>45593.448611111111</v>
      </c>
      <c r="E92" s="18" t="s">
        <v>10</v>
      </c>
      <c r="F92" s="18">
        <v>10</v>
      </c>
      <c r="G92" s="18" t="s">
        <v>10</v>
      </c>
      <c r="H92" s="18" t="s">
        <v>189</v>
      </c>
      <c r="I92" s="18" t="s">
        <v>10</v>
      </c>
      <c r="J92" s="18" t="s">
        <v>12</v>
      </c>
      <c r="K92" s="20"/>
    </row>
    <row r="93" spans="1:11" ht="36.75" thickBot="1">
      <c r="A93" s="18" t="s">
        <v>1395</v>
      </c>
      <c r="B93" s="18">
        <v>20002755496</v>
      </c>
      <c r="C93" s="18" t="s">
        <v>1396</v>
      </c>
      <c r="D93" s="19">
        <v>45593.932638888888</v>
      </c>
      <c r="E93" s="18" t="s">
        <v>10</v>
      </c>
      <c r="F93" s="18">
        <v>3</v>
      </c>
      <c r="G93" s="18" t="s">
        <v>10</v>
      </c>
      <c r="H93" s="18" t="s">
        <v>178</v>
      </c>
      <c r="I93" s="18" t="s">
        <v>10</v>
      </c>
      <c r="J93" s="18" t="s">
        <v>12</v>
      </c>
      <c r="K93" s="20"/>
    </row>
    <row r="94" spans="1:11" ht="36.75" thickBot="1">
      <c r="A94" s="18" t="s">
        <v>1506</v>
      </c>
      <c r="B94" s="18">
        <v>20002877931</v>
      </c>
      <c r="C94" s="18" t="s">
        <v>1507</v>
      </c>
      <c r="D94" s="19">
        <v>45601.572916666664</v>
      </c>
      <c r="E94" s="18" t="s">
        <v>10</v>
      </c>
      <c r="F94" s="18">
        <v>15</v>
      </c>
      <c r="G94" s="19">
        <v>45667.617361111108</v>
      </c>
      <c r="H94" s="18" t="s">
        <v>236</v>
      </c>
      <c r="I94" s="18" t="s">
        <v>10</v>
      </c>
      <c r="J94" s="18" t="s">
        <v>12</v>
      </c>
      <c r="K94" s="20"/>
    </row>
    <row r="95" spans="1:11" ht="36.75" thickBot="1">
      <c r="A95" s="18" t="s">
        <v>1508</v>
      </c>
      <c r="B95" s="18">
        <v>20027806670</v>
      </c>
      <c r="C95" s="18" t="s">
        <v>1509</v>
      </c>
      <c r="D95" s="19">
        <v>45602.457638888889</v>
      </c>
      <c r="E95" s="18" t="s">
        <v>10</v>
      </c>
      <c r="F95" s="18">
        <v>10</v>
      </c>
      <c r="G95" s="19">
        <v>45638.457638888889</v>
      </c>
      <c r="H95" s="18" t="s">
        <v>236</v>
      </c>
      <c r="I95" s="18" t="s">
        <v>10</v>
      </c>
      <c r="J95" s="18" t="s">
        <v>12</v>
      </c>
      <c r="K95" s="20"/>
    </row>
    <row r="96" spans="1:11" ht="72.75" thickBot="1">
      <c r="A96" s="18" t="s">
        <v>1510</v>
      </c>
      <c r="B96" s="18">
        <v>20002952664</v>
      </c>
      <c r="C96" s="18" t="s">
        <v>1511</v>
      </c>
      <c r="D96" s="19">
        <v>45602.55</v>
      </c>
      <c r="E96" s="18" t="s">
        <v>10</v>
      </c>
      <c r="F96" s="18">
        <v>20</v>
      </c>
      <c r="G96" s="19">
        <v>45638.563194444447</v>
      </c>
      <c r="H96" s="18" t="s">
        <v>178</v>
      </c>
      <c r="I96" s="18" t="s">
        <v>10</v>
      </c>
      <c r="J96" s="18" t="s">
        <v>12</v>
      </c>
      <c r="K96" s="20"/>
    </row>
    <row r="97" spans="1:11" ht="36.75" thickBot="1">
      <c r="A97" s="18" t="s">
        <v>1512</v>
      </c>
      <c r="B97" s="18">
        <v>20002952359</v>
      </c>
      <c r="C97" s="18" t="s">
        <v>1513</v>
      </c>
      <c r="D97" s="19">
        <v>45602.658333333333</v>
      </c>
      <c r="E97" s="18" t="s">
        <v>10</v>
      </c>
      <c r="F97" s="18">
        <v>6</v>
      </c>
      <c r="G97" s="19">
        <v>45639.619444444441</v>
      </c>
      <c r="H97" s="18" t="s">
        <v>236</v>
      </c>
      <c r="I97" s="18" t="s">
        <v>10</v>
      </c>
      <c r="J97" s="18" t="s">
        <v>12</v>
      </c>
      <c r="K97" s="20"/>
    </row>
    <row r="98" spans="1:11" ht="54.75" thickBot="1">
      <c r="A98" s="18" t="s">
        <v>1514</v>
      </c>
      <c r="B98" s="18">
        <v>20026651648</v>
      </c>
      <c r="C98" s="18" t="s">
        <v>825</v>
      </c>
      <c r="D98" s="19">
        <v>45604.481249999997</v>
      </c>
      <c r="E98" s="18" t="s">
        <v>10</v>
      </c>
      <c r="F98" s="18">
        <v>6</v>
      </c>
      <c r="G98" s="19">
        <v>45638.563194444447</v>
      </c>
      <c r="H98" s="18" t="s">
        <v>236</v>
      </c>
      <c r="I98" s="18" t="s">
        <v>10</v>
      </c>
      <c r="J98" s="18" t="s">
        <v>12</v>
      </c>
      <c r="K98" s="20"/>
    </row>
    <row r="99" spans="1:11" ht="54.75" thickBot="1">
      <c r="A99" s="18" t="s">
        <v>7848</v>
      </c>
      <c r="B99" s="18">
        <v>20026651992</v>
      </c>
      <c r="C99" s="18" t="s">
        <v>825</v>
      </c>
      <c r="D99" s="19">
        <v>45604.645138888889</v>
      </c>
      <c r="E99" s="18" t="s">
        <v>10</v>
      </c>
      <c r="F99" s="18">
        <v>12</v>
      </c>
      <c r="G99" s="19">
        <v>45663.602777777778</v>
      </c>
      <c r="H99" s="18" t="s">
        <v>236</v>
      </c>
      <c r="I99" s="18" t="s">
        <v>10</v>
      </c>
      <c r="J99" s="18" t="s">
        <v>7834</v>
      </c>
      <c r="K99" s="20"/>
    </row>
    <row r="100" spans="1:11" ht="72.75" thickBot="1">
      <c r="A100" s="18" t="s">
        <v>1389</v>
      </c>
      <c r="B100" s="18">
        <v>20022009739</v>
      </c>
      <c r="C100" s="18" t="s">
        <v>1390</v>
      </c>
      <c r="D100" s="19">
        <v>45590.454861111109</v>
      </c>
      <c r="E100" s="19">
        <v>45607.425000000003</v>
      </c>
      <c r="F100" s="18">
        <v>15</v>
      </c>
      <c r="G100" s="19">
        <v>45643.495833333334</v>
      </c>
      <c r="H100" s="18" t="s">
        <v>236</v>
      </c>
      <c r="I100" s="18" t="s">
        <v>10</v>
      </c>
      <c r="J100" s="18" t="s">
        <v>12</v>
      </c>
      <c r="K100" s="20"/>
    </row>
    <row r="101" spans="1:11" ht="36.75" thickBot="1">
      <c r="A101" s="18" t="s">
        <v>1515</v>
      </c>
      <c r="B101" s="18">
        <v>20002675169</v>
      </c>
      <c r="C101" s="18" t="s">
        <v>1516</v>
      </c>
      <c r="D101" s="19">
        <v>45607.645833333336</v>
      </c>
      <c r="E101" s="18" t="s">
        <v>10</v>
      </c>
      <c r="F101" s="18">
        <v>4</v>
      </c>
      <c r="G101" s="19">
        <v>45667.417361111111</v>
      </c>
      <c r="H101" s="18" t="s">
        <v>236</v>
      </c>
      <c r="I101" s="18" t="s">
        <v>10</v>
      </c>
      <c r="J101" s="18" t="s">
        <v>12</v>
      </c>
      <c r="K101" s="20"/>
    </row>
    <row r="102" spans="1:11" ht="36.75" thickBot="1">
      <c r="A102" s="18" t="s">
        <v>1517</v>
      </c>
      <c r="B102" s="18">
        <v>20002952426</v>
      </c>
      <c r="C102" s="18" t="s">
        <v>1516</v>
      </c>
      <c r="D102" s="19">
        <v>45608.456944444442</v>
      </c>
      <c r="E102" s="18" t="s">
        <v>10</v>
      </c>
      <c r="F102" s="18">
        <v>12</v>
      </c>
      <c r="G102" s="19">
        <v>45667.417361111111</v>
      </c>
      <c r="H102" s="18" t="s">
        <v>236</v>
      </c>
      <c r="I102" s="18" t="s">
        <v>10</v>
      </c>
      <c r="J102" s="18" t="s">
        <v>12</v>
      </c>
      <c r="K102" s="1"/>
    </row>
    <row r="103" spans="1:11" ht="36.75" thickBot="1">
      <c r="A103" s="21" t="s">
        <v>1518</v>
      </c>
      <c r="B103" s="21">
        <v>20026213318</v>
      </c>
      <c r="C103" s="21" t="s">
        <v>1519</v>
      </c>
      <c r="D103" s="22">
        <v>45607.394444444442</v>
      </c>
      <c r="E103" s="22">
        <v>45609.618055555555</v>
      </c>
      <c r="F103" s="21">
        <v>10</v>
      </c>
      <c r="G103" s="22">
        <v>45693.617361111108</v>
      </c>
      <c r="H103" s="21" t="s">
        <v>236</v>
      </c>
      <c r="I103" s="21" t="s">
        <v>10</v>
      </c>
      <c r="J103" s="21" t="s">
        <v>12</v>
      </c>
      <c r="K103" s="20"/>
    </row>
    <row r="104" spans="1:11" ht="36.75" thickBot="1">
      <c r="A104" s="18" t="s">
        <v>1520</v>
      </c>
      <c r="B104" s="18">
        <v>20002870307</v>
      </c>
      <c r="C104" s="18" t="s">
        <v>1521</v>
      </c>
      <c r="D104" s="19">
        <v>45612.577777777777</v>
      </c>
      <c r="E104" s="18" t="s">
        <v>10</v>
      </c>
      <c r="F104" s="18">
        <v>20</v>
      </c>
      <c r="G104" s="19">
        <v>45645.468055555553</v>
      </c>
      <c r="H104" s="18" t="s">
        <v>236</v>
      </c>
      <c r="I104" s="18" t="s">
        <v>10</v>
      </c>
      <c r="J104" s="18" t="s">
        <v>12</v>
      </c>
      <c r="K104" s="20"/>
    </row>
    <row r="105" spans="1:11" ht="54.75" thickBot="1">
      <c r="A105" s="18" t="s">
        <v>1522</v>
      </c>
      <c r="B105" s="18">
        <v>20019889258</v>
      </c>
      <c r="C105" s="18" t="s">
        <v>825</v>
      </c>
      <c r="D105" s="19">
        <v>45614.439583333333</v>
      </c>
      <c r="E105" s="18" t="s">
        <v>10</v>
      </c>
      <c r="F105" s="18">
        <v>6</v>
      </c>
      <c r="G105" s="19">
        <v>45638.563194444447</v>
      </c>
      <c r="H105" s="18" t="s">
        <v>236</v>
      </c>
      <c r="I105" s="18" t="s">
        <v>10</v>
      </c>
      <c r="J105" s="18" t="s">
        <v>12</v>
      </c>
      <c r="K105" s="20"/>
    </row>
    <row r="106" spans="1:11" ht="36.75" thickBot="1">
      <c r="A106" s="18" t="s">
        <v>1523</v>
      </c>
      <c r="B106" s="18">
        <v>20028056803</v>
      </c>
      <c r="C106" s="18" t="s">
        <v>1524</v>
      </c>
      <c r="D106" s="19">
        <v>45615.499305555553</v>
      </c>
      <c r="E106" s="18" t="s">
        <v>10</v>
      </c>
      <c r="F106" s="18">
        <v>5</v>
      </c>
      <c r="G106" s="19">
        <v>45638.457638888889</v>
      </c>
      <c r="H106" s="18" t="s">
        <v>236</v>
      </c>
      <c r="I106" s="18" t="s">
        <v>10</v>
      </c>
      <c r="J106" s="18" t="s">
        <v>12</v>
      </c>
      <c r="K106" s="20"/>
    </row>
    <row r="107" spans="1:11" ht="36.75" thickBot="1">
      <c r="A107" s="18" t="s">
        <v>1525</v>
      </c>
      <c r="B107" s="18">
        <v>20027963238</v>
      </c>
      <c r="C107" s="18" t="s">
        <v>1526</v>
      </c>
      <c r="D107" s="19">
        <v>45615.558333333334</v>
      </c>
      <c r="E107" s="18" t="s">
        <v>10</v>
      </c>
      <c r="F107" s="18">
        <v>5</v>
      </c>
      <c r="G107" s="18" t="s">
        <v>10</v>
      </c>
      <c r="H107" s="18" t="s">
        <v>189</v>
      </c>
      <c r="I107" s="18" t="s">
        <v>10</v>
      </c>
      <c r="J107" s="18" t="s">
        <v>12</v>
      </c>
      <c r="K107" s="20"/>
    </row>
    <row r="108" spans="1:11" ht="36.75" thickBot="1">
      <c r="A108" s="18" t="s">
        <v>1527</v>
      </c>
      <c r="B108" s="18">
        <v>20002696185</v>
      </c>
      <c r="C108" s="18" t="s">
        <v>1528</v>
      </c>
      <c r="D108" s="19">
        <v>45615.713194444441</v>
      </c>
      <c r="E108" s="18" t="s">
        <v>10</v>
      </c>
      <c r="F108" s="18">
        <v>10</v>
      </c>
      <c r="G108" s="18" t="s">
        <v>10</v>
      </c>
      <c r="H108" s="18" t="s">
        <v>189</v>
      </c>
      <c r="I108" s="18" t="s">
        <v>10</v>
      </c>
      <c r="J108" s="18" t="s">
        <v>12</v>
      </c>
      <c r="K108" s="20"/>
    </row>
    <row r="109" spans="1:11" ht="36.75" thickBot="1">
      <c r="A109" s="18" t="s">
        <v>1529</v>
      </c>
      <c r="B109" s="18">
        <v>20025544988</v>
      </c>
      <c r="C109" s="18" t="s">
        <v>1530</v>
      </c>
      <c r="D109" s="19">
        <v>45619.431944444441</v>
      </c>
      <c r="E109" s="18" t="s">
        <v>10</v>
      </c>
      <c r="F109" s="18">
        <v>10</v>
      </c>
      <c r="G109" s="19">
        <v>45645.565972222219</v>
      </c>
      <c r="H109" s="18" t="s">
        <v>236</v>
      </c>
      <c r="I109" s="18" t="s">
        <v>10</v>
      </c>
      <c r="J109" s="18" t="s">
        <v>12</v>
      </c>
      <c r="K109" s="20"/>
    </row>
    <row r="110" spans="1:11" ht="36.75" thickBot="1">
      <c r="A110" s="18" t="s">
        <v>1787</v>
      </c>
      <c r="B110" s="18">
        <v>20027990552</v>
      </c>
      <c r="C110" s="18" t="s">
        <v>1788</v>
      </c>
      <c r="D110" s="19">
        <v>45629.433333333334</v>
      </c>
      <c r="E110" s="18" t="s">
        <v>10</v>
      </c>
      <c r="F110" s="18">
        <v>7.32</v>
      </c>
      <c r="G110" s="19">
        <v>45651.537499999999</v>
      </c>
      <c r="H110" s="18" t="s">
        <v>236</v>
      </c>
      <c r="I110" s="18" t="s">
        <v>10</v>
      </c>
      <c r="J110" s="18" t="s">
        <v>12</v>
      </c>
      <c r="K110" s="20"/>
    </row>
    <row r="111" spans="1:11" ht="36.75" thickBot="1">
      <c r="A111" s="18" t="s">
        <v>1789</v>
      </c>
      <c r="B111" s="18">
        <v>20016377327</v>
      </c>
      <c r="C111" s="18" t="s">
        <v>1790</v>
      </c>
      <c r="D111" s="19">
        <v>45629.582638888889</v>
      </c>
      <c r="E111" s="18" t="s">
        <v>10</v>
      </c>
      <c r="F111" s="18">
        <v>3</v>
      </c>
      <c r="G111" s="19">
        <v>45664.581250000003</v>
      </c>
      <c r="H111" s="18" t="s">
        <v>236</v>
      </c>
      <c r="I111" s="18" t="s">
        <v>10</v>
      </c>
      <c r="J111" s="18" t="s">
        <v>12</v>
      </c>
      <c r="K111" s="20"/>
    </row>
    <row r="112" spans="1:11" ht="36.75" thickBot="1">
      <c r="A112" s="18" t="s">
        <v>1793</v>
      </c>
      <c r="B112" s="18">
        <v>20027963238</v>
      </c>
      <c r="C112" s="18" t="s">
        <v>1794</v>
      </c>
      <c r="D112" s="19">
        <v>45629.738888888889</v>
      </c>
      <c r="E112" s="18" t="s">
        <v>10</v>
      </c>
      <c r="F112" s="18">
        <v>5</v>
      </c>
      <c r="G112" s="18" t="s">
        <v>10</v>
      </c>
      <c r="H112" s="18" t="s">
        <v>189</v>
      </c>
      <c r="I112" s="18" t="s">
        <v>10</v>
      </c>
      <c r="J112" s="18" t="s">
        <v>12</v>
      </c>
      <c r="K112" s="20"/>
    </row>
    <row r="113" spans="1:11" ht="36.75" thickBot="1">
      <c r="A113" s="18" t="s">
        <v>1795</v>
      </c>
      <c r="B113" s="18">
        <v>20021746282</v>
      </c>
      <c r="C113" s="18" t="s">
        <v>1796</v>
      </c>
      <c r="D113" s="19">
        <v>45630.599305555559</v>
      </c>
      <c r="E113" s="18" t="s">
        <v>10</v>
      </c>
      <c r="F113" s="18">
        <v>20</v>
      </c>
      <c r="G113" s="18" t="s">
        <v>10</v>
      </c>
      <c r="H113" s="18" t="s">
        <v>189</v>
      </c>
      <c r="I113" s="18" t="s">
        <v>10</v>
      </c>
      <c r="J113" s="18" t="s">
        <v>12</v>
      </c>
      <c r="K113" s="20"/>
    </row>
    <row r="114" spans="1:11" ht="36.75" thickBot="1">
      <c r="A114" s="18" t="s">
        <v>7849</v>
      </c>
      <c r="B114" s="18">
        <v>20023423509</v>
      </c>
      <c r="C114" s="18" t="s">
        <v>1878</v>
      </c>
      <c r="D114" s="19">
        <v>45643.737500000003</v>
      </c>
      <c r="E114" s="18" t="s">
        <v>10</v>
      </c>
      <c r="F114" s="18">
        <v>12</v>
      </c>
      <c r="G114" s="18" t="s">
        <v>10</v>
      </c>
      <c r="H114" s="18" t="s">
        <v>178</v>
      </c>
      <c r="I114" s="18" t="s">
        <v>10</v>
      </c>
      <c r="J114" s="18" t="s">
        <v>7834</v>
      </c>
      <c r="K114" s="20"/>
    </row>
    <row r="115" spans="1:11" ht="36.75" thickBot="1">
      <c r="A115" s="18" t="s">
        <v>1879</v>
      </c>
      <c r="B115" s="18">
        <v>20002683685</v>
      </c>
      <c r="C115" s="18" t="s">
        <v>1880</v>
      </c>
      <c r="D115" s="19">
        <v>45644.427083333336</v>
      </c>
      <c r="E115" s="18" t="s">
        <v>10</v>
      </c>
      <c r="F115" s="18">
        <v>15</v>
      </c>
      <c r="G115" s="19">
        <v>45846.593055555553</v>
      </c>
      <c r="H115" s="18" t="s">
        <v>236</v>
      </c>
      <c r="I115" s="18" t="s">
        <v>10</v>
      </c>
      <c r="J115" s="18" t="s">
        <v>12</v>
      </c>
      <c r="K115" s="20"/>
    </row>
    <row r="116" spans="1:11" ht="36.75" thickBot="1">
      <c r="A116" s="18" t="s">
        <v>1881</v>
      </c>
      <c r="B116" s="18">
        <v>20025964649</v>
      </c>
      <c r="C116" s="18" t="s">
        <v>1882</v>
      </c>
      <c r="D116" s="19">
        <v>45654.595138888886</v>
      </c>
      <c r="E116" s="18" t="s">
        <v>10</v>
      </c>
      <c r="F116" s="18">
        <v>3</v>
      </c>
      <c r="G116" s="18" t="s">
        <v>10</v>
      </c>
      <c r="H116" s="18" t="s">
        <v>189</v>
      </c>
      <c r="I116" s="18" t="s">
        <v>10</v>
      </c>
      <c r="J116" s="18" t="s">
        <v>12</v>
      </c>
      <c r="K116" s="20"/>
    </row>
    <row r="117" spans="1:11" ht="36.75" thickBot="1">
      <c r="A117" s="18" t="s">
        <v>1926</v>
      </c>
      <c r="B117" s="18">
        <v>20018429770</v>
      </c>
      <c r="C117" s="18" t="s">
        <v>1927</v>
      </c>
      <c r="D117" s="19">
        <v>45662.758333333331</v>
      </c>
      <c r="E117" s="18" t="s">
        <v>10</v>
      </c>
      <c r="F117" s="18">
        <v>5</v>
      </c>
      <c r="G117" s="19">
        <v>45719.580555555556</v>
      </c>
      <c r="H117" s="18" t="s">
        <v>236</v>
      </c>
      <c r="I117" s="18" t="s">
        <v>10</v>
      </c>
      <c r="J117" s="18" t="s">
        <v>12</v>
      </c>
      <c r="K117" s="20"/>
    </row>
    <row r="118" spans="1:11" ht="36.75" thickBot="1">
      <c r="A118" s="18" t="s">
        <v>1928</v>
      </c>
      <c r="B118" s="18">
        <v>20002677650</v>
      </c>
      <c r="C118" s="18" t="s">
        <v>1929</v>
      </c>
      <c r="D118" s="19">
        <v>45670.631249999999</v>
      </c>
      <c r="E118" s="18" t="s">
        <v>10</v>
      </c>
      <c r="F118" s="18">
        <v>20</v>
      </c>
      <c r="G118" s="19">
        <v>45722.540277777778</v>
      </c>
      <c r="H118" s="18" t="s">
        <v>236</v>
      </c>
      <c r="I118" s="18" t="s">
        <v>10</v>
      </c>
      <c r="J118" s="18" t="s">
        <v>12</v>
      </c>
      <c r="K118" s="20"/>
    </row>
    <row r="119" spans="1:11" ht="36.75" thickBot="1">
      <c r="A119" s="18" t="s">
        <v>2102</v>
      </c>
      <c r="B119" s="18">
        <v>20019725700</v>
      </c>
      <c r="C119" s="18" t="s">
        <v>830</v>
      </c>
      <c r="D119" s="19">
        <v>45696.822222222225</v>
      </c>
      <c r="E119" s="18" t="s">
        <v>10</v>
      </c>
      <c r="F119" s="18">
        <v>8</v>
      </c>
      <c r="G119" s="18" t="s">
        <v>10</v>
      </c>
      <c r="H119" s="18" t="s">
        <v>178</v>
      </c>
      <c r="I119" s="18" t="s">
        <v>10</v>
      </c>
      <c r="J119" s="18" t="s">
        <v>12</v>
      </c>
      <c r="K119" s="20"/>
    </row>
    <row r="120" spans="1:11" ht="36.75" thickBot="1">
      <c r="A120" s="18" t="s">
        <v>2103</v>
      </c>
      <c r="B120" s="18">
        <v>20027974737</v>
      </c>
      <c r="C120" s="18" t="s">
        <v>2104</v>
      </c>
      <c r="D120" s="19">
        <v>45698.71875</v>
      </c>
      <c r="E120" s="18" t="s">
        <v>10</v>
      </c>
      <c r="F120" s="18">
        <v>10</v>
      </c>
      <c r="G120" s="18" t="s">
        <v>10</v>
      </c>
      <c r="H120" s="18" t="s">
        <v>189</v>
      </c>
      <c r="I120" s="18" t="s">
        <v>10</v>
      </c>
      <c r="J120" s="18" t="s">
        <v>12</v>
      </c>
      <c r="K120" s="20"/>
    </row>
    <row r="121" spans="1:11" ht="36.75" thickBot="1">
      <c r="A121" s="18" t="s">
        <v>2185</v>
      </c>
      <c r="B121" s="18">
        <v>20024838539</v>
      </c>
      <c r="C121" s="18" t="s">
        <v>2186</v>
      </c>
      <c r="D121" s="19">
        <v>45705.443749999999</v>
      </c>
      <c r="E121" s="18" t="s">
        <v>10</v>
      </c>
      <c r="F121" s="18">
        <v>5</v>
      </c>
      <c r="G121" s="18" t="s">
        <v>10</v>
      </c>
      <c r="H121" s="18" t="s">
        <v>189</v>
      </c>
      <c r="I121" s="18" t="s">
        <v>10</v>
      </c>
      <c r="J121" s="18" t="s">
        <v>12</v>
      </c>
      <c r="K121" s="20"/>
    </row>
    <row r="122" spans="1:11" ht="36.75" thickBot="1">
      <c r="A122" s="18" t="s">
        <v>2100</v>
      </c>
      <c r="B122" s="18">
        <v>20002709825</v>
      </c>
      <c r="C122" s="18" t="s">
        <v>2101</v>
      </c>
      <c r="D122" s="19">
        <v>45695.472916666666</v>
      </c>
      <c r="E122" s="19">
        <v>45706.506249999999</v>
      </c>
      <c r="F122" s="18">
        <v>8</v>
      </c>
      <c r="G122" s="18" t="s">
        <v>10</v>
      </c>
      <c r="H122" s="18" t="s">
        <v>178</v>
      </c>
      <c r="I122" s="18" t="s">
        <v>10</v>
      </c>
      <c r="J122" s="18" t="s">
        <v>12</v>
      </c>
      <c r="K122" s="20"/>
    </row>
    <row r="123" spans="1:11" ht="36.75" thickBot="1">
      <c r="A123" s="18" t="s">
        <v>2187</v>
      </c>
      <c r="B123" s="18">
        <v>20024230893</v>
      </c>
      <c r="C123" s="18" t="s">
        <v>2188</v>
      </c>
      <c r="D123" s="19">
        <v>45705.432638888888</v>
      </c>
      <c r="E123" s="19">
        <v>45707.520833333336</v>
      </c>
      <c r="F123" s="18">
        <v>10</v>
      </c>
      <c r="G123" s="19">
        <v>45748.423611111109</v>
      </c>
      <c r="H123" s="18" t="s">
        <v>236</v>
      </c>
      <c r="I123" s="18" t="s">
        <v>10</v>
      </c>
      <c r="J123" s="18" t="s">
        <v>12</v>
      </c>
      <c r="K123" s="20"/>
    </row>
    <row r="124" spans="1:11" ht="36.75" thickBot="1">
      <c r="A124" s="18" t="s">
        <v>2189</v>
      </c>
      <c r="B124" s="18">
        <v>20028056798</v>
      </c>
      <c r="C124" s="18" t="s">
        <v>2190</v>
      </c>
      <c r="D124" s="19">
        <v>45707.73541666667</v>
      </c>
      <c r="E124" s="18" t="s">
        <v>10</v>
      </c>
      <c r="F124" s="18">
        <v>8</v>
      </c>
      <c r="G124" s="18" t="s">
        <v>10</v>
      </c>
      <c r="H124" s="18" t="s">
        <v>189</v>
      </c>
      <c r="I124" s="18" t="s">
        <v>10</v>
      </c>
      <c r="J124" s="18" t="s">
        <v>12</v>
      </c>
      <c r="K124" s="20"/>
    </row>
    <row r="125" spans="1:11" ht="36.75" thickBot="1">
      <c r="A125" s="18" t="s">
        <v>2106</v>
      </c>
      <c r="B125" s="18">
        <v>20019182397</v>
      </c>
      <c r="C125" s="18" t="s">
        <v>2107</v>
      </c>
      <c r="D125" s="19">
        <v>45705.418749999997</v>
      </c>
      <c r="E125" s="19">
        <v>45708.402083333334</v>
      </c>
      <c r="F125" s="18">
        <v>10</v>
      </c>
      <c r="G125" s="19">
        <v>45748.423611111109</v>
      </c>
      <c r="H125" s="18" t="s">
        <v>236</v>
      </c>
      <c r="I125" s="18" t="s">
        <v>10</v>
      </c>
      <c r="J125" s="18" t="s">
        <v>12</v>
      </c>
      <c r="K125" s="20"/>
    </row>
    <row r="126" spans="1:11" ht="36.75" thickBot="1">
      <c r="A126" s="18" t="s">
        <v>2191</v>
      </c>
      <c r="B126" s="18">
        <v>20002729482</v>
      </c>
      <c r="C126" s="18" t="s">
        <v>2192</v>
      </c>
      <c r="D126" s="19">
        <v>45709.414583333331</v>
      </c>
      <c r="E126" s="18" t="s">
        <v>10</v>
      </c>
      <c r="F126" s="18">
        <v>5</v>
      </c>
      <c r="G126" s="18" t="s">
        <v>10</v>
      </c>
      <c r="H126" s="18" t="s">
        <v>178</v>
      </c>
      <c r="I126" s="18" t="s">
        <v>10</v>
      </c>
      <c r="J126" s="18" t="s">
        <v>12</v>
      </c>
      <c r="K126" s="20"/>
    </row>
    <row r="127" spans="1:11" ht="36.75" thickBot="1">
      <c r="A127" s="18" t="s">
        <v>2195</v>
      </c>
      <c r="B127" s="18">
        <v>20027748351</v>
      </c>
      <c r="C127" s="18" t="s">
        <v>2196</v>
      </c>
      <c r="D127" s="19">
        <v>45716.506249999999</v>
      </c>
      <c r="E127" s="18" t="s">
        <v>10</v>
      </c>
      <c r="F127" s="18">
        <v>6</v>
      </c>
      <c r="G127" s="19">
        <v>45842.449305555558</v>
      </c>
      <c r="H127" s="18" t="s">
        <v>236</v>
      </c>
      <c r="I127" s="18" t="s">
        <v>10</v>
      </c>
      <c r="J127" s="18" t="s">
        <v>12</v>
      </c>
      <c r="K127" s="20"/>
    </row>
    <row r="128" spans="1:11" ht="36.75" thickBot="1">
      <c r="A128" s="18" t="s">
        <v>2105</v>
      </c>
      <c r="B128" s="18">
        <v>20002755496</v>
      </c>
      <c r="C128" s="18" t="s">
        <v>1396</v>
      </c>
      <c r="D128" s="19">
        <v>45704.622916666667</v>
      </c>
      <c r="E128" s="19">
        <v>45717.591666666667</v>
      </c>
      <c r="F128" s="18">
        <v>3</v>
      </c>
      <c r="G128" s="19">
        <v>45748.464583333334</v>
      </c>
      <c r="H128" s="18" t="s">
        <v>236</v>
      </c>
      <c r="I128" s="18" t="s">
        <v>10</v>
      </c>
      <c r="J128" s="18" t="s">
        <v>12</v>
      </c>
      <c r="K128" s="20"/>
    </row>
    <row r="129" spans="1:11" ht="36.75" thickBot="1">
      <c r="A129" s="18" t="s">
        <v>2197</v>
      </c>
      <c r="B129" s="18">
        <v>20002742211</v>
      </c>
      <c r="C129" s="18" t="s">
        <v>2198</v>
      </c>
      <c r="D129" s="19">
        <v>45718.453472222223</v>
      </c>
      <c r="E129" s="18" t="s">
        <v>10</v>
      </c>
      <c r="F129" s="18">
        <v>10</v>
      </c>
      <c r="G129" s="19">
        <v>45792.440972222219</v>
      </c>
      <c r="H129" s="18" t="s">
        <v>236</v>
      </c>
      <c r="I129" s="18" t="s">
        <v>10</v>
      </c>
      <c r="J129" s="18" t="s">
        <v>12</v>
      </c>
      <c r="K129" s="20"/>
    </row>
    <row r="130" spans="1:11" ht="36.75" thickBot="1">
      <c r="A130" s="18" t="s">
        <v>2199</v>
      </c>
      <c r="B130" s="18">
        <v>20027568779</v>
      </c>
      <c r="C130" s="18" t="s">
        <v>2200</v>
      </c>
      <c r="D130" s="19">
        <v>45719.395833333336</v>
      </c>
      <c r="E130" s="18" t="s">
        <v>10</v>
      </c>
      <c r="F130" s="18">
        <v>7.6</v>
      </c>
      <c r="G130" s="19">
        <v>45743.450694444444</v>
      </c>
      <c r="H130" s="18" t="s">
        <v>236</v>
      </c>
      <c r="I130" s="18" t="s">
        <v>10</v>
      </c>
      <c r="J130" s="18" t="s">
        <v>12</v>
      </c>
      <c r="K130" s="20"/>
    </row>
    <row r="131" spans="1:11" ht="36.75" thickBot="1">
      <c r="A131" s="18" t="s">
        <v>2193</v>
      </c>
      <c r="B131" s="18">
        <v>20002771046</v>
      </c>
      <c r="C131" s="18" t="s">
        <v>2194</v>
      </c>
      <c r="D131" s="19">
        <v>45708.440972222219</v>
      </c>
      <c r="E131" s="19">
        <v>45728.40902777778</v>
      </c>
      <c r="F131" s="18">
        <v>10</v>
      </c>
      <c r="G131" s="19">
        <v>45748.423611111109</v>
      </c>
      <c r="H131" s="18" t="s">
        <v>236</v>
      </c>
      <c r="I131" s="18" t="s">
        <v>10</v>
      </c>
      <c r="J131" s="18" t="s">
        <v>12</v>
      </c>
      <c r="K131" s="20"/>
    </row>
    <row r="132" spans="1:11" ht="36.75" thickBot="1">
      <c r="A132" s="18" t="s">
        <v>2278</v>
      </c>
      <c r="B132" s="18">
        <v>20022927936</v>
      </c>
      <c r="C132" s="18" t="s">
        <v>2279</v>
      </c>
      <c r="D132" s="19">
        <v>45728.699305555558</v>
      </c>
      <c r="E132" s="18" t="s">
        <v>10</v>
      </c>
      <c r="F132" s="18">
        <v>10</v>
      </c>
      <c r="G132" s="19">
        <v>45748.593055555553</v>
      </c>
      <c r="H132" s="18" t="s">
        <v>236</v>
      </c>
      <c r="I132" s="18" t="s">
        <v>10</v>
      </c>
      <c r="J132" s="18" t="s">
        <v>12</v>
      </c>
      <c r="K132" s="20"/>
    </row>
    <row r="133" spans="1:11" ht="36.75" thickBot="1">
      <c r="A133" s="18" t="s">
        <v>2280</v>
      </c>
      <c r="B133" s="18">
        <v>20027747220</v>
      </c>
      <c r="C133" s="18" t="s">
        <v>2281</v>
      </c>
      <c r="D133" s="19">
        <v>45729.480555555558</v>
      </c>
      <c r="E133" s="18" t="s">
        <v>10</v>
      </c>
      <c r="F133" s="18">
        <v>20</v>
      </c>
      <c r="G133" s="19">
        <v>45743.402777777781</v>
      </c>
      <c r="H133" s="18" t="s">
        <v>236</v>
      </c>
      <c r="I133" s="18" t="s">
        <v>10</v>
      </c>
      <c r="J133" s="18" t="s">
        <v>12</v>
      </c>
      <c r="K133" s="20"/>
    </row>
    <row r="134" spans="1:11" ht="36.75" thickBot="1">
      <c r="A134" s="18" t="s">
        <v>7850</v>
      </c>
      <c r="B134" s="18">
        <v>20027421360</v>
      </c>
      <c r="C134" s="18" t="s">
        <v>7851</v>
      </c>
      <c r="D134" s="19">
        <v>45729.5625</v>
      </c>
      <c r="E134" s="18" t="s">
        <v>10</v>
      </c>
      <c r="F134" s="18">
        <v>10</v>
      </c>
      <c r="G134" s="19">
        <v>45785.584722222222</v>
      </c>
      <c r="H134" s="18" t="s">
        <v>236</v>
      </c>
      <c r="I134" s="18" t="s">
        <v>10</v>
      </c>
      <c r="J134" s="18" t="s">
        <v>7834</v>
      </c>
      <c r="K134" s="20"/>
    </row>
    <row r="135" spans="1:11" ht="36.75" thickBot="1">
      <c r="A135" s="18" t="s">
        <v>2381</v>
      </c>
      <c r="B135" s="18">
        <v>20019725700</v>
      </c>
      <c r="C135" s="18" t="s">
        <v>830</v>
      </c>
      <c r="D135" s="19">
        <v>45734.45416666667</v>
      </c>
      <c r="E135" s="18" t="s">
        <v>10</v>
      </c>
      <c r="F135" s="18">
        <v>8</v>
      </c>
      <c r="G135" s="18" t="s">
        <v>10</v>
      </c>
      <c r="H135" s="18" t="s">
        <v>178</v>
      </c>
      <c r="I135" s="18" t="s">
        <v>10</v>
      </c>
      <c r="J135" s="18" t="s">
        <v>12</v>
      </c>
      <c r="K135" s="20"/>
    </row>
    <row r="136" spans="1:11" ht="36.75" thickBot="1">
      <c r="A136" s="18" t="s">
        <v>2382</v>
      </c>
      <c r="B136" s="18">
        <v>20025825324</v>
      </c>
      <c r="C136" s="18" t="s">
        <v>2383</v>
      </c>
      <c r="D136" s="19">
        <v>45734.540972222225</v>
      </c>
      <c r="E136" s="18" t="s">
        <v>10</v>
      </c>
      <c r="F136" s="18">
        <v>10</v>
      </c>
      <c r="G136" s="19">
        <v>45751.584027777775</v>
      </c>
      <c r="H136" s="18" t="s">
        <v>236</v>
      </c>
      <c r="I136" s="18" t="s">
        <v>10</v>
      </c>
      <c r="J136" s="18" t="s">
        <v>12</v>
      </c>
      <c r="K136" s="20"/>
    </row>
    <row r="137" spans="1:11" ht="36.75" thickBot="1">
      <c r="A137" s="18" t="s">
        <v>2384</v>
      </c>
      <c r="B137" s="18">
        <v>20002708331</v>
      </c>
      <c r="C137" s="18" t="s">
        <v>2385</v>
      </c>
      <c r="D137" s="19">
        <v>45735.827777777777</v>
      </c>
      <c r="E137" s="18" t="s">
        <v>10</v>
      </c>
      <c r="F137" s="18">
        <v>5</v>
      </c>
      <c r="G137" s="19">
        <v>45887.473611111112</v>
      </c>
      <c r="H137" s="18" t="s">
        <v>2657</v>
      </c>
      <c r="I137" s="18" t="s">
        <v>10</v>
      </c>
      <c r="J137" s="18" t="s">
        <v>12</v>
      </c>
      <c r="K137" s="20"/>
    </row>
    <row r="138" spans="1:11" ht="36.75" thickBot="1">
      <c r="A138" s="18" t="s">
        <v>2386</v>
      </c>
      <c r="B138" s="18">
        <v>20023844297</v>
      </c>
      <c r="C138" s="18" t="s">
        <v>2387</v>
      </c>
      <c r="D138" s="19">
        <v>45735.844444444447</v>
      </c>
      <c r="E138" s="18" t="s">
        <v>10</v>
      </c>
      <c r="F138" s="18">
        <v>5</v>
      </c>
      <c r="G138" s="18" t="s">
        <v>10</v>
      </c>
      <c r="H138" s="18" t="s">
        <v>189</v>
      </c>
      <c r="I138" s="18" t="s">
        <v>10</v>
      </c>
      <c r="J138" s="18" t="s">
        <v>12</v>
      </c>
      <c r="K138" s="20"/>
    </row>
    <row r="139" spans="1:11" ht="36.75" thickBot="1">
      <c r="A139" s="18" t="s">
        <v>2282</v>
      </c>
      <c r="B139" s="18">
        <v>20024266628</v>
      </c>
      <c r="C139" s="18" t="s">
        <v>2283</v>
      </c>
      <c r="D139" s="19">
        <v>45732.982638888891</v>
      </c>
      <c r="E139" s="19">
        <v>45740.536111111112</v>
      </c>
      <c r="F139" s="18">
        <v>5</v>
      </c>
      <c r="G139" s="19">
        <v>45744.359027777777</v>
      </c>
      <c r="H139" s="18" t="s">
        <v>236</v>
      </c>
      <c r="I139" s="18" t="s">
        <v>10</v>
      </c>
      <c r="J139" s="18" t="s">
        <v>12</v>
      </c>
      <c r="K139" s="20"/>
    </row>
    <row r="140" spans="1:11" ht="36.75" thickBot="1">
      <c r="A140" s="18" t="s">
        <v>2388</v>
      </c>
      <c r="B140" s="18">
        <v>20028227177</v>
      </c>
      <c r="C140" s="18" t="s">
        <v>2389</v>
      </c>
      <c r="D140" s="19">
        <v>45743.463888888888</v>
      </c>
      <c r="E140" s="18" t="s">
        <v>10</v>
      </c>
      <c r="F140" s="18">
        <v>5</v>
      </c>
      <c r="G140" s="19">
        <v>45904.44027777778</v>
      </c>
      <c r="H140" s="18" t="s">
        <v>2688</v>
      </c>
      <c r="I140" s="18" t="s">
        <v>10</v>
      </c>
      <c r="J140" s="18" t="s">
        <v>12</v>
      </c>
      <c r="K140" s="20"/>
    </row>
    <row r="141" spans="1:11" ht="36.75" thickBot="1">
      <c r="A141" s="18" t="s">
        <v>2542</v>
      </c>
      <c r="B141" s="18">
        <v>20021090593</v>
      </c>
      <c r="C141" s="18" t="s">
        <v>2543</v>
      </c>
      <c r="D141" s="19">
        <v>45752.679861111108</v>
      </c>
      <c r="E141" s="18" t="s">
        <v>10</v>
      </c>
      <c r="F141" s="18">
        <v>2</v>
      </c>
      <c r="G141" s="18" t="s">
        <v>10</v>
      </c>
      <c r="H141" s="18" t="s">
        <v>178</v>
      </c>
      <c r="I141" s="18" t="s">
        <v>10</v>
      </c>
      <c r="J141" s="18" t="s">
        <v>12</v>
      </c>
      <c r="K141" s="20"/>
    </row>
    <row r="142" spans="1:11" ht="36.75" thickBot="1">
      <c r="A142" s="18" t="s">
        <v>2544</v>
      </c>
      <c r="B142" s="18">
        <v>20002756579</v>
      </c>
      <c r="C142" s="18" t="s">
        <v>2545</v>
      </c>
      <c r="D142" s="19">
        <v>45754.79583333333</v>
      </c>
      <c r="E142" s="18" t="s">
        <v>10</v>
      </c>
      <c r="F142" s="18">
        <v>5</v>
      </c>
      <c r="G142" s="19">
        <v>45776.441666666666</v>
      </c>
      <c r="H142" s="18" t="s">
        <v>236</v>
      </c>
      <c r="I142" s="18" t="s">
        <v>10</v>
      </c>
      <c r="J142" s="18" t="s">
        <v>12</v>
      </c>
      <c r="K142" s="20"/>
    </row>
    <row r="143" spans="1:11" ht="36.75" thickBot="1">
      <c r="A143" s="18" t="s">
        <v>2546</v>
      </c>
      <c r="B143" s="18">
        <v>20002726972</v>
      </c>
      <c r="C143" s="18" t="s">
        <v>2547</v>
      </c>
      <c r="D143" s="19">
        <v>45748.4375</v>
      </c>
      <c r="E143" s="19">
        <v>45756.486111111109</v>
      </c>
      <c r="F143" s="18">
        <v>6</v>
      </c>
      <c r="G143" s="19">
        <v>45793.527777777781</v>
      </c>
      <c r="H143" s="18" t="s">
        <v>236</v>
      </c>
      <c r="I143" s="18" t="s">
        <v>10</v>
      </c>
      <c r="J143" s="18" t="s">
        <v>12</v>
      </c>
      <c r="K143" s="20"/>
    </row>
    <row r="144" spans="1:11" ht="36.75" thickBot="1">
      <c r="A144" s="18" t="s">
        <v>2548</v>
      </c>
      <c r="B144" s="18">
        <v>20002736914</v>
      </c>
      <c r="C144" s="18" t="s">
        <v>2549</v>
      </c>
      <c r="D144" s="19">
        <v>45757.620833333334</v>
      </c>
      <c r="E144" s="18" t="s">
        <v>10</v>
      </c>
      <c r="F144" s="18">
        <v>4</v>
      </c>
      <c r="G144" s="19">
        <v>45775.604166666664</v>
      </c>
      <c r="H144" s="18" t="s">
        <v>236</v>
      </c>
      <c r="I144" s="18" t="s">
        <v>10</v>
      </c>
      <c r="J144" s="18" t="s">
        <v>12</v>
      </c>
      <c r="K144" s="20"/>
    </row>
    <row r="145" spans="1:11" ht="36.75" thickBot="1">
      <c r="A145" s="18" t="s">
        <v>2550</v>
      </c>
      <c r="B145" s="18">
        <v>20028049407</v>
      </c>
      <c r="C145" s="18" t="s">
        <v>2551</v>
      </c>
      <c r="D145" s="19">
        <v>45764.595833333333</v>
      </c>
      <c r="E145" s="18" t="s">
        <v>10</v>
      </c>
      <c r="F145" s="18">
        <v>5</v>
      </c>
      <c r="G145" s="19">
        <v>45783.638194444444</v>
      </c>
      <c r="H145" s="18" t="s">
        <v>236</v>
      </c>
      <c r="I145" s="18" t="s">
        <v>10</v>
      </c>
      <c r="J145" s="18" t="s">
        <v>12</v>
      </c>
      <c r="K145" s="20"/>
    </row>
    <row r="146" spans="1:11" ht="36.75" thickBot="1">
      <c r="A146" s="18" t="s">
        <v>2552</v>
      </c>
      <c r="B146" s="18">
        <v>20028049410</v>
      </c>
      <c r="C146" s="18" t="s">
        <v>2551</v>
      </c>
      <c r="D146" s="19">
        <v>45764.60833333333</v>
      </c>
      <c r="E146" s="18" t="s">
        <v>10</v>
      </c>
      <c r="F146" s="18">
        <v>5</v>
      </c>
      <c r="G146" s="19">
        <v>45783.638194444444</v>
      </c>
      <c r="H146" s="18" t="s">
        <v>236</v>
      </c>
      <c r="I146" s="18" t="s">
        <v>10</v>
      </c>
      <c r="J146" s="18" t="s">
        <v>12</v>
      </c>
      <c r="K146" s="20"/>
    </row>
    <row r="147" spans="1:11" ht="36.75" thickBot="1">
      <c r="A147" s="18" t="s">
        <v>2553</v>
      </c>
      <c r="B147" s="18">
        <v>20028049405</v>
      </c>
      <c r="C147" s="18" t="s">
        <v>2551</v>
      </c>
      <c r="D147" s="19">
        <v>45764.618055555555</v>
      </c>
      <c r="E147" s="18" t="s">
        <v>10</v>
      </c>
      <c r="F147" s="18">
        <v>10</v>
      </c>
      <c r="G147" s="19">
        <v>45783.638194444444</v>
      </c>
      <c r="H147" s="18" t="s">
        <v>236</v>
      </c>
      <c r="I147" s="18" t="s">
        <v>10</v>
      </c>
      <c r="J147" s="18" t="s">
        <v>12</v>
      </c>
      <c r="K147" s="20"/>
    </row>
    <row r="148" spans="1:11" ht="36.75" thickBot="1">
      <c r="A148" s="18" t="s">
        <v>2554</v>
      </c>
      <c r="B148" s="18">
        <v>20020043312</v>
      </c>
      <c r="C148" s="18" t="s">
        <v>2555</v>
      </c>
      <c r="D148" s="19">
        <v>45769.40902777778</v>
      </c>
      <c r="E148" s="18" t="s">
        <v>10</v>
      </c>
      <c r="F148" s="18">
        <v>20</v>
      </c>
      <c r="G148" s="19">
        <v>45817.554861111108</v>
      </c>
      <c r="H148" s="18" t="s">
        <v>236</v>
      </c>
      <c r="I148" s="18" t="s">
        <v>10</v>
      </c>
      <c r="J148" s="18" t="s">
        <v>12</v>
      </c>
      <c r="K148" s="20"/>
    </row>
    <row r="149" spans="1:11" ht="36.75" thickBot="1">
      <c r="A149" s="18" t="s">
        <v>2556</v>
      </c>
      <c r="B149" s="18">
        <v>20022817719</v>
      </c>
      <c r="C149" s="18" t="s">
        <v>2557</v>
      </c>
      <c r="D149" s="19">
        <v>45771.963194444441</v>
      </c>
      <c r="E149" s="18" t="s">
        <v>10</v>
      </c>
      <c r="F149" s="18">
        <v>6</v>
      </c>
      <c r="G149" s="19">
        <v>45860.643750000003</v>
      </c>
      <c r="H149" s="18" t="s">
        <v>2657</v>
      </c>
      <c r="I149" s="18" t="s">
        <v>10</v>
      </c>
      <c r="J149" s="18" t="s">
        <v>12</v>
      </c>
      <c r="K149" s="20"/>
    </row>
    <row r="150" spans="1:11" ht="36.75" thickBot="1">
      <c r="A150" s="18" t="s">
        <v>2658</v>
      </c>
      <c r="B150" s="18">
        <v>20002659529</v>
      </c>
      <c r="C150" s="18" t="s">
        <v>2659</v>
      </c>
      <c r="D150" s="19">
        <v>45783.345833333333</v>
      </c>
      <c r="E150" s="18" t="s">
        <v>10</v>
      </c>
      <c r="F150" s="18">
        <v>11.4</v>
      </c>
      <c r="G150" s="19">
        <v>45821.34652777778</v>
      </c>
      <c r="H150" s="18" t="s">
        <v>236</v>
      </c>
      <c r="I150" s="18" t="s">
        <v>10</v>
      </c>
      <c r="J150" s="18" t="s">
        <v>12</v>
      </c>
      <c r="K150" s="20"/>
    </row>
    <row r="151" spans="1:11" ht="36.75" thickBot="1">
      <c r="A151" s="18" t="s">
        <v>2660</v>
      </c>
      <c r="B151" s="18">
        <v>20027772147</v>
      </c>
      <c r="C151" s="18" t="s">
        <v>2279</v>
      </c>
      <c r="D151" s="19">
        <v>45784.6</v>
      </c>
      <c r="E151" s="18" t="s">
        <v>10</v>
      </c>
      <c r="F151" s="18">
        <v>10</v>
      </c>
      <c r="G151" s="19">
        <v>45860.643750000003</v>
      </c>
      <c r="H151" s="18" t="s">
        <v>2657</v>
      </c>
      <c r="I151" s="18" t="s">
        <v>10</v>
      </c>
      <c r="J151" s="18" t="s">
        <v>12</v>
      </c>
      <c r="K151" s="20"/>
    </row>
    <row r="152" spans="1:11" ht="36.75" thickBot="1">
      <c r="A152" s="18" t="s">
        <v>2661</v>
      </c>
      <c r="B152" s="18">
        <v>20024229181</v>
      </c>
      <c r="C152" s="18" t="s">
        <v>2662</v>
      </c>
      <c r="D152" s="19">
        <v>45784.692361111112</v>
      </c>
      <c r="E152" s="18" t="s">
        <v>10</v>
      </c>
      <c r="F152" s="18">
        <v>5</v>
      </c>
      <c r="G152" s="19">
        <v>45860.643750000003</v>
      </c>
      <c r="H152" s="18" t="s">
        <v>2657</v>
      </c>
      <c r="I152" s="18" t="s">
        <v>10</v>
      </c>
      <c r="J152" s="18" t="s">
        <v>12</v>
      </c>
      <c r="K152" s="20"/>
    </row>
    <row r="153" spans="1:11" ht="36.75" thickBot="1">
      <c r="A153" s="18" t="s">
        <v>2663</v>
      </c>
      <c r="B153" s="18">
        <v>20002703554</v>
      </c>
      <c r="C153" s="18" t="s">
        <v>2664</v>
      </c>
      <c r="D153" s="19">
        <v>45785.459027777775</v>
      </c>
      <c r="E153" s="18" t="s">
        <v>10</v>
      </c>
      <c r="F153" s="18">
        <v>8</v>
      </c>
      <c r="G153" s="18" t="s">
        <v>10</v>
      </c>
      <c r="H153" s="18" t="s">
        <v>178</v>
      </c>
      <c r="I153" s="18" t="s">
        <v>10</v>
      </c>
      <c r="J153" s="18" t="s">
        <v>12</v>
      </c>
      <c r="K153" s="20"/>
    </row>
    <row r="154" spans="1:11" ht="36.75" thickBot="1">
      <c r="A154" s="18" t="s">
        <v>2665</v>
      </c>
      <c r="B154" s="18">
        <v>20024021934</v>
      </c>
      <c r="C154" s="18" t="s">
        <v>2666</v>
      </c>
      <c r="D154" s="19">
        <v>45790.474305555559</v>
      </c>
      <c r="E154" s="18" t="s">
        <v>10</v>
      </c>
      <c r="F154" s="18">
        <v>6</v>
      </c>
      <c r="G154" s="19">
        <v>45827.4</v>
      </c>
      <c r="H154" s="18" t="s">
        <v>236</v>
      </c>
      <c r="I154" s="18" t="s">
        <v>10</v>
      </c>
      <c r="J154" s="18" t="s">
        <v>12</v>
      </c>
      <c r="K154" s="20"/>
    </row>
    <row r="155" spans="1:11" ht="36.75" thickBot="1">
      <c r="A155" s="18" t="s">
        <v>2667</v>
      </c>
      <c r="B155" s="18">
        <v>20002992411</v>
      </c>
      <c r="C155" s="18" t="s">
        <v>2668</v>
      </c>
      <c r="D155" s="19">
        <v>45784.580555555556</v>
      </c>
      <c r="E155" s="19">
        <v>45791.717361111114</v>
      </c>
      <c r="F155" s="18">
        <v>5</v>
      </c>
      <c r="G155" s="19">
        <v>45825.457638888889</v>
      </c>
      <c r="H155" s="18" t="s">
        <v>236</v>
      </c>
      <c r="I155" s="18" t="s">
        <v>10</v>
      </c>
      <c r="J155" s="18" t="s">
        <v>12</v>
      </c>
      <c r="K155" s="20"/>
    </row>
    <row r="156" spans="1:11" ht="36.75" thickBot="1">
      <c r="A156" s="18" t="s">
        <v>2669</v>
      </c>
      <c r="B156" s="18">
        <v>20023145677</v>
      </c>
      <c r="C156" s="18" t="s">
        <v>2670</v>
      </c>
      <c r="D156" s="19">
        <v>45786.672222222223</v>
      </c>
      <c r="E156" s="19">
        <v>45792.542361111111</v>
      </c>
      <c r="F156" s="18">
        <v>20</v>
      </c>
      <c r="G156" s="19">
        <v>45819.426388888889</v>
      </c>
      <c r="H156" s="18" t="s">
        <v>236</v>
      </c>
      <c r="I156" s="18" t="s">
        <v>10</v>
      </c>
      <c r="J156" s="18" t="s">
        <v>12</v>
      </c>
      <c r="K156" s="20"/>
    </row>
    <row r="157" spans="1:11" ht="36.75" thickBot="1">
      <c r="A157" s="18" t="s">
        <v>7852</v>
      </c>
      <c r="B157" s="18">
        <v>20002696066</v>
      </c>
      <c r="C157" s="18" t="s">
        <v>7853</v>
      </c>
      <c r="D157" s="19">
        <v>45792.557638888888</v>
      </c>
      <c r="E157" s="18" t="s">
        <v>10</v>
      </c>
      <c r="F157" s="18">
        <v>10</v>
      </c>
      <c r="G157" s="19">
        <v>45817.384027777778</v>
      </c>
      <c r="H157" s="18" t="s">
        <v>236</v>
      </c>
      <c r="I157" s="18" t="s">
        <v>10</v>
      </c>
      <c r="J157" s="18" t="s">
        <v>7834</v>
      </c>
      <c r="K157" s="20"/>
    </row>
    <row r="158" spans="1:11" ht="36.75" thickBot="1">
      <c r="A158" s="18" t="s">
        <v>2671</v>
      </c>
      <c r="B158" s="18">
        <v>20028484676</v>
      </c>
      <c r="C158" s="18" t="s">
        <v>2672</v>
      </c>
      <c r="D158" s="19">
        <v>45786.638888888891</v>
      </c>
      <c r="E158" s="19">
        <v>45792.634027777778</v>
      </c>
      <c r="F158" s="18">
        <v>20</v>
      </c>
      <c r="G158" s="19">
        <v>45824.397222222222</v>
      </c>
      <c r="H158" s="18" t="s">
        <v>236</v>
      </c>
      <c r="I158" s="18" t="s">
        <v>10</v>
      </c>
      <c r="J158" s="18" t="s">
        <v>12</v>
      </c>
      <c r="K158" s="20"/>
    </row>
    <row r="159" spans="1:11" ht="36.75" thickBot="1">
      <c r="A159" s="18" t="s">
        <v>2673</v>
      </c>
      <c r="B159" s="18">
        <v>20022671835</v>
      </c>
      <c r="C159" s="18" t="s">
        <v>2674</v>
      </c>
      <c r="D159" s="19">
        <v>45792.667361111111</v>
      </c>
      <c r="E159" s="18" t="s">
        <v>10</v>
      </c>
      <c r="F159" s="18">
        <v>5.7</v>
      </c>
      <c r="G159" s="19">
        <v>45856.585416666669</v>
      </c>
      <c r="H159" s="18" t="s">
        <v>236</v>
      </c>
      <c r="I159" s="18" t="s">
        <v>10</v>
      </c>
      <c r="J159" s="18" t="s">
        <v>12</v>
      </c>
      <c r="K159" s="20"/>
    </row>
    <row r="160" spans="1:11" ht="36.75" thickBot="1">
      <c r="A160" s="18" t="s">
        <v>7854</v>
      </c>
      <c r="B160" s="18">
        <v>20002763133</v>
      </c>
      <c r="C160" s="18" t="s">
        <v>7855</v>
      </c>
      <c r="D160" s="19">
        <v>45803.493055555555</v>
      </c>
      <c r="E160" s="18" t="s">
        <v>10</v>
      </c>
      <c r="F160" s="18">
        <v>5</v>
      </c>
      <c r="G160" s="19">
        <v>45897.446527777778</v>
      </c>
      <c r="H160" s="18" t="s">
        <v>236</v>
      </c>
      <c r="I160" s="18" t="s">
        <v>10</v>
      </c>
      <c r="J160" s="18" t="s">
        <v>7834</v>
      </c>
      <c r="K160" s="20"/>
    </row>
    <row r="161" spans="1:11" ht="36.75" thickBot="1">
      <c r="A161" s="18" t="s">
        <v>2675</v>
      </c>
      <c r="B161" s="18">
        <v>20002703554</v>
      </c>
      <c r="C161" s="18" t="s">
        <v>2676</v>
      </c>
      <c r="D161" s="19">
        <v>45804.46597222222</v>
      </c>
      <c r="E161" s="18" t="s">
        <v>10</v>
      </c>
      <c r="F161" s="18">
        <v>8</v>
      </c>
      <c r="G161" s="19">
        <v>45817.651388888888</v>
      </c>
      <c r="H161" s="18" t="s">
        <v>236</v>
      </c>
      <c r="I161" s="18" t="s">
        <v>10</v>
      </c>
      <c r="J161" s="18" t="s">
        <v>12</v>
      </c>
      <c r="K161" s="20"/>
    </row>
    <row r="162" spans="1:11" ht="36.75" thickBot="1">
      <c r="A162" s="18" t="s">
        <v>2677</v>
      </c>
      <c r="B162" s="18">
        <v>20002985668</v>
      </c>
      <c r="C162" s="18" t="s">
        <v>2678</v>
      </c>
      <c r="D162" s="19">
        <v>45805.441666666666</v>
      </c>
      <c r="E162" s="19">
        <v>45811.553472222222</v>
      </c>
      <c r="F162" s="18">
        <v>6</v>
      </c>
      <c r="G162" s="18" t="s">
        <v>10</v>
      </c>
      <c r="H162" s="18" t="s">
        <v>178</v>
      </c>
      <c r="I162" s="18" t="s">
        <v>10</v>
      </c>
      <c r="J162" s="18" t="s">
        <v>12</v>
      </c>
      <c r="K162" s="20"/>
    </row>
    <row r="163" spans="1:11" ht="36.75" thickBot="1">
      <c r="A163" s="18" t="s">
        <v>2679</v>
      </c>
      <c r="B163" s="18">
        <v>20019779643</v>
      </c>
      <c r="C163" s="18" t="s">
        <v>2680</v>
      </c>
      <c r="D163" s="19">
        <v>45812.739583333336</v>
      </c>
      <c r="E163" s="18" t="s">
        <v>10</v>
      </c>
      <c r="F163" s="18">
        <v>5</v>
      </c>
      <c r="G163" s="19">
        <v>45817.595138888886</v>
      </c>
      <c r="H163" s="18" t="s">
        <v>2657</v>
      </c>
      <c r="I163" s="18" t="s">
        <v>10</v>
      </c>
      <c r="J163" s="18" t="s">
        <v>12</v>
      </c>
      <c r="K163" s="20"/>
    </row>
    <row r="164" spans="1:11" ht="36.75" thickBot="1">
      <c r="A164" s="18" t="s">
        <v>7856</v>
      </c>
      <c r="B164" s="18">
        <v>20003645476</v>
      </c>
      <c r="C164" s="18" t="s">
        <v>7857</v>
      </c>
      <c r="D164" s="19">
        <v>45737.679166666669</v>
      </c>
      <c r="E164" s="19">
        <v>45817.409722222219</v>
      </c>
      <c r="F164" s="18">
        <v>15</v>
      </c>
      <c r="G164" s="18" t="s">
        <v>10</v>
      </c>
      <c r="H164" s="18" t="s">
        <v>189</v>
      </c>
      <c r="I164" s="18" t="s">
        <v>10</v>
      </c>
      <c r="J164" s="18" t="s">
        <v>7834</v>
      </c>
      <c r="K164" s="20"/>
    </row>
    <row r="165" spans="1:11" ht="36.75" thickBot="1">
      <c r="A165" s="18" t="s">
        <v>2682</v>
      </c>
      <c r="B165" s="18">
        <v>20002709825</v>
      </c>
      <c r="C165" s="18" t="s">
        <v>2101</v>
      </c>
      <c r="D165" s="19">
        <v>45815.859722222223</v>
      </c>
      <c r="E165" s="19">
        <v>45818.65625</v>
      </c>
      <c r="F165" s="18">
        <v>8</v>
      </c>
      <c r="G165" s="18" t="s">
        <v>10</v>
      </c>
      <c r="H165" s="18" t="s">
        <v>189</v>
      </c>
      <c r="I165" s="18" t="s">
        <v>10</v>
      </c>
      <c r="J165" s="18" t="s">
        <v>12</v>
      </c>
      <c r="K165" s="20"/>
    </row>
    <row r="166" spans="1:11" ht="36.75" thickBot="1">
      <c r="A166" s="18" t="s">
        <v>2683</v>
      </c>
      <c r="B166" s="18">
        <v>20016716038</v>
      </c>
      <c r="C166" s="18" t="s">
        <v>2684</v>
      </c>
      <c r="D166" s="19">
        <v>45820.595833333333</v>
      </c>
      <c r="E166" s="18" t="s">
        <v>10</v>
      </c>
      <c r="F166" s="18">
        <v>6</v>
      </c>
      <c r="G166" s="19">
        <v>45834.395138888889</v>
      </c>
      <c r="H166" s="18" t="s">
        <v>236</v>
      </c>
      <c r="I166" s="18" t="s">
        <v>10</v>
      </c>
      <c r="J166" s="18" t="s">
        <v>12</v>
      </c>
      <c r="K166" s="20"/>
    </row>
    <row r="167" spans="1:11" ht="36.75" thickBot="1">
      <c r="A167" s="18" t="s">
        <v>2685</v>
      </c>
      <c r="B167" s="18">
        <v>20022039003</v>
      </c>
      <c r="C167" s="18" t="s">
        <v>2686</v>
      </c>
      <c r="D167" s="19">
        <v>45820.695833333331</v>
      </c>
      <c r="E167" s="18" t="s">
        <v>10</v>
      </c>
      <c r="F167" s="18">
        <v>5</v>
      </c>
      <c r="G167" s="19">
        <v>45859.564583333333</v>
      </c>
      <c r="H167" s="18" t="s">
        <v>236</v>
      </c>
      <c r="I167" s="18" t="s">
        <v>10</v>
      </c>
      <c r="J167" s="18" t="s">
        <v>12</v>
      </c>
      <c r="K167" s="20"/>
    </row>
    <row r="168" spans="1:11" ht="36.75" thickBot="1">
      <c r="A168" s="18" t="s">
        <v>2946</v>
      </c>
      <c r="B168" s="18">
        <v>20028411502</v>
      </c>
      <c r="C168" s="18" t="s">
        <v>2947</v>
      </c>
      <c r="D168" s="19">
        <v>45828.530555555553</v>
      </c>
      <c r="E168" s="18" t="s">
        <v>10</v>
      </c>
      <c r="F168" s="18">
        <v>5</v>
      </c>
      <c r="G168" s="19">
        <v>45855.549305555556</v>
      </c>
      <c r="H168" s="18" t="s">
        <v>236</v>
      </c>
      <c r="I168" s="18" t="s">
        <v>10</v>
      </c>
      <c r="J168" s="18" t="s">
        <v>12</v>
      </c>
      <c r="K168" s="20"/>
    </row>
    <row r="169" spans="1:11" ht="36.75" thickBot="1">
      <c r="A169" s="18" t="s">
        <v>2948</v>
      </c>
      <c r="B169" s="18">
        <v>20026472857</v>
      </c>
      <c r="C169" s="18" t="s">
        <v>2949</v>
      </c>
      <c r="D169" s="19">
        <v>45828.575694444444</v>
      </c>
      <c r="E169" s="19">
        <v>45832.554861111108</v>
      </c>
      <c r="F169" s="18">
        <v>10</v>
      </c>
      <c r="G169" s="18" t="s">
        <v>10</v>
      </c>
      <c r="H169" s="18" t="s">
        <v>189</v>
      </c>
      <c r="I169" s="18" t="s">
        <v>10</v>
      </c>
      <c r="J169" s="18" t="s">
        <v>12</v>
      </c>
      <c r="K169" s="20"/>
    </row>
    <row r="170" spans="1:11" ht="36.75" thickBot="1">
      <c r="A170" s="18" t="s">
        <v>2950</v>
      </c>
      <c r="B170" s="18">
        <v>20025644754</v>
      </c>
      <c r="C170" s="18" t="s">
        <v>2951</v>
      </c>
      <c r="D170" s="19">
        <v>45835.63958333333</v>
      </c>
      <c r="E170" s="18" t="s">
        <v>10</v>
      </c>
      <c r="F170" s="18">
        <v>10</v>
      </c>
      <c r="G170" s="19">
        <v>45840.438888888886</v>
      </c>
      <c r="H170" s="18" t="s">
        <v>236</v>
      </c>
      <c r="I170" s="18" t="s">
        <v>10</v>
      </c>
      <c r="J170" s="18" t="s">
        <v>12</v>
      </c>
      <c r="K170" s="20"/>
    </row>
    <row r="171" spans="1:11" ht="36.75" thickBot="1">
      <c r="A171" s="18" t="s">
        <v>7858</v>
      </c>
      <c r="B171" s="18">
        <v>20023016721</v>
      </c>
      <c r="C171" s="18" t="s">
        <v>7859</v>
      </c>
      <c r="D171" s="19">
        <v>45839.699305555558</v>
      </c>
      <c r="E171" s="18" t="s">
        <v>10</v>
      </c>
      <c r="F171" s="18">
        <v>10</v>
      </c>
      <c r="G171" s="18" t="s">
        <v>10</v>
      </c>
      <c r="H171" s="18" t="s">
        <v>189</v>
      </c>
      <c r="I171" s="18" t="s">
        <v>10</v>
      </c>
      <c r="J171" s="18" t="s">
        <v>7834</v>
      </c>
      <c r="K171" s="20"/>
    </row>
    <row r="172" spans="1:11" ht="36.75" thickBot="1">
      <c r="A172" s="18" t="s">
        <v>2952</v>
      </c>
      <c r="B172" s="18">
        <v>20028117877</v>
      </c>
      <c r="C172" s="18" t="s">
        <v>2953</v>
      </c>
      <c r="D172" s="19">
        <v>45831.802777777775</v>
      </c>
      <c r="E172" s="19">
        <v>45843.700694444444</v>
      </c>
      <c r="F172" s="18">
        <v>5</v>
      </c>
      <c r="G172" s="19">
        <v>45853.614583333336</v>
      </c>
      <c r="H172" s="18" t="s">
        <v>2657</v>
      </c>
      <c r="I172" s="18" t="s">
        <v>10</v>
      </c>
      <c r="J172" s="18" t="s">
        <v>12</v>
      </c>
      <c r="K172" s="20"/>
    </row>
    <row r="173" spans="1:11" ht="36.75" thickBot="1">
      <c r="A173" s="18" t="s">
        <v>2954</v>
      </c>
      <c r="B173" s="18">
        <v>20002686677</v>
      </c>
      <c r="C173" s="18" t="s">
        <v>2955</v>
      </c>
      <c r="D173" s="19">
        <v>45845.744444444441</v>
      </c>
      <c r="E173" s="18" t="s">
        <v>10</v>
      </c>
      <c r="F173" s="18">
        <v>4</v>
      </c>
      <c r="G173" s="18" t="s">
        <v>10</v>
      </c>
      <c r="H173" s="18" t="s">
        <v>189</v>
      </c>
      <c r="I173" s="18" t="s">
        <v>10</v>
      </c>
      <c r="J173" s="18" t="s">
        <v>12</v>
      </c>
      <c r="K173" s="20"/>
    </row>
    <row r="174" spans="1:11" ht="36.75" thickBot="1">
      <c r="A174" s="18" t="s">
        <v>2956</v>
      </c>
      <c r="B174" s="18">
        <v>20025601500</v>
      </c>
      <c r="C174" s="18" t="s">
        <v>2957</v>
      </c>
      <c r="D174" s="19">
        <v>45847.591666666667</v>
      </c>
      <c r="E174" s="18" t="s">
        <v>10</v>
      </c>
      <c r="F174" s="18">
        <v>5</v>
      </c>
      <c r="G174" s="19">
        <v>45859.564583333333</v>
      </c>
      <c r="H174" s="18" t="s">
        <v>236</v>
      </c>
      <c r="I174" s="18" t="s">
        <v>10</v>
      </c>
      <c r="J174" s="18" t="s">
        <v>12</v>
      </c>
      <c r="K174" s="20"/>
    </row>
    <row r="175" spans="1:11" ht="36.75" thickBot="1">
      <c r="A175" s="18" t="s">
        <v>2958</v>
      </c>
      <c r="B175" s="18">
        <v>20027246148</v>
      </c>
      <c r="C175" s="18" t="s">
        <v>2959</v>
      </c>
      <c r="D175" s="19">
        <v>45851.892361111109</v>
      </c>
      <c r="E175" s="18" t="s">
        <v>10</v>
      </c>
      <c r="F175" s="18">
        <v>15</v>
      </c>
      <c r="G175" s="19">
        <v>45860.644444444442</v>
      </c>
      <c r="H175" s="18" t="s">
        <v>2657</v>
      </c>
      <c r="I175" s="18" t="s">
        <v>10</v>
      </c>
      <c r="J175" s="18" t="s">
        <v>12</v>
      </c>
      <c r="K175" s="20"/>
    </row>
    <row r="176" spans="1:11" ht="36.75" thickBot="1">
      <c r="A176" s="18" t="s">
        <v>7860</v>
      </c>
      <c r="B176" s="18">
        <v>20027314896</v>
      </c>
      <c r="C176" s="18" t="s">
        <v>7861</v>
      </c>
      <c r="D176" s="19">
        <v>45852.631249999999</v>
      </c>
      <c r="E176" s="18" t="s">
        <v>10</v>
      </c>
      <c r="F176" s="18">
        <v>4</v>
      </c>
      <c r="G176" s="18" t="s">
        <v>10</v>
      </c>
      <c r="H176" s="18" t="s">
        <v>189</v>
      </c>
      <c r="I176" s="18" t="s">
        <v>10</v>
      </c>
      <c r="J176" s="18" t="s">
        <v>7834</v>
      </c>
      <c r="K176" s="20"/>
    </row>
    <row r="177" spans="1:11" ht="36.75" thickBot="1">
      <c r="A177" s="18" t="s">
        <v>2960</v>
      </c>
      <c r="B177" s="18">
        <v>20002924859</v>
      </c>
      <c r="C177" s="18" t="s">
        <v>2961</v>
      </c>
      <c r="D177" s="19">
        <v>45853.688194444447</v>
      </c>
      <c r="E177" s="18" t="s">
        <v>10</v>
      </c>
      <c r="F177" s="18">
        <v>3</v>
      </c>
      <c r="G177" s="19">
        <v>45883.560416666667</v>
      </c>
      <c r="H177" s="18" t="s">
        <v>236</v>
      </c>
      <c r="I177" s="18" t="s">
        <v>10</v>
      </c>
      <c r="J177" s="18" t="s">
        <v>12</v>
      </c>
      <c r="K177" s="20"/>
    </row>
    <row r="178" spans="1:11" ht="36.75" thickBot="1">
      <c r="A178" s="18" t="s">
        <v>2962</v>
      </c>
      <c r="B178" s="18">
        <v>20002755975</v>
      </c>
      <c r="C178" s="18" t="s">
        <v>2963</v>
      </c>
      <c r="D178" s="19">
        <v>45850.956944444442</v>
      </c>
      <c r="E178" s="19">
        <v>45853.861805555556</v>
      </c>
      <c r="F178" s="18">
        <v>5</v>
      </c>
      <c r="G178" s="18" t="s">
        <v>10</v>
      </c>
      <c r="H178" s="18" t="s">
        <v>178</v>
      </c>
      <c r="I178" s="18" t="s">
        <v>10</v>
      </c>
      <c r="J178" s="18" t="s">
        <v>12</v>
      </c>
      <c r="K178" s="20"/>
    </row>
    <row r="179" spans="1:11" ht="36.75" thickBot="1">
      <c r="A179" s="18" t="s">
        <v>2964</v>
      </c>
      <c r="B179" s="18">
        <v>20024892523</v>
      </c>
      <c r="C179" s="18" t="s">
        <v>2965</v>
      </c>
      <c r="D179" s="19">
        <v>45846.45416666667</v>
      </c>
      <c r="E179" s="19">
        <v>45853.861805555556</v>
      </c>
      <c r="F179" s="18">
        <v>5</v>
      </c>
      <c r="G179" s="18" t="s">
        <v>10</v>
      </c>
      <c r="H179" s="18" t="s">
        <v>189</v>
      </c>
      <c r="I179" s="18" t="s">
        <v>10</v>
      </c>
      <c r="J179" s="18" t="s">
        <v>12</v>
      </c>
      <c r="K179" s="20"/>
    </row>
    <row r="180" spans="1:11" ht="36.75" thickBot="1">
      <c r="A180" s="18" t="s">
        <v>2966</v>
      </c>
      <c r="B180" s="18">
        <v>20027903194</v>
      </c>
      <c r="C180" s="18" t="s">
        <v>2967</v>
      </c>
      <c r="D180" s="19">
        <v>45854.436111111114</v>
      </c>
      <c r="E180" s="18" t="s">
        <v>10</v>
      </c>
      <c r="F180" s="18">
        <v>5</v>
      </c>
      <c r="G180" s="19">
        <v>45861.54791666667</v>
      </c>
      <c r="H180" s="18" t="s">
        <v>236</v>
      </c>
      <c r="I180" s="18" t="s">
        <v>10</v>
      </c>
      <c r="J180" s="18" t="s">
        <v>12</v>
      </c>
      <c r="K180" s="20"/>
    </row>
    <row r="181" spans="1:11" ht="36.75" thickBot="1">
      <c r="A181" s="18" t="s">
        <v>2968</v>
      </c>
      <c r="B181" s="18">
        <v>20027903192</v>
      </c>
      <c r="C181" s="18" t="s">
        <v>2967</v>
      </c>
      <c r="D181" s="19">
        <v>45854.45</v>
      </c>
      <c r="E181" s="18" t="s">
        <v>10</v>
      </c>
      <c r="F181" s="18">
        <v>5</v>
      </c>
      <c r="G181" s="19">
        <v>45861.54791666667</v>
      </c>
      <c r="H181" s="18" t="s">
        <v>236</v>
      </c>
      <c r="I181" s="18" t="s">
        <v>10</v>
      </c>
      <c r="J181" s="18" t="s">
        <v>12</v>
      </c>
      <c r="K181" s="20"/>
    </row>
    <row r="182" spans="1:11" ht="36.75" thickBot="1">
      <c r="A182" s="18" t="s">
        <v>2969</v>
      </c>
      <c r="B182" s="18">
        <v>20027903193</v>
      </c>
      <c r="C182" s="18" t="s">
        <v>2967</v>
      </c>
      <c r="D182" s="19">
        <v>45854.458333333336</v>
      </c>
      <c r="E182" s="18" t="s">
        <v>10</v>
      </c>
      <c r="F182" s="18">
        <v>5</v>
      </c>
      <c r="G182" s="19">
        <v>45861.54791666667</v>
      </c>
      <c r="H182" s="18" t="s">
        <v>236</v>
      </c>
      <c r="I182" s="18" t="s">
        <v>10</v>
      </c>
      <c r="J182" s="18" t="s">
        <v>12</v>
      </c>
      <c r="K182" s="20"/>
    </row>
    <row r="183" spans="1:11" ht="36.75" thickBot="1">
      <c r="A183" s="18" t="s">
        <v>2970</v>
      </c>
      <c r="B183" s="18">
        <v>20027903191</v>
      </c>
      <c r="C183" s="18" t="s">
        <v>2967</v>
      </c>
      <c r="D183" s="19">
        <v>45854.470833333333</v>
      </c>
      <c r="E183" s="18" t="s">
        <v>10</v>
      </c>
      <c r="F183" s="18">
        <v>5</v>
      </c>
      <c r="G183" s="19">
        <v>45861.54791666667</v>
      </c>
      <c r="H183" s="18" t="s">
        <v>236</v>
      </c>
      <c r="I183" s="18" t="s">
        <v>10</v>
      </c>
      <c r="J183" s="18" t="s">
        <v>12</v>
      </c>
      <c r="K183" s="20"/>
    </row>
    <row r="184" spans="1:11" ht="36.75" thickBot="1">
      <c r="A184" s="18" t="s">
        <v>2971</v>
      </c>
      <c r="B184" s="18">
        <v>20027639490</v>
      </c>
      <c r="C184" s="18" t="s">
        <v>2972</v>
      </c>
      <c r="D184" s="19">
        <v>45854.540972222225</v>
      </c>
      <c r="E184" s="18" t="s">
        <v>10</v>
      </c>
      <c r="F184" s="18">
        <v>4</v>
      </c>
      <c r="G184" s="19">
        <v>45869.595138888886</v>
      </c>
      <c r="H184" s="18" t="s">
        <v>236</v>
      </c>
      <c r="I184" s="18" t="s">
        <v>10</v>
      </c>
      <c r="J184" s="18" t="s">
        <v>12</v>
      </c>
      <c r="K184" s="20"/>
    </row>
    <row r="185" spans="1:11" ht="36.75" thickBot="1">
      <c r="A185" s="18" t="s">
        <v>2973</v>
      </c>
      <c r="B185" s="18">
        <v>20028079314</v>
      </c>
      <c r="C185" s="18" t="s">
        <v>2967</v>
      </c>
      <c r="D185" s="19">
        <v>45854.619444444441</v>
      </c>
      <c r="E185" s="18" t="s">
        <v>10</v>
      </c>
      <c r="F185" s="18">
        <v>5</v>
      </c>
      <c r="G185" s="19">
        <v>45861.54791666667</v>
      </c>
      <c r="H185" s="18" t="s">
        <v>236</v>
      </c>
      <c r="I185" s="18" t="s">
        <v>10</v>
      </c>
      <c r="J185" s="18" t="s">
        <v>12</v>
      </c>
      <c r="K185" s="20"/>
    </row>
    <row r="186" spans="1:11" ht="36.75" thickBot="1">
      <c r="A186" s="18" t="s">
        <v>2974</v>
      </c>
      <c r="B186" s="18">
        <v>20002733139</v>
      </c>
      <c r="C186" s="18" t="s">
        <v>2975</v>
      </c>
      <c r="D186" s="19">
        <v>45857.472222222219</v>
      </c>
      <c r="E186" s="18" t="s">
        <v>10</v>
      </c>
      <c r="F186" s="18">
        <v>4</v>
      </c>
      <c r="G186" s="18" t="s">
        <v>10</v>
      </c>
      <c r="H186" s="18" t="s">
        <v>178</v>
      </c>
      <c r="I186" s="18" t="s">
        <v>10</v>
      </c>
      <c r="J186" s="18" t="s">
        <v>12</v>
      </c>
      <c r="K186" s="20"/>
    </row>
    <row r="187" spans="1:11" ht="36.75" thickBot="1">
      <c r="A187" s="18" t="s">
        <v>2976</v>
      </c>
      <c r="B187" s="18">
        <v>20028642523</v>
      </c>
      <c r="C187" s="18" t="s">
        <v>2977</v>
      </c>
      <c r="D187" s="19">
        <v>45860.492361111108</v>
      </c>
      <c r="E187" s="18" t="s">
        <v>10</v>
      </c>
      <c r="F187" s="18">
        <v>10</v>
      </c>
      <c r="G187" s="19">
        <v>45887.625</v>
      </c>
      <c r="H187" s="18" t="s">
        <v>236</v>
      </c>
      <c r="I187" s="18" t="s">
        <v>10</v>
      </c>
      <c r="J187" s="18" t="s">
        <v>12</v>
      </c>
      <c r="K187" s="20"/>
    </row>
    <row r="188" spans="1:11" ht="36.75" thickBot="1">
      <c r="A188" s="18" t="s">
        <v>2978</v>
      </c>
      <c r="B188" s="18">
        <v>20025619754</v>
      </c>
      <c r="C188" s="18" t="s">
        <v>2979</v>
      </c>
      <c r="D188" s="19">
        <v>45860.504861111112</v>
      </c>
      <c r="E188" s="18" t="s">
        <v>10</v>
      </c>
      <c r="F188" s="18">
        <v>15</v>
      </c>
      <c r="G188" s="19">
        <v>45874.430555555555</v>
      </c>
      <c r="H188" s="18" t="s">
        <v>236</v>
      </c>
      <c r="I188" s="18" t="s">
        <v>10</v>
      </c>
      <c r="J188" s="18" t="s">
        <v>12</v>
      </c>
      <c r="K188" s="20"/>
    </row>
    <row r="189" spans="1:11" ht="36.75" thickBot="1">
      <c r="A189" s="18" t="s">
        <v>2980</v>
      </c>
      <c r="B189" s="18">
        <v>20028399997</v>
      </c>
      <c r="C189" s="18" t="s">
        <v>2981</v>
      </c>
      <c r="D189" s="19">
        <v>45859.747916666667</v>
      </c>
      <c r="E189" s="19">
        <v>45862.397222222222</v>
      </c>
      <c r="F189" s="18">
        <v>10</v>
      </c>
      <c r="G189" s="18" t="s">
        <v>10</v>
      </c>
      <c r="H189" s="18" t="s">
        <v>189</v>
      </c>
      <c r="I189" s="18" t="s">
        <v>10</v>
      </c>
      <c r="J189" s="18" t="s">
        <v>12</v>
      </c>
      <c r="K189" s="20"/>
    </row>
    <row r="190" spans="1:11" ht="36.75" thickBot="1">
      <c r="A190" s="18" t="s">
        <v>2982</v>
      </c>
      <c r="B190" s="18">
        <v>20027725079</v>
      </c>
      <c r="C190" s="18" t="s">
        <v>2963</v>
      </c>
      <c r="D190" s="19">
        <v>45855.842361111114</v>
      </c>
      <c r="E190" s="19">
        <v>45862.40625</v>
      </c>
      <c r="F190" s="18">
        <v>5</v>
      </c>
      <c r="G190" s="19">
        <v>45874.387499999997</v>
      </c>
      <c r="H190" s="18" t="s">
        <v>236</v>
      </c>
      <c r="I190" s="18" t="s">
        <v>10</v>
      </c>
      <c r="J190" s="18" t="s">
        <v>12</v>
      </c>
      <c r="K190" s="20"/>
    </row>
    <row r="191" spans="1:11" ht="54.75" thickBot="1">
      <c r="A191" s="18" t="s">
        <v>2983</v>
      </c>
      <c r="B191" s="18">
        <v>20002919511</v>
      </c>
      <c r="C191" s="18" t="s">
        <v>2984</v>
      </c>
      <c r="D191" s="19">
        <v>45861.62222222222</v>
      </c>
      <c r="E191" s="19">
        <v>45862.409722222219</v>
      </c>
      <c r="F191" s="18">
        <v>5</v>
      </c>
      <c r="G191" s="18" t="s">
        <v>10</v>
      </c>
      <c r="H191" s="18" t="s">
        <v>178</v>
      </c>
      <c r="I191" s="18" t="s">
        <v>10</v>
      </c>
      <c r="J191" s="18" t="s">
        <v>12</v>
      </c>
      <c r="K191" s="20"/>
    </row>
    <row r="192" spans="1:11" ht="36.75" thickBot="1">
      <c r="A192" s="18" t="s">
        <v>2985</v>
      </c>
      <c r="B192" s="18">
        <v>20028347311</v>
      </c>
      <c r="C192" s="18" t="s">
        <v>2986</v>
      </c>
      <c r="D192" s="19">
        <v>45864.550694444442</v>
      </c>
      <c r="E192" s="18" t="s">
        <v>10</v>
      </c>
      <c r="F192" s="18">
        <v>10</v>
      </c>
      <c r="G192" s="19">
        <v>45870.593055555553</v>
      </c>
      <c r="H192" s="18" t="s">
        <v>236</v>
      </c>
      <c r="I192" s="18" t="s">
        <v>10</v>
      </c>
      <c r="J192" s="18" t="s">
        <v>12</v>
      </c>
      <c r="K192" s="20"/>
    </row>
    <row r="193" spans="1:11" ht="36.75" thickBot="1">
      <c r="A193" s="18" t="s">
        <v>2987</v>
      </c>
      <c r="B193" s="18">
        <v>20026095340</v>
      </c>
      <c r="C193" s="18" t="s">
        <v>2988</v>
      </c>
      <c r="D193" s="19">
        <v>45864.77847222222</v>
      </c>
      <c r="E193" s="18" t="s">
        <v>10</v>
      </c>
      <c r="F193" s="18">
        <v>5</v>
      </c>
      <c r="G193" s="19">
        <v>45875.618750000001</v>
      </c>
      <c r="H193" s="18" t="s">
        <v>236</v>
      </c>
      <c r="I193" s="18" t="s">
        <v>10</v>
      </c>
      <c r="J193" s="18" t="s">
        <v>12</v>
      </c>
      <c r="K193" s="20"/>
    </row>
    <row r="194" spans="1:11" ht="36.75" thickBot="1">
      <c r="A194" s="18" t="s">
        <v>2989</v>
      </c>
      <c r="B194" s="18">
        <v>20022322734</v>
      </c>
      <c r="C194" s="18" t="s">
        <v>2990</v>
      </c>
      <c r="D194" s="19">
        <v>45865.831944444442</v>
      </c>
      <c r="E194" s="18" t="s">
        <v>10</v>
      </c>
      <c r="F194" s="18">
        <v>5</v>
      </c>
      <c r="G194" s="19">
        <v>45868.645138888889</v>
      </c>
      <c r="H194" s="18" t="s">
        <v>236</v>
      </c>
      <c r="I194" s="18" t="s">
        <v>10</v>
      </c>
      <c r="J194" s="18" t="s">
        <v>12</v>
      </c>
      <c r="K194" s="20"/>
    </row>
    <row r="195" spans="1:11" ht="36.75" thickBot="1">
      <c r="A195" s="18" t="s">
        <v>2991</v>
      </c>
      <c r="B195" s="18">
        <v>20017322696</v>
      </c>
      <c r="C195" s="18" t="s">
        <v>2992</v>
      </c>
      <c r="D195" s="19">
        <v>45873.570138888892</v>
      </c>
      <c r="E195" s="18" t="s">
        <v>10</v>
      </c>
      <c r="F195" s="18">
        <v>6</v>
      </c>
      <c r="G195" s="18" t="s">
        <v>10</v>
      </c>
      <c r="H195" s="18" t="s">
        <v>178</v>
      </c>
      <c r="I195" s="18" t="s">
        <v>10</v>
      </c>
      <c r="J195" s="18" t="s">
        <v>12</v>
      </c>
      <c r="K195" s="20"/>
    </row>
    <row r="196" spans="1:11" ht="36.75" thickBot="1">
      <c r="A196" s="18" t="s">
        <v>2993</v>
      </c>
      <c r="B196" s="18">
        <v>20002925272</v>
      </c>
      <c r="C196" s="18" t="s">
        <v>215</v>
      </c>
      <c r="D196" s="19">
        <v>45875.473611111112</v>
      </c>
      <c r="E196" s="18" t="s">
        <v>10</v>
      </c>
      <c r="F196" s="18">
        <v>12</v>
      </c>
      <c r="G196" s="18" t="s">
        <v>10</v>
      </c>
      <c r="H196" s="18" t="s">
        <v>189</v>
      </c>
      <c r="I196" s="18" t="s">
        <v>10</v>
      </c>
      <c r="J196" s="18" t="s">
        <v>12</v>
      </c>
      <c r="K196" s="20"/>
    </row>
    <row r="197" spans="1:11" ht="36.75" thickBot="1">
      <c r="A197" s="18" t="s">
        <v>2994</v>
      </c>
      <c r="B197" s="18">
        <v>20022479074</v>
      </c>
      <c r="C197" s="18" t="s">
        <v>2995</v>
      </c>
      <c r="D197" s="19">
        <v>45862.499305555553</v>
      </c>
      <c r="E197" s="19">
        <v>45875.522222222222</v>
      </c>
      <c r="F197" s="18">
        <v>5</v>
      </c>
      <c r="G197" s="19">
        <v>45912.422222222223</v>
      </c>
      <c r="H197" s="18" t="s">
        <v>236</v>
      </c>
      <c r="I197" s="18" t="s">
        <v>10</v>
      </c>
      <c r="J197" s="18" t="s">
        <v>12</v>
      </c>
      <c r="K197" s="20"/>
    </row>
    <row r="198" spans="1:11" ht="36.75" thickBot="1">
      <c r="A198" s="18" t="s">
        <v>2996</v>
      </c>
      <c r="B198" s="18">
        <v>20025267156</v>
      </c>
      <c r="C198" s="18" t="s">
        <v>2997</v>
      </c>
      <c r="D198" s="19">
        <v>45876.697222222225</v>
      </c>
      <c r="E198" s="18" t="s">
        <v>10</v>
      </c>
      <c r="F198" s="18">
        <v>10</v>
      </c>
      <c r="G198" s="19">
        <v>45937.367361111108</v>
      </c>
      <c r="H198" s="18" t="s">
        <v>2657</v>
      </c>
      <c r="I198" s="18" t="s">
        <v>10</v>
      </c>
      <c r="J198" s="18" t="s">
        <v>12</v>
      </c>
      <c r="K198" s="20"/>
    </row>
    <row r="199" spans="1:11" ht="36.75" thickBot="1">
      <c r="A199" s="18" t="s">
        <v>7862</v>
      </c>
      <c r="B199" s="18">
        <v>20028611757</v>
      </c>
      <c r="C199" s="18" t="s">
        <v>7863</v>
      </c>
      <c r="D199" s="19">
        <v>45881.568055555559</v>
      </c>
      <c r="E199" s="18" t="s">
        <v>10</v>
      </c>
      <c r="F199" s="18">
        <v>5</v>
      </c>
      <c r="G199" s="19">
        <v>45912.413888888892</v>
      </c>
      <c r="H199" s="18" t="s">
        <v>236</v>
      </c>
      <c r="I199" s="18" t="s">
        <v>10</v>
      </c>
      <c r="J199" s="18" t="s">
        <v>7834</v>
      </c>
      <c r="K199" s="20"/>
    </row>
    <row r="200" spans="1:11" ht="36.75" thickBot="1">
      <c r="A200" s="18" t="s">
        <v>2998</v>
      </c>
      <c r="B200" s="18">
        <v>20027639951</v>
      </c>
      <c r="C200" s="18" t="s">
        <v>2999</v>
      </c>
      <c r="D200" s="19">
        <v>45875.511805555558</v>
      </c>
      <c r="E200" s="19">
        <v>45882.472222222219</v>
      </c>
      <c r="F200" s="18">
        <v>10</v>
      </c>
      <c r="G200" s="19">
        <v>45891.612500000003</v>
      </c>
      <c r="H200" s="18" t="s">
        <v>236</v>
      </c>
      <c r="I200" s="18" t="s">
        <v>10</v>
      </c>
      <c r="J200" s="18" t="s">
        <v>12</v>
      </c>
      <c r="K200" s="20"/>
    </row>
    <row r="201" spans="1:11" ht="36.75" thickBot="1">
      <c r="A201" s="18" t="s">
        <v>3000</v>
      </c>
      <c r="B201" s="18">
        <v>20023423509</v>
      </c>
      <c r="C201" s="18" t="s">
        <v>1878</v>
      </c>
      <c r="D201" s="19">
        <v>45867.411111111112</v>
      </c>
      <c r="E201" s="19">
        <v>45883.353472222225</v>
      </c>
      <c r="F201" s="18">
        <v>12</v>
      </c>
      <c r="G201" s="19">
        <v>45964.55</v>
      </c>
      <c r="H201" s="18" t="s">
        <v>2657</v>
      </c>
      <c r="I201" s="18" t="s">
        <v>10</v>
      </c>
      <c r="J201" s="18" t="s">
        <v>12</v>
      </c>
      <c r="K201" s="20"/>
    </row>
    <row r="202" spans="1:11" ht="36.75" thickBot="1">
      <c r="A202" s="18" t="s">
        <v>3001</v>
      </c>
      <c r="B202" s="18">
        <v>20028818912</v>
      </c>
      <c r="C202" s="18" t="s">
        <v>2992</v>
      </c>
      <c r="D202" s="19">
        <v>45884.436111111114</v>
      </c>
      <c r="E202" s="18" t="s">
        <v>10</v>
      </c>
      <c r="F202" s="18">
        <v>6</v>
      </c>
      <c r="G202" s="18" t="s">
        <v>10</v>
      </c>
      <c r="H202" s="18" t="s">
        <v>189</v>
      </c>
      <c r="I202" s="18" t="s">
        <v>10</v>
      </c>
      <c r="J202" s="18" t="s">
        <v>12</v>
      </c>
      <c r="K202" s="1"/>
    </row>
    <row r="203" spans="1:11" ht="36.75" thickBot="1">
      <c r="A203" s="21" t="s">
        <v>7864</v>
      </c>
      <c r="B203" s="21">
        <v>20026061497</v>
      </c>
      <c r="C203" s="21" t="s">
        <v>7865</v>
      </c>
      <c r="D203" s="22">
        <v>45884.470833333333</v>
      </c>
      <c r="E203" s="21" t="s">
        <v>10</v>
      </c>
      <c r="F203" s="21">
        <v>5</v>
      </c>
      <c r="G203" s="22">
        <v>45946.586111111108</v>
      </c>
      <c r="H203" s="21" t="s">
        <v>236</v>
      </c>
      <c r="I203" s="21" t="s">
        <v>10</v>
      </c>
      <c r="J203" s="21" t="s">
        <v>7834</v>
      </c>
      <c r="K203" s="20"/>
    </row>
    <row r="204" spans="1:11" ht="36.75" thickBot="1">
      <c r="A204" s="18" t="s">
        <v>3002</v>
      </c>
      <c r="B204" s="18">
        <v>20002830283</v>
      </c>
      <c r="C204" s="18" t="s">
        <v>3003</v>
      </c>
      <c r="D204" s="19">
        <v>45888.370138888888</v>
      </c>
      <c r="E204" s="18" t="s">
        <v>10</v>
      </c>
      <c r="F204" s="18">
        <v>3</v>
      </c>
      <c r="G204" s="19">
        <v>45937.367361111108</v>
      </c>
      <c r="H204" s="18" t="s">
        <v>2657</v>
      </c>
      <c r="I204" s="18" t="s">
        <v>10</v>
      </c>
      <c r="J204" s="18" t="s">
        <v>12</v>
      </c>
      <c r="K204" s="20"/>
    </row>
    <row r="205" spans="1:11" ht="36.75" thickBot="1">
      <c r="A205" s="18" t="s">
        <v>3004</v>
      </c>
      <c r="B205" s="18">
        <v>20002667533</v>
      </c>
      <c r="C205" s="18" t="s">
        <v>3005</v>
      </c>
      <c r="D205" s="19">
        <v>45891.442361111112</v>
      </c>
      <c r="E205" s="18" t="s">
        <v>10</v>
      </c>
      <c r="F205" s="18">
        <v>5</v>
      </c>
      <c r="G205" s="19">
        <v>45944.576388888891</v>
      </c>
      <c r="H205" s="18" t="s">
        <v>236</v>
      </c>
      <c r="I205" s="18" t="s">
        <v>10</v>
      </c>
      <c r="J205" s="18" t="s">
        <v>12</v>
      </c>
      <c r="K205" s="20"/>
    </row>
    <row r="206" spans="1:11" ht="36.75" thickBot="1">
      <c r="A206" s="18" t="s">
        <v>7866</v>
      </c>
      <c r="B206" s="18">
        <v>20024794318</v>
      </c>
      <c r="C206" s="18" t="s">
        <v>7867</v>
      </c>
      <c r="D206" s="19">
        <v>45870.581250000003</v>
      </c>
      <c r="E206" s="19">
        <v>45893.613888888889</v>
      </c>
      <c r="F206" s="18">
        <v>2</v>
      </c>
      <c r="G206" s="19">
        <v>45897.556944444441</v>
      </c>
      <c r="H206" s="18" t="s">
        <v>2657</v>
      </c>
      <c r="I206" s="18" t="s">
        <v>10</v>
      </c>
      <c r="J206" s="18" t="s">
        <v>7834</v>
      </c>
      <c r="K206" s="20"/>
    </row>
    <row r="207" spans="1:11" ht="36.75" thickBot="1">
      <c r="A207" s="18" t="s">
        <v>3006</v>
      </c>
      <c r="B207" s="18">
        <v>20028747942</v>
      </c>
      <c r="C207" s="18" t="s">
        <v>3007</v>
      </c>
      <c r="D207" s="19">
        <v>45885.647916666669</v>
      </c>
      <c r="E207" s="19">
        <v>45894.601388888892</v>
      </c>
      <c r="F207" s="18">
        <v>10</v>
      </c>
      <c r="G207" s="18" t="s">
        <v>10</v>
      </c>
      <c r="H207" s="18" t="s">
        <v>189</v>
      </c>
      <c r="I207" s="18" t="s">
        <v>10</v>
      </c>
      <c r="J207" s="18" t="s">
        <v>12</v>
      </c>
      <c r="K207" s="20"/>
    </row>
    <row r="208" spans="1:11" ht="36.75" thickBot="1">
      <c r="A208" s="18" t="s">
        <v>3008</v>
      </c>
      <c r="B208" s="18">
        <v>20003035358</v>
      </c>
      <c r="C208" s="18" t="s">
        <v>3009</v>
      </c>
      <c r="D208" s="19">
        <v>45894.644444444442</v>
      </c>
      <c r="E208" s="18" t="s">
        <v>10</v>
      </c>
      <c r="F208" s="18">
        <v>5</v>
      </c>
      <c r="G208" s="19">
        <v>45933.590277777781</v>
      </c>
      <c r="H208" s="18" t="s">
        <v>236</v>
      </c>
      <c r="I208" s="18" t="s">
        <v>10</v>
      </c>
      <c r="J208" s="18" t="s">
        <v>12</v>
      </c>
      <c r="K208" s="20"/>
    </row>
    <row r="209" spans="1:11" ht="36.75" thickBot="1">
      <c r="A209" s="18" t="s">
        <v>3010</v>
      </c>
      <c r="B209" s="18">
        <v>20002828586</v>
      </c>
      <c r="C209" s="18" t="s">
        <v>3011</v>
      </c>
      <c r="D209" s="19">
        <v>45889.695833333331</v>
      </c>
      <c r="E209" s="19">
        <v>45895.490972222222</v>
      </c>
      <c r="F209" s="18">
        <v>5</v>
      </c>
      <c r="G209" s="18" t="s">
        <v>10</v>
      </c>
      <c r="H209" s="18" t="s">
        <v>178</v>
      </c>
      <c r="I209" s="18" t="s">
        <v>10</v>
      </c>
      <c r="J209" s="18" t="s">
        <v>12</v>
      </c>
      <c r="K209" s="20"/>
    </row>
    <row r="210" spans="1:11" ht="36.75" thickBot="1">
      <c r="A210" s="18" t="s">
        <v>3012</v>
      </c>
      <c r="B210" s="18">
        <v>20025131421</v>
      </c>
      <c r="C210" s="18" t="s">
        <v>3013</v>
      </c>
      <c r="D210" s="19">
        <v>45903.490277777775</v>
      </c>
      <c r="E210" s="18" t="s">
        <v>10</v>
      </c>
      <c r="F210" s="18">
        <v>10</v>
      </c>
      <c r="G210" s="19">
        <v>45947.571527777778</v>
      </c>
      <c r="H210" s="18" t="s">
        <v>236</v>
      </c>
      <c r="I210" s="18" t="s">
        <v>10</v>
      </c>
      <c r="J210" s="18" t="s">
        <v>12</v>
      </c>
      <c r="K210" s="20"/>
    </row>
    <row r="211" spans="1:11" ht="36.75" thickBot="1">
      <c r="A211" s="18" t="s">
        <v>3014</v>
      </c>
      <c r="B211" s="18">
        <v>20021199213</v>
      </c>
      <c r="C211" s="18" t="s">
        <v>3015</v>
      </c>
      <c r="D211" s="19">
        <v>45906.634722222225</v>
      </c>
      <c r="E211" s="18" t="s">
        <v>10</v>
      </c>
      <c r="F211" s="18">
        <v>5</v>
      </c>
      <c r="G211" s="18" t="s">
        <v>10</v>
      </c>
      <c r="H211" s="18" t="s">
        <v>189</v>
      </c>
      <c r="I211" s="18" t="s">
        <v>10</v>
      </c>
      <c r="J211" s="18" t="s">
        <v>12</v>
      </c>
      <c r="K211" s="20"/>
    </row>
    <row r="212" spans="1:11" ht="36.75" thickBot="1">
      <c r="A212" s="18" t="s">
        <v>3016</v>
      </c>
      <c r="B212" s="18">
        <v>20002711905</v>
      </c>
      <c r="C212" s="18" t="s">
        <v>3017</v>
      </c>
      <c r="D212" s="19">
        <v>45910.661805555559</v>
      </c>
      <c r="E212" s="19">
        <v>45911.654861111114</v>
      </c>
      <c r="F212" s="18">
        <v>15</v>
      </c>
      <c r="G212" s="18" t="s">
        <v>10</v>
      </c>
      <c r="H212" s="18" t="s">
        <v>189</v>
      </c>
      <c r="I212" s="18" t="s">
        <v>10</v>
      </c>
      <c r="J212" s="18" t="s">
        <v>12</v>
      </c>
      <c r="K212" s="20"/>
    </row>
    <row r="213" spans="1:11" ht="36.75" thickBot="1">
      <c r="A213" s="18" t="s">
        <v>3018</v>
      </c>
      <c r="B213" s="18">
        <v>20002825414</v>
      </c>
      <c r="C213" s="18" t="s">
        <v>3019</v>
      </c>
      <c r="D213" s="19">
        <v>45910.397916666669</v>
      </c>
      <c r="E213" s="19">
        <v>45911.759722222225</v>
      </c>
      <c r="F213" s="18">
        <v>5</v>
      </c>
      <c r="G213" s="19">
        <v>45922.543055555558</v>
      </c>
      <c r="H213" s="18" t="s">
        <v>236</v>
      </c>
      <c r="I213" s="18" t="s">
        <v>10</v>
      </c>
      <c r="J213" s="18" t="s">
        <v>12</v>
      </c>
      <c r="K213" s="20"/>
    </row>
    <row r="214" spans="1:11" ht="36.75" thickBot="1">
      <c r="A214" s="18" t="s">
        <v>3020</v>
      </c>
      <c r="B214" s="18">
        <v>20028288912</v>
      </c>
      <c r="C214" s="18" t="s">
        <v>3021</v>
      </c>
      <c r="D214" s="19">
        <v>45897.664583333331</v>
      </c>
      <c r="E214" s="19">
        <v>45913.36041666667</v>
      </c>
      <c r="F214" s="18">
        <v>3.3</v>
      </c>
      <c r="G214" s="19">
        <v>45947.543749999997</v>
      </c>
      <c r="H214" s="18" t="s">
        <v>236</v>
      </c>
      <c r="I214" s="18" t="s">
        <v>10</v>
      </c>
      <c r="J214" s="18" t="s">
        <v>12</v>
      </c>
      <c r="K214" s="20"/>
    </row>
    <row r="215" spans="1:11" ht="36.75" thickBot="1">
      <c r="A215" s="18" t="s">
        <v>3022</v>
      </c>
      <c r="B215" s="18">
        <v>20002946920</v>
      </c>
      <c r="C215" s="18" t="s">
        <v>3023</v>
      </c>
      <c r="D215" s="19">
        <v>45915.45208333333</v>
      </c>
      <c r="E215" s="18" t="s">
        <v>10</v>
      </c>
      <c r="F215" s="18">
        <v>10</v>
      </c>
      <c r="G215" s="19">
        <v>45917.543749999997</v>
      </c>
      <c r="H215" s="18" t="s">
        <v>236</v>
      </c>
      <c r="I215" s="18" t="s">
        <v>10</v>
      </c>
      <c r="J215" s="18" t="s">
        <v>12</v>
      </c>
      <c r="K215" s="20"/>
    </row>
    <row r="216" spans="1:11" ht="36.75" thickBot="1">
      <c r="A216" s="18" t="s">
        <v>3024</v>
      </c>
      <c r="B216" s="18">
        <v>20020695146</v>
      </c>
      <c r="C216" s="18" t="s">
        <v>3025</v>
      </c>
      <c r="D216" s="19">
        <v>45915.501388888886</v>
      </c>
      <c r="E216" s="18" t="s">
        <v>10</v>
      </c>
      <c r="F216" s="18">
        <v>10</v>
      </c>
      <c r="G216" s="18" t="s">
        <v>10</v>
      </c>
      <c r="H216" s="18" t="s">
        <v>189</v>
      </c>
      <c r="I216" s="18" t="s">
        <v>10</v>
      </c>
      <c r="J216" s="18" t="s">
        <v>12</v>
      </c>
      <c r="K216" s="20"/>
    </row>
    <row r="217" spans="1:11" ht="36.75" thickBot="1">
      <c r="A217" s="18" t="s">
        <v>7868</v>
      </c>
      <c r="B217" s="18">
        <v>20021024297</v>
      </c>
      <c r="C217" s="18" t="s">
        <v>7869</v>
      </c>
      <c r="D217" s="19">
        <v>45915.504861111112</v>
      </c>
      <c r="E217" s="18" t="s">
        <v>10</v>
      </c>
      <c r="F217" s="18">
        <v>4</v>
      </c>
      <c r="G217" s="19">
        <v>45922.495138888888</v>
      </c>
      <c r="H217" s="18" t="s">
        <v>236</v>
      </c>
      <c r="I217" s="18" t="s">
        <v>10</v>
      </c>
      <c r="J217" s="18" t="s">
        <v>7834</v>
      </c>
      <c r="K217" s="20"/>
    </row>
    <row r="218" spans="1:11" ht="36.75" thickBot="1">
      <c r="A218" s="18" t="s">
        <v>3026</v>
      </c>
      <c r="B218" s="18">
        <v>20024810809</v>
      </c>
      <c r="C218" s="18" t="s">
        <v>3027</v>
      </c>
      <c r="D218" s="19">
        <v>45917.395833333336</v>
      </c>
      <c r="E218" s="18" t="s">
        <v>10</v>
      </c>
      <c r="F218" s="18">
        <v>3.8</v>
      </c>
      <c r="G218" s="19">
        <v>45938.418749999997</v>
      </c>
      <c r="H218" s="18" t="s">
        <v>2657</v>
      </c>
      <c r="I218" s="18" t="s">
        <v>10</v>
      </c>
      <c r="J218" s="18" t="s">
        <v>12</v>
      </c>
      <c r="K218" s="20"/>
    </row>
    <row r="219" spans="1:11" ht="36.75" thickBot="1">
      <c r="A219" s="18" t="s">
        <v>3028</v>
      </c>
      <c r="B219" s="18">
        <v>20002746542</v>
      </c>
      <c r="C219" s="18" t="s">
        <v>3029</v>
      </c>
      <c r="D219" s="19">
        <v>45922.589583333334</v>
      </c>
      <c r="E219" s="18" t="s">
        <v>10</v>
      </c>
      <c r="F219" s="18">
        <v>5</v>
      </c>
      <c r="G219" s="18" t="s">
        <v>10</v>
      </c>
      <c r="H219" s="18" t="s">
        <v>189</v>
      </c>
      <c r="I219" s="18" t="s">
        <v>10</v>
      </c>
      <c r="J219" s="18" t="s">
        <v>12</v>
      </c>
      <c r="K219" s="20"/>
    </row>
    <row r="220" spans="1:11" ht="36.75" thickBot="1">
      <c r="A220" s="18" t="s">
        <v>3030</v>
      </c>
      <c r="B220" s="18">
        <v>20027385735</v>
      </c>
      <c r="C220" s="18" t="s">
        <v>3031</v>
      </c>
      <c r="D220" s="19">
        <v>45924.643055555556</v>
      </c>
      <c r="E220" s="18" t="s">
        <v>10</v>
      </c>
      <c r="F220" s="18">
        <v>20</v>
      </c>
      <c r="G220" s="19">
        <v>45967.613194444442</v>
      </c>
      <c r="H220" s="18" t="s">
        <v>236</v>
      </c>
      <c r="I220" s="18" t="s">
        <v>10</v>
      </c>
      <c r="J220" s="18" t="s">
        <v>12</v>
      </c>
      <c r="K220" s="20"/>
    </row>
    <row r="221" spans="1:11" ht="36.75" thickBot="1">
      <c r="A221" s="18" t="s">
        <v>3032</v>
      </c>
      <c r="B221" s="18">
        <v>20002906499</v>
      </c>
      <c r="C221" s="18" t="s">
        <v>3033</v>
      </c>
      <c r="D221" s="19">
        <v>45924.700694444444</v>
      </c>
      <c r="E221" s="18" t="s">
        <v>10</v>
      </c>
      <c r="F221" s="18">
        <v>20</v>
      </c>
      <c r="G221" s="19">
        <v>45933.605555555558</v>
      </c>
      <c r="H221" s="18" t="s">
        <v>236</v>
      </c>
      <c r="I221" s="18" t="s">
        <v>10</v>
      </c>
      <c r="J221" s="18" t="s">
        <v>12</v>
      </c>
      <c r="K221" s="20"/>
    </row>
    <row r="222" spans="1:11" ht="36.75" thickBot="1">
      <c r="A222" s="18" t="s">
        <v>3034</v>
      </c>
      <c r="B222" s="18">
        <v>20002718215</v>
      </c>
      <c r="C222" s="18" t="s">
        <v>3035</v>
      </c>
      <c r="D222" s="19">
        <v>45925.436805555553</v>
      </c>
      <c r="E222" s="18" t="s">
        <v>10</v>
      </c>
      <c r="F222" s="18">
        <v>5</v>
      </c>
      <c r="G222" s="19">
        <v>45929.607638888891</v>
      </c>
      <c r="H222" s="18" t="s">
        <v>236</v>
      </c>
      <c r="I222" s="18" t="s">
        <v>10</v>
      </c>
      <c r="J222" s="18" t="s">
        <v>12</v>
      </c>
      <c r="K222" s="20"/>
    </row>
    <row r="223" spans="1:11" ht="36.75" thickBot="1">
      <c r="A223" s="18" t="s">
        <v>3036</v>
      </c>
      <c r="B223" s="18">
        <v>20028164897</v>
      </c>
      <c r="C223" s="18" t="s">
        <v>3037</v>
      </c>
      <c r="D223" s="19">
        <v>45929.586805555555</v>
      </c>
      <c r="E223" s="18" t="s">
        <v>10</v>
      </c>
      <c r="F223" s="18">
        <v>5</v>
      </c>
      <c r="G223" s="19">
        <v>45944.631249999999</v>
      </c>
      <c r="H223" s="18" t="s">
        <v>236</v>
      </c>
      <c r="I223" s="18" t="s">
        <v>10</v>
      </c>
      <c r="J223" s="18" t="s">
        <v>12</v>
      </c>
      <c r="K223" s="20"/>
    </row>
    <row r="224" spans="1:11" ht="36.75" thickBot="1">
      <c r="A224" s="18" t="s">
        <v>3038</v>
      </c>
      <c r="B224" s="18">
        <v>20016551844</v>
      </c>
      <c r="C224" s="18" t="s">
        <v>1033</v>
      </c>
      <c r="D224" s="19">
        <v>45931.482638888891</v>
      </c>
      <c r="E224" s="18" t="s">
        <v>10</v>
      </c>
      <c r="F224" s="18">
        <v>4</v>
      </c>
      <c r="G224" s="19">
        <v>45971.469444444447</v>
      </c>
      <c r="H224" s="18" t="s">
        <v>2654</v>
      </c>
      <c r="I224" s="18" t="s">
        <v>10</v>
      </c>
      <c r="J224" s="18" t="s">
        <v>12</v>
      </c>
      <c r="K224" s="20"/>
    </row>
    <row r="225" spans="1:11" ht="36.75" thickBot="1">
      <c r="A225" s="18" t="s">
        <v>3039</v>
      </c>
      <c r="B225" s="18">
        <v>20028529858</v>
      </c>
      <c r="C225" s="18" t="s">
        <v>3040</v>
      </c>
      <c r="D225" s="19">
        <v>45932.375694444447</v>
      </c>
      <c r="E225" s="18" t="s">
        <v>10</v>
      </c>
      <c r="F225" s="18">
        <v>20</v>
      </c>
      <c r="G225" s="19">
        <v>45966.456250000003</v>
      </c>
      <c r="H225" s="18" t="s">
        <v>236</v>
      </c>
      <c r="I225" s="18" t="s">
        <v>10</v>
      </c>
      <c r="J225" s="18" t="s">
        <v>12</v>
      </c>
      <c r="K225" s="20"/>
    </row>
    <row r="226" spans="1:11" ht="36.75" thickBot="1">
      <c r="A226" s="18" t="s">
        <v>3041</v>
      </c>
      <c r="B226" s="18">
        <v>20024413804</v>
      </c>
      <c r="C226" s="18" t="s">
        <v>3042</v>
      </c>
      <c r="D226" s="19">
        <v>45932.441666666666</v>
      </c>
      <c r="E226" s="18" t="s">
        <v>10</v>
      </c>
      <c r="F226" s="18">
        <v>10</v>
      </c>
      <c r="G226" s="19">
        <v>45986.408333333333</v>
      </c>
      <c r="H226" s="18" t="s">
        <v>2657</v>
      </c>
      <c r="I226" s="18" t="s">
        <v>10</v>
      </c>
      <c r="J226" s="18" t="s">
        <v>12</v>
      </c>
      <c r="K226" s="20"/>
    </row>
    <row r="227" spans="1:11" ht="36.75" thickBot="1">
      <c r="A227" s="18" t="s">
        <v>3043</v>
      </c>
      <c r="B227" s="18">
        <v>20022830746</v>
      </c>
      <c r="C227" s="18" t="s">
        <v>3044</v>
      </c>
      <c r="D227" s="19">
        <v>45936.606944444444</v>
      </c>
      <c r="E227" s="18" t="s">
        <v>10</v>
      </c>
      <c r="F227" s="18">
        <v>3.8</v>
      </c>
      <c r="G227" s="19">
        <v>45960.654861111114</v>
      </c>
      <c r="H227" s="18" t="s">
        <v>236</v>
      </c>
      <c r="I227" s="18" t="s">
        <v>10</v>
      </c>
      <c r="J227" s="18" t="s">
        <v>12</v>
      </c>
      <c r="K227" s="20"/>
    </row>
    <row r="228" spans="1:11" ht="36.75" thickBot="1">
      <c r="A228" s="18" t="s">
        <v>3045</v>
      </c>
      <c r="B228" s="18">
        <v>20028670053</v>
      </c>
      <c r="C228" s="18" t="s">
        <v>2967</v>
      </c>
      <c r="D228" s="19">
        <v>45938.650694444441</v>
      </c>
      <c r="E228" s="18" t="s">
        <v>10</v>
      </c>
      <c r="F228" s="18">
        <v>10</v>
      </c>
      <c r="G228" s="19">
        <v>45972.607638888891</v>
      </c>
      <c r="H228" s="18" t="s">
        <v>236</v>
      </c>
      <c r="I228" s="18" t="s">
        <v>10</v>
      </c>
      <c r="J228" s="18" t="s">
        <v>12</v>
      </c>
      <c r="K228" s="20"/>
    </row>
    <row r="229" spans="1:11" ht="36.75" thickBot="1">
      <c r="A229" s="18" t="s">
        <v>3046</v>
      </c>
      <c r="B229" s="18">
        <v>20021733875</v>
      </c>
      <c r="C229" s="18" t="s">
        <v>3047</v>
      </c>
      <c r="D229" s="19">
        <v>45939.617361111108</v>
      </c>
      <c r="E229" s="18" t="s">
        <v>10</v>
      </c>
      <c r="F229" s="18">
        <v>2</v>
      </c>
      <c r="G229" s="18" t="s">
        <v>10</v>
      </c>
      <c r="H229" s="18" t="s">
        <v>189</v>
      </c>
      <c r="I229" s="18" t="s">
        <v>10</v>
      </c>
      <c r="J229" s="18" t="s">
        <v>12</v>
      </c>
      <c r="K229" s="20"/>
    </row>
    <row r="230" spans="1:11" ht="36.75" thickBot="1">
      <c r="A230" s="18" t="s">
        <v>3048</v>
      </c>
      <c r="B230" s="18">
        <v>20016577928</v>
      </c>
      <c r="C230" s="18" t="s">
        <v>3049</v>
      </c>
      <c r="D230" s="19">
        <v>45956.432638888888</v>
      </c>
      <c r="E230" s="18" t="s">
        <v>10</v>
      </c>
      <c r="F230" s="18">
        <v>10</v>
      </c>
      <c r="G230" s="18" t="s">
        <v>10</v>
      </c>
      <c r="H230" s="18" t="s">
        <v>189</v>
      </c>
      <c r="I230" s="18" t="s">
        <v>10</v>
      </c>
      <c r="J230" s="18" t="s">
        <v>12</v>
      </c>
      <c r="K230" s="20"/>
    </row>
    <row r="231" spans="1:11" ht="36.75" thickBot="1">
      <c r="A231" s="18" t="s">
        <v>3050</v>
      </c>
      <c r="B231" s="18">
        <v>20002720113</v>
      </c>
      <c r="C231" s="18" t="s">
        <v>3051</v>
      </c>
      <c r="D231" s="19">
        <v>45959.004861111112</v>
      </c>
      <c r="E231" s="18" t="s">
        <v>10</v>
      </c>
      <c r="F231" s="18">
        <v>10</v>
      </c>
      <c r="G231" s="19">
        <v>45988.414583333331</v>
      </c>
      <c r="H231" s="18" t="s">
        <v>2657</v>
      </c>
      <c r="I231" s="18" t="s">
        <v>10</v>
      </c>
      <c r="J231" s="18" t="s">
        <v>12</v>
      </c>
      <c r="K231" s="20"/>
    </row>
    <row r="232" spans="1:11" ht="36.75" thickBot="1">
      <c r="A232" s="18" t="s">
        <v>3054</v>
      </c>
      <c r="B232" s="18">
        <v>20028426021</v>
      </c>
      <c r="C232" s="18" t="s">
        <v>3055</v>
      </c>
      <c r="D232" s="19">
        <v>45945.618750000001</v>
      </c>
      <c r="E232" s="19">
        <v>45960.585416666669</v>
      </c>
      <c r="F232" s="18">
        <v>4</v>
      </c>
      <c r="G232" s="18" t="s">
        <v>10</v>
      </c>
      <c r="H232" s="18" t="s">
        <v>178</v>
      </c>
      <c r="I232" s="18" t="s">
        <v>10</v>
      </c>
      <c r="J232" s="18" t="s">
        <v>12</v>
      </c>
      <c r="K232" s="20"/>
    </row>
    <row r="233" spans="1:11" ht="36.75" thickBot="1">
      <c r="A233" s="18" t="s">
        <v>3056</v>
      </c>
      <c r="B233" s="18">
        <v>20028426017</v>
      </c>
      <c r="C233" s="18" t="s">
        <v>3057</v>
      </c>
      <c r="D233" s="19">
        <v>45948.46597222222</v>
      </c>
      <c r="E233" s="19">
        <v>45960.602777777778</v>
      </c>
      <c r="F233" s="18">
        <v>2.64</v>
      </c>
      <c r="G233" s="18" t="s">
        <v>10</v>
      </c>
      <c r="H233" s="18" t="s">
        <v>189</v>
      </c>
      <c r="I233" s="18" t="s">
        <v>10</v>
      </c>
      <c r="J233" s="18" t="s">
        <v>12</v>
      </c>
      <c r="K233" s="20"/>
    </row>
    <row r="234" spans="1:11" ht="36.75" thickBot="1">
      <c r="A234" s="18" t="s">
        <v>3058</v>
      </c>
      <c r="B234" s="18">
        <v>20028126019</v>
      </c>
      <c r="C234" s="18" t="s">
        <v>3055</v>
      </c>
      <c r="D234" s="19">
        <v>45958.561805555553</v>
      </c>
      <c r="E234" s="19">
        <v>45960.602777777778</v>
      </c>
      <c r="F234" s="18">
        <v>2.64</v>
      </c>
      <c r="G234" s="18" t="s">
        <v>10</v>
      </c>
      <c r="H234" s="18" t="s">
        <v>189</v>
      </c>
      <c r="I234" s="18" t="s">
        <v>10</v>
      </c>
      <c r="J234" s="18" t="s">
        <v>12</v>
      </c>
      <c r="K234" s="20"/>
    </row>
    <row r="235" spans="1:11" ht="36.75" thickBot="1">
      <c r="A235" s="18" t="s">
        <v>7870</v>
      </c>
      <c r="B235" s="18">
        <v>20028570148</v>
      </c>
      <c r="C235" s="18" t="s">
        <v>7871</v>
      </c>
      <c r="D235" s="19">
        <v>45961.56527777778</v>
      </c>
      <c r="E235" s="18" t="s">
        <v>10</v>
      </c>
      <c r="F235" s="18">
        <v>10</v>
      </c>
      <c r="G235" s="19">
        <v>45971.547222222223</v>
      </c>
      <c r="H235" s="18" t="s">
        <v>236</v>
      </c>
      <c r="I235" s="18" t="s">
        <v>10</v>
      </c>
      <c r="J235" s="18" t="s">
        <v>7834</v>
      </c>
      <c r="K235" s="20"/>
    </row>
    <row r="236" spans="1:11" ht="36.75" thickBot="1">
      <c r="A236" s="18" t="s">
        <v>3059</v>
      </c>
      <c r="B236" s="18">
        <v>20018770683</v>
      </c>
      <c r="C236" s="18" t="s">
        <v>3060</v>
      </c>
      <c r="D236" s="19">
        <v>45962.707638888889</v>
      </c>
      <c r="E236" s="18" t="s">
        <v>10</v>
      </c>
      <c r="F236" s="18">
        <v>20</v>
      </c>
      <c r="G236" s="18" t="s">
        <v>10</v>
      </c>
      <c r="H236" s="18" t="s">
        <v>189</v>
      </c>
      <c r="I236" s="18" t="s">
        <v>10</v>
      </c>
      <c r="J236" s="18" t="s">
        <v>12</v>
      </c>
      <c r="K236" s="20"/>
    </row>
    <row r="237" spans="1:11" ht="36.75" thickBot="1">
      <c r="A237" s="18" t="s">
        <v>3061</v>
      </c>
      <c r="B237" s="18">
        <v>20024233763</v>
      </c>
      <c r="C237" s="18" t="s">
        <v>3062</v>
      </c>
      <c r="D237" s="19">
        <v>45962.848611111112</v>
      </c>
      <c r="E237" s="18" t="s">
        <v>10</v>
      </c>
      <c r="F237" s="18">
        <v>15</v>
      </c>
      <c r="G237" s="18" t="s">
        <v>10</v>
      </c>
      <c r="H237" s="18" t="s">
        <v>189</v>
      </c>
      <c r="I237" s="18" t="s">
        <v>10</v>
      </c>
      <c r="J237" s="18" t="s">
        <v>12</v>
      </c>
      <c r="K237" s="20"/>
    </row>
    <row r="238" spans="1:11" ht="36.75" thickBot="1">
      <c r="A238" s="18" t="s">
        <v>3063</v>
      </c>
      <c r="B238" s="18">
        <v>20025411587</v>
      </c>
      <c r="C238" s="18" t="s">
        <v>3064</v>
      </c>
      <c r="D238" s="19">
        <v>45964.556250000001</v>
      </c>
      <c r="E238" s="18" t="s">
        <v>10</v>
      </c>
      <c r="F238" s="18">
        <v>5</v>
      </c>
      <c r="G238" s="19">
        <v>45986.408333333333</v>
      </c>
      <c r="H238" s="18" t="s">
        <v>2657</v>
      </c>
      <c r="I238" s="18" t="s">
        <v>10</v>
      </c>
      <c r="J238" s="18" t="s">
        <v>12</v>
      </c>
      <c r="K238" s="20"/>
    </row>
    <row r="239" spans="1:11" ht="36.75" thickBot="1">
      <c r="A239" s="18" t="s">
        <v>3065</v>
      </c>
      <c r="B239" s="18">
        <v>20023346373</v>
      </c>
      <c r="C239" s="18" t="s">
        <v>3066</v>
      </c>
      <c r="D239" s="19">
        <v>45966.38958333333</v>
      </c>
      <c r="E239" s="18" t="s">
        <v>10</v>
      </c>
      <c r="F239" s="18">
        <v>5</v>
      </c>
      <c r="G239" s="19">
        <v>45968.422222222223</v>
      </c>
      <c r="H239" s="18" t="s">
        <v>2654</v>
      </c>
      <c r="I239" s="18" t="s">
        <v>10</v>
      </c>
      <c r="J239" s="18" t="s">
        <v>12</v>
      </c>
      <c r="K239" s="20"/>
    </row>
    <row r="240" spans="1:11" ht="36.75" thickBot="1">
      <c r="A240" s="18" t="s">
        <v>7762</v>
      </c>
      <c r="B240" s="18">
        <v>20003652960</v>
      </c>
      <c r="C240" s="18" t="s">
        <v>7763</v>
      </c>
      <c r="D240" s="19">
        <v>45971.654861111114</v>
      </c>
      <c r="E240" s="18" t="s">
        <v>10</v>
      </c>
      <c r="F240" s="18">
        <v>15</v>
      </c>
      <c r="G240" s="18" t="s">
        <v>10</v>
      </c>
      <c r="H240" s="18" t="s">
        <v>189</v>
      </c>
      <c r="I240" s="18" t="s">
        <v>10</v>
      </c>
      <c r="J240" s="18" t="s">
        <v>12</v>
      </c>
      <c r="K240" s="20"/>
    </row>
    <row r="241" spans="1:11" ht="36.75" thickBot="1">
      <c r="A241" s="18" t="s">
        <v>7764</v>
      </c>
      <c r="B241" s="18">
        <v>20029012427</v>
      </c>
      <c r="C241" s="18" t="s">
        <v>7765</v>
      </c>
      <c r="D241" s="19">
        <v>45972.611805555556</v>
      </c>
      <c r="E241" s="18" t="s">
        <v>10</v>
      </c>
      <c r="F241" s="18">
        <v>6</v>
      </c>
      <c r="G241" s="18" t="s">
        <v>10</v>
      </c>
      <c r="H241" s="18" t="s">
        <v>189</v>
      </c>
      <c r="I241" s="18" t="s">
        <v>10</v>
      </c>
      <c r="J241" s="18" t="s">
        <v>12</v>
      </c>
      <c r="K241" s="20"/>
    </row>
    <row r="242" spans="1:11" ht="36.75" thickBot="1">
      <c r="A242" s="18" t="s">
        <v>7766</v>
      </c>
      <c r="B242" s="18">
        <v>20021528278</v>
      </c>
      <c r="C242" s="18" t="s">
        <v>7767</v>
      </c>
      <c r="D242" s="19">
        <v>45975.501388888886</v>
      </c>
      <c r="E242" s="18" t="s">
        <v>10</v>
      </c>
      <c r="F242" s="18">
        <v>5</v>
      </c>
      <c r="G242" s="18" t="s">
        <v>10</v>
      </c>
      <c r="H242" s="18" t="s">
        <v>189</v>
      </c>
      <c r="I242" s="18" t="s">
        <v>10</v>
      </c>
      <c r="J242" s="18" t="s">
        <v>12</v>
      </c>
      <c r="K242" s="20"/>
    </row>
    <row r="243" spans="1:11" ht="36.75" thickBot="1">
      <c r="A243" s="18" t="s">
        <v>7872</v>
      </c>
      <c r="B243" s="18">
        <v>20002891069</v>
      </c>
      <c r="C243" s="18" t="s">
        <v>7873</v>
      </c>
      <c r="D243" s="19">
        <v>45975.614583333336</v>
      </c>
      <c r="E243" s="18" t="s">
        <v>10</v>
      </c>
      <c r="F243" s="18">
        <v>15</v>
      </c>
      <c r="G243" s="18" t="s">
        <v>10</v>
      </c>
      <c r="H243" s="18" t="s">
        <v>189</v>
      </c>
      <c r="I243" s="18" t="s">
        <v>10</v>
      </c>
      <c r="J243" s="18" t="s">
        <v>7834</v>
      </c>
      <c r="K243" s="20"/>
    </row>
    <row r="244" spans="1:11" ht="36.75" thickBot="1">
      <c r="A244" s="18" t="s">
        <v>7768</v>
      </c>
      <c r="B244" s="18">
        <v>20028557850</v>
      </c>
      <c r="C244" s="18" t="s">
        <v>7769</v>
      </c>
      <c r="D244" s="19">
        <v>45981.390277777777</v>
      </c>
      <c r="E244" s="18" t="s">
        <v>10</v>
      </c>
      <c r="F244" s="18">
        <v>15</v>
      </c>
      <c r="G244" s="19">
        <v>45992.603472222225</v>
      </c>
      <c r="H244" s="18" t="s">
        <v>2657</v>
      </c>
      <c r="I244" s="18" t="s">
        <v>10</v>
      </c>
      <c r="J244" s="18" t="s">
        <v>12</v>
      </c>
      <c r="K244" s="20"/>
    </row>
    <row r="245" spans="1:11" ht="36.75" thickBot="1">
      <c r="A245" s="18" t="s">
        <v>7770</v>
      </c>
      <c r="B245" s="18">
        <v>20002678142</v>
      </c>
      <c r="C245" s="18" t="s">
        <v>7771</v>
      </c>
      <c r="D245" s="19">
        <v>45981.503472222219</v>
      </c>
      <c r="E245" s="18" t="s">
        <v>10</v>
      </c>
      <c r="F245" s="18">
        <v>5</v>
      </c>
      <c r="G245" s="18" t="s">
        <v>10</v>
      </c>
      <c r="H245" s="18" t="s">
        <v>235</v>
      </c>
      <c r="I245" s="18" t="s">
        <v>10</v>
      </c>
      <c r="J245" s="18" t="s">
        <v>12</v>
      </c>
      <c r="K245" s="20"/>
    </row>
    <row r="246" spans="1:11" ht="36.75" thickBot="1">
      <c r="A246" s="18" t="s">
        <v>7874</v>
      </c>
      <c r="B246" s="18">
        <v>20028937144</v>
      </c>
      <c r="C246" s="18" t="s">
        <v>7875</v>
      </c>
      <c r="D246" s="19">
        <v>45982.572222222225</v>
      </c>
      <c r="E246" s="18" t="s">
        <v>10</v>
      </c>
      <c r="F246" s="18">
        <v>5</v>
      </c>
      <c r="G246" s="18" t="s">
        <v>10</v>
      </c>
      <c r="H246" s="18" t="s">
        <v>189</v>
      </c>
      <c r="I246" s="18" t="s">
        <v>10</v>
      </c>
      <c r="J246" s="18" t="s">
        <v>7834</v>
      </c>
      <c r="K246" s="20"/>
    </row>
    <row r="247" spans="1:11" ht="36.75" thickBot="1">
      <c r="A247" s="18" t="s">
        <v>7772</v>
      </c>
      <c r="B247" s="18">
        <v>20025535734</v>
      </c>
      <c r="C247" s="18" t="s">
        <v>7773</v>
      </c>
      <c r="D247" s="19">
        <v>45978.280555555553</v>
      </c>
      <c r="E247" s="19">
        <v>45983.51458333333</v>
      </c>
      <c r="F247" s="18">
        <v>5</v>
      </c>
      <c r="G247" s="19">
        <v>45988.495138888888</v>
      </c>
      <c r="H247" s="18" t="s">
        <v>2657</v>
      </c>
      <c r="I247" s="18" t="s">
        <v>10</v>
      </c>
      <c r="J247" s="18" t="s">
        <v>12</v>
      </c>
      <c r="K247" s="20"/>
    </row>
    <row r="248" spans="1:11" ht="36.75" thickBot="1">
      <c r="A248" s="18" t="s">
        <v>7774</v>
      </c>
      <c r="B248" s="18">
        <v>20022623563</v>
      </c>
      <c r="C248" s="18" t="s">
        <v>7775</v>
      </c>
      <c r="D248" s="19">
        <v>45982.552777777775</v>
      </c>
      <c r="E248" s="19">
        <v>45986.68472222222</v>
      </c>
      <c r="F248" s="18">
        <v>5</v>
      </c>
      <c r="G248" s="18" t="s">
        <v>10</v>
      </c>
      <c r="H248" s="18" t="s">
        <v>189</v>
      </c>
      <c r="I248" s="18" t="s">
        <v>10</v>
      </c>
      <c r="J248" s="18" t="s">
        <v>12</v>
      </c>
      <c r="K248" s="20"/>
    </row>
    <row r="249" spans="1:11" ht="36.75" thickBot="1">
      <c r="A249" s="18" t="s">
        <v>3052</v>
      </c>
      <c r="B249" s="18">
        <v>20022382163</v>
      </c>
      <c r="C249" s="18" t="s">
        <v>3053</v>
      </c>
      <c r="D249" s="19">
        <v>45959.441666666666</v>
      </c>
      <c r="E249" s="19">
        <v>45987.374305555553</v>
      </c>
      <c r="F249" s="18">
        <v>10</v>
      </c>
      <c r="G249" s="18" t="s">
        <v>10</v>
      </c>
      <c r="H249" s="18" t="s">
        <v>189</v>
      </c>
      <c r="I249" s="18" t="s">
        <v>10</v>
      </c>
      <c r="J249" s="18" t="s">
        <v>12</v>
      </c>
      <c r="K249" s="20"/>
    </row>
    <row r="250" spans="1:11" ht="36.75" thickBot="1">
      <c r="A250" s="18" t="s">
        <v>7776</v>
      </c>
      <c r="B250" s="18">
        <v>20027210204</v>
      </c>
      <c r="C250" s="18" t="s">
        <v>7777</v>
      </c>
      <c r="D250" s="19">
        <v>45978.465277777781</v>
      </c>
      <c r="E250" s="19">
        <v>45990.572916666664</v>
      </c>
      <c r="F250" s="18">
        <v>10</v>
      </c>
      <c r="G250" s="18" t="s">
        <v>10</v>
      </c>
      <c r="H250" s="18" t="s">
        <v>2652</v>
      </c>
      <c r="I250" s="18" t="s">
        <v>2699</v>
      </c>
      <c r="J250" s="18" t="s">
        <v>12</v>
      </c>
      <c r="K250" s="20"/>
    </row>
    <row r="251" spans="1:11" ht="36.75" thickBot="1">
      <c r="A251" s="18" t="s">
        <v>7778</v>
      </c>
      <c r="B251" s="18">
        <v>20028426020</v>
      </c>
      <c r="C251" s="18" t="s">
        <v>3055</v>
      </c>
      <c r="D251" s="19">
        <v>45981.504166666666</v>
      </c>
      <c r="E251" s="19">
        <v>45990.581944444442</v>
      </c>
      <c r="F251" s="18">
        <v>3.52</v>
      </c>
      <c r="G251" s="18" t="s">
        <v>10</v>
      </c>
      <c r="H251" s="18" t="s">
        <v>2652</v>
      </c>
      <c r="I251" s="18" t="s">
        <v>2699</v>
      </c>
      <c r="J251" s="18" t="s">
        <v>12</v>
      </c>
      <c r="K251" s="20"/>
    </row>
    <row r="252" spans="1:11" ht="36.75" thickBot="1">
      <c r="A252" s="18" t="s">
        <v>7779</v>
      </c>
      <c r="B252" s="18">
        <v>20020972584</v>
      </c>
      <c r="C252" s="18" t="s">
        <v>7780</v>
      </c>
      <c r="D252" s="19">
        <v>45991.969444444447</v>
      </c>
      <c r="E252" s="18" t="s">
        <v>10</v>
      </c>
      <c r="F252" s="18">
        <v>5</v>
      </c>
      <c r="G252" s="18" t="s">
        <v>10</v>
      </c>
      <c r="H252" s="18" t="s">
        <v>235</v>
      </c>
      <c r="I252" s="18" t="s">
        <v>10</v>
      </c>
      <c r="J252" s="18" t="s">
        <v>12</v>
      </c>
      <c r="K252" s="1"/>
    </row>
  </sheetData>
  <autoFilter ref="A2:J219" xr:uid="{002CD6C7-CC96-4BBD-89D2-74CD12C5224C}"/>
  <conditionalFormatting sqref="B2">
    <cfRule type="duplicateValues" dxfId="15" priority="1"/>
  </conditionalFormatting>
  <hyperlinks>
    <hyperlink ref="K3" r:id="rId1" display="https://ppim-intra.pea.co.th:4434/request/PPIM185000F3" xr:uid="{75A0F734-7780-4D98-A8CE-080859A752D3}"/>
    <hyperlink ref="K4" r:id="rId2" display="https://ppim-intra.pea.co.th:4434/request/PPIM185001E7" xr:uid="{6B97559E-0129-4F8A-9083-BC594A2068B2}"/>
    <hyperlink ref="K5" r:id="rId3" display="https://ppim-intra.pea.co.th:4434/request/PPIM185002C4" xr:uid="{80916E24-1BF0-47E6-B9FE-F38A2BFDBF79}"/>
    <hyperlink ref="K6" r:id="rId4" display="https://ppim-intra.pea.co.th:4434/request/PPIM185006BC" xr:uid="{1BFC5AE1-75A2-446C-9DEA-CC8D8ACE5556}"/>
    <hyperlink ref="K7" r:id="rId5" display="https://ppim-intra.pea.co.th:4434/request/PPIM185007E7" xr:uid="{54505FB5-393E-45B1-9009-5311B350A24F}"/>
    <hyperlink ref="K8" r:id="rId6" display="https://ppim-intra.pea.co.th:4434/request/PPIM1850097B" xr:uid="{FF972DCF-1350-4C62-B7C3-51E838BB5118}"/>
    <hyperlink ref="K9" r:id="rId7" display="https://ppim-intra.pea.co.th:4434/request/PPIM18500AAF" xr:uid="{C38DCC30-66AC-4C4A-84F3-1D46DAAD60D9}"/>
    <hyperlink ref="K10" r:id="rId8" display="https://ppim-intra.pea.co.th:4434/request/PPIM18500B94" xr:uid="{E1E97CDD-8329-45E0-B8CF-81588BB8F2B3}"/>
    <hyperlink ref="K11" r:id="rId9" display="https://ppim-intra.pea.co.th:4434/request/PPIM18500BAD" xr:uid="{B5A94A85-B322-4914-81C8-2B88B05A6F41}"/>
    <hyperlink ref="K12" r:id="rId10" display="https://ppim-intra.pea.co.th:4434/request/PPIM18500B7E" xr:uid="{02AC8219-02EF-453E-868E-156A413DD7F6}"/>
    <hyperlink ref="K13" r:id="rId11" display="https://ppim-intra.pea.co.th:4434/request/PPIM18500F2F" xr:uid="{285239D1-0124-496D-A9B5-1D9B45F99686}"/>
    <hyperlink ref="K14" r:id="rId12" display="https://ppim-intra.pea.co.th:4434/request/PPIM18500F62" xr:uid="{3EE8BAFE-1EB3-41BB-8F92-BB2A43B436CB}"/>
    <hyperlink ref="K15" r:id="rId13" display="https://ppim-intra.pea.co.th:4434/request/PPIM1850092C" xr:uid="{B233B056-CB04-499D-98BA-2A3AAA0E4455}"/>
    <hyperlink ref="K16" r:id="rId14" display="https://ppim-intra.pea.co.th:4434/request/PPIM18500F95" xr:uid="{06180BB3-0D7A-4D77-98EA-75CCDEE29B36}"/>
    <hyperlink ref="K17" r:id="rId15" display="https://ppim-intra.pea.co.th:4434/request/PPIM185001D1" xr:uid="{98DDD1A3-7CF3-4B97-9F2E-F8504ACED873}"/>
    <hyperlink ref="K18" r:id="rId16" display="https://ppim-intra.pea.co.th:4434/request/PPIM185010C7" xr:uid="{ED4140B0-C78A-42CC-8094-080616C59889}"/>
    <hyperlink ref="K19" r:id="rId17" display="https://ppim-intra.pea.co.th:4434/request/PPIM185010E4" xr:uid="{25D3E990-9510-457C-B4E0-BEE20DABD544}"/>
    <hyperlink ref="K20" r:id="rId18" display="https://ppim-intra.pea.co.th:4434/request/PPIM18500B78" xr:uid="{BF1626E7-AFBA-4F71-8DE5-50BAF81080F9}"/>
    <hyperlink ref="K21" r:id="rId19" display="https://ppim-intra.pea.co.th:4434/request/PPIM185011CE" xr:uid="{1DACE185-71DD-46AA-9A7C-C151F13B9BD4}"/>
    <hyperlink ref="K22" r:id="rId20" display="https://ppim-intra.pea.co.th:4434/request/PPIM18500CF3" xr:uid="{C0388DA1-2623-459F-8C9F-022F3369015D}"/>
    <hyperlink ref="K23" r:id="rId21" display="https://ppim-intra.pea.co.th:4434/request/PPIM1850122D" xr:uid="{0EF7C459-C491-429E-BF1D-899FD66B507A}"/>
    <hyperlink ref="K24" r:id="rId22" display="https://ppim-intra.pea.co.th:4434/request/PPIM18501311" xr:uid="{72FAE85B-7FC3-40E8-ACDA-8835A750F766}"/>
    <hyperlink ref="K25" r:id="rId23" display="https://ppim-intra.pea.co.th:4434/request/PPIM18501328" xr:uid="{2A59A0ED-743E-4DAB-AA08-0E90A4362A28}"/>
    <hyperlink ref="K26" r:id="rId24" display="https://ppim-intra.pea.co.th:4434/request/PPIM1850111F" xr:uid="{65210BC0-5BF1-43AE-BDD3-79259F26274C}"/>
    <hyperlink ref="K27" r:id="rId25" display="https://ppim-intra.pea.co.th:4434/request/PPIM185014CB" xr:uid="{C6973022-8362-41CD-BD25-3326D2C89B81}"/>
    <hyperlink ref="K28" r:id="rId26" display="https://ppim-intra.pea.co.th:4434/request/PPIM18501436" xr:uid="{F0990C0B-FBB6-448D-9725-D478AA7C0EBD}"/>
    <hyperlink ref="K29" r:id="rId27" display="https://ppim-intra.pea.co.th:4434/request/PPIM18501546" xr:uid="{85852A43-C4B6-47C3-BBC7-55406F57F7CB}"/>
    <hyperlink ref="K30" r:id="rId28" display="https://ppim-intra.pea.co.th:4434/request/PPIM18501367" xr:uid="{42BE15E2-72E3-43EE-B90D-581E5911B837}"/>
    <hyperlink ref="K31" r:id="rId29" display="https://ppim-intra.pea.co.th:4434/request/PPIM18501437" xr:uid="{02F676D6-B8A8-4CA3-B83B-BA92816E4C95}"/>
    <hyperlink ref="K32" r:id="rId30" display="https://ppim-intra.pea.co.th:4434/request/PPIM185015D7" xr:uid="{069D7196-9C4A-4903-B242-CE4847960ACD}"/>
    <hyperlink ref="K33" r:id="rId31" display="https://ppim-intra.pea.co.th:4434/request/PPIM185016F2" xr:uid="{B86F4BE2-65B6-4692-B69B-5C6FD4635FC1}"/>
    <hyperlink ref="K34" r:id="rId32" display="https://ppim-intra.pea.co.th:4434/request/PPIM185016F3" xr:uid="{4E1F6B38-C40B-4ACF-9330-6E7B7FDF6E3E}"/>
    <hyperlink ref="K35" r:id="rId33" display="https://ppim-intra.pea.co.th:4434/request/PPIM18501759" xr:uid="{E43E9E1C-4091-4E02-B5BF-6771AD8AA835}"/>
    <hyperlink ref="K36" r:id="rId34" display="https://ppim-intra.pea.co.th:4434/request/PPIM18501835" xr:uid="{A8E49F48-0793-4AA7-B13D-4DE6C702400C}"/>
    <hyperlink ref="K37" r:id="rId35" display="https://ppim-intra.pea.co.th:4434/request/PPIM18501866" xr:uid="{304A46E7-03F5-4F52-80BB-F5B33BF954D0}"/>
    <hyperlink ref="K38" r:id="rId36" display="https://ppim-intra.pea.co.th:4434/request/PPIM185018EE" xr:uid="{6E149F96-ABD1-4B07-A0FB-46D6979B04E0}"/>
    <hyperlink ref="K39" r:id="rId37" display="https://ppim-intra.pea.co.th:4434/request/PPIM18501A27" xr:uid="{B0038CD3-7334-4C6A-A5CE-3A04E07A14F9}"/>
    <hyperlink ref="K40" r:id="rId38" display="https://ppim-intra.pea.co.th:4434/request/PPIM18501A2F" xr:uid="{EA81D601-ECD5-4061-951F-63C4EAB20D10}"/>
    <hyperlink ref="K41" r:id="rId39" display="https://ppim-intra.pea.co.th:4434/request/PPIM185015F8" xr:uid="{D9E03252-24B3-48A5-B76A-3190D8D8F182}"/>
    <hyperlink ref="K42" r:id="rId40" display="https://ppim-intra.pea.co.th:4434/request/PPIM18501AB6" xr:uid="{D84B126B-3845-4A2F-918F-BB6A2A697CF3}"/>
    <hyperlink ref="K43" r:id="rId41" display="https://ppim-intra.pea.co.th:4434/request/PPIM18501981" xr:uid="{88ABA635-28DD-450C-BDFF-D5B7509F50B1}"/>
    <hyperlink ref="K44" r:id="rId42" display="https://ppim-intra.pea.co.th:4434/request/PPIM18501A1C" xr:uid="{AAB8BF48-F550-42FF-88B7-12E2D6E886D6}"/>
    <hyperlink ref="K45" r:id="rId43" display="https://ppim-intra.pea.co.th:4434/request/PPIM18501BBE" xr:uid="{025066AC-2087-48C7-8DAD-ECF89E5F482D}"/>
    <hyperlink ref="K46" r:id="rId44" display="https://ppim-intra.pea.co.th:4434/request/PPIM18501B47" xr:uid="{C93C2D7C-73C6-494C-8206-8232A5D0CF3E}"/>
    <hyperlink ref="K47" r:id="rId45" display="https://ppim-intra.pea.co.th:4434/request/PPIM18501C39" xr:uid="{80560C27-E91C-45E2-96D7-69E1E6CD35BA}"/>
    <hyperlink ref="K48" r:id="rId46" display="https://ppim-intra.pea.co.th:4434/request/PPIM18501D69" xr:uid="{F58DFB96-524F-4E5C-AE7D-7870C0EDA7DA}"/>
    <hyperlink ref="K49" r:id="rId47" display="https://ppim-intra.pea.co.th:4434/request/PPIM18501DD8" xr:uid="{3E192AC3-FF74-4437-99FF-801BDFAA1DAB}"/>
    <hyperlink ref="K50" r:id="rId48" display="https://ppim-intra.pea.co.th:4434/request/PPIM18501E95" xr:uid="{B6CF00EB-E2F3-4792-9C2B-439DBD8D6B6F}"/>
    <hyperlink ref="K51" r:id="rId49" display="https://ppim-intra.pea.co.th:4434/request/PPIM18502034" xr:uid="{4344406F-6E98-4E88-8D82-0DAD70E1B186}"/>
    <hyperlink ref="K52" r:id="rId50" display="https://ppim-intra.pea.co.th:4434/request/PPIM18502085" xr:uid="{B64E28EE-3CFD-4317-AC23-A7DEEA8ADB53}"/>
    <hyperlink ref="K53" r:id="rId51" display="https://ppim-intra.pea.co.th:4434/request/PPIM18501F40" xr:uid="{05A6972E-57F2-4BA2-B736-4A5B29709970}"/>
    <hyperlink ref="K54" r:id="rId52" display="https://ppim-intra.pea.co.th:4434/request/PPIM1850225F" xr:uid="{BC53167F-869E-40B0-B9F4-BE09D56E7BD0}"/>
    <hyperlink ref="K55" r:id="rId53" display="https://ppim-intra.pea.co.th:4434/request/PPIM18501EF8" xr:uid="{94921C75-8019-47AA-BC6D-326D4A97FD14}"/>
    <hyperlink ref="K56" r:id="rId54" display="https://ppim-intra.pea.co.th:4434/request/PPIM185021EA" xr:uid="{0841BB92-660E-4227-ADAF-4738281A8317}"/>
    <hyperlink ref="K57" r:id="rId55" display="https://ppim-intra.pea.co.th:4434/request/PPIM185022C7" xr:uid="{2E27C41F-ECC0-4B98-A007-A989F66922C6}"/>
    <hyperlink ref="K58" r:id="rId56" display="https://ppim-intra.pea.co.th:4434/request/PPIM1850233D" xr:uid="{EAE92562-9329-4EB6-AC93-48356E09F25E}"/>
    <hyperlink ref="K59" r:id="rId57" display="https://ppim-intra.pea.co.th:4434/request/PPIM185023B2" xr:uid="{1FB02FB0-8344-429B-9937-F1B33640E779}"/>
    <hyperlink ref="K60" r:id="rId58" display="https://ppim-intra.pea.co.th:4434/request/PPIM185020AA" xr:uid="{241058C2-1E09-4636-ACAD-A65C7B4BF2B8}"/>
    <hyperlink ref="K61" r:id="rId59" display="https://ppim-intra.pea.co.th:4434/request/PPIM185024E0" xr:uid="{9A57265C-60C1-4EC0-885F-5124A29B011F}"/>
    <hyperlink ref="K62" r:id="rId60" display="https://ppim-intra.pea.co.th:4434/request/PPIM18502604" xr:uid="{8696B56F-8C87-42F1-9E08-3292744CE93C}"/>
    <hyperlink ref="K63" r:id="rId61" display="https://ppim-intra.pea.co.th:4434/request/PPIM18502678" xr:uid="{A02C4123-80BE-42EB-8E63-CBD6222E6096}"/>
    <hyperlink ref="K64" r:id="rId62" display="https://ppim-intra.pea.co.th:4434/request/PPIM185023FB" xr:uid="{DCBE4C96-37AF-4D74-96D5-D368A698E4D1}"/>
    <hyperlink ref="K65" r:id="rId63" display="https://ppim-intra.pea.co.th:4434/request/PPIM1850248D" xr:uid="{66B880FF-6081-4147-8AA9-5DB08075B9F5}"/>
    <hyperlink ref="K66" r:id="rId64" display="https://ppim-intra.pea.co.th:4434/request/PPIM1850291D" xr:uid="{1DC2F661-151A-4432-A944-F4ADCD0A8F36}"/>
    <hyperlink ref="K67" r:id="rId65" display="https://ppim-intra.pea.co.th:4434/request/PPIM1850238C" xr:uid="{A948573F-EE9E-4263-AC5A-4D5CD8EFE898}"/>
    <hyperlink ref="K68" r:id="rId66" display="https://ppim-intra.pea.co.th:4434/request/PPIM18502A96" xr:uid="{395D2F11-55F7-4A34-A028-D6C9B8F48B9F}"/>
    <hyperlink ref="K69" r:id="rId67" display="https://ppim-intra.pea.co.th:4434/request/PPIM18502B54" xr:uid="{6573D2B0-EB88-4AAC-A296-1354944353FC}"/>
    <hyperlink ref="K70" r:id="rId68" display="https://ppim-intra.pea.co.th:4434/request/PPIM18502AF6" xr:uid="{A37BC13C-3180-4FC8-9B9F-9CB0BAE00935}"/>
    <hyperlink ref="K71" r:id="rId69" display="https://ppim-intra.pea.co.th:4434/request/PPIM18502C5D" xr:uid="{833A20AA-28AD-4F60-9B2A-22A2C63298A0}"/>
    <hyperlink ref="K72" r:id="rId70" display="https://ppim-intra.pea.co.th:4434/request/PPIM18502CE7" xr:uid="{AF105B44-ADCA-4AE0-A1C3-0CC5A8ADDBE5}"/>
    <hyperlink ref="K73" r:id="rId71" display="https://ppim-intra.pea.co.th:4434/request/PPIM18502EF5" xr:uid="{03CD575D-E57B-47C4-8110-AD4E935E4D0C}"/>
    <hyperlink ref="K74" r:id="rId72" display="https://ppim-intra.pea.co.th:4434/request/PPIM18503050" xr:uid="{6F3D6ABF-57F2-421E-8799-E0F0E46C500C}"/>
    <hyperlink ref="K75" r:id="rId73" display="https://ppim-intra.pea.co.th:4434/request/PPIM185030F9" xr:uid="{4139CC42-69E8-43F6-99CA-B6129A9DED3F}"/>
    <hyperlink ref="K76" r:id="rId74" display="https://ppim-intra.pea.co.th:4434/request/PPIM18502F25" xr:uid="{03B8D3E1-2DBA-4E83-A876-1F042D6D82B8}"/>
    <hyperlink ref="K77" r:id="rId75" display="https://ppim-intra.pea.co.th:4434/request/PPIM18503230" xr:uid="{DB8D438A-61AC-4AF6-8ADE-534F109F2A87}"/>
    <hyperlink ref="K78" r:id="rId76" display="https://ppim-intra.pea.co.th:4434/request/PPIM18502F31" xr:uid="{1F0117A1-6618-44C4-A483-DD120F2CB657}"/>
    <hyperlink ref="K79" r:id="rId77" display="https://ppim-intra.pea.co.th:4434/request/PPIM185032DA" xr:uid="{38384CA0-81AF-45D7-813F-7E7B8C1612C2}"/>
    <hyperlink ref="K80" r:id="rId78" display="https://ppim-intra.pea.co.th:4434/request/PPIM185033DA" xr:uid="{BA3CBD77-EF1E-4334-BA89-6905BB2A319F}"/>
    <hyperlink ref="K81" r:id="rId79" display="https://ppim-intra.pea.co.th:4434/request/PPIM18502D08" xr:uid="{DB50EB95-A05B-435A-9FA7-18DB2F8DEC59}"/>
    <hyperlink ref="K82" r:id="rId80" display="https://ppim-intra.pea.co.th:4434/request/PPIM18503479" xr:uid="{F87BD4BD-A67D-49E5-B6C3-94618C4CF932}"/>
    <hyperlink ref="K83" r:id="rId81" display="https://ppim-intra.pea.co.th:4434/request/PPIM185033F2" xr:uid="{83E10897-D2D7-4C08-963E-F6CF4CA5847A}"/>
    <hyperlink ref="K84" r:id="rId82" display="https://ppim-intra.pea.co.th:4434/request/PPIM185032B6" xr:uid="{A7E79DCB-C28B-46A9-9F42-A352AB743300}"/>
    <hyperlink ref="K85" r:id="rId83" display="https://ppim-intra.pea.co.th:4434/request/PPIM18503382" xr:uid="{9F25DD87-BE17-405D-B06A-C2C665492A75}"/>
    <hyperlink ref="K86" r:id="rId84" display="https://ppim-intra.pea.co.th:4434/request/PPIM1850340E" xr:uid="{A3D16E51-EE56-4319-965E-0A4D478F1F3F}"/>
    <hyperlink ref="K87" r:id="rId85" display="https://ppim-intra.pea.co.th:4434/request/PPIM185035A1" xr:uid="{9EE474CB-F780-4EB4-9BEC-1506CB69BFB8}"/>
    <hyperlink ref="K88" r:id="rId86" display="https://ppim-intra.pea.co.th:4434/request/PPIM185035FC" xr:uid="{317202A3-6F14-4761-9D03-FC7BC799DEA7}"/>
    <hyperlink ref="K89" r:id="rId87" display="https://ppim-intra.pea.co.th:4434/request/PPIM1850314B" xr:uid="{E8B911D0-5FDB-4CFA-A759-8AE99812A89A}"/>
    <hyperlink ref="K90" r:id="rId88" display="https://ppim-intra.pea.co.th:4434/request/PPIM18503AAC" xr:uid="{7D18D09B-64F1-4D75-90D2-917C00CD11A3}"/>
    <hyperlink ref="K91" r:id="rId89" display="https://ppim-intra.pea.co.th:4434/request/PPIM18503ACE" xr:uid="{CE466DE8-0A80-4214-8BF9-EBC06D0BF4FC}"/>
    <hyperlink ref="K92" r:id="rId90" display="https://ppim-intra.pea.co.th:4434/request/PPIM18503B24" xr:uid="{5C92580B-23EA-4C86-8843-D3614C258BB5}"/>
    <hyperlink ref="K93" r:id="rId91" display="https://ppim-intra.pea.co.th:4434/request/PPIM18503B82" xr:uid="{6773521D-12F6-4509-A77F-3F5813A82AAD}"/>
    <hyperlink ref="K94" r:id="rId92" display="https://ppim-intra.pea.co.th:4434/request/PPIM18503D7D" xr:uid="{AAB86082-4B46-40D1-B07A-68D1FFD73939}"/>
    <hyperlink ref="K95" r:id="rId93" display="https://ppim-intra.pea.co.th:4434/request/PPIM18503DB9" xr:uid="{9ACBAD2C-9F0F-4728-9984-03A3435C4818}"/>
    <hyperlink ref="K96" r:id="rId94" display="https://ppim-intra.pea.co.th:4434/request/PPIM18503DCB" xr:uid="{8DF59E77-191D-4FE2-9AEB-9ADBA892A33F}"/>
    <hyperlink ref="K97" r:id="rId95" display="https://ppim-intra.pea.co.th:4434/request/PPIM18503DE7" xr:uid="{C7FDB45B-735F-4D29-9F88-5CDDE23EB45D}"/>
    <hyperlink ref="K98" r:id="rId96" display="https://ppim-intra.pea.co.th:4434/request/PPIM18503E7E" xr:uid="{3A63697F-46B9-4E59-9210-E8A38BD58BF5}"/>
    <hyperlink ref="K99" r:id="rId97" display="https://ppim-intra.pea.co.th:4434/request/PPIM18503E9A" xr:uid="{9A76614A-6F7C-45C8-8493-E3D2AEBCE285}"/>
    <hyperlink ref="K100" r:id="rId98" display="https://ppim-intra.pea.co.th:4434/request/PPIM18503ABC" xr:uid="{6FB48A61-8988-4602-BE6C-9B71ED61F808}"/>
    <hyperlink ref="K101" r:id="rId99" display="https://ppim-intra.pea.co.th:4434/request/PPIM18503F25" xr:uid="{E57C8922-0EDA-413F-AC05-48C8EB511A59}"/>
    <hyperlink ref="K103" r:id="rId100" display="https://ppim-intra.pea.co.th:4434/request/PPIM18503EF4" xr:uid="{E88E3110-8189-4138-AD94-FCAC74051088}"/>
    <hyperlink ref="K104" r:id="rId101" display="https://ppim-intra.pea.co.th:4434/request/PPIM185040F2" xr:uid="{90A703C8-ABA9-4B7B-9BA8-0D7092F547E0}"/>
    <hyperlink ref="K105" r:id="rId102" display="https://ppim-intra.pea.co.th:4434/request/PPIM18504126" xr:uid="{EE1772A8-F92F-4DA1-A1D5-8DCEAB871E9A}"/>
    <hyperlink ref="K106" r:id="rId103" display="https://ppim-intra.pea.co.th:4434/request/PPIM1850418A" xr:uid="{3CF4B20A-ED86-42BA-9460-BA558D1A0D25}"/>
    <hyperlink ref="K107" r:id="rId104" display="https://ppim-intra.pea.co.th:4434/request/PPIM18504190" xr:uid="{404F9A6F-13AF-463D-A9FA-CC226092A189}"/>
    <hyperlink ref="K108" r:id="rId105" display="https://ppim-intra.pea.co.th:4434/request/PPIM185041B9" xr:uid="{774BB91C-0C78-4CE0-A2A7-17F81462B64A}"/>
    <hyperlink ref="K109" r:id="rId106" display="https://ppim-intra.pea.co.th:4434/request/PPIM185042D3" xr:uid="{20A47C5D-D0B2-4A34-8A28-C92065373E88}"/>
    <hyperlink ref="K110" r:id="rId107" display="https://ppim-intra.pea.co.th:4434/request/PPIM18504508" xr:uid="{0174666B-8BB1-4AEB-9140-F168952962A5}"/>
    <hyperlink ref="K111" r:id="rId108" display="https://ppim-intra.pea.co.th:4434/request/PPIM1850451E" xr:uid="{117EED1B-36F3-4E84-AAAC-2ABD014141D9}"/>
    <hyperlink ref="K112" r:id="rId109" display="https://ppim-intra.pea.co.th:4434/request/PPIM18504542" xr:uid="{1790FE19-364D-4F16-AA2D-450026BCEF01}"/>
    <hyperlink ref="K113" r:id="rId110" display="https://ppim-intra.pea.co.th:4434/request/PPIM1850456A" xr:uid="{BE146F2D-023F-4643-B6EF-370A1148573B}"/>
    <hyperlink ref="K114" r:id="rId111" display="https://ppim-intra.pea.co.th:4434/request/PPIM18504842" xr:uid="{6C4275AA-290D-4090-A53A-FAD42349DA59}"/>
    <hyperlink ref="K115" r:id="rId112" display="https://ppim-intra.pea.co.th:4434/request/PPIM1850485A" xr:uid="{5A5FF430-D0D5-481B-BDA9-DD450912C368}"/>
    <hyperlink ref="K116" r:id="rId113" display="https://ppim-intra.pea.co.th:4434/request/PPIM18504A55" xr:uid="{74D274BD-9FB3-4AC6-8DA7-0E10002D7E92}"/>
    <hyperlink ref="K117" r:id="rId114" display="https://ppim-intra.pea.co.th:4434/request/PPIM19500086" xr:uid="{AE78EBD3-FEB2-4178-B440-0B75EB46B878}"/>
    <hyperlink ref="K118" r:id="rId115" display="https://ppim-intra.pea.co.th:4434/request/PPIM19500281" xr:uid="{369B07C9-6C04-46BD-81D2-14D34D0976BA}"/>
    <hyperlink ref="K119" r:id="rId116" display="https://ppim-intra.pea.co.th:4434/request/PPIM19500988" xr:uid="{D294C9FC-B9EC-4777-ACFA-CEA6BD25E56A}"/>
    <hyperlink ref="K120" r:id="rId117" display="https://ppim-intra.pea.co.th:4434/request/PPIM195009DF" xr:uid="{5652F0AF-B1E1-499B-B6C7-CCB088F13E06}"/>
    <hyperlink ref="K121" r:id="rId118" display="https://ppim-intra.pea.co.th:4434/request/PPIM19500B59" xr:uid="{33E210AA-AA19-4BC9-862B-263A2B27CB4F}"/>
    <hyperlink ref="K122" r:id="rId119" display="https://ppim-intra.pea.co.th:4434/request/PPIM19500937" xr:uid="{05BA24CF-02F8-421D-B112-466FB77D1156}"/>
    <hyperlink ref="K123" r:id="rId120" display="https://ppim-intra.pea.co.th:4434/request/PPIM19500B56" xr:uid="{B660AF22-2B3C-4670-9C98-E0B685A27626}"/>
    <hyperlink ref="K124" r:id="rId121" display="https://ppim-intra.pea.co.th:4434/request/PPIM19500C18" xr:uid="{E76170D1-3379-4CD6-BE2D-ACC4C5D909B3}"/>
    <hyperlink ref="K125" r:id="rId122" display="https://ppim-intra.pea.co.th:4434/request/PPIM19500B50" xr:uid="{8C905AE9-1D89-4580-A043-EF53FD8A95D2}"/>
    <hyperlink ref="K126" r:id="rId123" display="https://ppim-intra.pea.co.th:4434/request/PPIM19500C83" xr:uid="{EA4CB2C8-2E15-465E-B758-BC7ABF5D2979}"/>
    <hyperlink ref="K127" r:id="rId124" display="https://ppim-intra.pea.co.th:4434/request/PPIM19500E99" xr:uid="{0916B2FB-B2C4-4138-BDB7-81C81EF84A36}"/>
    <hyperlink ref="K128" r:id="rId125" display="https://ppim-intra.pea.co.th:4434/request/PPIM19500B3D" xr:uid="{344A0BDB-2B77-4F33-93F7-F5F761A310C4}"/>
    <hyperlink ref="K129" r:id="rId126" display="https://ppim-intra.pea.co.th:4434/request/PPIM19500EF1" xr:uid="{9E1472D8-80B9-4EFC-920C-E4CBA6110B97}"/>
    <hyperlink ref="K130" r:id="rId127" display="https://ppim-intra.pea.co.th:4434/request/PPIM19500F0A" xr:uid="{6DF661FB-7B9C-4799-91B6-98FE167008A8}"/>
    <hyperlink ref="K131" r:id="rId128" display="https://ppim-intra.pea.co.th:4434/request/PPIM19500C31" xr:uid="{96A0ADAD-5CC2-4A50-A311-C93E7F2E0D5C}"/>
    <hyperlink ref="K132" r:id="rId129" display="https://ppim-intra.pea.co.th:4434/request/PPIM1950125E" xr:uid="{EE86F36E-B479-4469-88A6-1FD48F2E21A0}"/>
    <hyperlink ref="K133" r:id="rId130" display="https://ppim-intra.pea.co.th:4434/request/PPIM1950128B" xr:uid="{9E4E8C9B-3629-4850-AC0C-9E9911B426ED}"/>
    <hyperlink ref="K134" r:id="rId131" display="https://ppim-intra.pea.co.th:4434/request/PPIM19501293" xr:uid="{68FC8B07-A74F-4E4E-A6B9-B9C18B871EC4}"/>
    <hyperlink ref="K135" r:id="rId132" display="https://ppim-intra.pea.co.th:4434/request/PPIM195013C0" xr:uid="{2C6526E0-F66B-4A21-A5BF-E9AE62B10B6E}"/>
    <hyperlink ref="K136" r:id="rId133" display="https://ppim-intra.pea.co.th:4434/request/PPIM195013CC" xr:uid="{5F416498-08FF-48BB-BC49-AB691CB53E81}"/>
    <hyperlink ref="K137" r:id="rId134" display="https://ppim-intra.pea.co.th:4434/request/PPIM19501488" xr:uid="{12B2D25E-EF29-45E8-A7DA-DD6245E95125}"/>
    <hyperlink ref="K138" r:id="rId135" display="https://ppim-intra.pea.co.th:4434/request/PPIM1950148A" xr:uid="{394721AD-4858-4C50-9C92-F0CB70FB8003}"/>
    <hyperlink ref="K139" r:id="rId136" display="https://ppim-intra.pea.co.th:4434/request/PPIM1950136B" xr:uid="{51534E3A-7ED7-460B-9953-8CC0CA8F1A59}"/>
    <hyperlink ref="K140" r:id="rId137" display="https://ppim-intra.pea.co.th:4434/request/PPIM19501782" xr:uid="{8AA39953-FAC4-4651-A93C-FCFAE6E157CF}"/>
    <hyperlink ref="K141" r:id="rId138" display="https://ppim-intra.pea.co.th:4434/request/PPIM19501A4E" xr:uid="{4EC61551-2477-48E0-B54A-7CA9F9E90065}"/>
    <hyperlink ref="K142" r:id="rId139" display="https://ppim-intra.pea.co.th:4434/request/PPIM19501AB5" xr:uid="{3E50853C-FA23-4EBF-A412-B2DAC52E6DF4}"/>
    <hyperlink ref="K143" r:id="rId140" display="https://ppim-intra.pea.co.th:4434/request/PPIM195018FA" xr:uid="{373306D6-C375-44F4-8326-1253A28F13EC}"/>
    <hyperlink ref="K144" r:id="rId141" display="https://ppim-intra.pea.co.th:4434/request/PPIM19501BB9" xr:uid="{EC11A306-9942-42F8-BF01-066B6036E73B}"/>
    <hyperlink ref="K145" r:id="rId142" display="https://ppim-intra.pea.co.th:4434/request/PPIM19501C69" xr:uid="{1E35CCC0-BF39-428B-AB6D-8E10A339A5E9}"/>
    <hyperlink ref="K146" r:id="rId143" display="https://ppim-intra.pea.co.th:4434/request/PPIM19501C6F" xr:uid="{F72325A0-592B-4CBA-B627-E53B3812C789}"/>
    <hyperlink ref="K147" r:id="rId144" display="https://ppim-intra.pea.co.th:4434/request/PPIM19501C73" xr:uid="{B0EE22BB-9C45-4CA8-B1BB-9BF1ADEF0385}"/>
    <hyperlink ref="K148" r:id="rId145" display="https://ppim-intra.pea.co.th:4434/request/PPIM19501D7E" xr:uid="{C162BFFE-C0AB-4353-BB07-12535D908732}"/>
    <hyperlink ref="K149" r:id="rId146" display="https://ppim-intra.pea.co.th:4434/request/PPIM19501E96" xr:uid="{67D63404-1A91-4A81-BF98-D8CEADC43818}"/>
    <hyperlink ref="K150" r:id="rId147" display="https://ppim-intra.pea.co.th:4434/request/PPIM19502104" xr:uid="{C69523FD-33D3-49DD-9213-6DF0C3B2F150}"/>
    <hyperlink ref="K151" r:id="rId148" display="https://ppim-intra.pea.co.th:4434/request/PPIM195021B5" xr:uid="{7018A1A4-CE89-4DDC-A2B0-5D43AFA1CD4F}"/>
    <hyperlink ref="K152" r:id="rId149" display="https://ppim-intra.pea.co.th:4434/request/PPIM195021CC" xr:uid="{F78C7885-F3D8-475B-8A85-166EEDFDFC18}"/>
    <hyperlink ref="K153" r:id="rId150" display="https://ppim-intra.pea.co.th:4434/request/PPIM195021FA" xr:uid="{A7BB75F4-43FC-4C10-A42D-9AE252A3D5F0}"/>
    <hyperlink ref="K154" r:id="rId151" display="https://ppim-intra.pea.co.th:4434/request/PPIM19502335" xr:uid="{63D46813-8D12-4CFC-BC90-CE14AF11D88B}"/>
    <hyperlink ref="K155" r:id="rId152" display="https://ppim-intra.pea.co.th:4434/request/PPIM195021AF" xr:uid="{D77A9C26-E411-48D3-B42D-F8905DAF72C8}"/>
    <hyperlink ref="K156" r:id="rId153" display="https://ppim-intra.pea.co.th:4434/request/PPIM19502283" xr:uid="{03B0D1CC-3672-428F-8754-3BCC3DE1C01E}"/>
    <hyperlink ref="K157" r:id="rId154" display="https://ppim-intra.pea.co.th:4434/request/PPIM195023F9" xr:uid="{0F2C7080-EA78-4C02-9F94-3C0F0F85F3A6}"/>
    <hyperlink ref="K158" r:id="rId155" display="https://ppim-intra.pea.co.th:4434/request/PPIM19502279" xr:uid="{D6CBC01C-3A90-40B8-AB46-44C180C4DEF0}"/>
    <hyperlink ref="K159" r:id="rId156" display="https://ppim-intra.pea.co.th:4434/request/PPIM1950241C" xr:uid="{D60890F6-CDE4-4510-B78C-27D910F8DB55}"/>
    <hyperlink ref="K160" r:id="rId157" display="https://ppim-intra.pea.co.th:4434/request/PPIM195026CB" xr:uid="{0DF67C15-CEE9-4C7C-B016-695742BD5D1F}"/>
    <hyperlink ref="K161" r:id="rId158" display="https://ppim-intra.pea.co.th:4434/request/PPIM1950276A" xr:uid="{F41F8DCB-C181-4681-92F4-7B7BAE01FAD5}"/>
    <hyperlink ref="K162" r:id="rId159" display="https://ppim-intra.pea.co.th:4434/request/PPIM195027C9" xr:uid="{5C9FBFAA-8433-4EC4-8695-91A2E8E42199}"/>
    <hyperlink ref="K163" r:id="rId160" display="https://ppim-intra.pea.co.th:4434/request/PPIM195029EE" xr:uid="{C264EA8A-7DF3-411D-BE81-EF5098974797}"/>
    <hyperlink ref="K164" r:id="rId161" display="https://ppim-intra.pea.co.th:4434/request/PPIM1950156C" xr:uid="{F97820EB-9E7A-48FB-BF16-4127355967CB}"/>
    <hyperlink ref="K165" r:id="rId162" display="https://ppim-intra.pea.co.th:4434/request/PPIM19502AE4" xr:uid="{7E30E503-48DA-4509-8384-25E3AF80EEC2}"/>
    <hyperlink ref="K166" r:id="rId163" display="https://ppim-intra.pea.co.th:4434/request/PPIM19502C65" xr:uid="{59CF2B4D-4E89-4CC1-A061-31D1B75C5E7C}"/>
    <hyperlink ref="K167" r:id="rId164" display="https://ppim-intra.pea.co.th:4434/request/PPIM19502C7D" xr:uid="{B259B495-E543-4F5D-97E6-594AD9821903}"/>
    <hyperlink ref="K168" r:id="rId165" display="https://ppim-intra.pea.co.th:4434/request/PPIM19502EC5" xr:uid="{B67D1B12-54A3-42A6-B4B1-50FB7EBF253B}"/>
    <hyperlink ref="K169" r:id="rId166" display="https://ppim-intra.pea.co.th:4434/request/PPIM19502ECB" xr:uid="{C03EBE72-26B5-47EF-A37D-30D1366AA473}"/>
    <hyperlink ref="K170" r:id="rId167" display="https://ppim-intra.pea.co.th:4434/request/PPIM19503120" xr:uid="{129FBA48-C101-4344-A862-B286DC7E6EBA}"/>
    <hyperlink ref="K171" r:id="rId168" display="https://ppim-intra.pea.co.th:4434/request/PPIM19503259" xr:uid="{FC93F2C7-AB1F-4852-80AF-D5E9E538D05F}"/>
    <hyperlink ref="K172" r:id="rId169" display="https://ppim-intra.pea.co.th:4434/request/PPIM19502F99" xr:uid="{E120DDE3-462C-44A8-82B1-D05CB8DF476B}"/>
    <hyperlink ref="K173" r:id="rId170" display="https://ppim-intra.pea.co.th:4434/request/PPIM195033E2" xr:uid="{5BF2678F-80B4-472F-83AF-CB4793157C44}"/>
    <hyperlink ref="K174" r:id="rId171" display="https://ppim-intra.pea.co.th:4434/request/PPIM19503479" xr:uid="{715ECD7B-759F-410C-9365-EC5CB5A31BD6}"/>
    <hyperlink ref="K175" r:id="rId172" display="https://ppim-intra.pea.co.th:4434/request/PPIM1950354B" xr:uid="{C33DACA7-CAFB-4AA8-BDC5-92D131B5847D}"/>
    <hyperlink ref="K176" r:id="rId173" display="https://ppim-intra.pea.co.th:4434/request/PPIM19503585" xr:uid="{BE41475F-43CB-48B7-BC58-C27732D01DB9}"/>
    <hyperlink ref="K177" r:id="rId174" display="https://ppim-intra.pea.co.th:4434/request/PPIM19503615" xr:uid="{00613C1B-E4A3-45F4-A041-73D0661B6419}"/>
    <hyperlink ref="K178" r:id="rId175" display="https://ppim-intra.pea.co.th:4434/request/PPIM19503533" xr:uid="{BB1FEBE7-099B-4F0F-A667-7D4BD5BB9F8B}"/>
    <hyperlink ref="K179" r:id="rId176" display="https://ppim-intra.pea.co.th:4434/request/PPIM19503400" xr:uid="{9B9269FA-030E-4208-8BDE-6223BC5A4575}"/>
    <hyperlink ref="K180" r:id="rId177" display="https://ppim-intra.pea.co.th:4434/request/PPIM19503631" xr:uid="{55577B0F-06FA-44E9-A196-62CBD92B9977}"/>
    <hyperlink ref="K181" r:id="rId178" display="https://ppim-intra.pea.co.th:4434/request/PPIM19503632" xr:uid="{3A5EFFEF-7446-41C7-B2EA-EC59DC900692}"/>
    <hyperlink ref="K182" r:id="rId179" display="https://ppim-intra.pea.co.th:4434/request/PPIM19503634" xr:uid="{10E5D145-C1A8-4191-8915-2997A9548356}"/>
    <hyperlink ref="K183" r:id="rId180" display="https://ppim-intra.pea.co.th:4434/request/PPIM19503636" xr:uid="{E57842C4-0A7A-4ECC-99D6-0DB6A016B917}"/>
    <hyperlink ref="K184" r:id="rId181" display="https://ppim-intra.pea.co.th:4434/request/PPIM19503647" xr:uid="{E39C6055-681B-4BB6-B100-DD9BDED7B05F}"/>
    <hyperlink ref="K185" r:id="rId182" display="https://ppim-intra.pea.co.th:4434/request/PPIM19503656" xr:uid="{09F85256-B073-4F07-A1E9-00CB42C6BDF3}"/>
    <hyperlink ref="K186" r:id="rId183" display="https://ppim-intra.pea.co.th:4434/request/PPIM19503741" xr:uid="{19ABB1C5-4868-4569-8840-241C1B43315D}"/>
    <hyperlink ref="K187" r:id="rId184" display="https://ppim-intra.pea.co.th:4434/request/PPIM19503806" xr:uid="{A8F39830-9076-4AFD-A146-4B655F419480}"/>
    <hyperlink ref="K188" r:id="rId185" display="https://ppim-intra.pea.co.th:4434/request/PPIM1950380A" xr:uid="{EF47483D-0339-4A6D-B7F6-65F8162D7C2B}"/>
    <hyperlink ref="K189" r:id="rId186" display="https://ppim-intra.pea.co.th:4434/request/PPIM195037E0" xr:uid="{FEF8D216-F8FD-4E5A-A5D0-5F8A88A55429}"/>
    <hyperlink ref="K190" r:id="rId187" display="https://ppim-intra.pea.co.th:4434/request/PPIM195036C7" xr:uid="{C7858501-6905-431F-B04C-1360DAE28760}"/>
    <hyperlink ref="K191" r:id="rId188" display="https://ppim-intra.pea.co.th:4434/request/PPIM1950389A" xr:uid="{0FBC3998-E044-4A36-A2B0-7399B50407D7}"/>
    <hyperlink ref="K192" r:id="rId189" display="https://ppim-intra.pea.co.th:4434/request/PPIM1950395C" xr:uid="{555CAAF3-9270-43CA-A522-61A815FFA775}"/>
    <hyperlink ref="K193" r:id="rId190" display="https://ppim-intra.pea.co.th:4434/request/PPIM1950396A" xr:uid="{CCA4C7F1-996D-4301-8064-F208632A80A2}"/>
    <hyperlink ref="K194" r:id="rId191" display="https://ppim-intra.pea.co.th:4434/request/PPIM19503980" xr:uid="{A2DD54D7-67DB-4CD0-ADDF-B3C5E26C22C5}"/>
    <hyperlink ref="K195" r:id="rId192" display="https://ppim-intra.pea.co.th:4434/request/PPIM19503B3A" xr:uid="{A25F17AB-E12F-4516-9C09-ABEA3DB6EB50}"/>
    <hyperlink ref="K196" r:id="rId193" display="https://ppim-intra.pea.co.th:4434/request/PPIM19503BF3" xr:uid="{4D7641F6-4EBD-4B81-9321-8A7808F18E0F}"/>
    <hyperlink ref="K197" r:id="rId194" display="https://ppim-intra.pea.co.th:4434/request/PPIM195038D9" xr:uid="{4AA39E15-18DA-43BD-94E6-5422C4E34E9D}"/>
    <hyperlink ref="K198" r:id="rId195" display="https://ppim-intra.pea.co.th:4434/request/PPIM19503C7F" xr:uid="{2D590C87-DEF5-4476-A996-D42362C35F5C}"/>
    <hyperlink ref="K199" r:id="rId196" display="https://ppim-intra.pea.co.th:4434/request/PPIM19503D43" xr:uid="{62D9B7A9-3B00-4BC2-AC1F-E9B7DA238DDA}"/>
    <hyperlink ref="K200" r:id="rId197" display="https://ppim-intra.pea.co.th:4434/request/PPIM19503BFA" xr:uid="{BA2A4AE2-291C-479F-BF22-ED9779F8ED46}"/>
    <hyperlink ref="K201" r:id="rId198" display="https://ppim-intra.pea.co.th:4434/request/PPIM195039A8" xr:uid="{595E7FC8-55CB-48A0-92D0-9B5437F3C2B0}"/>
    <hyperlink ref="K203" r:id="rId199" display="https://ppim-intra.pea.co.th:4434/request/PPIM19503E17" xr:uid="{53346681-36E9-44A9-955F-EE1E3CBDB254}"/>
    <hyperlink ref="K204" r:id="rId200" display="https://ppim-intra.pea.co.th:4434/request/PPIM19503F3C" xr:uid="{2D9D58BC-FA6E-4A0F-8A5E-1398A10FA581}"/>
    <hyperlink ref="K205" r:id="rId201" display="https://ppim-intra.pea.co.th:4434/request/PPIM1950408B" xr:uid="{2F0BA192-D8CA-4868-BA24-C0883CBC213E}"/>
    <hyperlink ref="K206" r:id="rId202" display="https://ppim-intra.pea.co.th:4434/request/PPIM19503AA5" xr:uid="{76F3E501-D0B8-42ED-941E-E1D4ADAF657C}"/>
    <hyperlink ref="K207" r:id="rId203" display="https://ppim-intra.pea.co.th:4434/request/PPIM19503E8C" xr:uid="{895CC5C8-718F-4E06-A203-432CDE1FC5C4}"/>
    <hyperlink ref="K208" r:id="rId204" display="https://ppim-intra.pea.co.th:4434/request/PPIM19504166" xr:uid="{204A0822-1CB5-401C-9BBA-EE3224492666}"/>
    <hyperlink ref="K209" r:id="rId205" display="https://ppim-intra.pea.co.th:4434/request/PPIM19504003" xr:uid="{DEC10FB4-010A-44E6-B68E-3395E6DD94B8}"/>
    <hyperlink ref="K210" r:id="rId206" display="https://ppim-intra.pea.co.th:4434/request/PPIM195043D6" xr:uid="{15244003-5011-45A7-B6EC-3C0E6BC1CC5F}"/>
    <hyperlink ref="K211" r:id="rId207" display="https://ppim-intra.pea.co.th:4434/request/PPIM195044E2" xr:uid="{4A9A2311-8EE5-4BBB-941E-A2E7216EC885}"/>
    <hyperlink ref="K212" r:id="rId208" display="https://ppim-intra.pea.co.th:4434/request/PPIM195045EB" xr:uid="{674F7F3C-43C6-4D8A-8FF1-6C1323D9C96E}"/>
    <hyperlink ref="K213" r:id="rId209" display="https://ppim-intra.pea.co.th:4434/request/PPIM195045B5" xr:uid="{B3D71B8E-B50D-44DF-82C3-07CAD92379AC}"/>
    <hyperlink ref="K214" r:id="rId210" display="https://ppim-intra.pea.co.th:4434/request/PPIM19504288" xr:uid="{97BAA8D2-8AC6-4EBA-8827-5A3372E83FD2}"/>
    <hyperlink ref="K215" r:id="rId211" display="https://ppim-intra.pea.co.th:4434/request/PPIM1950474A" xr:uid="{55402993-E6D1-480C-8511-9D73A0C7D31D}"/>
    <hyperlink ref="K216" r:id="rId212" display="https://ppim-intra.pea.co.th:4434/request/PPIM19504758" xr:uid="{BB73232A-055A-4169-BA9A-CD522027EFD7}"/>
    <hyperlink ref="K217" r:id="rId213" display="https://ppim-intra.pea.co.th:4434/request/PPIM19504759" xr:uid="{BF5E3CF8-C18C-47E4-BE50-DFC303B82628}"/>
    <hyperlink ref="K218" r:id="rId214" display="https://ppim-intra.pea.co.th:4434/request/PPIM19504800" xr:uid="{25D3B51C-6783-4908-80BA-B9C53348023C}"/>
    <hyperlink ref="K219" r:id="rId215" display="https://ppim-intra.pea.co.th:4434/request/PPIM1950497B" xr:uid="{4805F666-614A-4B36-9E33-82C89F780379}"/>
    <hyperlink ref="K220" r:id="rId216" display="https://ppim-intra.pea.co.th:4434/request/PPIM19504A6F" xr:uid="{FA770BE1-5CE7-486A-B02B-BCD829C24DFC}"/>
    <hyperlink ref="K221" r:id="rId217" display="https://ppim-intra.pea.co.th:4434/request/PPIM19504A83" xr:uid="{B063878B-D47D-45DD-95CB-12723CA10CA7}"/>
    <hyperlink ref="K222" r:id="rId218" display="https://ppim-intra.pea.co.th:4434/request/PPIM19504AA8" xr:uid="{DD097D25-9DE6-48A4-A16A-54D01E579B98}"/>
    <hyperlink ref="K223" r:id="rId219" display="https://ppim-intra.pea.co.th:4434/request/PPIM19504B92" xr:uid="{B8E7CA65-FF90-4A83-A75B-E9DA228093A1}"/>
    <hyperlink ref="K224" r:id="rId220" display="https://ppim-intra.pea.co.th:4434/request/PPIM19504C43" xr:uid="{B238561F-EA07-4268-8778-0AF862D8E03F}"/>
    <hyperlink ref="K225" r:id="rId221" display="https://ppim-intra.pea.co.th:4434/request/PPIM19504C7D" xr:uid="{6A5F4037-9DAC-4401-BE34-5D364B8A826A}"/>
    <hyperlink ref="K226" r:id="rId222" display="https://ppim-intra.pea.co.th:4434/request/PPIM19504C88" xr:uid="{E902FE8F-753B-4B29-B035-F649898CEA4A}"/>
    <hyperlink ref="K227" r:id="rId223" display="https://ppim-intra.pea.co.th:4434/request/PPIM19504D9D" xr:uid="{00006C12-11BD-4B43-A9D4-E0B693B369CB}"/>
    <hyperlink ref="K228" r:id="rId224" display="https://ppim-intra.pea.co.th:4434/request/PPIM19504E8D" xr:uid="{5B8DE625-A6C4-4E1C-9CD7-B26EF228490E}"/>
    <hyperlink ref="K229" r:id="rId225" display="https://ppim-intra.pea.co.th:4434/request/PPIM19504EE4" xr:uid="{3BB09A36-C6CA-4AFC-9183-5E4FA95F5167}"/>
    <hyperlink ref="K230" r:id="rId226" display="https://ppim-intra.pea.co.th:4434/request/PPIM195052EF" xr:uid="{577D43B5-9532-4C68-B2A9-984C757CB0C1}"/>
    <hyperlink ref="K231" r:id="rId227" display="https://ppim-intra.pea.co.th:4434/request/PPIM195053BB" xr:uid="{462F0E82-C642-4FF0-AFD9-BEAF2F25C5E9}"/>
    <hyperlink ref="K232" r:id="rId228" display="https://ppim-intra.pea.co.th:4434/request/PPIM1950504B" xr:uid="{BDB093BD-52F3-49C6-AEBA-60B8E7317BA9}"/>
    <hyperlink ref="K233" r:id="rId229" display="https://ppim-intra.pea.co.th:4434/request/PPIM19505104" xr:uid="{F78AF4C0-8C3C-4F9D-A6D9-1C4BDBF76413}"/>
    <hyperlink ref="K234" r:id="rId230" display="https://ppim-intra.pea.co.th:4434/request/PPIM19505383" xr:uid="{5E48FCEC-889E-48B9-8094-AD82BE0616F7}"/>
    <hyperlink ref="K235" r:id="rId231" display="https://ppim-intra.pea.co.th:4434/request/PPIM195054A3" xr:uid="{6A2FC69E-F370-41BB-826D-FDE2D3C117E0}"/>
    <hyperlink ref="K236" r:id="rId232" display="https://ppim-intra.pea.co.th:4434/request/PPIM195054FE" xr:uid="{E70649E8-ECA9-426C-B8E4-6C0E070861AA}"/>
    <hyperlink ref="K237" r:id="rId233" display="https://ppim-intra.pea.co.th:4434/request/PPIM19505502" xr:uid="{C8BDA11C-4FEC-4419-8CAE-8D5760A448C2}"/>
    <hyperlink ref="K238" r:id="rId234" display="https://ppim-intra.pea.co.th:4434/request/PPIM1950553E" xr:uid="{DBF46F28-804C-4B22-91CB-2D9F39F37F05}"/>
    <hyperlink ref="K239" r:id="rId235" display="https://ppim-intra.pea.co.th:4434/request/PPIM195055D2" xr:uid="{65CD59E1-D44D-4DCE-9237-72A0CF0FAF24}"/>
    <hyperlink ref="K240" r:id="rId236" display="https://ppim-intra.pea.co.th:4434/request/PPIM19505757" xr:uid="{7387A643-A8EA-4029-9AE0-E6BA7A7AB8B9}"/>
    <hyperlink ref="K241" r:id="rId237" display="https://ppim-intra.pea.co.th:4434/request/PPIM195057A8" xr:uid="{A55C2273-C464-4A09-8007-B4D5C41E303D}"/>
    <hyperlink ref="K242" r:id="rId238" display="https://ppim-intra.pea.co.th:4434/request/PPIM195058A6" xr:uid="{8E58CC0A-35B0-4377-AB14-ED88CD5BD0B0}"/>
    <hyperlink ref="K243" r:id="rId239" display="https://ppim-intra.pea.co.th:4434/request/PPIM195058BA" xr:uid="{0473E509-37D5-4D60-98B1-A284433EB345}"/>
    <hyperlink ref="K244" r:id="rId240" display="https://ppim-intra.pea.co.th:4434/request/PPIM19505A2C" xr:uid="{2738B571-3E34-4978-AAFD-015A3B07E477}"/>
    <hyperlink ref="K245" r:id="rId241" display="https://ppim-intra.pea.co.th:4434/request/PPIM19505A37" xr:uid="{28E4E068-EC43-431B-B7BD-C5CF3583F7A4}"/>
    <hyperlink ref="K246" r:id="rId242" display="https://ppim-intra.pea.co.th:4434/request/PPIM19505A97" xr:uid="{58CAAE68-50AD-42DC-AE1D-05C299B5A12C}"/>
    <hyperlink ref="K247" r:id="rId243" display="https://ppim-intra.pea.co.th:4434/request/PPIM1950591F" xr:uid="{DACC6115-4FA8-4F3A-9E7E-F2E086AE41DC}"/>
    <hyperlink ref="K248" r:id="rId244" display="https://ppim-intra.pea.co.th:4434/request/PPIM19505A96" xr:uid="{1AA5833E-55E9-4647-AFDB-0026D6F7850C}"/>
    <hyperlink ref="K249" r:id="rId245" display="https://ppim-intra.pea.co.th:4434/request/PPIM195053CE" xr:uid="{9AB74303-9FA7-4657-8E7D-2D5668DF16C5}"/>
    <hyperlink ref="K250" r:id="rId246" display="https://ppim-intra.pea.co.th:4434/request/PPIM1950593D" xr:uid="{2C71A7BE-1ECC-4C71-A12E-8B6B64E6BFD5}"/>
    <hyperlink ref="K251" r:id="rId247" display="https://ppim-intra.pea.co.th:4434/request/PPIM19505A39" xr:uid="{35232918-64A4-45F0-AE0A-EC1568C1CB2B}"/>
  </hyperlinks>
  <pageMargins left="0.7" right="0.7" top="0.75" bottom="0.75" header="0.3" footer="0.3"/>
  <pageSetup paperSize="9" orientation="portrait" horizontalDpi="4294967293" r:id="rId248"/>
  <drawing r:id="rId249"/>
  <legacyDrawing r:id="rId250"/>
  <controls>
    <mc:AlternateContent xmlns:mc="http://schemas.openxmlformats.org/markup-compatibility/2006">
      <mc:Choice Requires="x14">
        <control shapeId="8193" r:id="rId251" name="Control 1">
          <controlPr defaultSize="0" r:id="rId252">
            <anchor moveWithCells="1">
              <from>
                <xdr:col>0</xdr:col>
                <xdr:colOff>0</xdr:colOff>
                <xdr:row>30</xdr:row>
                <xdr:rowOff>180975</xdr:rowOff>
              </from>
              <to>
                <xdr:col>0</xdr:col>
                <xdr:colOff>161925</xdr:colOff>
                <xdr:row>30</xdr:row>
                <xdr:rowOff>342900</xdr:rowOff>
              </to>
            </anchor>
          </controlPr>
        </control>
      </mc:Choice>
      <mc:Fallback>
        <control shapeId="8193" r:id="rId251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C298-0D4D-440C-BAB1-1016FBFC6E9D}">
  <sheetPr codeName="Sheet3">
    <tabColor rgb="FFFFC000"/>
  </sheetPr>
  <dimension ref="A2:O168"/>
  <sheetViews>
    <sheetView zoomScale="85" zoomScaleNormal="85" workbookViewId="0">
      <selection activeCell="H9" sqref="H9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4" width="16.7109375" style="6" customWidth="1"/>
    <col min="5" max="5" width="14.140625" style="6" customWidth="1"/>
    <col min="6" max="6" width="18.7109375" style="6"/>
    <col min="7" max="7" width="13" style="6" customWidth="1"/>
    <col min="8" max="8" width="20.28515625" style="6" customWidth="1"/>
    <col min="9" max="9" width="11.28515625" style="6" customWidth="1"/>
    <col min="10" max="10" width="18.7109375" style="6"/>
    <col min="11" max="11" width="9" style="8"/>
    <col min="12" max="12" width="40.85546875" style="8" bestFit="1" customWidth="1"/>
    <col min="13" max="13" width="10" style="8" bestFit="1" customWidth="1"/>
    <col min="14" max="14" width="9" style="10"/>
    <col min="15" max="16384" width="9" style="8"/>
  </cols>
  <sheetData>
    <row r="2" spans="1:15" ht="44.25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K2" s="20"/>
      <c r="L2" s="12" t="s">
        <v>213</v>
      </c>
      <c r="M2" s="12">
        <f>COUNT(B:B)</f>
        <v>102</v>
      </c>
      <c r="N2" s="13" t="s">
        <v>214</v>
      </c>
    </row>
    <row r="3" spans="1:15" ht="37.5" thickTop="1" thickBot="1">
      <c r="A3" s="18" t="s">
        <v>1797</v>
      </c>
      <c r="B3" s="18">
        <v>20026027222</v>
      </c>
      <c r="C3" s="18" t="s">
        <v>167</v>
      </c>
      <c r="D3" s="19">
        <v>45371.488194444442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164</v>
      </c>
      <c r="K3" s="20"/>
      <c r="L3" s="7" t="s">
        <v>2656</v>
      </c>
      <c r="M3" s="7">
        <f>COUNTIF(H:H,"รอตรวจสอบคำขอ")</f>
        <v>10</v>
      </c>
      <c r="N3" s="11" t="s">
        <v>214</v>
      </c>
    </row>
    <row r="4" spans="1:15" ht="36.75" thickBot="1">
      <c r="A4" s="21" t="s">
        <v>277</v>
      </c>
      <c r="B4" s="21">
        <v>20003464087</v>
      </c>
      <c r="C4" s="21" t="s">
        <v>278</v>
      </c>
      <c r="D4" s="22">
        <v>45391.859722222223</v>
      </c>
      <c r="E4" s="21" t="s">
        <v>10</v>
      </c>
      <c r="F4" s="21">
        <v>5</v>
      </c>
      <c r="G4" s="21" t="s">
        <v>10</v>
      </c>
      <c r="H4" s="21" t="s">
        <v>178</v>
      </c>
      <c r="I4" s="21" t="s">
        <v>10</v>
      </c>
      <c r="J4" s="21" t="s">
        <v>164</v>
      </c>
      <c r="K4" s="20"/>
      <c r="L4" s="7" t="s">
        <v>178</v>
      </c>
      <c r="M4" s="7">
        <f>COUNTIF(H:H,"ยกเลิก")</f>
        <v>58</v>
      </c>
      <c r="N4" s="11" t="s">
        <v>214</v>
      </c>
    </row>
    <row r="5" spans="1:15" ht="36.75" thickBot="1">
      <c r="A5" s="18" t="s">
        <v>279</v>
      </c>
      <c r="B5" s="18">
        <v>20002575303</v>
      </c>
      <c r="C5" s="18" t="s">
        <v>280</v>
      </c>
      <c r="D5" s="19">
        <v>45401.668055555558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164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54.75" thickBot="1">
      <c r="A6" s="18" t="s">
        <v>168</v>
      </c>
      <c r="B6" s="18">
        <v>20003495624</v>
      </c>
      <c r="C6" s="18" t="s">
        <v>169</v>
      </c>
      <c r="D6" s="19">
        <v>45315.618750000001</v>
      </c>
      <c r="E6" s="19">
        <v>45427.670138888891</v>
      </c>
      <c r="F6" s="18">
        <v>10</v>
      </c>
      <c r="G6" s="19">
        <v>45456.623611111114</v>
      </c>
      <c r="H6" s="18" t="s">
        <v>236</v>
      </c>
      <c r="I6" s="18" t="s">
        <v>10</v>
      </c>
      <c r="J6" s="18" t="s">
        <v>164</v>
      </c>
      <c r="K6" s="20"/>
      <c r="L6" s="7" t="s">
        <v>189</v>
      </c>
      <c r="M6" s="24">
        <f>COUNTIF(H:H,"รอชำระเงิน")</f>
        <v>2</v>
      </c>
      <c r="N6" s="11" t="s">
        <v>214</v>
      </c>
      <c r="O6" s="7" t="s">
        <v>359</v>
      </c>
    </row>
    <row r="7" spans="1:15" ht="36.75" thickBot="1">
      <c r="A7" s="18" t="s">
        <v>281</v>
      </c>
      <c r="B7" s="18">
        <v>20026819749</v>
      </c>
      <c r="C7" s="18" t="s">
        <v>221</v>
      </c>
      <c r="D7" s="19">
        <v>45414.40625</v>
      </c>
      <c r="E7" s="19">
        <v>45433.662499999999</v>
      </c>
      <c r="F7" s="18">
        <v>15</v>
      </c>
      <c r="G7" s="18" t="s">
        <v>10</v>
      </c>
      <c r="H7" s="18" t="s">
        <v>178</v>
      </c>
      <c r="I7" s="18" t="s">
        <v>10</v>
      </c>
      <c r="J7" s="18" t="s">
        <v>164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4</v>
      </c>
      <c r="N7" s="11" t="s">
        <v>214</v>
      </c>
    </row>
    <row r="8" spans="1:15" ht="36.75" thickBot="1">
      <c r="A8" s="18" t="s">
        <v>463</v>
      </c>
      <c r="B8" s="18">
        <v>20003366734</v>
      </c>
      <c r="C8" s="18" t="s">
        <v>464</v>
      </c>
      <c r="D8" s="19">
        <v>45448.821527777778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164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2</v>
      </c>
      <c r="N8" s="11" t="s">
        <v>214</v>
      </c>
    </row>
    <row r="9" spans="1:15" ht="54.75" thickBot="1">
      <c r="A9" s="18" t="s">
        <v>465</v>
      </c>
      <c r="B9" s="18">
        <v>20026027280</v>
      </c>
      <c r="C9" s="18" t="s">
        <v>167</v>
      </c>
      <c r="D9" s="19">
        <v>45453.620833333334</v>
      </c>
      <c r="E9" s="18" t="s">
        <v>10</v>
      </c>
      <c r="F9" s="18">
        <v>5</v>
      </c>
      <c r="G9" s="19">
        <v>45492.525694444441</v>
      </c>
      <c r="H9" s="18" t="s">
        <v>236</v>
      </c>
      <c r="I9" s="18" t="s">
        <v>10</v>
      </c>
      <c r="J9" s="18" t="s">
        <v>164</v>
      </c>
      <c r="K9" s="20"/>
      <c r="L9" s="7" t="s">
        <v>2688</v>
      </c>
      <c r="M9" s="7">
        <f>COUNTIF(H:H,"รอแก้ไขเอกสารหลังอนุมัติเชื่อมต่อ / รับพิจารณา")</f>
        <v>0</v>
      </c>
      <c r="N9" s="11" t="s">
        <v>214</v>
      </c>
    </row>
    <row r="10" spans="1:15" ht="54.75" thickBot="1">
      <c r="A10" s="18" t="s">
        <v>466</v>
      </c>
      <c r="B10" s="18">
        <v>20025246220</v>
      </c>
      <c r="C10" s="18" t="s">
        <v>467</v>
      </c>
      <c r="D10" s="19">
        <v>45453.701388888891</v>
      </c>
      <c r="E10" s="18" t="s">
        <v>10</v>
      </c>
      <c r="F10" s="18">
        <v>15</v>
      </c>
      <c r="G10" s="18" t="s">
        <v>10</v>
      </c>
      <c r="H10" s="18" t="s">
        <v>178</v>
      </c>
      <c r="I10" s="18" t="s">
        <v>10</v>
      </c>
      <c r="J10" s="18" t="s">
        <v>164</v>
      </c>
      <c r="K10" s="20"/>
      <c r="L10" s="7" t="s">
        <v>2687</v>
      </c>
      <c r="M10" s="7">
        <f>COUNTIF(H:H,"รออนุมัติเชื่อมต่อ (200 kW ขึ้นไป)")</f>
        <v>0</v>
      </c>
      <c r="N10" s="11" t="s">
        <v>214</v>
      </c>
    </row>
    <row r="11" spans="1:15" ht="36.75" thickBot="1">
      <c r="A11" s="18" t="s">
        <v>468</v>
      </c>
      <c r="B11" s="18">
        <v>20019725700</v>
      </c>
      <c r="C11" s="18" t="s">
        <v>469</v>
      </c>
      <c r="D11" s="19">
        <v>45455.552777777775</v>
      </c>
      <c r="E11" s="18" t="s">
        <v>10</v>
      </c>
      <c r="F11" s="18">
        <v>8</v>
      </c>
      <c r="G11" s="18" t="s">
        <v>10</v>
      </c>
      <c r="H11" s="18" t="s">
        <v>178</v>
      </c>
      <c r="I11" s="18" t="s">
        <v>10</v>
      </c>
      <c r="J11" s="18" t="s">
        <v>164</v>
      </c>
      <c r="K11" s="20"/>
      <c r="L11" s="7" t="s">
        <v>2654</v>
      </c>
      <c r="M11" s="7">
        <f>COUNTIF(H:H,"รอตรวจสอบระบบผลิต")</f>
        <v>1</v>
      </c>
      <c r="N11" s="11" t="s">
        <v>214</v>
      </c>
    </row>
    <row r="12" spans="1:15" ht="54.75" thickBot="1">
      <c r="A12" s="18" t="s">
        <v>372</v>
      </c>
      <c r="B12" s="18">
        <v>20003310398</v>
      </c>
      <c r="C12" s="18" t="s">
        <v>373</v>
      </c>
      <c r="D12" s="19">
        <v>45435.863194444442</v>
      </c>
      <c r="E12" s="19">
        <v>45460.86041666667</v>
      </c>
      <c r="F12" s="18">
        <v>10</v>
      </c>
      <c r="G12" s="19">
        <v>45490.546527777777</v>
      </c>
      <c r="H12" s="18" t="s">
        <v>236</v>
      </c>
      <c r="I12" s="18" t="s">
        <v>10</v>
      </c>
      <c r="J12" s="18" t="s">
        <v>164</v>
      </c>
      <c r="K12" s="20"/>
      <c r="L12" s="7" t="s">
        <v>2651</v>
      </c>
      <c r="M12" s="7">
        <f>COUNTIF(H:H,"รอทดสอบเชื่อมต่อ")</f>
        <v>0</v>
      </c>
      <c r="N12" s="11" t="s">
        <v>214</v>
      </c>
    </row>
    <row r="13" spans="1:15" ht="36.75" thickBot="1">
      <c r="A13" s="18" t="s">
        <v>470</v>
      </c>
      <c r="B13" s="18">
        <v>20003366734</v>
      </c>
      <c r="C13" s="18" t="s">
        <v>464</v>
      </c>
      <c r="D13" s="19">
        <v>45462.904861111114</v>
      </c>
      <c r="E13" s="18" t="s">
        <v>10</v>
      </c>
      <c r="F13" s="18">
        <v>5</v>
      </c>
      <c r="G13" s="18" t="s">
        <v>10</v>
      </c>
      <c r="H13" s="18" t="s">
        <v>178</v>
      </c>
      <c r="I13" s="18" t="s">
        <v>10</v>
      </c>
      <c r="J13" s="18" t="s">
        <v>164</v>
      </c>
      <c r="K13" s="20"/>
      <c r="L13" s="7" t="s">
        <v>2655</v>
      </c>
      <c r="M13" s="7">
        <f>COUNTIF(H:H,"รออนุมัติแจ้งวันเริ่มเชื่อมต่อ")</f>
        <v>0</v>
      </c>
      <c r="N13" s="11" t="s">
        <v>214</v>
      </c>
    </row>
    <row r="14" spans="1:15" ht="54.75" thickBot="1">
      <c r="A14" s="18" t="s">
        <v>471</v>
      </c>
      <c r="B14" s="18">
        <v>20025246220</v>
      </c>
      <c r="C14" s="18" t="s">
        <v>467</v>
      </c>
      <c r="D14" s="19">
        <v>45464.459722222222</v>
      </c>
      <c r="E14" s="18" t="s">
        <v>10</v>
      </c>
      <c r="F14" s="18">
        <v>15</v>
      </c>
      <c r="G14" s="19">
        <v>45512.598611111112</v>
      </c>
      <c r="H14" s="18" t="s">
        <v>236</v>
      </c>
      <c r="I14" s="18" t="s">
        <v>10</v>
      </c>
      <c r="J14" s="18" t="s">
        <v>164</v>
      </c>
      <c r="K14" s="20"/>
      <c r="L14" s="7" t="s">
        <v>236</v>
      </c>
      <c r="M14" s="7">
        <f>COUNTIF(H:H,"เชื่อมต่อเรียบร้อยแล้ว")</f>
        <v>25</v>
      </c>
      <c r="N14" s="11" t="s">
        <v>214</v>
      </c>
    </row>
    <row r="15" spans="1:15" ht="36.75" thickBot="1">
      <c r="A15" s="18" t="s">
        <v>478</v>
      </c>
      <c r="B15" s="18">
        <v>20027665825</v>
      </c>
      <c r="C15" s="18" t="s">
        <v>479</v>
      </c>
      <c r="D15" s="19">
        <v>45472.546527777777</v>
      </c>
      <c r="E15" s="18" t="s">
        <v>10</v>
      </c>
      <c r="F15" s="18">
        <v>5</v>
      </c>
      <c r="G15" s="18" t="s">
        <v>10</v>
      </c>
      <c r="H15" s="18" t="s">
        <v>178</v>
      </c>
      <c r="I15" s="18" t="s">
        <v>10</v>
      </c>
      <c r="J15" s="18" t="s">
        <v>164</v>
      </c>
      <c r="K15" s="20"/>
      <c r="L15" s="7"/>
      <c r="M15" s="7"/>
      <c r="N15" s="11"/>
    </row>
    <row r="16" spans="1:15" ht="36.75" thickBot="1">
      <c r="A16" s="18" t="s">
        <v>625</v>
      </c>
      <c r="B16" s="18">
        <v>20026584113</v>
      </c>
      <c r="C16" s="18" t="s">
        <v>626</v>
      </c>
      <c r="D16" s="19">
        <v>45475.677777777775</v>
      </c>
      <c r="E16" s="18" t="s">
        <v>10</v>
      </c>
      <c r="F16" s="18">
        <v>10</v>
      </c>
      <c r="G16" s="18" t="s">
        <v>10</v>
      </c>
      <c r="H16" s="18" t="s">
        <v>178</v>
      </c>
      <c r="I16" s="18" t="s">
        <v>10</v>
      </c>
      <c r="J16" s="18" t="s">
        <v>164</v>
      </c>
      <c r="K16" s="20"/>
    </row>
    <row r="17" spans="1:11" ht="36.75" thickBot="1">
      <c r="A17" s="18" t="s">
        <v>627</v>
      </c>
      <c r="B17" s="18">
        <v>20003575303</v>
      </c>
      <c r="C17" s="18" t="s">
        <v>628</v>
      </c>
      <c r="D17" s="19">
        <v>45476.674305555556</v>
      </c>
      <c r="E17" s="18" t="s">
        <v>10</v>
      </c>
      <c r="F17" s="18">
        <v>5</v>
      </c>
      <c r="G17" s="18" t="s">
        <v>10</v>
      </c>
      <c r="H17" s="18" t="s">
        <v>178</v>
      </c>
      <c r="I17" s="18" t="s">
        <v>10</v>
      </c>
      <c r="J17" s="18" t="s">
        <v>164</v>
      </c>
      <c r="K17" s="20"/>
    </row>
    <row r="18" spans="1:11" ht="36.75" thickBot="1">
      <c r="A18" s="18" t="s">
        <v>629</v>
      </c>
      <c r="B18" s="18">
        <v>20019725700</v>
      </c>
      <c r="C18" s="18" t="s">
        <v>461</v>
      </c>
      <c r="D18" s="19">
        <v>45478.401388888888</v>
      </c>
      <c r="E18" s="18" t="s">
        <v>10</v>
      </c>
      <c r="F18" s="18">
        <v>8</v>
      </c>
      <c r="G18" s="18" t="s">
        <v>10</v>
      </c>
      <c r="H18" s="18" t="s">
        <v>178</v>
      </c>
      <c r="I18" s="18" t="s">
        <v>10</v>
      </c>
      <c r="J18" s="18" t="s">
        <v>164</v>
      </c>
      <c r="K18" s="20"/>
    </row>
    <row r="19" spans="1:11" ht="36.75" thickBot="1">
      <c r="A19" s="18" t="s">
        <v>477</v>
      </c>
      <c r="B19" s="18">
        <v>20026819749</v>
      </c>
      <c r="C19" s="18" t="s">
        <v>221</v>
      </c>
      <c r="D19" s="19">
        <v>45469.695833333331</v>
      </c>
      <c r="E19" s="19">
        <v>45482.671527777777</v>
      </c>
      <c r="F19" s="18">
        <v>15</v>
      </c>
      <c r="G19" s="18" t="s">
        <v>10</v>
      </c>
      <c r="H19" s="18" t="s">
        <v>178</v>
      </c>
      <c r="I19" s="18" t="s">
        <v>10</v>
      </c>
      <c r="J19" s="18" t="s">
        <v>164</v>
      </c>
      <c r="K19" s="20"/>
    </row>
    <row r="20" spans="1:11" ht="36.75" thickBot="1">
      <c r="A20" s="18" t="s">
        <v>475</v>
      </c>
      <c r="B20" s="18">
        <v>20003627666</v>
      </c>
      <c r="C20" s="18" t="s">
        <v>476</v>
      </c>
      <c r="D20" s="19">
        <v>45469.69027777778</v>
      </c>
      <c r="E20" s="19">
        <v>45484.430555555555</v>
      </c>
      <c r="F20" s="18">
        <v>20</v>
      </c>
      <c r="G20" s="18" t="s">
        <v>10</v>
      </c>
      <c r="H20" s="18" t="s">
        <v>178</v>
      </c>
      <c r="I20" s="18" t="s">
        <v>10</v>
      </c>
      <c r="J20" s="18" t="s">
        <v>164</v>
      </c>
      <c r="K20" s="20"/>
    </row>
    <row r="21" spans="1:11" ht="36.75" thickBot="1">
      <c r="A21" s="18" t="s">
        <v>472</v>
      </c>
      <c r="B21" s="18">
        <v>20025520914</v>
      </c>
      <c r="C21" s="18" t="s">
        <v>473</v>
      </c>
      <c r="D21" s="19">
        <v>45467.484722222223</v>
      </c>
      <c r="E21" s="19">
        <v>45488.500694444447</v>
      </c>
      <c r="F21" s="18">
        <v>10</v>
      </c>
      <c r="G21" s="19">
        <v>45524.409722222219</v>
      </c>
      <c r="H21" s="18" t="s">
        <v>236</v>
      </c>
      <c r="I21" s="18" t="s">
        <v>10</v>
      </c>
      <c r="J21" s="18" t="s">
        <v>164</v>
      </c>
      <c r="K21" s="20"/>
    </row>
    <row r="22" spans="1:11" ht="54.75" thickBot="1">
      <c r="A22" s="18" t="s">
        <v>165</v>
      </c>
      <c r="B22" s="18">
        <v>20025696667</v>
      </c>
      <c r="C22" s="18" t="s">
        <v>166</v>
      </c>
      <c r="D22" s="19">
        <v>45378.584722222222</v>
      </c>
      <c r="E22" s="19">
        <v>45490.65625</v>
      </c>
      <c r="F22" s="18">
        <v>4</v>
      </c>
      <c r="G22" s="19">
        <v>45552.620833333334</v>
      </c>
      <c r="H22" s="18" t="s">
        <v>236</v>
      </c>
      <c r="I22" s="18" t="s">
        <v>10</v>
      </c>
      <c r="J22" s="18" t="s">
        <v>164</v>
      </c>
      <c r="K22" s="20"/>
    </row>
    <row r="23" spans="1:11" ht="36.75" thickBot="1">
      <c r="A23" s="18" t="s">
        <v>708</v>
      </c>
      <c r="B23" s="18">
        <v>20022335153</v>
      </c>
      <c r="C23" s="18" t="s">
        <v>709</v>
      </c>
      <c r="D23" s="19">
        <v>45491.431250000001</v>
      </c>
      <c r="E23" s="18" t="s">
        <v>10</v>
      </c>
      <c r="F23" s="18">
        <v>10</v>
      </c>
      <c r="G23" s="18" t="s">
        <v>10</v>
      </c>
      <c r="H23" s="18" t="s">
        <v>236</v>
      </c>
      <c r="I23" s="18" t="s">
        <v>10</v>
      </c>
      <c r="J23" s="18" t="s">
        <v>164</v>
      </c>
      <c r="K23" s="20"/>
    </row>
    <row r="24" spans="1:11" ht="36.75" thickBot="1">
      <c r="A24" s="18" t="s">
        <v>710</v>
      </c>
      <c r="B24" s="18">
        <v>20027665825</v>
      </c>
      <c r="C24" s="18" t="s">
        <v>479</v>
      </c>
      <c r="D24" s="19">
        <v>45491.48333333333</v>
      </c>
      <c r="E24" s="18" t="s">
        <v>10</v>
      </c>
      <c r="F24" s="18">
        <v>5</v>
      </c>
      <c r="G24" s="18" t="s">
        <v>10</v>
      </c>
      <c r="H24" s="18" t="s">
        <v>178</v>
      </c>
      <c r="I24" s="18" t="s">
        <v>10</v>
      </c>
      <c r="J24" s="18" t="s">
        <v>164</v>
      </c>
      <c r="K24" s="20"/>
    </row>
    <row r="25" spans="1:11" ht="36.75" thickBot="1">
      <c r="A25" s="18" t="s">
        <v>711</v>
      </c>
      <c r="B25" s="18">
        <v>20003627666</v>
      </c>
      <c r="C25" s="18" t="s">
        <v>712</v>
      </c>
      <c r="D25" s="19">
        <v>45492.428472222222</v>
      </c>
      <c r="E25" s="18" t="s">
        <v>10</v>
      </c>
      <c r="F25" s="18">
        <v>20</v>
      </c>
      <c r="G25" s="18" t="s">
        <v>10</v>
      </c>
      <c r="H25" s="18" t="s">
        <v>178</v>
      </c>
      <c r="I25" s="18" t="s">
        <v>10</v>
      </c>
      <c r="J25" s="18" t="s">
        <v>164</v>
      </c>
      <c r="K25" s="20"/>
    </row>
    <row r="26" spans="1:11" ht="36.75" thickBot="1">
      <c r="A26" s="18" t="s">
        <v>162</v>
      </c>
      <c r="B26" s="18">
        <v>20022141629</v>
      </c>
      <c r="C26" s="18" t="s">
        <v>163</v>
      </c>
      <c r="D26" s="19">
        <v>45380.65902777778</v>
      </c>
      <c r="E26" s="19">
        <v>45492.525000000001</v>
      </c>
      <c r="F26" s="18">
        <v>5</v>
      </c>
      <c r="G26" s="19">
        <v>45534.334027777775</v>
      </c>
      <c r="H26" s="18" t="s">
        <v>236</v>
      </c>
      <c r="I26" s="18" t="s">
        <v>10</v>
      </c>
      <c r="J26" s="18" t="s">
        <v>164</v>
      </c>
      <c r="K26" s="20"/>
    </row>
    <row r="27" spans="1:11" ht="36.75" thickBot="1">
      <c r="A27" s="18" t="s">
        <v>717</v>
      </c>
      <c r="B27" s="18">
        <v>20003627666</v>
      </c>
      <c r="C27" s="18" t="s">
        <v>476</v>
      </c>
      <c r="D27" s="19">
        <v>45499.42291666667</v>
      </c>
      <c r="E27" s="18" t="s">
        <v>10</v>
      </c>
      <c r="F27" s="18">
        <v>20</v>
      </c>
      <c r="G27" s="18" t="s">
        <v>10</v>
      </c>
      <c r="H27" s="18" t="s">
        <v>178</v>
      </c>
      <c r="I27" s="18" t="s">
        <v>10</v>
      </c>
      <c r="J27" s="18" t="s">
        <v>164</v>
      </c>
      <c r="K27" s="20"/>
    </row>
    <row r="28" spans="1:11" ht="36.75" thickBot="1">
      <c r="A28" s="18" t="s">
        <v>474</v>
      </c>
      <c r="B28" s="18">
        <v>20003366734</v>
      </c>
      <c r="C28" s="18" t="s">
        <v>464</v>
      </c>
      <c r="D28" s="19">
        <v>45465.737500000003</v>
      </c>
      <c r="E28" s="19">
        <v>45499.45208333333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164</v>
      </c>
      <c r="K28" s="20"/>
    </row>
    <row r="29" spans="1:11" ht="36.75" thickBot="1">
      <c r="A29" s="18" t="s">
        <v>828</v>
      </c>
      <c r="B29" s="18">
        <v>20026819749</v>
      </c>
      <c r="C29" s="18">
        <v>3730300205528</v>
      </c>
      <c r="D29" s="19">
        <v>45511.684027777781</v>
      </c>
      <c r="E29" s="18" t="s">
        <v>10</v>
      </c>
      <c r="F29" s="18">
        <v>15</v>
      </c>
      <c r="G29" s="18" t="s">
        <v>10</v>
      </c>
      <c r="H29" s="18" t="s">
        <v>178</v>
      </c>
      <c r="I29" s="18" t="s">
        <v>10</v>
      </c>
      <c r="J29" s="18" t="s">
        <v>164</v>
      </c>
      <c r="K29" s="20"/>
    </row>
    <row r="30" spans="1:11" ht="36.75" thickBot="1">
      <c r="A30" s="18" t="s">
        <v>829</v>
      </c>
      <c r="B30" s="18">
        <v>20019725700</v>
      </c>
      <c r="C30" s="18" t="s">
        <v>830</v>
      </c>
      <c r="D30" s="19">
        <v>45513.475694444445</v>
      </c>
      <c r="E30" s="18" t="s">
        <v>10</v>
      </c>
      <c r="F30" s="18">
        <v>2</v>
      </c>
      <c r="G30" s="18" t="s">
        <v>10</v>
      </c>
      <c r="H30" s="18" t="s">
        <v>178</v>
      </c>
      <c r="I30" s="18" t="s">
        <v>10</v>
      </c>
      <c r="J30" s="18" t="s">
        <v>164</v>
      </c>
      <c r="K30" s="20"/>
    </row>
    <row r="31" spans="1:11" ht="54.75" thickBot="1">
      <c r="A31" s="18" t="s">
        <v>831</v>
      </c>
      <c r="B31" s="18">
        <v>20026819749</v>
      </c>
      <c r="C31" s="18" t="s">
        <v>221</v>
      </c>
      <c r="D31" s="19">
        <v>45517.629166666666</v>
      </c>
      <c r="E31" s="18" t="s">
        <v>10</v>
      </c>
      <c r="F31" s="18">
        <v>15</v>
      </c>
      <c r="G31" s="19">
        <v>45545.44027777778</v>
      </c>
      <c r="H31" s="18" t="s">
        <v>236</v>
      </c>
      <c r="I31" s="18" t="s">
        <v>10</v>
      </c>
      <c r="J31" s="18" t="s">
        <v>164</v>
      </c>
      <c r="K31" s="20"/>
    </row>
    <row r="32" spans="1:11" ht="36.75" thickBot="1">
      <c r="A32" s="18" t="s">
        <v>832</v>
      </c>
      <c r="B32" s="18">
        <v>20003308194</v>
      </c>
      <c r="C32" s="18" t="s">
        <v>833</v>
      </c>
      <c r="D32" s="19">
        <v>45518.834027777775</v>
      </c>
      <c r="E32" s="18" t="s">
        <v>10</v>
      </c>
      <c r="F32" s="18">
        <v>5</v>
      </c>
      <c r="G32" s="18" t="s">
        <v>10</v>
      </c>
      <c r="H32" s="18" t="s">
        <v>178</v>
      </c>
      <c r="I32" s="18" t="s">
        <v>10</v>
      </c>
      <c r="J32" s="18" t="s">
        <v>164</v>
      </c>
      <c r="K32" s="20"/>
    </row>
    <row r="33" spans="1:11" ht="36.75" thickBot="1">
      <c r="A33" s="18" t="s">
        <v>834</v>
      </c>
      <c r="B33" s="18">
        <v>20019725700</v>
      </c>
      <c r="C33" s="18" t="s">
        <v>830</v>
      </c>
      <c r="D33" s="19">
        <v>45525.447222222225</v>
      </c>
      <c r="E33" s="18" t="s">
        <v>10</v>
      </c>
      <c r="F33" s="18">
        <v>8</v>
      </c>
      <c r="G33" s="18" t="s">
        <v>10</v>
      </c>
      <c r="H33" s="18" t="s">
        <v>178</v>
      </c>
      <c r="I33" s="18" t="s">
        <v>10</v>
      </c>
      <c r="J33" s="18" t="s">
        <v>164</v>
      </c>
      <c r="K33" s="20"/>
    </row>
    <row r="34" spans="1:11" ht="36.75" thickBot="1">
      <c r="A34" s="18" t="s">
        <v>706</v>
      </c>
      <c r="B34" s="18">
        <v>20026584113</v>
      </c>
      <c r="C34" s="18" t="s">
        <v>707</v>
      </c>
      <c r="D34" s="19">
        <v>45490.650694444441</v>
      </c>
      <c r="E34" s="19">
        <v>45525.690972222219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164</v>
      </c>
      <c r="K34" s="20"/>
    </row>
    <row r="35" spans="1:11" ht="36.75" thickBot="1">
      <c r="A35" s="18" t="s">
        <v>715</v>
      </c>
      <c r="B35" s="18">
        <v>20021169223</v>
      </c>
      <c r="C35" s="18" t="s">
        <v>716</v>
      </c>
      <c r="D35" s="19">
        <v>45496.930555555555</v>
      </c>
      <c r="E35" s="19">
        <v>45525.90347222222</v>
      </c>
      <c r="F35" s="18">
        <v>12</v>
      </c>
      <c r="G35" s="19">
        <v>45554.406944444447</v>
      </c>
      <c r="H35" s="18" t="s">
        <v>236</v>
      </c>
      <c r="I35" s="18" t="s">
        <v>10</v>
      </c>
      <c r="J35" s="18" t="s">
        <v>164</v>
      </c>
      <c r="K35" s="20"/>
    </row>
    <row r="36" spans="1:11" ht="36.75" thickBot="1">
      <c r="A36" s="18" t="s">
        <v>835</v>
      </c>
      <c r="B36" s="18">
        <v>20026487706</v>
      </c>
      <c r="C36" s="18" t="s">
        <v>836</v>
      </c>
      <c r="D36" s="19">
        <v>45527.690972222219</v>
      </c>
      <c r="E36" s="18" t="s">
        <v>10</v>
      </c>
      <c r="F36" s="18">
        <v>10</v>
      </c>
      <c r="G36" s="18" t="s">
        <v>10</v>
      </c>
      <c r="H36" s="18" t="s">
        <v>178</v>
      </c>
      <c r="I36" s="18" t="s">
        <v>10</v>
      </c>
      <c r="J36" s="18" t="s">
        <v>164</v>
      </c>
      <c r="K36" s="20"/>
    </row>
    <row r="37" spans="1:11" ht="36.75" thickBot="1">
      <c r="A37" s="18" t="s">
        <v>630</v>
      </c>
      <c r="B37" s="18">
        <v>20022873351</v>
      </c>
      <c r="C37" s="18" t="s">
        <v>631</v>
      </c>
      <c r="D37" s="19">
        <v>45484.968055555553</v>
      </c>
      <c r="E37" s="19">
        <v>45531.479861111111</v>
      </c>
      <c r="F37" s="18">
        <v>20</v>
      </c>
      <c r="G37" s="19">
        <v>45540.411111111112</v>
      </c>
      <c r="H37" s="18" t="s">
        <v>236</v>
      </c>
      <c r="I37" s="18" t="s">
        <v>10</v>
      </c>
      <c r="J37" s="18" t="s">
        <v>164</v>
      </c>
      <c r="K37" s="20"/>
    </row>
    <row r="38" spans="1:11" ht="36.75" thickBot="1">
      <c r="A38" s="18" t="s">
        <v>838</v>
      </c>
      <c r="B38" s="18">
        <v>20017968396</v>
      </c>
      <c r="C38" s="18" t="s">
        <v>839</v>
      </c>
      <c r="D38" s="19">
        <v>45531.727083333331</v>
      </c>
      <c r="E38" s="18" t="s">
        <v>10</v>
      </c>
      <c r="F38" s="18">
        <v>3</v>
      </c>
      <c r="G38" s="18" t="s">
        <v>10</v>
      </c>
      <c r="H38" s="18" t="s">
        <v>178</v>
      </c>
      <c r="I38" s="18" t="s">
        <v>10</v>
      </c>
      <c r="J38" s="18" t="s">
        <v>164</v>
      </c>
      <c r="K38" s="20"/>
    </row>
    <row r="39" spans="1:11" ht="54.75" thickBot="1">
      <c r="A39" s="18" t="s">
        <v>713</v>
      </c>
      <c r="B39" s="18">
        <v>20026474087</v>
      </c>
      <c r="C39" s="18" t="s">
        <v>714</v>
      </c>
      <c r="D39" s="19">
        <v>45495.551388888889</v>
      </c>
      <c r="E39" s="19">
        <v>45532.675000000003</v>
      </c>
      <c r="F39" s="18">
        <v>5</v>
      </c>
      <c r="G39" s="19">
        <v>45646.575694444444</v>
      </c>
      <c r="H39" s="18" t="s">
        <v>236</v>
      </c>
      <c r="I39" s="18" t="s">
        <v>10</v>
      </c>
      <c r="J39" s="18" t="s">
        <v>164</v>
      </c>
      <c r="K39" s="20"/>
    </row>
    <row r="40" spans="1:11" ht="36.75" thickBot="1">
      <c r="A40" s="18" t="s">
        <v>840</v>
      </c>
      <c r="B40" s="18">
        <v>20003546499</v>
      </c>
      <c r="C40" s="18" t="s">
        <v>841</v>
      </c>
      <c r="D40" s="19">
        <v>45533.755555555559</v>
      </c>
      <c r="E40" s="18" t="s">
        <v>10</v>
      </c>
      <c r="F40" s="18">
        <v>10</v>
      </c>
      <c r="G40" s="18" t="s">
        <v>10</v>
      </c>
      <c r="H40" s="18" t="s">
        <v>178</v>
      </c>
      <c r="I40" s="18" t="s">
        <v>10</v>
      </c>
      <c r="J40" s="18" t="s">
        <v>164</v>
      </c>
      <c r="K40" s="20"/>
    </row>
    <row r="41" spans="1:11" ht="54.75" thickBot="1">
      <c r="A41" s="18" t="s">
        <v>1034</v>
      </c>
      <c r="B41" s="18">
        <v>20003366734</v>
      </c>
      <c r="C41" s="18" t="s">
        <v>464</v>
      </c>
      <c r="D41" s="19">
        <v>45534.682638888888</v>
      </c>
      <c r="E41" s="18" t="s">
        <v>10</v>
      </c>
      <c r="F41" s="18">
        <v>5</v>
      </c>
      <c r="G41" s="19">
        <v>45638.525000000001</v>
      </c>
      <c r="H41" s="18" t="s">
        <v>236</v>
      </c>
      <c r="I41" s="18" t="s">
        <v>10</v>
      </c>
      <c r="J41" s="18" t="s">
        <v>164</v>
      </c>
      <c r="K41" s="20"/>
    </row>
    <row r="42" spans="1:11" ht="36.75" thickBot="1">
      <c r="A42" s="18" t="s">
        <v>1035</v>
      </c>
      <c r="B42" s="18">
        <v>20003627666</v>
      </c>
      <c r="C42" s="18" t="s">
        <v>1036</v>
      </c>
      <c r="D42" s="19">
        <v>45537.510416666664</v>
      </c>
      <c r="E42" s="18" t="s">
        <v>10</v>
      </c>
      <c r="F42" s="18">
        <v>20</v>
      </c>
      <c r="G42" s="18" t="s">
        <v>10</v>
      </c>
      <c r="H42" s="18" t="s">
        <v>178</v>
      </c>
      <c r="I42" s="18" t="s">
        <v>10</v>
      </c>
      <c r="J42" s="18" t="s">
        <v>164</v>
      </c>
      <c r="K42" s="20"/>
    </row>
    <row r="43" spans="1:11" ht="36.75" thickBot="1">
      <c r="A43" s="18" t="s">
        <v>1037</v>
      </c>
      <c r="B43" s="18">
        <v>20003546499</v>
      </c>
      <c r="C43" s="18" t="s">
        <v>841</v>
      </c>
      <c r="D43" s="19">
        <v>45537.606944444444</v>
      </c>
      <c r="E43" s="18" t="s">
        <v>10</v>
      </c>
      <c r="F43" s="18">
        <v>10</v>
      </c>
      <c r="G43" s="18" t="s">
        <v>10</v>
      </c>
      <c r="H43" s="18" t="s">
        <v>178</v>
      </c>
      <c r="I43" s="18" t="s">
        <v>10</v>
      </c>
      <c r="J43" s="18" t="s">
        <v>164</v>
      </c>
      <c r="K43" s="20"/>
    </row>
    <row r="44" spans="1:11" ht="36.75" thickBot="1">
      <c r="A44" s="18" t="s">
        <v>1177</v>
      </c>
      <c r="B44" s="18">
        <v>20026487706</v>
      </c>
      <c r="C44" s="18" t="s">
        <v>836</v>
      </c>
      <c r="D44" s="19">
        <v>45558.474305555559</v>
      </c>
      <c r="E44" s="18" t="s">
        <v>10</v>
      </c>
      <c r="F44" s="18">
        <v>10</v>
      </c>
      <c r="G44" s="18" t="s">
        <v>10</v>
      </c>
      <c r="H44" s="18" t="s">
        <v>178</v>
      </c>
      <c r="I44" s="18" t="s">
        <v>10</v>
      </c>
      <c r="J44" s="18" t="s">
        <v>164</v>
      </c>
      <c r="K44" s="20"/>
    </row>
    <row r="45" spans="1:11" ht="36.75" thickBot="1">
      <c r="A45" s="18" t="s">
        <v>1283</v>
      </c>
      <c r="B45" s="18">
        <v>20003279773</v>
      </c>
      <c r="C45" s="18" t="s">
        <v>1284</v>
      </c>
      <c r="D45" s="19">
        <v>45569.715277777781</v>
      </c>
      <c r="E45" s="19">
        <v>45589.581250000003</v>
      </c>
      <c r="F45" s="18">
        <v>20</v>
      </c>
      <c r="G45" s="18" t="s">
        <v>10</v>
      </c>
      <c r="H45" s="18" t="s">
        <v>178</v>
      </c>
      <c r="I45" s="18" t="s">
        <v>10</v>
      </c>
      <c r="J45" s="18" t="s">
        <v>164</v>
      </c>
      <c r="K45" s="20"/>
    </row>
    <row r="46" spans="1:11" ht="72.75" thickBot="1">
      <c r="A46" s="18" t="s">
        <v>1533</v>
      </c>
      <c r="B46" s="18">
        <v>20026652148</v>
      </c>
      <c r="C46" s="18" t="s">
        <v>825</v>
      </c>
      <c r="D46" s="19">
        <v>45604.599305555559</v>
      </c>
      <c r="E46" s="18" t="s">
        <v>10</v>
      </c>
      <c r="F46" s="18">
        <v>12</v>
      </c>
      <c r="G46" s="18" t="s">
        <v>10</v>
      </c>
      <c r="H46" s="18" t="s">
        <v>178</v>
      </c>
      <c r="I46" s="18" t="s">
        <v>10</v>
      </c>
      <c r="J46" s="18" t="s">
        <v>164</v>
      </c>
      <c r="K46" s="20"/>
    </row>
    <row r="47" spans="1:11" ht="36.75" thickBot="1">
      <c r="A47" s="18" t="s">
        <v>837</v>
      </c>
      <c r="B47" s="18">
        <v>20026584113</v>
      </c>
      <c r="C47" s="18" t="s">
        <v>707</v>
      </c>
      <c r="D47" s="19">
        <v>45531.575694444444</v>
      </c>
      <c r="E47" s="19">
        <v>45607.481944444444</v>
      </c>
      <c r="F47" s="18">
        <v>10</v>
      </c>
      <c r="G47" s="18" t="s">
        <v>10</v>
      </c>
      <c r="H47" s="18" t="s">
        <v>178</v>
      </c>
      <c r="I47" s="18" t="s">
        <v>10</v>
      </c>
      <c r="J47" s="18" t="s">
        <v>164</v>
      </c>
      <c r="K47" s="20"/>
    </row>
    <row r="48" spans="1:11" ht="54.75" thickBot="1">
      <c r="A48" s="18" t="s">
        <v>1178</v>
      </c>
      <c r="B48" s="18">
        <v>20027665825</v>
      </c>
      <c r="C48" s="18" t="s">
        <v>479</v>
      </c>
      <c r="D48" s="19">
        <v>45556.728472222225</v>
      </c>
      <c r="E48" s="19">
        <v>45607.707638888889</v>
      </c>
      <c r="F48" s="18">
        <v>5</v>
      </c>
      <c r="G48" s="19">
        <v>45698.65347222222</v>
      </c>
      <c r="H48" s="18" t="s">
        <v>236</v>
      </c>
      <c r="I48" s="18" t="s">
        <v>10</v>
      </c>
      <c r="J48" s="18" t="s">
        <v>164</v>
      </c>
      <c r="K48" s="20"/>
    </row>
    <row r="49" spans="1:11" ht="36.75" thickBot="1">
      <c r="A49" s="18" t="s">
        <v>1534</v>
      </c>
      <c r="B49" s="18">
        <v>20026487706</v>
      </c>
      <c r="C49" s="18" t="s">
        <v>1535</v>
      </c>
      <c r="D49" s="19">
        <v>45608.635416666664</v>
      </c>
      <c r="E49" s="18" t="s">
        <v>10</v>
      </c>
      <c r="F49" s="18">
        <v>10</v>
      </c>
      <c r="G49" s="18" t="s">
        <v>10</v>
      </c>
      <c r="H49" s="18" t="s">
        <v>178</v>
      </c>
      <c r="I49" s="18" t="s">
        <v>10</v>
      </c>
      <c r="J49" s="18" t="s">
        <v>164</v>
      </c>
      <c r="K49" s="20"/>
    </row>
    <row r="50" spans="1:11" ht="36.75" thickBot="1">
      <c r="A50" s="18" t="s">
        <v>1536</v>
      </c>
      <c r="B50" s="18">
        <v>20026487706</v>
      </c>
      <c r="C50" s="18" t="s">
        <v>1537</v>
      </c>
      <c r="D50" s="19">
        <v>45608.661805555559</v>
      </c>
      <c r="E50" s="18" t="s">
        <v>10</v>
      </c>
      <c r="F50" s="18">
        <v>10</v>
      </c>
      <c r="G50" s="18" t="s">
        <v>10</v>
      </c>
      <c r="H50" s="18" t="s">
        <v>178</v>
      </c>
      <c r="I50" s="18" t="s">
        <v>10</v>
      </c>
      <c r="J50" s="18" t="s">
        <v>164</v>
      </c>
      <c r="K50" s="20"/>
    </row>
    <row r="51" spans="1:11" ht="36.75" thickBot="1">
      <c r="A51" s="18" t="s">
        <v>1544</v>
      </c>
      <c r="B51" s="18">
        <v>20003546706</v>
      </c>
      <c r="C51" s="18" t="s">
        <v>1545</v>
      </c>
      <c r="D51" s="19">
        <v>45624.69027777778</v>
      </c>
      <c r="E51" s="18" t="s">
        <v>10</v>
      </c>
      <c r="F51" s="18">
        <v>10</v>
      </c>
      <c r="G51" s="18" t="s">
        <v>10</v>
      </c>
      <c r="H51" s="18" t="s">
        <v>178</v>
      </c>
      <c r="I51" s="18" t="s">
        <v>10</v>
      </c>
      <c r="J51" s="18" t="s">
        <v>164</v>
      </c>
      <c r="K51" s="20"/>
    </row>
    <row r="52" spans="1:11" ht="54.75" thickBot="1">
      <c r="A52" s="18" t="s">
        <v>1531</v>
      </c>
      <c r="B52" s="18">
        <v>20003250532</v>
      </c>
      <c r="C52" s="18" t="s">
        <v>1532</v>
      </c>
      <c r="D52" s="19">
        <v>45597.4</v>
      </c>
      <c r="E52" s="19">
        <v>45628.708333333336</v>
      </c>
      <c r="F52" s="18">
        <v>15</v>
      </c>
      <c r="G52" s="19">
        <v>45649.402777777781</v>
      </c>
      <c r="H52" s="18" t="s">
        <v>236</v>
      </c>
      <c r="I52" s="18" t="s">
        <v>10</v>
      </c>
      <c r="J52" s="18" t="s">
        <v>164</v>
      </c>
      <c r="K52" s="20"/>
    </row>
    <row r="53" spans="1:11" ht="72.75" thickBot="1">
      <c r="A53" s="18" t="s">
        <v>1798</v>
      </c>
      <c r="B53" s="18">
        <v>20026652148</v>
      </c>
      <c r="C53" s="18" t="s">
        <v>825</v>
      </c>
      <c r="D53" s="19">
        <v>45635.574999999997</v>
      </c>
      <c r="E53" s="19">
        <v>45635.668055555558</v>
      </c>
      <c r="F53" s="18">
        <v>12</v>
      </c>
      <c r="G53" s="19">
        <v>45637.578472222223</v>
      </c>
      <c r="H53" s="18" t="s">
        <v>236</v>
      </c>
      <c r="I53" s="18" t="s">
        <v>10</v>
      </c>
      <c r="J53" s="18" t="s">
        <v>164</v>
      </c>
      <c r="K53" s="20"/>
    </row>
    <row r="54" spans="1:11" ht="54.75" thickBot="1">
      <c r="A54" s="18" t="s">
        <v>1540</v>
      </c>
      <c r="B54" s="18">
        <v>20003283513</v>
      </c>
      <c r="C54" s="18" t="s">
        <v>1541</v>
      </c>
      <c r="D54" s="19">
        <v>45611.536111111112</v>
      </c>
      <c r="E54" s="19">
        <v>45664.632638888892</v>
      </c>
      <c r="F54" s="18">
        <v>20</v>
      </c>
      <c r="G54" s="19">
        <v>45687.548611111109</v>
      </c>
      <c r="H54" s="18" t="s">
        <v>236</v>
      </c>
      <c r="I54" s="18" t="s">
        <v>10</v>
      </c>
      <c r="J54" s="18" t="s">
        <v>164</v>
      </c>
      <c r="K54" s="20"/>
    </row>
    <row r="55" spans="1:11" ht="72.75" thickBot="1">
      <c r="A55" s="18" t="s">
        <v>1883</v>
      </c>
      <c r="B55" s="18">
        <v>20026487706</v>
      </c>
      <c r="C55" s="18" t="s">
        <v>1884</v>
      </c>
      <c r="D55" s="19">
        <v>45642.649305555555</v>
      </c>
      <c r="E55" s="19">
        <v>45688.631249999999</v>
      </c>
      <c r="F55" s="18">
        <v>10</v>
      </c>
      <c r="G55" s="19">
        <v>45751.46597222222</v>
      </c>
      <c r="H55" s="18" t="s">
        <v>2657</v>
      </c>
      <c r="I55" s="18" t="s">
        <v>10</v>
      </c>
      <c r="J55" s="18" t="s">
        <v>164</v>
      </c>
      <c r="K55" s="20"/>
    </row>
    <row r="56" spans="1:11" ht="36.75" thickBot="1">
      <c r="A56" s="18" t="s">
        <v>1885</v>
      </c>
      <c r="B56" s="18">
        <v>20003546499</v>
      </c>
      <c r="C56" s="18" t="s">
        <v>841</v>
      </c>
      <c r="D56" s="19">
        <v>45643.605555555558</v>
      </c>
      <c r="E56" s="19">
        <v>45688.652083333334</v>
      </c>
      <c r="F56" s="18">
        <v>10</v>
      </c>
      <c r="G56" s="18" t="s">
        <v>10</v>
      </c>
      <c r="H56" s="18" t="s">
        <v>178</v>
      </c>
      <c r="I56" s="18" t="s">
        <v>10</v>
      </c>
      <c r="J56" s="18" t="s">
        <v>164</v>
      </c>
      <c r="K56" s="20"/>
    </row>
    <row r="57" spans="1:11" ht="36.75" thickBot="1">
      <c r="A57" s="18" t="s">
        <v>1538</v>
      </c>
      <c r="B57" s="18">
        <v>20028011435</v>
      </c>
      <c r="C57" s="18" t="s">
        <v>1539</v>
      </c>
      <c r="D57" s="19">
        <v>45610.531944444447</v>
      </c>
      <c r="E57" s="19">
        <v>45691.647222222222</v>
      </c>
      <c r="F57" s="18">
        <v>5</v>
      </c>
      <c r="G57" s="19">
        <v>45755.486805555556</v>
      </c>
      <c r="H57" s="18" t="s">
        <v>236</v>
      </c>
      <c r="I57" s="18" t="s">
        <v>10</v>
      </c>
      <c r="J57" s="18" t="s">
        <v>164</v>
      </c>
      <c r="K57" s="20"/>
    </row>
    <row r="58" spans="1:11" ht="36.75" thickBot="1">
      <c r="A58" s="18" t="s">
        <v>1999</v>
      </c>
      <c r="B58" s="18">
        <v>20019416498</v>
      </c>
      <c r="C58" s="18" t="s">
        <v>2000</v>
      </c>
      <c r="D58" s="19">
        <v>45684.464583333334</v>
      </c>
      <c r="E58" s="19">
        <v>45691.647916666669</v>
      </c>
      <c r="F58" s="18">
        <v>10</v>
      </c>
      <c r="G58" s="18" t="s">
        <v>10</v>
      </c>
      <c r="H58" s="18" t="s">
        <v>236</v>
      </c>
      <c r="I58" s="18" t="s">
        <v>10</v>
      </c>
      <c r="J58" s="18" t="s">
        <v>164</v>
      </c>
      <c r="K58" s="20"/>
    </row>
    <row r="59" spans="1:11" ht="54.75" thickBot="1">
      <c r="A59" s="18" t="s">
        <v>1542</v>
      </c>
      <c r="B59" s="18">
        <v>20021253596</v>
      </c>
      <c r="C59" s="18" t="s">
        <v>1543</v>
      </c>
      <c r="D59" s="19">
        <v>45619.70208333333</v>
      </c>
      <c r="E59" s="19">
        <v>45695.445138888892</v>
      </c>
      <c r="F59" s="18">
        <v>10</v>
      </c>
      <c r="G59" s="18" t="s">
        <v>10</v>
      </c>
      <c r="H59" s="18" t="s">
        <v>178</v>
      </c>
      <c r="I59" s="18" t="s">
        <v>10</v>
      </c>
      <c r="J59" s="18" t="s">
        <v>164</v>
      </c>
      <c r="K59" s="20"/>
    </row>
    <row r="60" spans="1:11" ht="36.75" thickBot="1">
      <c r="A60" s="18" t="s">
        <v>2109</v>
      </c>
      <c r="B60" s="18">
        <v>86755942</v>
      </c>
      <c r="C60" s="18" t="s">
        <v>2110</v>
      </c>
      <c r="D60" s="19">
        <v>45695.445833333331</v>
      </c>
      <c r="E60" s="18" t="s">
        <v>10</v>
      </c>
      <c r="F60" s="18">
        <v>20</v>
      </c>
      <c r="G60" s="18" t="s">
        <v>10</v>
      </c>
      <c r="H60" s="18" t="s">
        <v>178</v>
      </c>
      <c r="I60" s="18" t="s">
        <v>10</v>
      </c>
      <c r="J60" s="18" t="s">
        <v>164</v>
      </c>
      <c r="K60" s="20"/>
    </row>
    <row r="61" spans="1:11" ht="54.75" thickBot="1">
      <c r="A61" s="18" t="s">
        <v>1998</v>
      </c>
      <c r="B61" s="18">
        <v>20026584113</v>
      </c>
      <c r="C61" s="18" t="s">
        <v>707</v>
      </c>
      <c r="D61" s="19">
        <v>45674.45208333333</v>
      </c>
      <c r="E61" s="19">
        <v>45712.719444444447</v>
      </c>
      <c r="F61" s="18">
        <v>10</v>
      </c>
      <c r="G61" s="19">
        <v>45821.567361111112</v>
      </c>
      <c r="H61" s="18" t="s">
        <v>2654</v>
      </c>
      <c r="I61" s="18" t="s">
        <v>10</v>
      </c>
      <c r="J61" s="18" t="s">
        <v>164</v>
      </c>
      <c r="K61" s="20"/>
    </row>
    <row r="62" spans="1:11" ht="36.75" thickBot="1">
      <c r="A62" s="18" t="s">
        <v>2108</v>
      </c>
      <c r="B62" s="18">
        <v>20003308194</v>
      </c>
      <c r="C62" s="18" t="s">
        <v>833</v>
      </c>
      <c r="D62" s="19">
        <v>45691.729861111111</v>
      </c>
      <c r="E62" s="19">
        <v>45720.440972222219</v>
      </c>
      <c r="F62" s="18">
        <v>5</v>
      </c>
      <c r="G62" s="18" t="s">
        <v>10</v>
      </c>
      <c r="H62" s="18" t="s">
        <v>178</v>
      </c>
      <c r="I62" s="18" t="s">
        <v>10</v>
      </c>
      <c r="J62" s="18" t="s">
        <v>164</v>
      </c>
      <c r="K62" s="20"/>
    </row>
    <row r="63" spans="1:11" ht="36.75" thickBot="1">
      <c r="A63" s="18" t="s">
        <v>2284</v>
      </c>
      <c r="B63" s="18">
        <v>20026886376</v>
      </c>
      <c r="C63" s="18" t="s">
        <v>2285</v>
      </c>
      <c r="D63" s="19">
        <v>45720.67083333333</v>
      </c>
      <c r="E63" s="18" t="s">
        <v>10</v>
      </c>
      <c r="F63" s="18">
        <v>3.3250000000000002</v>
      </c>
      <c r="G63" s="18" t="s">
        <v>10</v>
      </c>
      <c r="H63" s="18" t="s">
        <v>178</v>
      </c>
      <c r="I63" s="18" t="s">
        <v>10</v>
      </c>
      <c r="J63" s="18" t="s">
        <v>164</v>
      </c>
      <c r="K63" s="20"/>
    </row>
    <row r="64" spans="1:11" ht="54.75" thickBot="1">
      <c r="A64" s="18" t="s">
        <v>2201</v>
      </c>
      <c r="B64" s="18">
        <v>20003546706</v>
      </c>
      <c r="C64" s="18" t="s">
        <v>1545</v>
      </c>
      <c r="D64" s="19">
        <v>45714.709722222222</v>
      </c>
      <c r="E64" s="19">
        <v>45748.504166666666</v>
      </c>
      <c r="F64" s="18">
        <v>10</v>
      </c>
      <c r="G64" s="19">
        <v>45757.447222222225</v>
      </c>
      <c r="H64" s="18" t="s">
        <v>236</v>
      </c>
      <c r="I64" s="18" t="s">
        <v>10</v>
      </c>
      <c r="J64" s="18" t="s">
        <v>164</v>
      </c>
      <c r="K64" s="20"/>
    </row>
    <row r="65" spans="1:11" ht="36.75" thickBot="1">
      <c r="A65" s="18" t="s">
        <v>2111</v>
      </c>
      <c r="B65" s="18">
        <v>20003279773</v>
      </c>
      <c r="C65" s="18" t="s">
        <v>1284</v>
      </c>
      <c r="D65" s="19">
        <v>45701.473611111112</v>
      </c>
      <c r="E65" s="19">
        <v>45758.607638888891</v>
      </c>
      <c r="F65" s="18">
        <v>20</v>
      </c>
      <c r="G65" s="18" t="s">
        <v>10</v>
      </c>
      <c r="H65" s="18" t="s">
        <v>189</v>
      </c>
      <c r="I65" s="18" t="s">
        <v>10</v>
      </c>
      <c r="J65" s="18" t="s">
        <v>164</v>
      </c>
      <c r="K65" s="20"/>
    </row>
    <row r="66" spans="1:11" ht="36.75" thickBot="1">
      <c r="A66" s="18" t="s">
        <v>2558</v>
      </c>
      <c r="B66" s="18">
        <v>20003308194</v>
      </c>
      <c r="C66" s="18" t="s">
        <v>833</v>
      </c>
      <c r="D66" s="19">
        <v>45771.475694444445</v>
      </c>
      <c r="E66" s="18" t="s">
        <v>10</v>
      </c>
      <c r="F66" s="18">
        <v>5</v>
      </c>
      <c r="G66" s="19">
        <v>45870.589583333334</v>
      </c>
      <c r="H66" s="18" t="s">
        <v>236</v>
      </c>
      <c r="I66" s="18" t="s">
        <v>10</v>
      </c>
      <c r="J66" s="18" t="s">
        <v>164</v>
      </c>
      <c r="K66" s="20"/>
    </row>
    <row r="67" spans="1:11" ht="36.75" thickBot="1">
      <c r="A67" s="18" t="s">
        <v>2689</v>
      </c>
      <c r="B67" s="18">
        <v>20026615782</v>
      </c>
      <c r="C67" s="18" t="s">
        <v>2690</v>
      </c>
      <c r="D67" s="19">
        <v>45786.399305555555</v>
      </c>
      <c r="E67" s="18" t="s">
        <v>10</v>
      </c>
      <c r="F67" s="18">
        <v>10</v>
      </c>
      <c r="G67" s="18" t="s">
        <v>10</v>
      </c>
      <c r="H67" s="18" t="s">
        <v>178</v>
      </c>
      <c r="I67" s="18" t="s">
        <v>10</v>
      </c>
      <c r="J67" s="18" t="s">
        <v>164</v>
      </c>
      <c r="K67" s="20"/>
    </row>
    <row r="68" spans="1:11" ht="36.75" thickBot="1">
      <c r="A68" s="18" t="s">
        <v>2691</v>
      </c>
      <c r="B68" s="18">
        <v>20003275336</v>
      </c>
      <c r="C68" s="18" t="s">
        <v>2692</v>
      </c>
      <c r="D68" s="19">
        <v>45799.4375</v>
      </c>
      <c r="E68" s="18" t="s">
        <v>10</v>
      </c>
      <c r="F68" s="18">
        <v>10</v>
      </c>
      <c r="G68" s="18" t="s">
        <v>10</v>
      </c>
      <c r="H68" s="18" t="s">
        <v>178</v>
      </c>
      <c r="I68" s="18" t="s">
        <v>10</v>
      </c>
      <c r="J68" s="18" t="s">
        <v>164</v>
      </c>
      <c r="K68" s="20"/>
    </row>
    <row r="69" spans="1:11" ht="36.75" thickBot="1">
      <c r="A69" s="18" t="s">
        <v>3067</v>
      </c>
      <c r="B69" s="18">
        <v>20016665671</v>
      </c>
      <c r="C69" s="18" t="s">
        <v>3068</v>
      </c>
      <c r="D69" s="19">
        <v>45828.651388888888</v>
      </c>
      <c r="E69" s="18" t="s">
        <v>10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164</v>
      </c>
      <c r="K69" s="20"/>
    </row>
    <row r="70" spans="1:11" ht="36.75" thickBot="1">
      <c r="A70" s="18" t="s">
        <v>3069</v>
      </c>
      <c r="B70" s="18">
        <v>20018360544</v>
      </c>
      <c r="C70" s="18" t="s">
        <v>3070</v>
      </c>
      <c r="D70" s="19">
        <v>45831.566666666666</v>
      </c>
      <c r="E70" s="18" t="s">
        <v>10</v>
      </c>
      <c r="F70" s="18">
        <v>5</v>
      </c>
      <c r="G70" s="19">
        <v>45870.368750000001</v>
      </c>
      <c r="H70" s="18" t="s">
        <v>236</v>
      </c>
      <c r="I70" s="18" t="s">
        <v>10</v>
      </c>
      <c r="J70" s="18" t="s">
        <v>164</v>
      </c>
      <c r="K70" s="20"/>
    </row>
    <row r="71" spans="1:11" ht="54.75" thickBot="1">
      <c r="A71" s="18" t="s">
        <v>2390</v>
      </c>
      <c r="B71" s="18">
        <v>20021253601</v>
      </c>
      <c r="C71" s="18" t="s">
        <v>1543</v>
      </c>
      <c r="D71" s="19">
        <v>45734.434027777781</v>
      </c>
      <c r="E71" s="19">
        <v>45834.564583333333</v>
      </c>
      <c r="F71" s="18">
        <v>10</v>
      </c>
      <c r="G71" s="18" t="s">
        <v>10</v>
      </c>
      <c r="H71" s="18" t="s">
        <v>178</v>
      </c>
      <c r="I71" s="18" t="s">
        <v>10</v>
      </c>
      <c r="J71" s="18" t="s">
        <v>164</v>
      </c>
      <c r="K71" s="20"/>
    </row>
    <row r="72" spans="1:11" ht="36.75" thickBot="1">
      <c r="A72" s="18" t="s">
        <v>3071</v>
      </c>
      <c r="B72" s="18">
        <v>20027163195</v>
      </c>
      <c r="C72" s="18" t="s">
        <v>3072</v>
      </c>
      <c r="D72" s="19">
        <v>45832.628472222219</v>
      </c>
      <c r="E72" s="19">
        <v>45839.724305555559</v>
      </c>
      <c r="F72" s="18">
        <v>5</v>
      </c>
      <c r="G72" s="18" t="s">
        <v>10</v>
      </c>
      <c r="H72" s="18" t="s">
        <v>178</v>
      </c>
      <c r="I72" s="18" t="s">
        <v>10</v>
      </c>
      <c r="J72" s="18" t="s">
        <v>164</v>
      </c>
      <c r="K72" s="20"/>
    </row>
    <row r="73" spans="1:11" ht="54.75" thickBot="1">
      <c r="A73" s="18" t="s">
        <v>3073</v>
      </c>
      <c r="B73" s="18">
        <v>20021253596</v>
      </c>
      <c r="C73" s="18" t="s">
        <v>1543</v>
      </c>
      <c r="D73" s="19">
        <v>45853.613194444442</v>
      </c>
      <c r="E73" s="18" t="s">
        <v>10</v>
      </c>
      <c r="F73" s="18">
        <v>10</v>
      </c>
      <c r="G73" s="18" t="s">
        <v>10</v>
      </c>
      <c r="H73" s="18" t="s">
        <v>178</v>
      </c>
      <c r="I73" s="18" t="s">
        <v>10</v>
      </c>
      <c r="J73" s="18" t="s">
        <v>164</v>
      </c>
      <c r="K73" s="20"/>
    </row>
    <row r="74" spans="1:11" ht="54.75" thickBot="1">
      <c r="A74" s="18" t="s">
        <v>3074</v>
      </c>
      <c r="B74" s="18">
        <v>20021253596</v>
      </c>
      <c r="C74" s="18" t="s">
        <v>1543</v>
      </c>
      <c r="D74" s="19">
        <v>45853.640972222223</v>
      </c>
      <c r="E74" s="18" t="s">
        <v>10</v>
      </c>
      <c r="F74" s="18">
        <v>10</v>
      </c>
      <c r="G74" s="19">
        <v>45869.448611111111</v>
      </c>
      <c r="H74" s="18" t="s">
        <v>236</v>
      </c>
      <c r="I74" s="18" t="s">
        <v>10</v>
      </c>
      <c r="J74" s="18" t="s">
        <v>164</v>
      </c>
      <c r="K74" s="20"/>
    </row>
    <row r="75" spans="1:11" ht="36.75" thickBot="1">
      <c r="A75" s="18" t="s">
        <v>3075</v>
      </c>
      <c r="B75" s="18">
        <v>20026886376</v>
      </c>
      <c r="C75" s="18" t="s">
        <v>3076</v>
      </c>
      <c r="D75" s="19">
        <v>45828.525000000001</v>
      </c>
      <c r="E75" s="19">
        <v>45855.680555555555</v>
      </c>
      <c r="F75" s="18">
        <v>3.3250000000000002</v>
      </c>
      <c r="G75" s="19">
        <v>45875.571527777778</v>
      </c>
      <c r="H75" s="18" t="s">
        <v>236</v>
      </c>
      <c r="I75" s="18" t="s">
        <v>10</v>
      </c>
      <c r="J75" s="18" t="s">
        <v>164</v>
      </c>
      <c r="K75" s="20"/>
    </row>
    <row r="76" spans="1:11" ht="72.75" thickBot="1">
      <c r="A76" s="18" t="s">
        <v>2286</v>
      </c>
      <c r="B76" s="18">
        <v>20028229232</v>
      </c>
      <c r="C76" s="18" t="s">
        <v>2287</v>
      </c>
      <c r="D76" s="19">
        <v>45729.681250000001</v>
      </c>
      <c r="E76" s="19">
        <v>45856.623611111114</v>
      </c>
      <c r="F76" s="18">
        <v>5</v>
      </c>
      <c r="G76" s="19">
        <v>45967.619444444441</v>
      </c>
      <c r="H76" s="18" t="s">
        <v>2657</v>
      </c>
      <c r="I76" s="18" t="s">
        <v>10</v>
      </c>
      <c r="J76" s="18" t="s">
        <v>164</v>
      </c>
      <c r="K76" s="20"/>
    </row>
    <row r="77" spans="1:11" ht="36.75" thickBot="1">
      <c r="A77" s="18" t="s">
        <v>3077</v>
      </c>
      <c r="B77" s="18">
        <v>20003194692</v>
      </c>
      <c r="C77" s="18" t="s">
        <v>3078</v>
      </c>
      <c r="D77" s="19">
        <v>45859.661111111112</v>
      </c>
      <c r="E77" s="18" t="s">
        <v>10</v>
      </c>
      <c r="F77" s="18">
        <v>10</v>
      </c>
      <c r="G77" s="18" t="s">
        <v>10</v>
      </c>
      <c r="H77" s="18" t="s">
        <v>178</v>
      </c>
      <c r="I77" s="18" t="s">
        <v>10</v>
      </c>
      <c r="J77" s="18" t="s">
        <v>164</v>
      </c>
      <c r="K77" s="20"/>
    </row>
    <row r="78" spans="1:11" ht="36.75" thickBot="1">
      <c r="A78" s="18" t="s">
        <v>3079</v>
      </c>
      <c r="B78" s="18">
        <v>20027223088</v>
      </c>
      <c r="C78" s="18" t="s">
        <v>3080</v>
      </c>
      <c r="D78" s="19">
        <v>45867.795138888891</v>
      </c>
      <c r="E78" s="18" t="s">
        <v>10</v>
      </c>
      <c r="F78" s="18">
        <v>10</v>
      </c>
      <c r="G78" s="18" t="s">
        <v>10</v>
      </c>
      <c r="H78" s="18" t="s">
        <v>178</v>
      </c>
      <c r="I78" s="18" t="s">
        <v>10</v>
      </c>
      <c r="J78" s="18" t="s">
        <v>164</v>
      </c>
      <c r="K78" s="20"/>
    </row>
    <row r="79" spans="1:11" ht="36.75" thickBot="1">
      <c r="A79" s="18" t="s">
        <v>3081</v>
      </c>
      <c r="B79" s="18">
        <v>20003279773</v>
      </c>
      <c r="C79" s="18" t="s">
        <v>1284</v>
      </c>
      <c r="D79" s="19">
        <v>45869.700694444444</v>
      </c>
      <c r="E79" s="18" t="s">
        <v>10</v>
      </c>
      <c r="F79" s="18">
        <v>20</v>
      </c>
      <c r="G79" s="19">
        <v>45895.413888888892</v>
      </c>
      <c r="H79" s="18" t="s">
        <v>236</v>
      </c>
      <c r="I79" s="18" t="s">
        <v>10</v>
      </c>
      <c r="J79" s="18" t="s">
        <v>164</v>
      </c>
      <c r="K79" s="20"/>
    </row>
    <row r="80" spans="1:11" ht="36.75" thickBot="1">
      <c r="A80" s="18" t="s">
        <v>3082</v>
      </c>
      <c r="B80" s="18">
        <v>20003275336</v>
      </c>
      <c r="C80" s="18" t="s">
        <v>2692</v>
      </c>
      <c r="D80" s="19">
        <v>45875.630555555559</v>
      </c>
      <c r="E80" s="18" t="s">
        <v>10</v>
      </c>
      <c r="F80" s="18">
        <v>10</v>
      </c>
      <c r="G80" s="18" t="s">
        <v>10</v>
      </c>
      <c r="H80" s="18" t="s">
        <v>178</v>
      </c>
      <c r="I80" s="18" t="s">
        <v>10</v>
      </c>
      <c r="J80" s="18" t="s">
        <v>164</v>
      </c>
      <c r="K80" s="20"/>
    </row>
    <row r="81" spans="1:11" ht="36.75" thickBot="1">
      <c r="A81" s="18" t="s">
        <v>3083</v>
      </c>
      <c r="B81" s="18">
        <v>20016665671</v>
      </c>
      <c r="C81" s="18" t="s">
        <v>3084</v>
      </c>
      <c r="D81" s="19">
        <v>45880.786805555559</v>
      </c>
      <c r="E81" s="18" t="s">
        <v>10</v>
      </c>
      <c r="F81" s="18">
        <v>5</v>
      </c>
      <c r="G81" s="18" t="s">
        <v>10</v>
      </c>
      <c r="H81" s="18" t="s">
        <v>178</v>
      </c>
      <c r="I81" s="18" t="s">
        <v>10</v>
      </c>
      <c r="J81" s="18" t="s">
        <v>164</v>
      </c>
      <c r="K81" s="20"/>
    </row>
    <row r="82" spans="1:11" ht="36.75" thickBot="1">
      <c r="A82" s="18" t="s">
        <v>3085</v>
      </c>
      <c r="B82" s="18">
        <v>20003485738</v>
      </c>
      <c r="C82" s="18" t="s">
        <v>3086</v>
      </c>
      <c r="D82" s="19">
        <v>45884.742361111108</v>
      </c>
      <c r="E82" s="18" t="s">
        <v>10</v>
      </c>
      <c r="F82" s="18">
        <v>10</v>
      </c>
      <c r="G82" s="18" t="s">
        <v>10</v>
      </c>
      <c r="H82" s="18" t="s">
        <v>189</v>
      </c>
      <c r="I82" s="18" t="s">
        <v>10</v>
      </c>
      <c r="J82" s="18" t="s">
        <v>164</v>
      </c>
      <c r="K82" s="20"/>
    </row>
    <row r="83" spans="1:11" ht="36.75" thickBot="1">
      <c r="A83" s="18" t="s">
        <v>3090</v>
      </c>
      <c r="B83" s="18">
        <v>20019652293</v>
      </c>
      <c r="C83" s="18" t="s">
        <v>3091</v>
      </c>
      <c r="D83" s="19">
        <v>45912.388888888891</v>
      </c>
      <c r="E83" s="18" t="s">
        <v>10</v>
      </c>
      <c r="F83" s="18">
        <v>10</v>
      </c>
      <c r="G83" s="18" t="s">
        <v>10</v>
      </c>
      <c r="H83" s="18" t="s">
        <v>178</v>
      </c>
      <c r="I83" s="18" t="s">
        <v>10</v>
      </c>
      <c r="J83" s="18" t="s">
        <v>164</v>
      </c>
      <c r="K83" s="20"/>
    </row>
    <row r="84" spans="1:11" ht="36.75" thickBot="1">
      <c r="A84" s="18" t="s">
        <v>3092</v>
      </c>
      <c r="B84" s="18">
        <v>20019652293</v>
      </c>
      <c r="C84" s="18" t="s">
        <v>3091</v>
      </c>
      <c r="D84" s="19">
        <v>45912.423611111109</v>
      </c>
      <c r="E84" s="18" t="s">
        <v>10</v>
      </c>
      <c r="F84" s="18">
        <v>10</v>
      </c>
      <c r="G84" s="18" t="s">
        <v>10</v>
      </c>
      <c r="H84" s="18" t="s">
        <v>178</v>
      </c>
      <c r="I84" s="18" t="s">
        <v>10</v>
      </c>
      <c r="J84" s="18" t="s">
        <v>164</v>
      </c>
      <c r="K84" s="20"/>
    </row>
    <row r="85" spans="1:11" ht="54.75" thickBot="1">
      <c r="A85" s="18" t="s">
        <v>3093</v>
      </c>
      <c r="B85" s="18">
        <v>20019652293</v>
      </c>
      <c r="C85" s="18" t="s">
        <v>3094</v>
      </c>
      <c r="D85" s="19">
        <v>45912.44027777778</v>
      </c>
      <c r="E85" s="18" t="s">
        <v>10</v>
      </c>
      <c r="F85" s="18">
        <v>10</v>
      </c>
      <c r="G85" s="18" t="s">
        <v>10</v>
      </c>
      <c r="H85" s="18" t="s">
        <v>178</v>
      </c>
      <c r="I85" s="18" t="s">
        <v>10</v>
      </c>
      <c r="J85" s="18" t="s">
        <v>164</v>
      </c>
      <c r="K85" s="20"/>
    </row>
    <row r="86" spans="1:11" ht="36.75" thickBot="1">
      <c r="A86" s="18" t="s">
        <v>3095</v>
      </c>
      <c r="B86" s="18">
        <v>20027223088</v>
      </c>
      <c r="C86" s="18" t="s">
        <v>3080</v>
      </c>
      <c r="D86" s="19">
        <v>45913.688888888886</v>
      </c>
      <c r="E86" s="18" t="s">
        <v>10</v>
      </c>
      <c r="F86" s="18">
        <v>10</v>
      </c>
      <c r="G86" s="18" t="s">
        <v>10</v>
      </c>
      <c r="H86" s="18" t="s">
        <v>178</v>
      </c>
      <c r="I86" s="18" t="s">
        <v>10</v>
      </c>
      <c r="J86" s="18" t="s">
        <v>164</v>
      </c>
      <c r="K86" s="20"/>
    </row>
    <row r="87" spans="1:11" ht="36.75" thickBot="1">
      <c r="A87" s="18" t="s">
        <v>3097</v>
      </c>
      <c r="B87" s="18">
        <v>20003491600</v>
      </c>
      <c r="C87" s="18" t="s">
        <v>3098</v>
      </c>
      <c r="D87" s="19">
        <v>45915.40902777778</v>
      </c>
      <c r="E87" s="18" t="s">
        <v>10</v>
      </c>
      <c r="F87" s="18">
        <v>5</v>
      </c>
      <c r="G87" s="18" t="s">
        <v>10</v>
      </c>
      <c r="H87" s="18" t="s">
        <v>178</v>
      </c>
      <c r="I87" s="18" t="s">
        <v>10</v>
      </c>
      <c r="J87" s="18" t="s">
        <v>164</v>
      </c>
      <c r="K87" s="20"/>
    </row>
    <row r="88" spans="1:11" ht="36.75" thickBot="1">
      <c r="A88" s="18" t="s">
        <v>3101</v>
      </c>
      <c r="B88" s="18">
        <v>20003159669</v>
      </c>
      <c r="C88" s="18" t="s">
        <v>3102</v>
      </c>
      <c r="D88" s="19">
        <v>45919.463888888888</v>
      </c>
      <c r="E88" s="18" t="s">
        <v>10</v>
      </c>
      <c r="F88" s="18">
        <v>10</v>
      </c>
      <c r="G88" s="18" t="s">
        <v>10</v>
      </c>
      <c r="H88" s="18" t="s">
        <v>178</v>
      </c>
      <c r="I88" s="18" t="s">
        <v>10</v>
      </c>
      <c r="J88" s="18" t="s">
        <v>164</v>
      </c>
      <c r="K88" s="20"/>
    </row>
    <row r="89" spans="1:11" ht="36.75" thickBot="1">
      <c r="A89" s="18" t="s">
        <v>3105</v>
      </c>
      <c r="B89" s="18">
        <v>20003259182</v>
      </c>
      <c r="C89" s="18" t="s">
        <v>3106</v>
      </c>
      <c r="D89" s="19">
        <v>45932.600694444445</v>
      </c>
      <c r="E89" s="18" t="s">
        <v>10</v>
      </c>
      <c r="F89" s="18">
        <v>10</v>
      </c>
      <c r="G89" s="18" t="s">
        <v>10</v>
      </c>
      <c r="H89" s="23" t="s">
        <v>2656</v>
      </c>
      <c r="I89" s="18" t="s">
        <v>10</v>
      </c>
      <c r="J89" s="18" t="s">
        <v>164</v>
      </c>
      <c r="K89" s="20"/>
    </row>
    <row r="90" spans="1:11" ht="36.75" thickBot="1">
      <c r="A90" s="18" t="s">
        <v>3107</v>
      </c>
      <c r="B90" s="18">
        <v>20002659015</v>
      </c>
      <c r="C90" s="18" t="s">
        <v>3108</v>
      </c>
      <c r="D90" s="19">
        <v>45945.477777777778</v>
      </c>
      <c r="E90" s="18" t="s">
        <v>10</v>
      </c>
      <c r="F90" s="18">
        <v>15</v>
      </c>
      <c r="G90" s="18" t="s">
        <v>10</v>
      </c>
      <c r="H90" s="23" t="s">
        <v>2656</v>
      </c>
      <c r="I90" s="18" t="s">
        <v>10</v>
      </c>
      <c r="J90" s="18" t="s">
        <v>164</v>
      </c>
      <c r="K90" s="20"/>
    </row>
    <row r="91" spans="1:11" ht="54.75" thickBot="1">
      <c r="A91" s="18" t="s">
        <v>3109</v>
      </c>
      <c r="B91" s="18">
        <v>20028717154</v>
      </c>
      <c r="C91" s="18" t="s">
        <v>3110</v>
      </c>
      <c r="D91" s="19">
        <v>45874.535416666666</v>
      </c>
      <c r="E91" s="19">
        <v>45960.977777777778</v>
      </c>
      <c r="F91" s="18">
        <v>5</v>
      </c>
      <c r="G91" s="18" t="s">
        <v>10</v>
      </c>
      <c r="H91" s="18" t="s">
        <v>2652</v>
      </c>
      <c r="I91" s="18" t="s">
        <v>2681</v>
      </c>
      <c r="J91" s="18" t="s">
        <v>164</v>
      </c>
      <c r="K91" s="20"/>
    </row>
    <row r="92" spans="1:11" ht="36.75" thickBot="1">
      <c r="A92" s="18" t="s">
        <v>7781</v>
      </c>
      <c r="B92" s="18">
        <v>20028642856</v>
      </c>
      <c r="C92" s="18" t="s">
        <v>7782</v>
      </c>
      <c r="D92" s="19">
        <v>45966.558333333334</v>
      </c>
      <c r="E92" s="18" t="s">
        <v>10</v>
      </c>
      <c r="F92" s="18">
        <v>15</v>
      </c>
      <c r="G92" s="18" t="s">
        <v>10</v>
      </c>
      <c r="H92" s="23" t="s">
        <v>2656</v>
      </c>
      <c r="I92" s="18" t="s">
        <v>10</v>
      </c>
      <c r="J92" s="18" t="s">
        <v>164</v>
      </c>
      <c r="K92" s="20"/>
    </row>
    <row r="93" spans="1:11" ht="54.75" thickBot="1">
      <c r="A93" s="18" t="s">
        <v>3096</v>
      </c>
      <c r="B93" s="18">
        <v>20003275336</v>
      </c>
      <c r="C93" s="18" t="s">
        <v>2692</v>
      </c>
      <c r="D93" s="19">
        <v>45913.699305555558</v>
      </c>
      <c r="E93" s="19">
        <v>45972.400694444441</v>
      </c>
      <c r="F93" s="18">
        <v>10</v>
      </c>
      <c r="G93" s="18" t="s">
        <v>10</v>
      </c>
      <c r="H93" s="18" t="s">
        <v>2652</v>
      </c>
      <c r="I93" s="18" t="s">
        <v>2681</v>
      </c>
      <c r="J93" s="18" t="s">
        <v>164</v>
      </c>
      <c r="K93" s="20"/>
    </row>
    <row r="94" spans="1:11" ht="36.75" thickBot="1">
      <c r="A94" s="18" t="s">
        <v>3099</v>
      </c>
      <c r="B94" s="18">
        <v>20003241138</v>
      </c>
      <c r="C94" s="18" t="s">
        <v>3100</v>
      </c>
      <c r="D94" s="19">
        <v>45917.371527777781</v>
      </c>
      <c r="E94" s="19">
        <v>45972.462500000001</v>
      </c>
      <c r="F94" s="18">
        <v>5</v>
      </c>
      <c r="G94" s="18" t="s">
        <v>10</v>
      </c>
      <c r="H94" s="18" t="s">
        <v>178</v>
      </c>
      <c r="I94" s="18" t="s">
        <v>10</v>
      </c>
      <c r="J94" s="18" t="s">
        <v>164</v>
      </c>
      <c r="K94" s="20"/>
    </row>
    <row r="95" spans="1:11" ht="36.75" thickBot="1">
      <c r="A95" s="18" t="s">
        <v>7783</v>
      </c>
      <c r="B95" s="18">
        <v>20003491600</v>
      </c>
      <c r="C95" s="18" t="s">
        <v>7784</v>
      </c>
      <c r="D95" s="19">
        <v>45972.711111111108</v>
      </c>
      <c r="E95" s="18" t="s">
        <v>10</v>
      </c>
      <c r="F95" s="18">
        <v>5</v>
      </c>
      <c r="G95" s="18" t="s">
        <v>10</v>
      </c>
      <c r="H95" s="23" t="s">
        <v>2656</v>
      </c>
      <c r="I95" s="18" t="s">
        <v>10</v>
      </c>
      <c r="J95" s="18" t="s">
        <v>164</v>
      </c>
      <c r="K95" s="20"/>
    </row>
    <row r="96" spans="1:11" ht="54.75" thickBot="1">
      <c r="A96" s="18" t="s">
        <v>7785</v>
      </c>
      <c r="B96" s="18">
        <v>20003241138</v>
      </c>
      <c r="C96" s="18" t="s">
        <v>3100</v>
      </c>
      <c r="D96" s="19">
        <v>45972.886111111111</v>
      </c>
      <c r="E96" s="18" t="s">
        <v>10</v>
      </c>
      <c r="F96" s="18">
        <v>5</v>
      </c>
      <c r="G96" s="18" t="s">
        <v>10</v>
      </c>
      <c r="H96" s="18" t="s">
        <v>2652</v>
      </c>
      <c r="I96" s="18" t="s">
        <v>2681</v>
      </c>
      <c r="J96" s="18" t="s">
        <v>164</v>
      </c>
      <c r="K96" s="20"/>
    </row>
    <row r="97" spans="1:11" ht="54.75" thickBot="1">
      <c r="A97" s="18" t="s">
        <v>3087</v>
      </c>
      <c r="B97" s="18">
        <v>20003488677</v>
      </c>
      <c r="C97" s="18" t="s">
        <v>3088</v>
      </c>
      <c r="D97" s="19">
        <v>45889.416666666664</v>
      </c>
      <c r="E97" s="19">
        <v>45973.476388888892</v>
      </c>
      <c r="F97" s="18">
        <v>20</v>
      </c>
      <c r="G97" s="18" t="s">
        <v>10</v>
      </c>
      <c r="H97" s="18" t="s">
        <v>2652</v>
      </c>
      <c r="I97" s="18" t="s">
        <v>2681</v>
      </c>
      <c r="J97" s="18" t="s">
        <v>164</v>
      </c>
      <c r="K97" s="20"/>
    </row>
    <row r="98" spans="1:11" ht="36.75" thickBot="1">
      <c r="A98" s="18" t="s">
        <v>7786</v>
      </c>
      <c r="B98" s="18">
        <v>20003313110</v>
      </c>
      <c r="C98" s="18" t="s">
        <v>7787</v>
      </c>
      <c r="D98" s="19">
        <v>45974.586805555555</v>
      </c>
      <c r="E98" s="18" t="s">
        <v>10</v>
      </c>
      <c r="F98" s="18">
        <v>5</v>
      </c>
      <c r="G98" s="18" t="s">
        <v>10</v>
      </c>
      <c r="H98" s="23" t="s">
        <v>2656</v>
      </c>
      <c r="I98" s="18" t="s">
        <v>10</v>
      </c>
      <c r="J98" s="18" t="s">
        <v>164</v>
      </c>
      <c r="K98" s="20"/>
    </row>
    <row r="99" spans="1:11" ht="36.75" thickBot="1">
      <c r="A99" s="18" t="s">
        <v>7788</v>
      </c>
      <c r="B99" s="18">
        <v>20021350031</v>
      </c>
      <c r="C99" s="18" t="s">
        <v>7789</v>
      </c>
      <c r="D99" s="19">
        <v>45974.617361111108</v>
      </c>
      <c r="E99" s="18" t="s">
        <v>10</v>
      </c>
      <c r="F99" s="18">
        <v>10</v>
      </c>
      <c r="G99" s="18" t="s">
        <v>10</v>
      </c>
      <c r="H99" s="18" t="s">
        <v>178</v>
      </c>
      <c r="I99" s="18" t="s">
        <v>10</v>
      </c>
      <c r="J99" s="18" t="s">
        <v>164</v>
      </c>
      <c r="K99" s="20"/>
    </row>
    <row r="100" spans="1:11" ht="36.75" thickBot="1">
      <c r="A100" s="18" t="s">
        <v>7790</v>
      </c>
      <c r="B100" s="18">
        <v>20021350031</v>
      </c>
      <c r="C100" s="18" t="s">
        <v>7791</v>
      </c>
      <c r="D100" s="19">
        <v>45974.663888888892</v>
      </c>
      <c r="E100" s="18" t="s">
        <v>10</v>
      </c>
      <c r="F100" s="18">
        <v>10</v>
      </c>
      <c r="G100" s="18" t="s">
        <v>10</v>
      </c>
      <c r="H100" s="25" t="s">
        <v>2656</v>
      </c>
      <c r="I100" s="18" t="s">
        <v>10</v>
      </c>
      <c r="J100" s="18" t="s">
        <v>164</v>
      </c>
      <c r="K100" s="20"/>
    </row>
    <row r="101" spans="1:11" ht="36.75" thickBot="1">
      <c r="A101" s="18" t="s">
        <v>3089</v>
      </c>
      <c r="B101" s="18">
        <v>20028615993</v>
      </c>
      <c r="C101" s="18" t="s">
        <v>3072</v>
      </c>
      <c r="D101" s="19">
        <v>45910.64166666667</v>
      </c>
      <c r="E101" s="19">
        <v>45976.602777777778</v>
      </c>
      <c r="F101" s="18">
        <v>5</v>
      </c>
      <c r="G101" s="18" t="s">
        <v>10</v>
      </c>
      <c r="H101" s="25" t="s">
        <v>2656</v>
      </c>
      <c r="I101" s="18" t="s">
        <v>10</v>
      </c>
      <c r="J101" s="18" t="s">
        <v>164</v>
      </c>
      <c r="K101" s="20"/>
    </row>
    <row r="102" spans="1:11" ht="36.75" thickBot="1">
      <c r="A102" s="18" t="s">
        <v>3103</v>
      </c>
      <c r="B102" s="18">
        <v>20002970766</v>
      </c>
      <c r="C102" s="18" t="s">
        <v>3104</v>
      </c>
      <c r="D102" s="19">
        <v>45926.716666666667</v>
      </c>
      <c r="E102" s="19">
        <v>45981.510416666664</v>
      </c>
      <c r="F102" s="18">
        <v>3</v>
      </c>
      <c r="G102" s="18" t="s">
        <v>10</v>
      </c>
      <c r="H102" s="25" t="s">
        <v>2656</v>
      </c>
      <c r="I102" s="18" t="s">
        <v>10</v>
      </c>
      <c r="J102" s="18" t="s">
        <v>164</v>
      </c>
      <c r="K102" s="1"/>
    </row>
    <row r="103" spans="1:11" ht="54.75" thickBot="1">
      <c r="A103" s="18" t="s">
        <v>7792</v>
      </c>
      <c r="B103" s="18">
        <v>20019652293</v>
      </c>
      <c r="C103" s="18" t="s">
        <v>7793</v>
      </c>
      <c r="D103" s="19">
        <v>45986.526388888888</v>
      </c>
      <c r="E103" s="18" t="s">
        <v>10</v>
      </c>
      <c r="F103" s="18">
        <v>10</v>
      </c>
      <c r="G103" s="18" t="s">
        <v>10</v>
      </c>
      <c r="H103" s="18" t="s">
        <v>2656</v>
      </c>
      <c r="I103" s="18" t="s">
        <v>10</v>
      </c>
      <c r="J103" s="18" t="s">
        <v>164</v>
      </c>
      <c r="K103" s="20"/>
    </row>
    <row r="104" spans="1:11" ht="36.75" thickBot="1">
      <c r="A104" s="18" t="s">
        <v>7794</v>
      </c>
      <c r="B104" s="18">
        <v>20020954419</v>
      </c>
      <c r="C104" s="18" t="s">
        <v>7795</v>
      </c>
      <c r="D104" s="19">
        <v>45992.397916666669</v>
      </c>
      <c r="E104" s="18" t="s">
        <v>10</v>
      </c>
      <c r="F104" s="18">
        <v>2</v>
      </c>
      <c r="G104" s="18" t="s">
        <v>10</v>
      </c>
      <c r="H104" s="18" t="s">
        <v>2656</v>
      </c>
      <c r="I104" s="18" t="s">
        <v>10</v>
      </c>
      <c r="J104" s="18" t="s">
        <v>164</v>
      </c>
      <c r="K104" s="1"/>
    </row>
    <row r="105" spans="1:11" ht="24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1" ht="24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1" ht="24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1" ht="24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1" ht="24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1" ht="24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1" ht="24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1" ht="24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24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24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24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24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24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24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24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24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24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24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24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24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24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24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24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24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24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24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24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24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24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24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24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24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24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24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24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24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24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24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24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24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24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24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24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24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24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24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24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24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24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24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24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24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24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24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24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24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24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24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24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24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24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24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24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24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16" priority="1"/>
  </conditionalFormatting>
  <hyperlinks>
    <hyperlink ref="K2" r:id="rId1" display="https://ppim-intra.pea.co.th:4434/request/PPIM185009D0" xr:uid="{2FBDC9BF-C27D-403C-9E8B-700433BAA769}"/>
    <hyperlink ref="K3" r:id="rId2" display="https://ppim-intra.pea.co.th:4434/request/PPIM185009D0" xr:uid="{2DFE6D4C-BF87-48F3-B1B7-074B773B2D4B}"/>
    <hyperlink ref="K4" r:id="rId3" display="https://ppim-intra.pea.co.th:4434/request/PPIM18500CF2" xr:uid="{2BBAC795-0D43-453B-9A2B-14941EA6F0B9}"/>
    <hyperlink ref="K5" r:id="rId4" display="https://ppim-intra.pea.co.th:4434/request/PPIM18500DD0" xr:uid="{A508056C-3E6F-46DF-B8A5-F12636252F4D}"/>
    <hyperlink ref="K6" r:id="rId5" display="https://ppim-intra.pea.co.th:4434/request/PPIM18500133" xr:uid="{C46C5EF8-7F75-49FD-BA4E-6C485639BA71}"/>
    <hyperlink ref="K7" r:id="rId6" display="https://ppim-intra.pea.co.th:4434/request/PPIM18500F86" xr:uid="{58AD7739-837E-4936-8EA6-0508E2B4E480}"/>
    <hyperlink ref="K8" r:id="rId7" display="https://ppim-intra.pea.co.th:4434/request/PPIM18501602" xr:uid="{4911EB16-C5B7-4DD9-8D86-4276CDFFFE93}"/>
    <hyperlink ref="K9" r:id="rId8" display="https://ppim-intra.pea.co.th:4434/request/PPIM185016E0" xr:uid="{D643AA32-3381-4EA7-B5B5-D7CB1D822CAB}"/>
    <hyperlink ref="K10" r:id="rId9" display="https://ppim-intra.pea.co.th:4434/request/PPIM185016EA" xr:uid="{B6B1B314-86E3-4FE8-BF13-F3491B1F1C1E}"/>
    <hyperlink ref="K11" r:id="rId10" display="https://ppim-intra.pea.co.th:4434/request/PPIM18501758" xr:uid="{E25CBDD1-7452-45E6-A843-A30A65CB23FE}"/>
    <hyperlink ref="K12" r:id="rId11" display="https://ppim-intra.pea.co.th:4434/request/PPIM18501382" xr:uid="{789B16F6-8069-4DE0-80C5-557F317D8D97}"/>
    <hyperlink ref="K13" r:id="rId12" display="https://ppim-intra.pea.co.th:4434/request/PPIM185018F0" xr:uid="{29C0007E-6CE3-406B-BAF9-1A1D09C069FF}"/>
    <hyperlink ref="K14" r:id="rId13" display="https://ppim-intra.pea.co.th:4434/request/PPIM1850194C" xr:uid="{DC762762-1183-404F-AAED-B79741B80E27}"/>
    <hyperlink ref="K15" r:id="rId14" display="https://ppim-intra.pea.co.th:4434/request/PPIM18501B33" xr:uid="{838F33C9-042D-4C69-81EE-EE0BB3EB94BE}"/>
    <hyperlink ref="K16" r:id="rId15" display="https://ppim-intra.pea.co.th:4434/request/PPIM18501BC3" xr:uid="{E395634E-4640-459E-8500-04158E2426CA}"/>
    <hyperlink ref="K17" r:id="rId16" display="https://ppim-intra.pea.co.th:4434/request/PPIM18501BF6" xr:uid="{5B5D5523-FE59-452D-A13C-527AAAF5D799}"/>
    <hyperlink ref="K18" r:id="rId17" display="https://ppim-intra.pea.co.th:4434/request/PPIM18501C59" xr:uid="{A4C34B0C-A3EC-43B2-899E-E5097E65E71E}"/>
    <hyperlink ref="K19" r:id="rId18" display="https://ppim-intra.pea.co.th:4434/request/PPIM18501A8B" xr:uid="{648544DA-C436-41BE-B63D-8D4D91C92E49}"/>
    <hyperlink ref="K20" r:id="rId19" display="https://ppim-intra.pea.co.th:4434/request/PPIM18501A88" xr:uid="{79B92A90-CDD3-4A4F-B340-E7E28CD91C25}"/>
    <hyperlink ref="K21" r:id="rId20" display="https://ppim-intra.pea.co.th:4434/request/PPIM185019BB" xr:uid="{7598491E-A399-45A3-9682-97B6DB421348}"/>
    <hyperlink ref="K22" r:id="rId21" display="https://ppim-intra.pea.co.th:4434/request/PPIM18500AFD" xr:uid="{B0FE6061-C6D9-4B04-8D1C-E907C8408D8B}"/>
    <hyperlink ref="K23" r:id="rId22" display="https://ppim-intra.pea.co.th:4434/request/PPIM18501FE1" xr:uid="{F37417C5-CBEC-4B03-8DED-78CAAB7C9736}"/>
    <hyperlink ref="K24" r:id="rId23" display="https://ppim-intra.pea.co.th:4434/request/PPIM18501FF3" xr:uid="{31433602-8F40-4D17-BC11-C9BB40ABB1FC}"/>
    <hyperlink ref="K25" r:id="rId24" display="https://ppim-intra.pea.co.th:4434/request/PPIM18502038" xr:uid="{78878123-313F-4F34-BE53-8A097A144840}"/>
    <hyperlink ref="K26" r:id="rId25" display="https://ppim-intra.pea.co.th:4434/request/PPIM18500B60" xr:uid="{7F1519A1-2600-43BD-A8CD-73944247B655}"/>
    <hyperlink ref="K27" r:id="rId26" display="https://ppim-intra.pea.co.th:4434/request/PPIM18502207" xr:uid="{AE34067A-F6E7-4AC6-9517-6118B22D6C7B}"/>
    <hyperlink ref="K28" r:id="rId27" display="https://ppim-intra.pea.co.th:4434/request/PPIM1850199F" xr:uid="{F66C8464-0E97-4D0B-96AE-272106694863}"/>
    <hyperlink ref="K29" r:id="rId28" display="https://ppim-intra.pea.co.th:4434/request/PPIM1850242B" xr:uid="{97C8E357-F604-4C1B-9328-FFEC03DE6987}"/>
    <hyperlink ref="K30" r:id="rId29" display="https://ppim-intra.pea.co.th:4434/request/PPIM185024AE" xr:uid="{E2A447D4-C684-4931-A54D-32A3626A1995}"/>
    <hyperlink ref="K31" r:id="rId30" display="https://ppim-intra.pea.co.th:4434/request/PPIM18502587" xr:uid="{CB01A598-78F9-4C88-940C-87A725CFDB49}"/>
    <hyperlink ref="K32" r:id="rId31" display="https://ppim-intra.pea.co.th:4434/request/PPIM18502609" xr:uid="{BFDCEDFB-C610-42FF-B63A-56725F47ADE2}"/>
    <hyperlink ref="K33" r:id="rId32" display="https://ppim-intra.pea.co.th:4434/request/PPIM185027DC" xr:uid="{D7BD767F-EF48-4ED9-BFCE-DCF914C1AB05}"/>
    <hyperlink ref="K34" r:id="rId33" display="https://ppim-intra.pea.co.th:4434/request/PPIM18501FB1" xr:uid="{CE18AB81-5D78-43B1-8EC8-289D64C742B0}"/>
    <hyperlink ref="K35" r:id="rId34" display="https://ppim-intra.pea.co.th:4434/request/PPIM18502129" xr:uid="{BEBF3316-3FCF-4835-A684-0E242031C10B}"/>
    <hyperlink ref="K36" r:id="rId35" display="https://ppim-intra.pea.co.th:4434/request/PPIM185028BD" xr:uid="{AA9BD0AB-29D3-4737-8948-710980019CEC}"/>
    <hyperlink ref="K37" r:id="rId36" display="https://ppim-intra.pea.co.th:4434/request/PPIM18501E20" xr:uid="{C21716A8-3EBD-4778-BA45-BC0035EF7621}"/>
    <hyperlink ref="K38" r:id="rId37" display="https://ppim-intra.pea.co.th:4434/request/PPIM185029C2" xr:uid="{73442E71-462A-4578-94CE-0C8C0351A0E8}"/>
    <hyperlink ref="K39" r:id="rId38" display="https://ppim-intra.pea.co.th:4434/request/PPIM185020BD" xr:uid="{74932375-2E17-4671-BD83-DFF26DB83276}"/>
    <hyperlink ref="K40" r:id="rId39" display="https://ppim-intra.pea.co.th:4434/request/PPIM18502A82" xr:uid="{2CA37D80-354D-4BDF-9BB6-E25F96A14963}"/>
    <hyperlink ref="K41" r:id="rId40" display="https://ppim-intra.pea.co.th:4434/request/PPIM18502AC6" xr:uid="{83562EBA-B142-4B44-84CD-590F18CD7055}"/>
    <hyperlink ref="K42" r:id="rId41" display="https://ppim-intra.pea.co.th:4434/request/PPIM18502B3B" xr:uid="{B32A187F-F163-4D06-B161-B9E1500B9EB9}"/>
    <hyperlink ref="K43" r:id="rId42" display="https://ppim-intra.pea.co.th:4434/request/PPIM18502B4F" xr:uid="{A53AB1E6-0D29-40D9-B0BD-5E3755B8A9CD}"/>
    <hyperlink ref="K44" r:id="rId43" display="https://ppim-intra.pea.co.th:4434/request/PPIM1850314E" xr:uid="{6182CD9A-7321-4175-80C1-07576398EFD9}"/>
    <hyperlink ref="K45" r:id="rId44" display="https://ppim-intra.pea.co.th:4434/request/PPIM18503518" xr:uid="{5AFD63C5-AE2F-4145-9149-D2E568C9449D}"/>
    <hyperlink ref="K46" r:id="rId45" display="https://ppim-intra.pea.co.th:4434/request/PPIM18503E8F" xr:uid="{3FB2148C-A0AC-49EE-8FF2-D38F438C19B1}"/>
    <hyperlink ref="K47" r:id="rId46" display="https://ppim-intra.pea.co.th:4434/request/PPIM18502998" xr:uid="{2E543A8F-DCAB-446C-AEAD-B54A09955100}"/>
    <hyperlink ref="K48" r:id="rId47" display="https://ppim-intra.pea.co.th:4434/request/PPIM1850311A" xr:uid="{14AC34AE-A4C5-4FC2-ADDB-A11E53E1745C}"/>
    <hyperlink ref="K49" r:id="rId48" display="https://ppim-intra.pea.co.th:4434/request/PPIM18503F74" xr:uid="{7BA78E82-A32A-4D8E-9FD8-10C742C86E30}"/>
    <hyperlink ref="K50" r:id="rId49" display="https://ppim-intra.pea.co.th:4434/request/PPIM18503F79" xr:uid="{0BEEFA4F-316E-4046-9A1F-40DA6F5E3099}"/>
    <hyperlink ref="K51" r:id="rId50" display="https://ppim-intra.pea.co.th:4434/request/PPIM18504407" xr:uid="{B719925D-DC0B-4D44-A8F8-7C9BDE177F4C}"/>
    <hyperlink ref="K52" r:id="rId51" display="https://ppim-intra.pea.co.th:4434/request/PPIM18503C54" xr:uid="{F9B4C591-0DCF-49D1-B81B-EFBB0D9F0363}"/>
    <hyperlink ref="K53" r:id="rId52" display="https://ppim-intra.pea.co.th:4434/request/PPIM18504619" xr:uid="{D53DC755-D8CF-42E0-8B3C-BE721F842134}"/>
    <hyperlink ref="K54" r:id="rId53" display="https://ppim-intra.pea.co.th:4434/request/PPIM185040AE" xr:uid="{12D1E465-70C8-43E1-9FC0-648271DEBA97}"/>
    <hyperlink ref="K55" r:id="rId54" display="https://ppim-intra.pea.co.th:4434/request/PPIM185047D9" xr:uid="{2570271D-6FF9-43DE-B98C-06489C1B9103}"/>
    <hyperlink ref="K56" r:id="rId55" display="https://ppim-intra.pea.co.th:4434/request/PPIM18504829" xr:uid="{7121F7E0-DA87-4F53-AC39-16C125FC1B8F}"/>
    <hyperlink ref="K57" r:id="rId56" display="https://ppim-intra.pea.co.th:4434/request/PPIM18504037" xr:uid="{A786D9CD-1037-48D3-AB9F-FD720CB780F3}"/>
    <hyperlink ref="K58" r:id="rId57" display="https://ppim-intra.pea.co.th:4434/request/PPIM1950063F" xr:uid="{06478D94-61A1-4F76-9AE8-A64DB1D035F9}"/>
    <hyperlink ref="K59" r:id="rId58" display="https://ppim-intra.pea.co.th:4434/request/PPIM185042E4" xr:uid="{F32B60BC-9F3D-444D-84BE-24035A71DEAF}"/>
    <hyperlink ref="K60" r:id="rId59" display="https://ppim-intra.pea.co.th:4434/request/PPIM1950092E" xr:uid="{2818C5E9-9CFD-426D-8DAD-7AF8D5DBFF04}"/>
    <hyperlink ref="K61" r:id="rId60" display="https://ppim-intra.pea.co.th:4434/request/PPIM195003C7" xr:uid="{F945590E-7F83-458C-9074-155A149B6B3A}"/>
    <hyperlink ref="K62" r:id="rId61" display="https://ppim-intra.pea.co.th:4434/request/PPIM1950080E" xr:uid="{779977C4-0825-442F-ADCA-43E34DEAD87D}"/>
    <hyperlink ref="K63" r:id="rId62" display="https://ppim-intra.pea.co.th:4434/request/PPIM19500FD7" xr:uid="{ABED0E5A-5FC4-4DE0-A99A-927D593E7004}"/>
    <hyperlink ref="K64" r:id="rId63" display="https://ppim-intra.pea.co.th:4434/request/PPIM19500E01" xr:uid="{C11571F0-D422-4447-92A1-AA374F2D3C80}"/>
    <hyperlink ref="K65" r:id="rId64" display="https://ppim-intra.pea.co.th:4434/request/PPIM19500A6F" xr:uid="{A6B08738-DCBF-495F-A63F-6F6CD6E12C98}"/>
    <hyperlink ref="K66" r:id="rId65" display="https://ppim-intra.pea.co.th:4434/request/PPIM19501E55" xr:uid="{54FAE2E5-0448-4921-AB05-9526FDC2B691}"/>
    <hyperlink ref="K67" r:id="rId66" display="https://ppim-intra.pea.co.th:4434/request/PPIM19502239" xr:uid="{D9DA07E4-5250-463C-8001-9AB79F50EE66}"/>
    <hyperlink ref="K68" r:id="rId67" display="https://ppim-intra.pea.co.th:4434/request/PPIM19502583" xr:uid="{70AD3A19-FF43-419E-A8C2-65095E8AD5D3}"/>
    <hyperlink ref="K69" r:id="rId68" display="https://ppim-intra.pea.co.th:4434/request/PPIM19502EE1" xr:uid="{7481F7D7-B1FB-4671-B4E7-337C1B9E7916}"/>
    <hyperlink ref="K70" r:id="rId69" display="https://ppim-intra.pea.co.th:4434/request/PPIM19502F5F" xr:uid="{3D20B7B3-DE61-4C4B-A7B1-90FD4E9552A3}"/>
    <hyperlink ref="K71" r:id="rId70" display="https://ppim-intra.pea.co.th:4434/request/PPIM195013BC" xr:uid="{69C8C4C5-4F7A-4354-A48B-14BF4327AC6A}"/>
    <hyperlink ref="K72" r:id="rId71" display="https://ppim-intra.pea.co.th:4434/request/PPIM19502FFD" xr:uid="{A11B8ED6-CE3D-4165-8780-EEC9AC282E56}"/>
    <hyperlink ref="K73" r:id="rId72" display="https://ppim-intra.pea.co.th:4434/request/PPIM195035F4" xr:uid="{F18F6021-731E-4470-980C-715F5CAAD11B}"/>
    <hyperlink ref="K74" r:id="rId73" display="https://ppim-intra.pea.co.th:4434/request/PPIM19503600" xr:uid="{535C7F2A-B87A-4448-8A8C-795A337A57C9}"/>
    <hyperlink ref="K75" r:id="rId74" display="https://ppim-intra.pea.co.th:4434/request/PPIM19502EC4" xr:uid="{8FDBDB11-086E-4384-B9C6-A2A042451F48}"/>
    <hyperlink ref="K76" r:id="rId75" display="https://ppim-intra.pea.co.th:4434/request/PPIM195012B6" xr:uid="{F3DB483D-D045-42D1-828E-9012D25F793A}"/>
    <hyperlink ref="K77" r:id="rId76" display="https://ppim-intra.pea.co.th:4434/request/PPIM195037CE" xr:uid="{01A1965A-D7A0-45AE-9A95-4BEF55898B49}"/>
    <hyperlink ref="K78" r:id="rId77" display="https://ppim-intra.pea.co.th:4434/request/PPIM195039E7" xr:uid="{28E489B7-F9E6-4C14-933F-E9B6220CFDCF}"/>
    <hyperlink ref="K79" r:id="rId78" display="https://ppim-intra.pea.co.th:4434/request/PPIM19503A78" xr:uid="{632F2B2F-03C1-4E99-A1B0-5930C4457C73}"/>
    <hyperlink ref="K80" r:id="rId79" display="https://ppim-intra.pea.co.th:4434/request/PPIM19503C10" xr:uid="{482ABDBC-87ED-444F-8BDC-01F1B72689B6}"/>
    <hyperlink ref="K81" r:id="rId80" display="https://ppim-intra.pea.co.th:4434/request/PPIM19503D3A" xr:uid="{FC746D16-5B36-44BA-9483-8CF3F3B92645}"/>
    <hyperlink ref="K82" r:id="rId81" display="https://ppim-intra.pea.co.th:4434/request/PPIM19503E66" xr:uid="{8FF6ACF4-66BE-4057-86AC-04EC1FD607F7}"/>
    <hyperlink ref="K83" r:id="rId82" display="https://ppim-intra.pea.co.th:4434/request/PPIM1950467E" xr:uid="{D1A733A8-EAEA-458B-AA94-1982BB565F08}"/>
    <hyperlink ref="K84" r:id="rId83" display="https://ppim-intra.pea.co.th:4434/request/PPIM19504684" xr:uid="{E1A889FC-B50E-4C9A-9988-E0B0523BFF93}"/>
    <hyperlink ref="K85" r:id="rId84" display="https://ppim-intra.pea.co.th:4434/request/PPIM1950468A" xr:uid="{0CC8D79B-5BB2-49C6-ADDA-098E6B9396AE}"/>
    <hyperlink ref="K86" r:id="rId85" display="https://ppim-intra.pea.co.th:4434/request/PPIM19504715" xr:uid="{CF4DC54D-AFBE-44A4-A78A-28AF7198351C}"/>
    <hyperlink ref="K87" r:id="rId86" display="https://ppim-intra.pea.co.th:4434/request/PPIM19504742" xr:uid="{1F470055-21B2-461C-B4C4-0053D74ACB55}"/>
    <hyperlink ref="K88" r:id="rId87" display="https://ppim-intra.pea.co.th:4434/request/PPIM195048B9" xr:uid="{870DB686-FF41-4755-8DDD-C91CC224CFEB}"/>
    <hyperlink ref="K89" r:id="rId88" display="https://ppim-intra.pea.co.th:4434/request/PPIM19504C9F" xr:uid="{8BF3AA7B-C78D-490C-8776-EA71E1FDFBE0}"/>
    <hyperlink ref="K90" r:id="rId89" display="https://ppim-intra.pea.co.th:4434/request/PPIM19505023" xr:uid="{145D1679-F37F-48CF-9168-350C4329D837}"/>
    <hyperlink ref="K91" r:id="rId90" display="https://ppim-intra.pea.co.th:4434/request/PPIM19503BA3" xr:uid="{3282E3ED-E807-4AC0-BA50-C08EAD37829A}"/>
    <hyperlink ref="K92" r:id="rId91" display="https://ppim-intra.pea.co.th:4434/request/PPIM195055EC" xr:uid="{1CE55AF9-479F-4A9A-A936-E339EFA9EF0F}"/>
    <hyperlink ref="K93" r:id="rId92" display="https://ppim-intra.pea.co.th:4434/request/PPIM19504717" xr:uid="{10B4D658-F773-499E-9618-BD392E332BA9}"/>
    <hyperlink ref="K94" r:id="rId93" display="https://ppim-intra.pea.co.th:4434/request/PPIM195047FB" xr:uid="{AC4507F0-EDC2-4D44-8AB8-26D53C046F02}"/>
    <hyperlink ref="K95" r:id="rId94" display="https://ppim-intra.pea.co.th:4434/request/PPIM195057C6" xr:uid="{2BCD5604-65C7-4545-B0EE-FB0EE57C412F}"/>
    <hyperlink ref="K96" r:id="rId95" display="https://ppim-intra.pea.co.th:4434/request/PPIM195057CE" xr:uid="{E6D345B8-F02D-4F9B-9038-82329F1626AE}"/>
    <hyperlink ref="K97" r:id="rId96" display="https://ppim-intra.pea.co.th:4434/request/PPIM19503FB5" xr:uid="{1E967A59-4523-4AE2-990F-5218DDA7FCC2}"/>
    <hyperlink ref="K98" r:id="rId97" display="https://ppim-intra.pea.co.th:4434/request/PPIM19505860" xr:uid="{6B86936E-47C3-41B7-9B5B-3A59176A0284}"/>
    <hyperlink ref="K99" r:id="rId98" display="https://ppim-intra.pea.co.th:4434/request/PPIM19505862" xr:uid="{C457316D-B82F-49E5-9F8F-ED59FF409D22}"/>
    <hyperlink ref="K100" r:id="rId99" display="https://ppim-intra.pea.co.th:4434/request/PPIM1950586F" xr:uid="{CF3DDEBB-13CA-4999-B398-5683952E046B}"/>
    <hyperlink ref="K101" r:id="rId100" display="https://ppim-intra.pea.co.th:4434/request/PPIM195045E7" xr:uid="{07328269-C0DD-4137-9F7C-57EF3F747B83}"/>
    <hyperlink ref="K103" r:id="rId101" display="https://ppim-intra.pea.co.th:4434/request/PPIM19505B6E" xr:uid="{2BE7F2D2-8003-4470-9C2A-C80B4068F613}"/>
  </hyperlinks>
  <pageMargins left="0.7" right="0.7" top="0.75" bottom="0.75" header="0.3" footer="0.3"/>
  <pageSetup paperSize="9" orientation="portrait" horizontalDpi="4294967293" verticalDpi="0" r:id="rId102"/>
  <drawing r:id="rId103"/>
  <legacyDrawing r:id="rId104"/>
  <controls>
    <mc:AlternateContent xmlns:mc="http://schemas.openxmlformats.org/markup-compatibility/2006">
      <mc:Choice Requires="x14">
        <control shapeId="9217" r:id="rId105" name="Control 1">
          <controlPr defaultSize="0" r:id="rId106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190500</xdr:colOff>
                <xdr:row>9</xdr:row>
                <xdr:rowOff>190500</xdr:rowOff>
              </to>
            </anchor>
          </controlPr>
        </control>
      </mc:Choice>
      <mc:Fallback>
        <control shapeId="9217" r:id="rId105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DB31-FA76-4B52-8100-4B5840D33E6D}">
  <sheetPr codeName="Sheet4">
    <tabColor rgb="FFFFC000"/>
  </sheetPr>
  <dimension ref="A2:O168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4" width="24.7109375" style="6" bestFit="1" customWidth="1"/>
    <col min="5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27.7109375" bestFit="1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86</v>
      </c>
      <c r="N2" s="13" t="s">
        <v>214</v>
      </c>
    </row>
    <row r="3" spans="1:15" ht="37.5" thickTop="1" thickBot="1">
      <c r="A3" s="21" t="s">
        <v>159</v>
      </c>
      <c r="B3" s="21">
        <v>20020177062</v>
      </c>
      <c r="C3" s="21" t="s">
        <v>160</v>
      </c>
      <c r="D3" s="22">
        <v>45384.970138888886</v>
      </c>
      <c r="E3" s="21" t="s">
        <v>10</v>
      </c>
      <c r="F3" s="21">
        <v>20</v>
      </c>
      <c r="G3" s="22">
        <v>45509.449305555558</v>
      </c>
      <c r="H3" s="21" t="s">
        <v>236</v>
      </c>
      <c r="I3" s="21" t="s">
        <v>10</v>
      </c>
      <c r="J3" s="21" t="s">
        <v>161</v>
      </c>
      <c r="K3" s="20"/>
      <c r="L3" s="7" t="s">
        <v>2656</v>
      </c>
      <c r="M3" s="7">
        <f>COUNTIF(H:H,"รอตรวจสอบคำขอ")</f>
        <v>2</v>
      </c>
      <c r="N3" s="11" t="s">
        <v>214</v>
      </c>
    </row>
    <row r="4" spans="1:15" ht="36.75" thickBot="1">
      <c r="A4" s="18" t="s">
        <v>282</v>
      </c>
      <c r="B4" s="18">
        <v>20023723483</v>
      </c>
      <c r="C4" s="18" t="s">
        <v>283</v>
      </c>
      <c r="D4" s="19">
        <v>45391.626388888886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161</v>
      </c>
      <c r="K4" s="20"/>
      <c r="L4" s="7" t="s">
        <v>178</v>
      </c>
      <c r="M4" s="7">
        <f>COUNTIF(H:H,"ยกเลิก")</f>
        <v>44</v>
      </c>
      <c r="N4" s="11" t="s">
        <v>214</v>
      </c>
    </row>
    <row r="5" spans="1:15" ht="36.75" thickBot="1">
      <c r="A5" s="18" t="s">
        <v>344</v>
      </c>
      <c r="B5" s="18">
        <v>20003268918</v>
      </c>
      <c r="C5" s="18" t="s">
        <v>345</v>
      </c>
      <c r="D5" s="19">
        <v>45415.976388888892</v>
      </c>
      <c r="E5" s="19">
        <v>45438.878472222219</v>
      </c>
      <c r="F5" s="18">
        <v>10</v>
      </c>
      <c r="G5" s="19">
        <v>45512.482638888891</v>
      </c>
      <c r="H5" s="18" t="s">
        <v>236</v>
      </c>
      <c r="I5" s="18" t="s">
        <v>10</v>
      </c>
      <c r="J5" s="18" t="s">
        <v>161</v>
      </c>
      <c r="K5" s="20"/>
      <c r="L5" s="7" t="s">
        <v>235</v>
      </c>
      <c r="M5" s="7">
        <f>COUNTIF(H:H,"รอผู้ยื่นคำขอส่งเอกสารแก้ไข")</f>
        <v>1</v>
      </c>
      <c r="N5" s="11" t="s">
        <v>214</v>
      </c>
    </row>
    <row r="6" spans="1:15" ht="36.75" thickBot="1">
      <c r="A6" s="18" t="s">
        <v>374</v>
      </c>
      <c r="B6" s="18">
        <v>20003279636</v>
      </c>
      <c r="C6" s="18" t="s">
        <v>375</v>
      </c>
      <c r="D6" s="19">
        <v>45432.4375</v>
      </c>
      <c r="E6" s="19">
        <v>45442.702777777777</v>
      </c>
      <c r="F6" s="18">
        <v>10</v>
      </c>
      <c r="G6" s="19">
        <v>45490.464583333334</v>
      </c>
      <c r="H6" s="18" t="s">
        <v>236</v>
      </c>
      <c r="I6" s="18" t="s">
        <v>10</v>
      </c>
      <c r="J6" s="18" t="s">
        <v>161</v>
      </c>
      <c r="K6" s="20"/>
      <c r="L6" s="7" t="s">
        <v>189</v>
      </c>
      <c r="M6" s="14">
        <f>COUNTIF(H:H,"รอชำระเงิน")</f>
        <v>3</v>
      </c>
      <c r="N6" s="11" t="s">
        <v>214</v>
      </c>
      <c r="O6" s="7" t="s">
        <v>359</v>
      </c>
    </row>
    <row r="7" spans="1:15" ht="36.75" thickBot="1">
      <c r="A7" s="18" t="s">
        <v>284</v>
      </c>
      <c r="B7" s="18">
        <v>20023723483</v>
      </c>
      <c r="C7" s="18" t="s">
        <v>285</v>
      </c>
      <c r="D7" s="19">
        <v>45406.700694444444</v>
      </c>
      <c r="E7" s="19">
        <v>45448.704861111109</v>
      </c>
      <c r="F7" s="18">
        <v>10</v>
      </c>
      <c r="G7" s="19">
        <v>45489.60833333333</v>
      </c>
      <c r="H7" s="18" t="s">
        <v>236</v>
      </c>
      <c r="I7" s="18" t="s">
        <v>10</v>
      </c>
      <c r="J7" s="18" t="s">
        <v>161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7" s="11" t="s">
        <v>214</v>
      </c>
    </row>
    <row r="8" spans="1:15" ht="36.75" thickBot="1">
      <c r="A8" s="18" t="s">
        <v>480</v>
      </c>
      <c r="B8" s="18">
        <v>20026373502</v>
      </c>
      <c r="C8" s="18" t="s">
        <v>481</v>
      </c>
      <c r="D8" s="19">
        <v>45457.75277777778</v>
      </c>
      <c r="E8" s="18" t="s">
        <v>10</v>
      </c>
      <c r="F8" s="18">
        <v>10</v>
      </c>
      <c r="G8" s="19">
        <v>45513.447222222225</v>
      </c>
      <c r="H8" s="18" t="s">
        <v>236</v>
      </c>
      <c r="I8" s="18" t="s">
        <v>10</v>
      </c>
      <c r="J8" s="18" t="s">
        <v>161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7</v>
      </c>
      <c r="N8" s="11" t="s">
        <v>214</v>
      </c>
    </row>
    <row r="9" spans="1:15" ht="36.75" thickBot="1">
      <c r="A9" s="18" t="s">
        <v>482</v>
      </c>
      <c r="B9" s="18">
        <v>20025483104</v>
      </c>
      <c r="C9" s="18" t="s">
        <v>483</v>
      </c>
      <c r="D9" s="19">
        <v>45461.38958333333</v>
      </c>
      <c r="E9" s="18" t="s">
        <v>10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161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1</v>
      </c>
      <c r="N9" t="s">
        <v>214</v>
      </c>
    </row>
    <row r="10" spans="1:15" ht="36.75" thickBot="1">
      <c r="A10" s="18" t="s">
        <v>484</v>
      </c>
      <c r="B10" s="18">
        <v>20023900026</v>
      </c>
      <c r="C10" s="18" t="s">
        <v>485</v>
      </c>
      <c r="D10" s="19">
        <v>45453.557638888888</v>
      </c>
      <c r="E10" s="19">
        <v>45471.661111111112</v>
      </c>
      <c r="F10" s="18">
        <v>4</v>
      </c>
      <c r="G10" s="18" t="s">
        <v>10</v>
      </c>
      <c r="H10" s="18" t="s">
        <v>178</v>
      </c>
      <c r="I10" s="18" t="s">
        <v>10</v>
      </c>
      <c r="J10" s="18" t="s">
        <v>161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486</v>
      </c>
      <c r="B11" s="18">
        <v>20023900026</v>
      </c>
      <c r="C11" s="18" t="s">
        <v>485</v>
      </c>
      <c r="D11" s="19">
        <v>45474.433333333334</v>
      </c>
      <c r="E11" s="18" t="s">
        <v>10</v>
      </c>
      <c r="F11" s="18">
        <v>4</v>
      </c>
      <c r="G11" s="19">
        <v>45483.365277777775</v>
      </c>
      <c r="H11" s="18" t="s">
        <v>236</v>
      </c>
      <c r="I11" s="18" t="s">
        <v>10</v>
      </c>
      <c r="J11" s="18" t="s">
        <v>161</v>
      </c>
      <c r="K11" s="20"/>
      <c r="L11" t="s">
        <v>2654</v>
      </c>
      <c r="M11">
        <f>COUNTIF(H:H,"รอตรวจสอบระบบผลิต")</f>
        <v>1</v>
      </c>
      <c r="N11" t="s">
        <v>214</v>
      </c>
    </row>
    <row r="12" spans="1:15" ht="36.75" thickBot="1">
      <c r="A12" s="18" t="s">
        <v>718</v>
      </c>
      <c r="B12" s="18">
        <v>20003569382</v>
      </c>
      <c r="C12" s="18" t="s">
        <v>719</v>
      </c>
      <c r="D12" s="19">
        <v>45494.969444444447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161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721</v>
      </c>
      <c r="B13" s="18">
        <v>20003430883</v>
      </c>
      <c r="C13" s="18" t="s">
        <v>703</v>
      </c>
      <c r="D13" s="19">
        <v>45498.697916666664</v>
      </c>
      <c r="E13" s="18" t="s">
        <v>10</v>
      </c>
      <c r="F13" s="18">
        <v>5</v>
      </c>
      <c r="G13" s="18" t="s">
        <v>10</v>
      </c>
      <c r="H13" s="18" t="s">
        <v>178</v>
      </c>
      <c r="I13" s="18" t="s">
        <v>10</v>
      </c>
      <c r="J13" s="18" t="s">
        <v>161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720</v>
      </c>
      <c r="B14" s="18">
        <v>20025483104</v>
      </c>
      <c r="C14" s="18" t="s">
        <v>483</v>
      </c>
      <c r="D14" s="19">
        <v>45498.398611111108</v>
      </c>
      <c r="E14" s="19">
        <v>45523.629166666666</v>
      </c>
      <c r="F14" s="18">
        <v>5</v>
      </c>
      <c r="G14" s="19">
        <v>45546.620138888888</v>
      </c>
      <c r="H14" s="18" t="s">
        <v>236</v>
      </c>
      <c r="I14" s="18" t="s">
        <v>10</v>
      </c>
      <c r="J14" s="18" t="s">
        <v>161</v>
      </c>
      <c r="K14" s="20"/>
      <c r="L14" t="s">
        <v>236</v>
      </c>
      <c r="M14">
        <f>COUNTIF(H:H,"เชื่อมต่อเรียบร้อยแล้ว")</f>
        <v>26</v>
      </c>
      <c r="N14" t="s">
        <v>214</v>
      </c>
    </row>
    <row r="15" spans="1:15" ht="72.75" thickBot="1">
      <c r="A15" s="18" t="s">
        <v>842</v>
      </c>
      <c r="B15" s="18">
        <v>20019463789</v>
      </c>
      <c r="C15" s="18" t="s">
        <v>825</v>
      </c>
      <c r="D15" s="19">
        <v>45530.495833333334</v>
      </c>
      <c r="E15" s="18" t="s">
        <v>10</v>
      </c>
      <c r="F15" s="18">
        <v>12</v>
      </c>
      <c r="G15" s="18" t="s">
        <v>10</v>
      </c>
      <c r="H15" s="18" t="s">
        <v>178</v>
      </c>
      <c r="I15" s="18" t="s">
        <v>10</v>
      </c>
      <c r="J15" s="18" t="s">
        <v>161</v>
      </c>
      <c r="K15" s="20"/>
    </row>
    <row r="16" spans="1:15" ht="36.75" thickBot="1">
      <c r="A16" s="18" t="s">
        <v>1038</v>
      </c>
      <c r="B16" s="18">
        <v>20003450375</v>
      </c>
      <c r="C16" s="18" t="s">
        <v>1039</v>
      </c>
      <c r="D16" s="19">
        <v>45541.59652777778</v>
      </c>
      <c r="E16" s="18" t="s">
        <v>10</v>
      </c>
      <c r="F16" s="18">
        <v>5</v>
      </c>
      <c r="G16" s="18" t="s">
        <v>10</v>
      </c>
      <c r="H16" s="18" t="s">
        <v>178</v>
      </c>
      <c r="I16" s="18" t="s">
        <v>10</v>
      </c>
      <c r="J16" s="18" t="s">
        <v>161</v>
      </c>
      <c r="K16" s="20"/>
    </row>
    <row r="17" spans="1:11" ht="36.75" thickBot="1">
      <c r="A17" s="18" t="s">
        <v>1040</v>
      </c>
      <c r="B17" s="18">
        <v>20003554649</v>
      </c>
      <c r="C17" s="18" t="s">
        <v>1041</v>
      </c>
      <c r="D17" s="19">
        <v>45542.65347222222</v>
      </c>
      <c r="E17" s="18" t="s">
        <v>10</v>
      </c>
      <c r="F17" s="18">
        <v>10</v>
      </c>
      <c r="G17" s="18" t="s">
        <v>10</v>
      </c>
      <c r="H17" s="18" t="s">
        <v>178</v>
      </c>
      <c r="I17" s="18" t="s">
        <v>10</v>
      </c>
      <c r="J17" s="18" t="s">
        <v>161</v>
      </c>
      <c r="K17" s="20"/>
    </row>
    <row r="18" spans="1:11" ht="36.75" thickBot="1">
      <c r="A18" s="18" t="s">
        <v>1179</v>
      </c>
      <c r="B18" s="18">
        <v>20003450375</v>
      </c>
      <c r="C18" s="18" t="s">
        <v>1180</v>
      </c>
      <c r="D18" s="19">
        <v>45554.470833333333</v>
      </c>
      <c r="E18" s="18" t="s">
        <v>10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161</v>
      </c>
      <c r="K18" s="20"/>
    </row>
    <row r="19" spans="1:11" ht="36.75" thickBot="1">
      <c r="A19" s="18" t="s">
        <v>1181</v>
      </c>
      <c r="B19" s="18">
        <v>20003450375</v>
      </c>
      <c r="C19" s="18" t="s">
        <v>1180</v>
      </c>
      <c r="D19" s="19">
        <v>45555.745138888888</v>
      </c>
      <c r="E19" s="18" t="s">
        <v>10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161</v>
      </c>
      <c r="K19" s="20"/>
    </row>
    <row r="20" spans="1:11" ht="36.75" thickBot="1">
      <c r="A20" s="18" t="s">
        <v>1182</v>
      </c>
      <c r="B20" s="18">
        <v>20003554649</v>
      </c>
      <c r="C20" s="18" t="s">
        <v>1183</v>
      </c>
      <c r="D20" s="19">
        <v>45556.365277777775</v>
      </c>
      <c r="E20" s="18" t="s">
        <v>10</v>
      </c>
      <c r="F20" s="18">
        <v>10</v>
      </c>
      <c r="G20" s="18" t="s">
        <v>10</v>
      </c>
      <c r="H20" s="18" t="s">
        <v>178</v>
      </c>
      <c r="I20" s="18" t="s">
        <v>10</v>
      </c>
      <c r="J20" s="18" t="s">
        <v>161</v>
      </c>
      <c r="K20" s="20"/>
    </row>
    <row r="21" spans="1:11" ht="36.75" thickBot="1">
      <c r="A21" s="18" t="s">
        <v>1184</v>
      </c>
      <c r="B21" s="18">
        <v>20003529869</v>
      </c>
      <c r="C21" s="18" t="s">
        <v>1185</v>
      </c>
      <c r="D21" s="19">
        <v>45557.893750000003</v>
      </c>
      <c r="E21" s="18" t="s">
        <v>10</v>
      </c>
      <c r="F21" s="18">
        <v>10</v>
      </c>
      <c r="G21" s="18" t="s">
        <v>10</v>
      </c>
      <c r="H21" s="18" t="s">
        <v>178</v>
      </c>
      <c r="I21" s="18" t="s">
        <v>10</v>
      </c>
      <c r="J21" s="18" t="s">
        <v>161</v>
      </c>
      <c r="K21" s="20"/>
    </row>
    <row r="22" spans="1:11" ht="36.75" thickBot="1">
      <c r="A22" s="18" t="s">
        <v>1186</v>
      </c>
      <c r="B22" s="18">
        <v>20019919565</v>
      </c>
      <c r="C22" s="18" t="s">
        <v>1187</v>
      </c>
      <c r="D22" s="19">
        <v>45557.932638888888</v>
      </c>
      <c r="E22" s="19">
        <v>45559.461111111108</v>
      </c>
      <c r="F22" s="18">
        <v>5</v>
      </c>
      <c r="G22" s="19">
        <v>45593.609722222223</v>
      </c>
      <c r="H22" s="18" t="s">
        <v>236</v>
      </c>
      <c r="I22" s="18" t="s">
        <v>10</v>
      </c>
      <c r="J22" s="18" t="s">
        <v>161</v>
      </c>
      <c r="K22" s="20"/>
    </row>
    <row r="23" spans="1:11" ht="36.75" thickBot="1">
      <c r="A23" s="18" t="s">
        <v>1285</v>
      </c>
      <c r="B23" s="18">
        <v>20003450375</v>
      </c>
      <c r="C23" s="18" t="s">
        <v>1180</v>
      </c>
      <c r="D23" s="19">
        <v>45568.584027777775</v>
      </c>
      <c r="E23" s="18" t="s">
        <v>10</v>
      </c>
      <c r="F23" s="18">
        <v>5</v>
      </c>
      <c r="G23" s="19">
        <v>45603.431250000001</v>
      </c>
      <c r="H23" s="18" t="s">
        <v>236</v>
      </c>
      <c r="I23" s="18" t="s">
        <v>10</v>
      </c>
      <c r="J23" s="18" t="s">
        <v>161</v>
      </c>
      <c r="K23" s="20"/>
    </row>
    <row r="24" spans="1:11" ht="36.75" thickBot="1">
      <c r="A24" s="18" t="s">
        <v>1286</v>
      </c>
      <c r="B24" s="18">
        <v>20028043499</v>
      </c>
      <c r="C24" s="18" t="s">
        <v>1287</v>
      </c>
      <c r="D24" s="19">
        <v>45569.652083333334</v>
      </c>
      <c r="E24" s="18" t="s">
        <v>10</v>
      </c>
      <c r="F24" s="18">
        <v>5</v>
      </c>
      <c r="G24" s="19">
        <v>45576.649305555555</v>
      </c>
      <c r="H24" s="18" t="s">
        <v>236</v>
      </c>
      <c r="I24" s="18" t="s">
        <v>10</v>
      </c>
      <c r="J24" s="18" t="s">
        <v>161</v>
      </c>
      <c r="K24" s="20"/>
    </row>
    <row r="25" spans="1:11" ht="36.75" thickBot="1">
      <c r="A25" s="18" t="s">
        <v>1288</v>
      </c>
      <c r="B25" s="18">
        <v>20003554649</v>
      </c>
      <c r="C25" s="18" t="s">
        <v>1041</v>
      </c>
      <c r="D25" s="19">
        <v>45568.45208333333</v>
      </c>
      <c r="E25" s="19">
        <v>45575.709722222222</v>
      </c>
      <c r="F25" s="18">
        <v>10</v>
      </c>
      <c r="G25" s="19">
        <v>45594.543749999997</v>
      </c>
      <c r="H25" s="18" t="s">
        <v>236</v>
      </c>
      <c r="I25" s="18" t="s">
        <v>10</v>
      </c>
      <c r="J25" s="18" t="s">
        <v>161</v>
      </c>
      <c r="K25" s="20"/>
    </row>
    <row r="26" spans="1:11" ht="36.75" thickBot="1">
      <c r="A26" s="18" t="s">
        <v>1397</v>
      </c>
      <c r="B26" s="18">
        <v>20027691252</v>
      </c>
      <c r="C26" s="18" t="s">
        <v>1398</v>
      </c>
      <c r="D26" s="19">
        <v>45593.409722222219</v>
      </c>
      <c r="E26" s="18" t="s">
        <v>10</v>
      </c>
      <c r="F26" s="18">
        <v>10</v>
      </c>
      <c r="G26" s="18" t="s">
        <v>10</v>
      </c>
      <c r="H26" s="18" t="s">
        <v>178</v>
      </c>
      <c r="I26" s="18" t="s">
        <v>10</v>
      </c>
      <c r="J26" s="18" t="s">
        <v>161</v>
      </c>
      <c r="K26" s="20"/>
    </row>
    <row r="27" spans="1:11" ht="36.75" thickBot="1">
      <c r="A27" s="18" t="s">
        <v>1399</v>
      </c>
      <c r="B27" s="18">
        <v>20018237455</v>
      </c>
      <c r="C27" s="18" t="s">
        <v>1400</v>
      </c>
      <c r="D27" s="19">
        <v>45595.663888888892</v>
      </c>
      <c r="E27" s="18" t="s">
        <v>10</v>
      </c>
      <c r="F27" s="18">
        <v>5</v>
      </c>
      <c r="G27" s="19">
        <v>45622.587500000001</v>
      </c>
      <c r="H27" s="18" t="s">
        <v>236</v>
      </c>
      <c r="I27" s="18" t="s">
        <v>10</v>
      </c>
      <c r="J27" s="18" t="s">
        <v>161</v>
      </c>
      <c r="K27" s="20"/>
    </row>
    <row r="28" spans="1:11" ht="36.75" thickBot="1">
      <c r="A28" s="18" t="s">
        <v>1546</v>
      </c>
      <c r="B28" s="18">
        <v>20003529869</v>
      </c>
      <c r="C28" s="18" t="s">
        <v>1185</v>
      </c>
      <c r="D28" s="19">
        <v>45599.319444444445</v>
      </c>
      <c r="E28" s="18" t="s">
        <v>10</v>
      </c>
      <c r="F28" s="18">
        <v>10</v>
      </c>
      <c r="G28" s="19">
        <v>45608.40902777778</v>
      </c>
      <c r="H28" s="18" t="s">
        <v>236</v>
      </c>
      <c r="I28" s="18" t="s">
        <v>10</v>
      </c>
      <c r="J28" s="18" t="s">
        <v>161</v>
      </c>
      <c r="K28" s="20"/>
    </row>
    <row r="29" spans="1:11" ht="36.75" thickBot="1">
      <c r="A29" s="18" t="s">
        <v>1289</v>
      </c>
      <c r="B29" s="18">
        <v>20003460359</v>
      </c>
      <c r="C29" s="18" t="s">
        <v>1290</v>
      </c>
      <c r="D29" s="19">
        <v>45581.571527777778</v>
      </c>
      <c r="E29" s="19">
        <v>45600.609722222223</v>
      </c>
      <c r="F29" s="18">
        <v>5</v>
      </c>
      <c r="G29" s="18" t="s">
        <v>10</v>
      </c>
      <c r="H29" s="18" t="s">
        <v>236</v>
      </c>
      <c r="I29" s="18" t="s">
        <v>10</v>
      </c>
      <c r="J29" s="18" t="s">
        <v>161</v>
      </c>
      <c r="K29" s="20"/>
    </row>
    <row r="30" spans="1:11" ht="36.75" thickBot="1">
      <c r="A30" s="18" t="s">
        <v>1291</v>
      </c>
      <c r="B30" s="18">
        <v>20002900711</v>
      </c>
      <c r="C30" s="18" t="s">
        <v>1292</v>
      </c>
      <c r="D30" s="19">
        <v>45581.57916666667</v>
      </c>
      <c r="E30" s="19">
        <v>45600.611111111109</v>
      </c>
      <c r="F30" s="18">
        <v>5</v>
      </c>
      <c r="G30" s="18" t="s">
        <v>10</v>
      </c>
      <c r="H30" s="18" t="s">
        <v>236</v>
      </c>
      <c r="I30" s="18" t="s">
        <v>10</v>
      </c>
      <c r="J30" s="18" t="s">
        <v>161</v>
      </c>
      <c r="K30" s="20"/>
    </row>
    <row r="31" spans="1:11" ht="36.75" thickBot="1">
      <c r="A31" s="18" t="s">
        <v>1547</v>
      </c>
      <c r="B31" s="18">
        <v>20026237992</v>
      </c>
      <c r="C31" s="18" t="s">
        <v>1548</v>
      </c>
      <c r="D31" s="19">
        <v>45604.444444444445</v>
      </c>
      <c r="E31" s="18" t="s">
        <v>10</v>
      </c>
      <c r="F31" s="18">
        <v>10</v>
      </c>
      <c r="G31" s="19">
        <v>45653.567361111112</v>
      </c>
      <c r="H31" s="18" t="s">
        <v>236</v>
      </c>
      <c r="I31" s="18" t="s">
        <v>10</v>
      </c>
      <c r="J31" s="18" t="s">
        <v>161</v>
      </c>
      <c r="K31" s="20"/>
    </row>
    <row r="32" spans="1:11" ht="72.75" thickBot="1">
      <c r="A32" s="18" t="s">
        <v>1549</v>
      </c>
      <c r="B32" s="18">
        <v>20026651986</v>
      </c>
      <c r="C32" s="18" t="s">
        <v>1550</v>
      </c>
      <c r="D32" s="19">
        <v>45604.504861111112</v>
      </c>
      <c r="E32" s="18" t="s">
        <v>10</v>
      </c>
      <c r="F32" s="18">
        <v>6</v>
      </c>
      <c r="G32" s="18" t="s">
        <v>10</v>
      </c>
      <c r="H32" s="18" t="s">
        <v>178</v>
      </c>
      <c r="I32" s="18" t="s">
        <v>10</v>
      </c>
      <c r="J32" s="18" t="s">
        <v>161</v>
      </c>
      <c r="K32" s="20"/>
    </row>
    <row r="33" spans="1:11" ht="36.75" thickBot="1">
      <c r="A33" s="18" t="s">
        <v>1551</v>
      </c>
      <c r="B33" s="18">
        <v>20003430883</v>
      </c>
      <c r="C33" s="18" t="s">
        <v>703</v>
      </c>
      <c r="D33" s="19">
        <v>45609.61041666667</v>
      </c>
      <c r="E33" s="18" t="s">
        <v>10</v>
      </c>
      <c r="F33" s="18">
        <v>5</v>
      </c>
      <c r="G33" s="18" t="s">
        <v>10</v>
      </c>
      <c r="H33" s="18" t="s">
        <v>178</v>
      </c>
      <c r="I33" s="18" t="s">
        <v>10</v>
      </c>
      <c r="J33" s="18" t="s">
        <v>161</v>
      </c>
      <c r="K33" s="20"/>
    </row>
    <row r="34" spans="1:11" ht="36.75" thickBot="1">
      <c r="A34" s="18" t="s">
        <v>1552</v>
      </c>
      <c r="B34" s="18">
        <v>20026429061</v>
      </c>
      <c r="C34" s="18" t="s">
        <v>1553</v>
      </c>
      <c r="D34" s="19">
        <v>45610.539583333331</v>
      </c>
      <c r="E34" s="18" t="s">
        <v>10</v>
      </c>
      <c r="F34" s="18">
        <v>3.3250000000000002</v>
      </c>
      <c r="G34" s="18" t="s">
        <v>10</v>
      </c>
      <c r="H34" s="18" t="s">
        <v>178</v>
      </c>
      <c r="I34" s="18" t="s">
        <v>10</v>
      </c>
      <c r="J34" s="18" t="s">
        <v>161</v>
      </c>
      <c r="K34" s="20"/>
    </row>
    <row r="35" spans="1:11" ht="36.75" thickBot="1">
      <c r="A35" s="18" t="s">
        <v>1554</v>
      </c>
      <c r="B35" s="18">
        <v>20027691252</v>
      </c>
      <c r="C35" s="18" t="s">
        <v>910</v>
      </c>
      <c r="D35" s="19">
        <v>45611.486111111109</v>
      </c>
      <c r="E35" s="18" t="s">
        <v>10</v>
      </c>
      <c r="F35" s="18">
        <v>10</v>
      </c>
      <c r="G35" s="19">
        <v>45628.388194444444</v>
      </c>
      <c r="H35" s="18" t="s">
        <v>236</v>
      </c>
      <c r="I35" s="18" t="s">
        <v>10</v>
      </c>
      <c r="J35" s="18" t="s">
        <v>161</v>
      </c>
      <c r="K35" s="20"/>
    </row>
    <row r="36" spans="1:11" ht="36.75" thickBot="1">
      <c r="A36" s="18" t="s">
        <v>1555</v>
      </c>
      <c r="B36" s="18">
        <v>20003430883</v>
      </c>
      <c r="C36" s="18" t="s">
        <v>1556</v>
      </c>
      <c r="D36" s="19">
        <v>45616.493750000001</v>
      </c>
      <c r="E36" s="18" t="s">
        <v>10</v>
      </c>
      <c r="F36" s="18">
        <v>5</v>
      </c>
      <c r="G36" s="19">
        <v>45622.494444444441</v>
      </c>
      <c r="H36" s="18" t="s">
        <v>236</v>
      </c>
      <c r="I36" s="18" t="s">
        <v>10</v>
      </c>
      <c r="J36" s="18" t="s">
        <v>161</v>
      </c>
      <c r="K36" s="20"/>
    </row>
    <row r="37" spans="1:11" ht="36.75" thickBot="1">
      <c r="A37" s="18" t="s">
        <v>1557</v>
      </c>
      <c r="B37" s="18">
        <v>20003529609</v>
      </c>
      <c r="C37" s="18" t="s">
        <v>1558</v>
      </c>
      <c r="D37" s="19">
        <v>45618.663194444445</v>
      </c>
      <c r="E37" s="18" t="s">
        <v>10</v>
      </c>
      <c r="F37" s="18">
        <v>15</v>
      </c>
      <c r="G37" s="18" t="s">
        <v>10</v>
      </c>
      <c r="H37" s="18" t="s">
        <v>178</v>
      </c>
      <c r="I37" s="18" t="s">
        <v>10</v>
      </c>
      <c r="J37" s="18" t="s">
        <v>161</v>
      </c>
      <c r="K37" s="20"/>
    </row>
    <row r="38" spans="1:11" ht="54.75" thickBot="1">
      <c r="A38" s="18" t="s">
        <v>1559</v>
      </c>
      <c r="B38" s="18">
        <v>20003491688</v>
      </c>
      <c r="C38" s="18" t="s">
        <v>1560</v>
      </c>
      <c r="D38" s="19">
        <v>45621.936805555553</v>
      </c>
      <c r="E38" s="18" t="s">
        <v>10</v>
      </c>
      <c r="F38" s="18">
        <v>15</v>
      </c>
      <c r="G38" s="18" t="s">
        <v>10</v>
      </c>
      <c r="H38" s="18" t="s">
        <v>178</v>
      </c>
      <c r="I38" s="18" t="s">
        <v>10</v>
      </c>
      <c r="J38" s="18" t="s">
        <v>161</v>
      </c>
      <c r="K38" s="20"/>
    </row>
    <row r="39" spans="1:11" ht="36.75" thickBot="1">
      <c r="A39" s="18" t="s">
        <v>1561</v>
      </c>
      <c r="B39" s="18">
        <v>20003491688</v>
      </c>
      <c r="C39" s="18" t="s">
        <v>1562</v>
      </c>
      <c r="D39" s="19">
        <v>45624.45208333333</v>
      </c>
      <c r="E39" s="18" t="s">
        <v>10</v>
      </c>
      <c r="F39" s="18">
        <v>15</v>
      </c>
      <c r="G39" s="18" t="s">
        <v>10</v>
      </c>
      <c r="H39" s="18" t="s">
        <v>178</v>
      </c>
      <c r="I39" s="18" t="s">
        <v>10</v>
      </c>
      <c r="J39" s="18" t="s">
        <v>161</v>
      </c>
      <c r="K39" s="20"/>
    </row>
    <row r="40" spans="1:11" ht="36.75" thickBot="1">
      <c r="A40" s="18" t="s">
        <v>1791</v>
      </c>
      <c r="B40" s="18">
        <v>20026575518</v>
      </c>
      <c r="C40" s="18" t="s">
        <v>1792</v>
      </c>
      <c r="D40" s="19">
        <v>45629.636805555558</v>
      </c>
      <c r="E40" s="18" t="s">
        <v>10</v>
      </c>
      <c r="F40" s="18">
        <v>10</v>
      </c>
      <c r="G40" s="18" t="s">
        <v>10</v>
      </c>
      <c r="H40" s="18" t="s">
        <v>178</v>
      </c>
      <c r="I40" s="18" t="s">
        <v>10</v>
      </c>
      <c r="J40" s="18" t="s">
        <v>161</v>
      </c>
      <c r="K40" s="20"/>
    </row>
    <row r="41" spans="1:11" ht="36.75" thickBot="1">
      <c r="A41" s="18" t="s">
        <v>1799</v>
      </c>
      <c r="B41" s="18">
        <v>20003592133</v>
      </c>
      <c r="C41" s="18" t="s">
        <v>1800</v>
      </c>
      <c r="D41" s="19">
        <v>45629.65625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161</v>
      </c>
      <c r="K41" s="20"/>
    </row>
    <row r="42" spans="1:11" ht="36.75" thickBot="1">
      <c r="A42" s="18" t="s">
        <v>1801</v>
      </c>
      <c r="B42" s="18">
        <v>20003491688</v>
      </c>
      <c r="C42" s="18" t="s">
        <v>1802</v>
      </c>
      <c r="D42" s="19">
        <v>45631.900694444441</v>
      </c>
      <c r="E42" s="18" t="s">
        <v>10</v>
      </c>
      <c r="F42" s="18">
        <v>15</v>
      </c>
      <c r="G42" s="18" t="s">
        <v>10</v>
      </c>
      <c r="H42" s="18" t="s">
        <v>178</v>
      </c>
      <c r="I42" s="18" t="s">
        <v>10</v>
      </c>
      <c r="J42" s="18" t="s">
        <v>161</v>
      </c>
      <c r="K42" s="20"/>
    </row>
    <row r="43" spans="1:11" ht="36.75" thickBot="1">
      <c r="A43" s="18" t="s">
        <v>1886</v>
      </c>
      <c r="B43" s="18">
        <v>20003491688</v>
      </c>
      <c r="C43" s="18" t="s">
        <v>1562</v>
      </c>
      <c r="D43" s="19">
        <v>45649.902777777781</v>
      </c>
      <c r="E43" s="18" t="s">
        <v>10</v>
      </c>
      <c r="F43" s="18">
        <v>15</v>
      </c>
      <c r="G43" s="18" t="s">
        <v>10</v>
      </c>
      <c r="H43" s="18" t="s">
        <v>178</v>
      </c>
      <c r="I43" s="18" t="s">
        <v>10</v>
      </c>
      <c r="J43" s="18" t="s">
        <v>161</v>
      </c>
      <c r="K43" s="20"/>
    </row>
    <row r="44" spans="1:11" ht="36.75" thickBot="1">
      <c r="A44" s="18" t="s">
        <v>1887</v>
      </c>
      <c r="B44" s="18">
        <v>20003491688</v>
      </c>
      <c r="C44" s="18" t="s">
        <v>1562</v>
      </c>
      <c r="D44" s="19">
        <v>45650.572222222225</v>
      </c>
      <c r="E44" s="19">
        <v>45652.404861111114</v>
      </c>
      <c r="F44" s="18">
        <v>15</v>
      </c>
      <c r="G44" s="19">
        <v>45660.441666666666</v>
      </c>
      <c r="H44" s="18" t="s">
        <v>236</v>
      </c>
      <c r="I44" s="18" t="s">
        <v>10</v>
      </c>
      <c r="J44" s="18" t="s">
        <v>161</v>
      </c>
      <c r="K44" s="20"/>
    </row>
    <row r="45" spans="1:11" ht="36.75" thickBot="1">
      <c r="A45" s="18" t="s">
        <v>1930</v>
      </c>
      <c r="B45" s="18">
        <v>20027143177</v>
      </c>
      <c r="C45" s="18" t="s">
        <v>1931</v>
      </c>
      <c r="D45" s="19">
        <v>45670.448611111111</v>
      </c>
      <c r="E45" s="19">
        <v>45681.57708333333</v>
      </c>
      <c r="F45" s="18">
        <v>5</v>
      </c>
      <c r="G45" s="19">
        <v>45702.456944444442</v>
      </c>
      <c r="H45" s="18" t="s">
        <v>236</v>
      </c>
      <c r="I45" s="18" t="s">
        <v>10</v>
      </c>
      <c r="J45" s="18" t="s">
        <v>161</v>
      </c>
      <c r="K45" s="20"/>
    </row>
    <row r="46" spans="1:11" ht="36.75" thickBot="1">
      <c r="A46" s="18" t="s">
        <v>2112</v>
      </c>
      <c r="B46" s="18">
        <v>20022505499</v>
      </c>
      <c r="C46" s="18" t="s">
        <v>2113</v>
      </c>
      <c r="D46" s="19">
        <v>45688.598611111112</v>
      </c>
      <c r="E46" s="18" t="s">
        <v>10</v>
      </c>
      <c r="F46" s="18">
        <v>5</v>
      </c>
      <c r="G46" s="18" t="s">
        <v>10</v>
      </c>
      <c r="H46" s="18" t="s">
        <v>178</v>
      </c>
      <c r="I46" s="18" t="s">
        <v>10</v>
      </c>
      <c r="J46" s="18" t="s">
        <v>161</v>
      </c>
      <c r="K46" s="20"/>
    </row>
    <row r="47" spans="1:11" ht="36.75" thickBot="1">
      <c r="A47" s="18" t="s">
        <v>2202</v>
      </c>
      <c r="B47" s="18">
        <v>20027836544</v>
      </c>
      <c r="C47" s="18" t="s">
        <v>2203</v>
      </c>
      <c r="D47" s="19">
        <v>45705.500694444447</v>
      </c>
      <c r="E47" s="18" t="s">
        <v>10</v>
      </c>
      <c r="F47" s="18">
        <v>10</v>
      </c>
      <c r="G47" s="18" t="s">
        <v>10</v>
      </c>
      <c r="H47" s="18" t="s">
        <v>236</v>
      </c>
      <c r="I47" s="18" t="s">
        <v>10</v>
      </c>
      <c r="J47" s="18" t="s">
        <v>161</v>
      </c>
      <c r="K47" s="20"/>
    </row>
    <row r="48" spans="1:11" ht="36.75" thickBot="1">
      <c r="A48" s="18" t="s">
        <v>2204</v>
      </c>
      <c r="B48" s="18">
        <v>20002900711</v>
      </c>
      <c r="C48" s="18" t="s">
        <v>1292</v>
      </c>
      <c r="D48" s="19">
        <v>45705.503472222219</v>
      </c>
      <c r="E48" s="18" t="s">
        <v>10</v>
      </c>
      <c r="F48" s="18">
        <v>5</v>
      </c>
      <c r="G48" s="18" t="s">
        <v>10</v>
      </c>
      <c r="H48" s="18" t="s">
        <v>178</v>
      </c>
      <c r="I48" s="18" t="s">
        <v>10</v>
      </c>
      <c r="J48" s="18" t="s">
        <v>161</v>
      </c>
      <c r="K48" s="20"/>
    </row>
    <row r="49" spans="1:11" ht="36.75" thickBot="1">
      <c r="A49" s="18" t="s">
        <v>2288</v>
      </c>
      <c r="B49" s="18">
        <v>20003146908</v>
      </c>
      <c r="C49" s="18" t="s">
        <v>2289</v>
      </c>
      <c r="D49" s="19">
        <v>45730.586111111108</v>
      </c>
      <c r="E49" s="18" t="s">
        <v>10</v>
      </c>
      <c r="F49" s="18">
        <v>5</v>
      </c>
      <c r="G49" s="19">
        <v>45751.550694444442</v>
      </c>
      <c r="H49" s="18" t="s">
        <v>2688</v>
      </c>
      <c r="I49" s="18" t="s">
        <v>10</v>
      </c>
      <c r="J49" s="18" t="s">
        <v>161</v>
      </c>
      <c r="K49" s="20"/>
    </row>
    <row r="50" spans="1:11" ht="36.75" thickBot="1">
      <c r="A50" s="18" t="s">
        <v>2290</v>
      </c>
      <c r="B50" s="18">
        <v>20003509645</v>
      </c>
      <c r="C50" s="18" t="s">
        <v>2291</v>
      </c>
      <c r="D50" s="19">
        <v>45731.706944444442</v>
      </c>
      <c r="E50" s="19">
        <v>45736.868055555555</v>
      </c>
      <c r="F50" s="18">
        <v>15</v>
      </c>
      <c r="G50" s="19">
        <v>45748.593055555553</v>
      </c>
      <c r="H50" s="18" t="s">
        <v>236</v>
      </c>
      <c r="I50" s="18" t="s">
        <v>10</v>
      </c>
      <c r="J50" s="18" t="s">
        <v>161</v>
      </c>
      <c r="K50" s="20"/>
    </row>
    <row r="51" spans="1:11" ht="36.75" thickBot="1">
      <c r="A51" s="18" t="s">
        <v>2695</v>
      </c>
      <c r="B51" s="18">
        <v>20003337661</v>
      </c>
      <c r="C51" s="18" t="s">
        <v>2696</v>
      </c>
      <c r="D51" s="19">
        <v>45812.852083333331</v>
      </c>
      <c r="E51" s="18" t="s">
        <v>10</v>
      </c>
      <c r="F51" s="18">
        <v>5</v>
      </c>
      <c r="G51" s="18" t="s">
        <v>10</v>
      </c>
      <c r="H51" s="18" t="s">
        <v>178</v>
      </c>
      <c r="I51" s="18" t="s">
        <v>10</v>
      </c>
      <c r="J51" s="18" t="s">
        <v>161</v>
      </c>
      <c r="K51" s="20"/>
    </row>
    <row r="52" spans="1:11" ht="36.75" thickBot="1">
      <c r="A52" s="18" t="s">
        <v>2697</v>
      </c>
      <c r="B52" s="18">
        <v>20027466123</v>
      </c>
      <c r="C52" s="18" t="s">
        <v>2698</v>
      </c>
      <c r="D52" s="19">
        <v>45818.857638888891</v>
      </c>
      <c r="E52" s="18" t="s">
        <v>10</v>
      </c>
      <c r="F52" s="18">
        <v>8</v>
      </c>
      <c r="G52" s="18" t="s">
        <v>10</v>
      </c>
      <c r="H52" s="18" t="s">
        <v>178</v>
      </c>
      <c r="I52" s="18" t="s">
        <v>10</v>
      </c>
      <c r="J52" s="18" t="s">
        <v>161</v>
      </c>
      <c r="K52" s="20"/>
    </row>
    <row r="53" spans="1:11" ht="54.75" thickBot="1">
      <c r="A53" s="18" t="s">
        <v>3111</v>
      </c>
      <c r="B53" s="18">
        <v>20003430801</v>
      </c>
      <c r="C53" s="18" t="s">
        <v>3112</v>
      </c>
      <c r="D53" s="19">
        <v>45832.461805555555</v>
      </c>
      <c r="E53" s="18" t="s">
        <v>10</v>
      </c>
      <c r="F53" s="18">
        <v>15</v>
      </c>
      <c r="G53" s="18" t="s">
        <v>10</v>
      </c>
      <c r="H53" s="18" t="s">
        <v>178</v>
      </c>
      <c r="I53" s="18" t="s">
        <v>10</v>
      </c>
      <c r="J53" s="18" t="s">
        <v>161</v>
      </c>
      <c r="K53" s="20"/>
    </row>
    <row r="54" spans="1:11" ht="54.75" thickBot="1">
      <c r="A54" s="18" t="s">
        <v>3113</v>
      </c>
      <c r="B54" s="18">
        <v>20003495881</v>
      </c>
      <c r="C54" s="18" t="s">
        <v>3114</v>
      </c>
      <c r="D54" s="19">
        <v>45835.635416666664</v>
      </c>
      <c r="E54" s="18" t="s">
        <v>10</v>
      </c>
      <c r="F54" s="18">
        <v>15</v>
      </c>
      <c r="G54" s="18" t="s">
        <v>10</v>
      </c>
      <c r="H54" s="18" t="s">
        <v>178</v>
      </c>
      <c r="I54" s="18" t="s">
        <v>10</v>
      </c>
      <c r="J54" s="18" t="s">
        <v>161</v>
      </c>
      <c r="K54" s="20"/>
    </row>
    <row r="55" spans="1:11" ht="54.75" thickBot="1">
      <c r="A55" s="18" t="s">
        <v>3115</v>
      </c>
      <c r="B55" s="18">
        <v>20003495881</v>
      </c>
      <c r="C55" s="18" t="s">
        <v>3114</v>
      </c>
      <c r="D55" s="19">
        <v>45839.453472222223</v>
      </c>
      <c r="E55" s="19">
        <v>45840.729861111111</v>
      </c>
      <c r="F55" s="18">
        <v>15</v>
      </c>
      <c r="G55" s="19">
        <v>45842.489583333336</v>
      </c>
      <c r="H55" s="18" t="s">
        <v>236</v>
      </c>
      <c r="I55" s="18" t="s">
        <v>10</v>
      </c>
      <c r="J55" s="18" t="s">
        <v>161</v>
      </c>
      <c r="K55" s="20"/>
    </row>
    <row r="56" spans="1:11" ht="36.75" thickBot="1">
      <c r="A56" s="18" t="s">
        <v>2693</v>
      </c>
      <c r="B56" s="18">
        <v>20025992163</v>
      </c>
      <c r="C56" s="18" t="s">
        <v>2694</v>
      </c>
      <c r="D56" s="19">
        <v>45782.9375</v>
      </c>
      <c r="E56" s="19">
        <v>45841.885416666664</v>
      </c>
      <c r="F56" s="18">
        <v>20</v>
      </c>
      <c r="G56" s="19">
        <v>45933.620138888888</v>
      </c>
      <c r="H56" s="18" t="s">
        <v>2657</v>
      </c>
      <c r="I56" s="18" t="s">
        <v>10</v>
      </c>
      <c r="J56" s="18" t="s">
        <v>161</v>
      </c>
      <c r="K56" s="20"/>
    </row>
    <row r="57" spans="1:11" ht="54.75" thickBot="1">
      <c r="A57" s="18" t="s">
        <v>3116</v>
      </c>
      <c r="B57" s="18">
        <v>20003449699</v>
      </c>
      <c r="C57" s="18" t="s">
        <v>3117</v>
      </c>
      <c r="D57" s="19">
        <v>45856.499305555553</v>
      </c>
      <c r="E57" s="18" t="s">
        <v>10</v>
      </c>
      <c r="F57" s="18">
        <v>15</v>
      </c>
      <c r="G57" s="18" t="s">
        <v>10</v>
      </c>
      <c r="H57" s="18" t="s">
        <v>178</v>
      </c>
      <c r="I57" s="18" t="s">
        <v>10</v>
      </c>
      <c r="J57" s="18" t="s">
        <v>161</v>
      </c>
      <c r="K57" s="20"/>
    </row>
    <row r="58" spans="1:11" ht="72.75" thickBot="1">
      <c r="A58" s="18" t="s">
        <v>3118</v>
      </c>
      <c r="B58" s="18">
        <v>20019463789</v>
      </c>
      <c r="C58" s="18" t="s">
        <v>825</v>
      </c>
      <c r="D58" s="19">
        <v>45860.578472222223</v>
      </c>
      <c r="E58" s="18" t="s">
        <v>10</v>
      </c>
      <c r="F58" s="18">
        <v>12</v>
      </c>
      <c r="G58" s="19">
        <v>45876.405555555553</v>
      </c>
      <c r="H58" s="18" t="s">
        <v>236</v>
      </c>
      <c r="I58" s="18" t="s">
        <v>10</v>
      </c>
      <c r="J58" s="18" t="s">
        <v>161</v>
      </c>
      <c r="K58" s="20"/>
    </row>
    <row r="59" spans="1:11" ht="72.75" thickBot="1">
      <c r="A59" s="18" t="s">
        <v>3119</v>
      </c>
      <c r="B59" s="18">
        <v>20026651986</v>
      </c>
      <c r="C59" s="18" t="s">
        <v>825</v>
      </c>
      <c r="D59" s="19">
        <v>45860.62222222222</v>
      </c>
      <c r="E59" s="18" t="s">
        <v>10</v>
      </c>
      <c r="F59" s="18">
        <v>6</v>
      </c>
      <c r="G59" s="18" t="s">
        <v>10</v>
      </c>
      <c r="H59" s="18" t="s">
        <v>178</v>
      </c>
      <c r="I59" s="18" t="s">
        <v>10</v>
      </c>
      <c r="J59" s="18" t="s">
        <v>161</v>
      </c>
      <c r="K59" s="20"/>
    </row>
    <row r="60" spans="1:11" ht="54.75" thickBot="1">
      <c r="A60" s="18" t="s">
        <v>3120</v>
      </c>
      <c r="B60" s="18">
        <v>20003449699</v>
      </c>
      <c r="C60" s="18" t="s">
        <v>3117</v>
      </c>
      <c r="D60" s="19">
        <v>45861.952777777777</v>
      </c>
      <c r="E60" s="18" t="s">
        <v>10</v>
      </c>
      <c r="F60" s="18">
        <v>15</v>
      </c>
      <c r="G60" s="19">
        <v>45867.536111111112</v>
      </c>
      <c r="H60" s="18" t="s">
        <v>236</v>
      </c>
      <c r="I60" s="18" t="s">
        <v>10</v>
      </c>
      <c r="J60" s="18" t="s">
        <v>161</v>
      </c>
      <c r="K60" s="20"/>
    </row>
    <row r="61" spans="1:11" ht="72.75" thickBot="1">
      <c r="A61" s="18" t="s">
        <v>3121</v>
      </c>
      <c r="B61" s="18">
        <v>20026651986</v>
      </c>
      <c r="C61" s="18" t="s">
        <v>825</v>
      </c>
      <c r="D61" s="19">
        <v>45869.48541666667</v>
      </c>
      <c r="E61" s="18" t="s">
        <v>10</v>
      </c>
      <c r="F61" s="18">
        <v>6</v>
      </c>
      <c r="G61" s="19">
        <v>45876.405555555553</v>
      </c>
      <c r="H61" s="18" t="s">
        <v>236</v>
      </c>
      <c r="I61" s="18" t="s">
        <v>10</v>
      </c>
      <c r="J61" s="18" t="s">
        <v>161</v>
      </c>
      <c r="K61" s="20"/>
    </row>
    <row r="62" spans="1:11" ht="36.75" thickBot="1">
      <c r="A62" s="18" t="s">
        <v>3122</v>
      </c>
      <c r="B62" s="18">
        <v>20026429061</v>
      </c>
      <c r="C62" s="18" t="s">
        <v>3123</v>
      </c>
      <c r="D62" s="19">
        <v>45825.453472222223</v>
      </c>
      <c r="E62" s="19">
        <v>45875.450694444444</v>
      </c>
      <c r="F62" s="18">
        <v>3.3250000000000002</v>
      </c>
      <c r="G62" s="18" t="s">
        <v>10</v>
      </c>
      <c r="H62" s="18" t="s">
        <v>189</v>
      </c>
      <c r="I62" s="18" t="s">
        <v>10</v>
      </c>
      <c r="J62" s="18" t="s">
        <v>161</v>
      </c>
      <c r="K62" s="20"/>
    </row>
    <row r="63" spans="1:11" ht="36.75" thickBot="1">
      <c r="A63" s="18" t="s">
        <v>3124</v>
      </c>
      <c r="B63" s="18">
        <v>20025210557</v>
      </c>
      <c r="C63" s="18" t="s">
        <v>3125</v>
      </c>
      <c r="D63" s="19">
        <v>45889.448611111111</v>
      </c>
      <c r="E63" s="18" t="s">
        <v>10</v>
      </c>
      <c r="F63" s="18">
        <v>10</v>
      </c>
      <c r="G63" s="19">
        <v>45986.650694444441</v>
      </c>
      <c r="H63" s="18" t="s">
        <v>2657</v>
      </c>
      <c r="I63" s="18" t="s">
        <v>10</v>
      </c>
      <c r="J63" s="18" t="s">
        <v>161</v>
      </c>
      <c r="K63" s="20"/>
    </row>
    <row r="64" spans="1:11" ht="36.75" thickBot="1">
      <c r="A64" s="18" t="s">
        <v>3126</v>
      </c>
      <c r="B64" s="18">
        <v>20028515185</v>
      </c>
      <c r="C64" s="18" t="s">
        <v>3127</v>
      </c>
      <c r="D64" s="19">
        <v>45894.621527777781</v>
      </c>
      <c r="E64" s="18" t="s">
        <v>10</v>
      </c>
      <c r="F64" s="18">
        <v>5</v>
      </c>
      <c r="G64" s="19">
        <v>45944.576388888891</v>
      </c>
      <c r="H64" s="18" t="s">
        <v>2657</v>
      </c>
      <c r="I64" s="18" t="s">
        <v>10</v>
      </c>
      <c r="J64" s="18" t="s">
        <v>161</v>
      </c>
      <c r="K64" s="20"/>
    </row>
    <row r="65" spans="1:11" ht="36.75" thickBot="1">
      <c r="A65" s="18" t="s">
        <v>3128</v>
      </c>
      <c r="B65" s="18">
        <v>20026256636</v>
      </c>
      <c r="C65" s="18" t="s">
        <v>3129</v>
      </c>
      <c r="D65" s="19">
        <v>45894.712500000001</v>
      </c>
      <c r="E65" s="18" t="s">
        <v>10</v>
      </c>
      <c r="F65" s="18">
        <v>6</v>
      </c>
      <c r="G65" s="18" t="s">
        <v>10</v>
      </c>
      <c r="H65" s="18" t="s">
        <v>178</v>
      </c>
      <c r="I65" s="18" t="s">
        <v>10</v>
      </c>
      <c r="J65" s="18" t="s">
        <v>161</v>
      </c>
      <c r="K65" s="20"/>
    </row>
    <row r="66" spans="1:11" ht="36.75" thickBot="1">
      <c r="A66" s="18" t="s">
        <v>3130</v>
      </c>
      <c r="B66" s="18">
        <v>20017164462</v>
      </c>
      <c r="C66" s="18" t="s">
        <v>3131</v>
      </c>
      <c r="D66" s="19">
        <v>45902.619444444441</v>
      </c>
      <c r="E66" s="18" t="s">
        <v>10</v>
      </c>
      <c r="F66" s="18">
        <v>20</v>
      </c>
      <c r="G66" s="19">
        <v>45986.650694444441</v>
      </c>
      <c r="H66" s="18" t="s">
        <v>2657</v>
      </c>
      <c r="I66" s="18" t="s">
        <v>10</v>
      </c>
      <c r="J66" s="18" t="s">
        <v>161</v>
      </c>
      <c r="K66" s="20"/>
    </row>
    <row r="67" spans="1:11" ht="36.75" thickBot="1">
      <c r="A67" s="18" t="s">
        <v>3132</v>
      </c>
      <c r="B67" s="18">
        <v>20003516161</v>
      </c>
      <c r="C67" s="18" t="s">
        <v>3131</v>
      </c>
      <c r="D67" s="19">
        <v>45902.665972222225</v>
      </c>
      <c r="E67" s="18" t="s">
        <v>10</v>
      </c>
      <c r="F67" s="18">
        <v>20</v>
      </c>
      <c r="G67" s="18" t="s">
        <v>10</v>
      </c>
      <c r="H67" s="18" t="s">
        <v>178</v>
      </c>
      <c r="I67" s="18" t="s">
        <v>10</v>
      </c>
      <c r="J67" s="18" t="s">
        <v>161</v>
      </c>
      <c r="K67" s="20"/>
    </row>
    <row r="68" spans="1:11" ht="36.75" thickBot="1">
      <c r="A68" s="18" t="s">
        <v>3133</v>
      </c>
      <c r="B68" s="18">
        <v>20002825414</v>
      </c>
      <c r="C68" s="18" t="s">
        <v>3019</v>
      </c>
      <c r="D68" s="19">
        <v>45909.57916666667</v>
      </c>
      <c r="E68" s="18" t="s">
        <v>10</v>
      </c>
      <c r="F68" s="18">
        <v>5</v>
      </c>
      <c r="G68" s="18" t="s">
        <v>10</v>
      </c>
      <c r="H68" s="18" t="s">
        <v>178</v>
      </c>
      <c r="I68" s="18" t="s">
        <v>10</v>
      </c>
      <c r="J68" s="18" t="s">
        <v>161</v>
      </c>
      <c r="K68" s="20"/>
    </row>
    <row r="69" spans="1:11" ht="36.75" thickBot="1">
      <c r="A69" s="18" t="s">
        <v>3134</v>
      </c>
      <c r="B69" s="18">
        <v>20028543453</v>
      </c>
      <c r="C69" s="18" t="s">
        <v>3135</v>
      </c>
      <c r="D69" s="19">
        <v>45910.421527777777</v>
      </c>
      <c r="E69" s="18" t="s">
        <v>10</v>
      </c>
      <c r="F69" s="18">
        <v>3.3</v>
      </c>
      <c r="G69" s="18" t="s">
        <v>10</v>
      </c>
      <c r="H69" s="18" t="s">
        <v>178</v>
      </c>
      <c r="I69" s="18" t="s">
        <v>10</v>
      </c>
      <c r="J69" s="18" t="s">
        <v>161</v>
      </c>
      <c r="K69" s="20"/>
    </row>
    <row r="70" spans="1:11" ht="54.75" thickBot="1">
      <c r="A70" s="18" t="s">
        <v>3136</v>
      </c>
      <c r="B70" s="18">
        <v>20017911018</v>
      </c>
      <c r="C70" s="18" t="s">
        <v>3137</v>
      </c>
      <c r="D70" s="19">
        <v>45911.359027777777</v>
      </c>
      <c r="E70" s="18" t="s">
        <v>10</v>
      </c>
      <c r="F70" s="18">
        <v>5</v>
      </c>
      <c r="G70" s="18" t="s">
        <v>10</v>
      </c>
      <c r="H70" s="18" t="s">
        <v>178</v>
      </c>
      <c r="I70" s="18" t="s">
        <v>10</v>
      </c>
      <c r="J70" s="18" t="s">
        <v>161</v>
      </c>
      <c r="K70" s="20"/>
    </row>
    <row r="71" spans="1:11" ht="36.75" thickBot="1">
      <c r="A71" s="18" t="s">
        <v>3138</v>
      </c>
      <c r="B71" s="18">
        <v>20003443947</v>
      </c>
      <c r="C71" s="18" t="s">
        <v>3139</v>
      </c>
      <c r="D71" s="19">
        <v>45916.660416666666</v>
      </c>
      <c r="E71" s="18" t="s">
        <v>10</v>
      </c>
      <c r="F71" s="18">
        <v>10</v>
      </c>
      <c r="G71" s="18" t="s">
        <v>10</v>
      </c>
      <c r="H71" s="18" t="s">
        <v>178</v>
      </c>
      <c r="I71" s="18" t="s">
        <v>10</v>
      </c>
      <c r="J71" s="18" t="s">
        <v>161</v>
      </c>
      <c r="K71" s="20"/>
    </row>
    <row r="72" spans="1:11" ht="36.75" thickBot="1">
      <c r="A72" s="18" t="s">
        <v>3140</v>
      </c>
      <c r="B72" s="18">
        <v>20003516161</v>
      </c>
      <c r="C72" s="18" t="s">
        <v>3131</v>
      </c>
      <c r="D72" s="19">
        <v>45911.591666666667</v>
      </c>
      <c r="E72" s="19">
        <v>45917.649305555555</v>
      </c>
      <c r="F72" s="18">
        <v>20</v>
      </c>
      <c r="G72" s="19">
        <v>45986.650694444441</v>
      </c>
      <c r="H72" s="18" t="s">
        <v>2657</v>
      </c>
      <c r="I72" s="18" t="s">
        <v>10</v>
      </c>
      <c r="J72" s="18" t="s">
        <v>161</v>
      </c>
      <c r="K72" s="20"/>
    </row>
    <row r="73" spans="1:11" ht="36.75" thickBot="1">
      <c r="A73" s="18" t="s">
        <v>3141</v>
      </c>
      <c r="B73" s="18">
        <v>20028637639</v>
      </c>
      <c r="C73" s="18" t="s">
        <v>3142</v>
      </c>
      <c r="D73" s="19">
        <v>45919.602083333331</v>
      </c>
      <c r="E73" s="18" t="s">
        <v>10</v>
      </c>
      <c r="F73" s="18">
        <v>20</v>
      </c>
      <c r="G73" s="19">
        <v>45979.418055555558</v>
      </c>
      <c r="H73" s="18" t="s">
        <v>2657</v>
      </c>
      <c r="I73" s="18" t="s">
        <v>10</v>
      </c>
      <c r="J73" s="18" t="s">
        <v>161</v>
      </c>
      <c r="K73" s="20"/>
    </row>
    <row r="74" spans="1:11" ht="36.75" thickBot="1">
      <c r="A74" s="18" t="s">
        <v>3143</v>
      </c>
      <c r="B74" s="18">
        <v>20028543453</v>
      </c>
      <c r="C74" s="18" t="s">
        <v>3135</v>
      </c>
      <c r="D74" s="19">
        <v>45919.629166666666</v>
      </c>
      <c r="E74" s="18" t="s">
        <v>10</v>
      </c>
      <c r="F74" s="18">
        <v>3.3</v>
      </c>
      <c r="G74" s="18" t="s">
        <v>10</v>
      </c>
      <c r="H74" s="18" t="s">
        <v>178</v>
      </c>
      <c r="I74" s="18" t="s">
        <v>10</v>
      </c>
      <c r="J74" s="18" t="s">
        <v>161</v>
      </c>
      <c r="K74" s="20"/>
    </row>
    <row r="75" spans="1:11" ht="36.75" thickBot="1">
      <c r="A75" s="18" t="s">
        <v>3144</v>
      </c>
      <c r="B75" s="18">
        <v>20026256636</v>
      </c>
      <c r="C75" s="18" t="s">
        <v>3129</v>
      </c>
      <c r="D75" s="19">
        <v>45917.675000000003</v>
      </c>
      <c r="E75" s="19">
        <v>45922.543749999997</v>
      </c>
      <c r="F75" s="18">
        <v>6</v>
      </c>
      <c r="G75" s="18" t="s">
        <v>10</v>
      </c>
      <c r="H75" s="18" t="s">
        <v>189</v>
      </c>
      <c r="I75" s="18" t="s">
        <v>10</v>
      </c>
      <c r="J75" s="18" t="s">
        <v>161</v>
      </c>
      <c r="K75" s="20"/>
    </row>
    <row r="76" spans="1:11" ht="36.75" thickBot="1">
      <c r="A76" s="18" t="s">
        <v>3145</v>
      </c>
      <c r="B76" s="18">
        <v>20027447742</v>
      </c>
      <c r="C76" s="18" t="s">
        <v>3146</v>
      </c>
      <c r="D76" s="19">
        <v>45922.609722222223</v>
      </c>
      <c r="E76" s="18" t="s">
        <v>10</v>
      </c>
      <c r="F76" s="18">
        <v>20</v>
      </c>
      <c r="G76" s="19">
        <v>45938.472916666666</v>
      </c>
      <c r="H76" s="18" t="s">
        <v>2657</v>
      </c>
      <c r="I76" s="18" t="s">
        <v>10</v>
      </c>
      <c r="J76" s="18" t="s">
        <v>161</v>
      </c>
      <c r="K76" s="20"/>
    </row>
    <row r="77" spans="1:11" ht="36.75" thickBot="1">
      <c r="A77" s="18" t="s">
        <v>3147</v>
      </c>
      <c r="B77" s="18">
        <v>20028739356</v>
      </c>
      <c r="C77" s="18" t="s">
        <v>3148</v>
      </c>
      <c r="D77" s="19">
        <v>45927.580555555556</v>
      </c>
      <c r="E77" s="18" t="s">
        <v>10</v>
      </c>
      <c r="F77" s="18">
        <v>10</v>
      </c>
      <c r="G77" s="18" t="s">
        <v>10</v>
      </c>
      <c r="H77" s="18" t="s">
        <v>178</v>
      </c>
      <c r="I77" s="18" t="s">
        <v>10</v>
      </c>
      <c r="J77" s="18" t="s">
        <v>161</v>
      </c>
      <c r="K77" s="20"/>
    </row>
    <row r="78" spans="1:11" ht="36.75" thickBot="1">
      <c r="A78" s="18" t="s">
        <v>3149</v>
      </c>
      <c r="B78" s="18">
        <v>20018639069</v>
      </c>
      <c r="C78" s="18" t="s">
        <v>3150</v>
      </c>
      <c r="D78" s="19">
        <v>45930.873611111114</v>
      </c>
      <c r="E78" s="18" t="s">
        <v>10</v>
      </c>
      <c r="F78" s="18">
        <v>12</v>
      </c>
      <c r="G78" s="18" t="s">
        <v>10</v>
      </c>
      <c r="H78" s="18" t="s">
        <v>178</v>
      </c>
      <c r="I78" s="18" t="s">
        <v>10</v>
      </c>
      <c r="J78" s="18" t="s">
        <v>161</v>
      </c>
      <c r="K78" s="20"/>
    </row>
    <row r="79" spans="1:11" ht="36.75" thickBot="1">
      <c r="A79" s="18" t="s">
        <v>3151</v>
      </c>
      <c r="B79" s="18">
        <v>20022505499</v>
      </c>
      <c r="C79" s="18" t="s">
        <v>2113</v>
      </c>
      <c r="D79" s="19">
        <v>45931.567361111112</v>
      </c>
      <c r="E79" s="18" t="s">
        <v>10</v>
      </c>
      <c r="F79" s="18">
        <v>5</v>
      </c>
      <c r="G79" s="18" t="s">
        <v>10</v>
      </c>
      <c r="H79" s="18" t="s">
        <v>178</v>
      </c>
      <c r="I79" s="18" t="s">
        <v>10</v>
      </c>
      <c r="J79" s="18" t="s">
        <v>161</v>
      </c>
      <c r="K79" s="20"/>
    </row>
    <row r="80" spans="1:11" ht="36.75" thickBot="1">
      <c r="A80" s="18" t="s">
        <v>3152</v>
      </c>
      <c r="B80" s="18">
        <v>20018639069</v>
      </c>
      <c r="C80" s="18" t="s">
        <v>3150</v>
      </c>
      <c r="D80" s="19">
        <v>45933.552083333336</v>
      </c>
      <c r="E80" s="18" t="s">
        <v>10</v>
      </c>
      <c r="F80" s="18">
        <v>12</v>
      </c>
      <c r="G80" s="19">
        <v>45986.577777777777</v>
      </c>
      <c r="H80" s="18" t="s">
        <v>2654</v>
      </c>
      <c r="I80" s="18" t="s">
        <v>10</v>
      </c>
      <c r="J80" s="18" t="s">
        <v>161</v>
      </c>
      <c r="K80" s="20"/>
    </row>
    <row r="81" spans="1:11" ht="72.75" thickBot="1">
      <c r="A81" s="18" t="s">
        <v>3153</v>
      </c>
      <c r="B81" s="18">
        <v>20003426167</v>
      </c>
      <c r="C81" s="18" t="s">
        <v>3154</v>
      </c>
      <c r="D81" s="19">
        <v>45934.693055555559</v>
      </c>
      <c r="E81" s="18" t="s">
        <v>10</v>
      </c>
      <c r="F81" s="18">
        <v>15</v>
      </c>
      <c r="G81" s="18" t="s">
        <v>10</v>
      </c>
      <c r="H81" s="18" t="s">
        <v>178</v>
      </c>
      <c r="I81" s="18" t="s">
        <v>10</v>
      </c>
      <c r="J81" s="18" t="s">
        <v>161</v>
      </c>
      <c r="K81" s="20"/>
    </row>
    <row r="82" spans="1:11" ht="72.75" thickBot="1">
      <c r="A82" s="18" t="s">
        <v>3155</v>
      </c>
      <c r="B82" s="18">
        <v>20003418805</v>
      </c>
      <c r="C82" s="18" t="s">
        <v>3156</v>
      </c>
      <c r="D82" s="19">
        <v>45934.712500000001</v>
      </c>
      <c r="E82" s="18" t="s">
        <v>10</v>
      </c>
      <c r="F82" s="18">
        <v>15</v>
      </c>
      <c r="G82" s="18" t="s">
        <v>10</v>
      </c>
      <c r="H82" s="18" t="s">
        <v>178</v>
      </c>
      <c r="I82" s="18" t="s">
        <v>10</v>
      </c>
      <c r="J82" s="18" t="s">
        <v>161</v>
      </c>
      <c r="K82" s="20"/>
    </row>
    <row r="83" spans="1:11" ht="36.75" thickBot="1">
      <c r="A83" s="18" t="s">
        <v>3159</v>
      </c>
      <c r="B83" s="18">
        <v>20028617059</v>
      </c>
      <c r="C83" s="18" t="s">
        <v>3160</v>
      </c>
      <c r="D83" s="19">
        <v>45962.456944444442</v>
      </c>
      <c r="E83" s="18" t="s">
        <v>10</v>
      </c>
      <c r="F83" s="18">
        <v>10</v>
      </c>
      <c r="G83" s="18" t="s">
        <v>10</v>
      </c>
      <c r="H83" s="18" t="s">
        <v>178</v>
      </c>
      <c r="I83" s="18" t="s">
        <v>10</v>
      </c>
      <c r="J83" s="18" t="s">
        <v>161</v>
      </c>
      <c r="K83" s="20"/>
    </row>
    <row r="84" spans="1:11" ht="36.75" thickBot="1">
      <c r="A84" s="18" t="s">
        <v>3158</v>
      </c>
      <c r="B84" s="18">
        <v>20022505499</v>
      </c>
      <c r="C84" s="18" t="s">
        <v>2113</v>
      </c>
      <c r="D84" s="19">
        <v>45959.469444444447</v>
      </c>
      <c r="E84" s="19">
        <v>45971.701388888891</v>
      </c>
      <c r="F84" s="18">
        <v>5</v>
      </c>
      <c r="G84" s="18" t="s">
        <v>10</v>
      </c>
      <c r="H84" s="18" t="s">
        <v>189</v>
      </c>
      <c r="I84" s="18" t="s">
        <v>10</v>
      </c>
      <c r="J84" s="18" t="s">
        <v>161</v>
      </c>
      <c r="K84" s="20"/>
    </row>
    <row r="85" spans="1:11" ht="36.75" thickBot="1">
      <c r="A85" s="18" t="s">
        <v>7796</v>
      </c>
      <c r="B85" s="18">
        <v>20028891272</v>
      </c>
      <c r="C85" s="18" t="s">
        <v>7797</v>
      </c>
      <c r="D85" s="19">
        <v>45974.668749999997</v>
      </c>
      <c r="E85" s="18" t="s">
        <v>10</v>
      </c>
      <c r="F85" s="18">
        <v>2</v>
      </c>
      <c r="G85" s="18" t="s">
        <v>10</v>
      </c>
      <c r="H85" s="18" t="s">
        <v>235</v>
      </c>
      <c r="I85" s="18" t="s">
        <v>10</v>
      </c>
      <c r="J85" s="18" t="s">
        <v>161</v>
      </c>
      <c r="K85" s="20"/>
    </row>
    <row r="86" spans="1:11" ht="36.75" thickBot="1">
      <c r="A86" s="18" t="s">
        <v>7798</v>
      </c>
      <c r="B86" s="18">
        <v>20028739356</v>
      </c>
      <c r="C86" s="18" t="s">
        <v>3148</v>
      </c>
      <c r="D86" s="19">
        <v>45979.489583333336</v>
      </c>
      <c r="E86" s="18" t="s">
        <v>10</v>
      </c>
      <c r="F86" s="18">
        <v>10</v>
      </c>
      <c r="G86" s="18" t="s">
        <v>10</v>
      </c>
      <c r="H86" s="25" t="s">
        <v>2656</v>
      </c>
      <c r="I86" s="18" t="s">
        <v>10</v>
      </c>
      <c r="J86" s="18" t="s">
        <v>161</v>
      </c>
      <c r="K86" s="20"/>
    </row>
    <row r="87" spans="1:11" ht="54.75" thickBot="1">
      <c r="A87" s="18" t="s">
        <v>7799</v>
      </c>
      <c r="B87" s="18">
        <v>20017328082</v>
      </c>
      <c r="C87" s="18" t="s">
        <v>7800</v>
      </c>
      <c r="D87" s="19">
        <v>45980.63958333333</v>
      </c>
      <c r="E87" s="18" t="s">
        <v>10</v>
      </c>
      <c r="F87" s="18">
        <v>20</v>
      </c>
      <c r="G87" s="18" t="s">
        <v>10</v>
      </c>
      <c r="H87" s="25" t="s">
        <v>2656</v>
      </c>
      <c r="I87" s="18" t="s">
        <v>10</v>
      </c>
      <c r="J87" s="18" t="s">
        <v>161</v>
      </c>
      <c r="K87" s="20"/>
    </row>
    <row r="88" spans="1:11" ht="36.75" thickBot="1">
      <c r="A88" s="18" t="s">
        <v>3157</v>
      </c>
      <c r="B88" s="18">
        <v>20028543453</v>
      </c>
      <c r="C88" s="18" t="s">
        <v>3135</v>
      </c>
      <c r="D88" s="19">
        <v>45959.570833333331</v>
      </c>
      <c r="E88" s="19">
        <v>45981.580555555556</v>
      </c>
      <c r="F88" s="18">
        <v>3.3</v>
      </c>
      <c r="G88" s="18" t="s">
        <v>10</v>
      </c>
      <c r="H88" s="18" t="s">
        <v>2652</v>
      </c>
      <c r="I88" s="18" t="s">
        <v>2681</v>
      </c>
      <c r="J88" s="18" t="s">
        <v>161</v>
      </c>
      <c r="K88" s="1"/>
    </row>
    <row r="89" spans="1:11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1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1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1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1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1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1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1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autoFilter ref="A2:H2" xr:uid="{F1D8549D-D535-4D18-82FC-10636F3E28DE}"/>
  <conditionalFormatting sqref="B2">
    <cfRule type="duplicateValues" dxfId="14" priority="1"/>
  </conditionalFormatting>
  <hyperlinks>
    <hyperlink ref="K3" r:id="rId1" display="https://ppim-intra.pea.co.th:4434/request/PPIM18500BE7" xr:uid="{A19263A4-18AF-422D-9288-63D609290231}"/>
    <hyperlink ref="K4" r:id="rId2" display="https://ppim-intra.pea.co.th:4434/request/PPIM18500CDF" xr:uid="{A6DF660B-E296-4EBC-995C-841991E3065D}"/>
    <hyperlink ref="K5" r:id="rId3" display="https://ppim-intra.pea.co.th:4434/request/PPIM18501001" xr:uid="{28C8E3CB-DE75-406E-8728-5E20594F976D}"/>
    <hyperlink ref="K6" r:id="rId4" display="https://ppim-intra.pea.co.th:4434/request/PPIM1850129E" xr:uid="{D43F3D9A-4C4A-4DBB-B6B5-378615160CB0}"/>
    <hyperlink ref="K7" r:id="rId5" display="https://ppim-intra.pea.co.th:4434/request/PPIM18500E7A" xr:uid="{015303CE-4705-491F-95D0-25B2CDCED757}"/>
    <hyperlink ref="K8" r:id="rId6" display="https://ppim-intra.pea.co.th:4434/request/PPIM18501806" xr:uid="{6FBA116B-CFCC-4397-A81A-799FB8E282C6}"/>
    <hyperlink ref="K9" r:id="rId7" display="https://ppim-intra.pea.co.th:4434/request/PPIM18501880" xr:uid="{223B56CE-89E1-4BE2-A7D6-E08C344DD7BD}"/>
    <hyperlink ref="K10" r:id="rId8" display="https://ppim-intra.pea.co.th:4434/request/PPIM185016D5" xr:uid="{8AB4CCA6-C4D7-48AE-B7BF-C1D9E84397DB}"/>
    <hyperlink ref="K11" r:id="rId9" display="https://ppim-intra.pea.co.th:4434/request/PPIM18501B5C" xr:uid="{1675143D-2371-4509-926F-C6F422E04747}"/>
    <hyperlink ref="K12" r:id="rId10" display="https://ppim-intra.pea.co.th:4434/request/PPIM185020A5" xr:uid="{E1809115-6C17-4BFC-B779-409248FC54F9}"/>
    <hyperlink ref="K13" r:id="rId11" display="https://ppim-intra.pea.co.th:4434/request/PPIM185021DA" xr:uid="{F1874E2C-D43A-42B2-AF2B-67AB9A73F03F}"/>
    <hyperlink ref="K14" r:id="rId12" display="https://ppim-intra.pea.co.th:4434/request/PPIM18502198" xr:uid="{FE17E2C8-3376-4A8E-82A5-583AC9605905}"/>
    <hyperlink ref="K15" r:id="rId13" display="https://ppim-intra.pea.co.th:4434/request/PPIM18502920" xr:uid="{9BC50E4A-9336-41D4-8C37-D61B0C995F09}"/>
    <hyperlink ref="K16" r:id="rId14" display="https://ppim-intra.pea.co.th:4434/request/PPIM18502CA1" xr:uid="{39AEB9D7-AA8B-4516-AC97-D678D69583D1}"/>
    <hyperlink ref="K17" r:id="rId15" display="https://ppim-intra.pea.co.th:4434/request/PPIM18502CF5" xr:uid="{5B94FE54-AE76-4EA4-8AB7-4A83289DA6CB}"/>
    <hyperlink ref="K18" r:id="rId16" display="https://ppim-intra.pea.co.th:4434/request/PPIM1850303C" xr:uid="{CE24A274-1BB1-4447-9FC1-FD646CF287B2}"/>
    <hyperlink ref="K19" r:id="rId17" display="https://ppim-intra.pea.co.th:4434/request/PPIM185030EB" xr:uid="{53C9A385-FA6B-4B0C-A0AC-6E3A7188A200}"/>
    <hyperlink ref="K20" r:id="rId18" display="https://ppim-intra.pea.co.th:4434/request/PPIM185030F4" xr:uid="{1AACE458-A53E-4AF6-AFD0-9D9A6C4478CA}"/>
    <hyperlink ref="K21" r:id="rId19" display="https://ppim-intra.pea.co.th:4434/request/PPIM1850312B" xr:uid="{4160F60C-C0DF-45F6-BD9E-7D6682DA67E9}"/>
    <hyperlink ref="K22" r:id="rId20" display="https://ppim-intra.pea.co.th:4434/request/PPIM18503131" xr:uid="{DBF3C038-3AAF-4E72-84BA-865CC4B7FE00}"/>
    <hyperlink ref="K23" r:id="rId21" display="https://ppim-intra.pea.co.th:4434/request/PPIM185034A5" xr:uid="{31A82CB2-2893-4FDB-9849-D706709DEC56}"/>
    <hyperlink ref="K24" r:id="rId22" display="https://ppim-intra.pea.co.th:4434/request/PPIM1850350C" xr:uid="{8DB02D0B-CAA8-4A70-9624-C8FAF6CE3890}"/>
    <hyperlink ref="K25" r:id="rId23" display="https://ppim-intra.pea.co.th:4434/request/PPIM18503483" xr:uid="{09A46C07-8A77-48EB-9C4E-5326CC18D13D}"/>
    <hyperlink ref="K26" r:id="rId24" display="https://ppim-intra.pea.co.th:4434/request/PPIM18503B1C" xr:uid="{03D4811A-B1BB-4036-93C7-477AF820D002}"/>
    <hyperlink ref="K27" r:id="rId25" display="https://ppim-intra.pea.co.th:4434/request/PPIM18503C05" xr:uid="{20676DFF-6C0C-4F24-A11A-250FE35745E2}"/>
    <hyperlink ref="K28" r:id="rId26" display="https://ppim-intra.pea.co.th:4434/request/PPIM18503CCA" xr:uid="{354F0B90-543F-440A-906B-CC3F4C275CAE}"/>
    <hyperlink ref="K29" r:id="rId27" display="https://ppim-intra.pea.co.th:4434/request/PPIM18503857" xr:uid="{18AB4B97-5B14-4432-8CA0-4927431E0F17}"/>
    <hyperlink ref="K30" r:id="rId28" display="https://ppim-intra.pea.co.th:4434/request/PPIM1850385A" xr:uid="{76077BA0-4B43-414D-B7C1-1F0E798C77E6}"/>
    <hyperlink ref="K31" r:id="rId29" display="https://ppim-intra.pea.co.th:4434/request/PPIM18503E73" xr:uid="{A6685993-EC4B-43D1-A98A-D1C6122C957A}"/>
    <hyperlink ref="K32" r:id="rId30" display="https://ppim-intra.pea.co.th:4434/request/PPIM18503E82" xr:uid="{3DA0E2A9-CCC3-4DF3-9C77-F594FB29777A}"/>
    <hyperlink ref="K33" r:id="rId31" display="https://ppim-intra.pea.co.th:4434/request/PPIM18503FCE" xr:uid="{7F4FB44A-38FD-4C36-85A2-3D1F00BB72DD}"/>
    <hyperlink ref="K34" r:id="rId32" display="https://ppim-intra.pea.co.th:4434/request/PPIM18504038" xr:uid="{DCED813F-5BF6-4193-A558-0DFA7114A0DE}"/>
    <hyperlink ref="K35" r:id="rId33" display="https://ppim-intra.pea.co.th:4434/request/PPIM185040A4" xr:uid="{642EC1A3-B073-4224-BC61-801C47A661EC}"/>
    <hyperlink ref="K36" r:id="rId34" display="https://ppim-intra.pea.co.th:4434/request/PPIM185041D7" xr:uid="{F8362545-172F-4441-9690-41F70E23A281}"/>
    <hyperlink ref="K37" r:id="rId35" display="https://ppim-intra.pea.co.th:4434/request/PPIM185042B8" xr:uid="{E44312DB-8556-4D9F-AEB2-0ECD9A7EE31D}"/>
    <hyperlink ref="K38" r:id="rId36" display="https://ppim-intra.pea.co.th:4434/request/PPIM1850433F" xr:uid="{859B9066-AEC0-4BA5-B519-397972D9014A}"/>
    <hyperlink ref="K39" r:id="rId37" display="https://ppim-intra.pea.co.th:4434/request/PPIM185043D7" xr:uid="{10BA3E7E-394D-461B-92A2-5F63874D1643}"/>
    <hyperlink ref="K40" r:id="rId38" display="https://ppim-intra.pea.co.th:4434/request/PPIM1850452B" xr:uid="{A0429506-9B5B-4FEB-B8B9-D71BE0C2EA36}"/>
    <hyperlink ref="K41" r:id="rId39" display="https://ppim-intra.pea.co.th:4434/request/PPIM18504532" xr:uid="{FEB50C7D-FBEC-4B65-8B04-5E3E5626E9CC}"/>
    <hyperlink ref="K42" r:id="rId40" display="https://ppim-intra.pea.co.th:4434/request/PPIM185045A1" xr:uid="{25DAAC37-26F9-4840-ADB7-41BB9EC775BC}"/>
    <hyperlink ref="K43" r:id="rId41" display="https://ppim-intra.pea.co.th:4434/request/PPIM1850497B" xr:uid="{6CD50D48-1858-432E-82A5-4BF3F586F6B7}"/>
    <hyperlink ref="K44" r:id="rId42" display="https://ppim-intra.pea.co.th:4434/request/PPIM18504999" xr:uid="{92008422-01C8-416A-8F18-CB1874581172}"/>
    <hyperlink ref="K45" r:id="rId43" display="https://ppim-intra.pea.co.th:4434/request/PPIM19500263" xr:uid="{34408ECB-EC05-4092-8872-1977D3284F1D}"/>
    <hyperlink ref="K46" r:id="rId44" display="https://ppim-intra.pea.co.th:4434/request/PPIM19500779" xr:uid="{0A054767-FA9F-410D-9A3C-24DBBE8101B6}"/>
    <hyperlink ref="K47" r:id="rId45" display="https://ppim-intra.pea.co.th:4434/request/PPIM19500B6A" xr:uid="{85053932-D706-40A8-AAEB-01EF0447AD9E}"/>
    <hyperlink ref="K48" r:id="rId46" display="https://ppim-intra.pea.co.th:4434/request/PPIM19500B6B" xr:uid="{D0816ECB-78B5-47DB-B7A3-000D61F36C13}"/>
    <hyperlink ref="K49" r:id="rId47" display="https://ppim-intra.pea.co.th:4434/request/PPIM195012F9" xr:uid="{A2E6C599-CF9A-40B0-B229-E629EF7DFB7E}"/>
    <hyperlink ref="K50" r:id="rId48" display="https://ppim-intra.pea.co.th:4434/request/PPIM19501342" xr:uid="{E1C270AB-1002-4719-81FD-FF30144464A9}"/>
    <hyperlink ref="K51" r:id="rId49" display="https://ppim-intra.pea.co.th:4434/request/PPIM195029F7" xr:uid="{5B448B87-74AF-4ABA-B5A8-894D5C0C0ACB}"/>
    <hyperlink ref="K52" r:id="rId50" display="https://ppim-intra.pea.co.th:4434/request/PPIM19502BB6" xr:uid="{7E8F44F2-CC92-4D34-87AB-65B9ED4E9FD0}"/>
    <hyperlink ref="K53" r:id="rId51" display="https://ppim-intra.pea.co.th:4434/request/PPIM19502FBB" xr:uid="{A02F71BE-1A5F-47D4-8559-64691F7714C1}"/>
    <hyperlink ref="K54" r:id="rId52" display="https://ppim-intra.pea.co.th:4434/request/PPIM1950311D" xr:uid="{FFA75BB7-0FF6-4666-B0C4-0A57AF80CC78}"/>
    <hyperlink ref="K55" r:id="rId53" display="https://ppim-intra.pea.co.th:4434/request/PPIM1950320A" xr:uid="{B0429149-3E25-4E65-A24F-4630A800A0AA}"/>
    <hyperlink ref="K56" r:id="rId54" display="https://ppim-intra.pea.co.th:4434/request/PPIM19502100" xr:uid="{B4F846C3-01E9-4981-9F7A-455E920030A8}"/>
    <hyperlink ref="K57" r:id="rId55" display="https://ppim-intra.pea.co.th:4434/request/PPIM195036EA" xr:uid="{E85DF2D5-0423-4C01-B5D1-4AF8B201AD86}"/>
    <hyperlink ref="K58" r:id="rId56" display="https://ppim-intra.pea.co.th:4434/request/PPIM19503815" xr:uid="{0A4150D1-CECD-4182-BCA8-64E930EFBCEE}"/>
    <hyperlink ref="K59" r:id="rId57" display="https://ppim-intra.pea.co.th:4434/request/PPIM1950381F" xr:uid="{2522C8F7-9328-4625-A0E1-548A71A688C9}"/>
    <hyperlink ref="K60" r:id="rId58" display="https://ppim-intra.pea.co.th:4434/request/PPIM195038BE" xr:uid="{BDC8D64F-9FF1-4C88-969A-5E6CF9185462}"/>
    <hyperlink ref="K61" r:id="rId59" display="https://ppim-intra.pea.co.th:4434/request/PPIM19503A52" xr:uid="{919195FC-CAD0-4D94-898E-F475D78CD6EE}"/>
    <hyperlink ref="K62" r:id="rId60" display="https://ppim-intra.pea.co.th:4434/request/PPIM19502DB5" xr:uid="{EF3B6A48-8CBA-4B00-B6A0-6B3FB85A0142}"/>
    <hyperlink ref="K63" r:id="rId61" display="https://ppim-intra.pea.co.th:4434/request/PPIM19503FBD" xr:uid="{F580793E-4177-406C-A877-DC07922BCB2D}"/>
    <hyperlink ref="K64" r:id="rId62" display="https://ppim-intra.pea.co.th:4434/request/PPIM1950415A" xr:uid="{6A4AC497-539C-489E-AE16-5FE1D48C169A}"/>
    <hyperlink ref="K65" r:id="rId63" display="https://ppim-intra.pea.co.th:4434/request/PPIM19504181" xr:uid="{E6189732-C131-4143-9E59-C43A70A4D1FE}"/>
    <hyperlink ref="K66" r:id="rId64" display="https://ppim-intra.pea.co.th:4434/request/PPIM19504387" xr:uid="{A5430063-1287-4387-8899-F59C4809A316}"/>
    <hyperlink ref="K67" r:id="rId65" display="https://ppim-intra.pea.co.th:4434/request/PPIM19504394" xr:uid="{1399E0EA-3BCF-4F88-A9F2-57B458DB79E4}"/>
    <hyperlink ref="K68" r:id="rId66" display="https://ppim-intra.pea.co.th:4434/request/PPIM1950456E" xr:uid="{61644640-50DE-475F-A38E-FF3BBC50E4E5}"/>
    <hyperlink ref="K69" r:id="rId67" display="https://ppim-intra.pea.co.th:4434/request/PPIM195045BA" xr:uid="{3173D465-9A45-4294-AC3A-75935962697D}"/>
    <hyperlink ref="K70" r:id="rId68" display="https://ppim-intra.pea.co.th:4434/request/PPIM1950460E" xr:uid="{49D69BC9-7145-49D5-9E8C-5870DE54AD81}"/>
    <hyperlink ref="K71" r:id="rId69" display="https://ppim-intra.pea.co.th:4434/request/PPIM195047E3" xr:uid="{11B393BD-C794-4D55-9E22-C756C003A5CA}"/>
    <hyperlink ref="K72" r:id="rId70" display="https://ppim-intra.pea.co.th:4434/request/PPIM19504644" xr:uid="{4ABE8CEC-8377-4B46-A442-40A1F7BA5848}"/>
    <hyperlink ref="K73" r:id="rId71" display="https://ppim-intra.pea.co.th:4434/request/PPIM195048D7" xr:uid="{BFC4DF9F-7E31-49DC-9DD0-51320B6423FC}"/>
    <hyperlink ref="K74" r:id="rId72" display="https://ppim-intra.pea.co.th:4434/request/PPIM195048DD" xr:uid="{AB4E071E-FF7A-4951-857D-5967042874C5}"/>
    <hyperlink ref="K75" r:id="rId73" display="https://ppim-intra.pea.co.th:4434/request/PPIM1950483F" xr:uid="{438E3975-3FC5-4228-9C2A-7AEFC43B8D7B}"/>
    <hyperlink ref="K76" r:id="rId74" display="https://ppim-intra.pea.co.th:4434/request/PPIM19504984" xr:uid="{BBCB2D4E-C940-488E-8956-B67A5898180F}"/>
    <hyperlink ref="K77" r:id="rId75" display="https://ppim-intra.pea.co.th:4434/request/PPIM19504B4A" xr:uid="{0D9CA7EB-A4BE-46E9-80CB-EBAC9F5412AF}"/>
    <hyperlink ref="K78" r:id="rId76" display="https://ppim-intra.pea.co.th:4434/request/PPIM19504C24" xr:uid="{09DB8B08-3EB5-4C6F-83D7-96F131FE8266}"/>
    <hyperlink ref="K79" r:id="rId77" display="https://ppim-intra.pea.co.th:4434/request/PPIM19504C4E" xr:uid="{4C4AB0BA-A455-48A0-8F9D-5C7797421E56}"/>
    <hyperlink ref="K80" r:id="rId78" display="https://ppim-intra.pea.co.th:4434/request/PPIM19504CFD" xr:uid="{8FF76241-B0FD-4CD3-994D-DBA348681C1D}"/>
    <hyperlink ref="K81" r:id="rId79" display="https://ppim-intra.pea.co.th:4434/request/PPIM19504D50" xr:uid="{2B120D23-E504-4C7E-BC5F-4BDFCEB21DCF}"/>
    <hyperlink ref="K82" r:id="rId80" display="https://ppim-intra.pea.co.th:4434/request/PPIM19504D55" xr:uid="{CD0F0FBF-30FE-4411-AAF3-16FC291FDD9E}"/>
    <hyperlink ref="K83" r:id="rId81" display="https://ppim-intra.pea.co.th:4434/request/PPIM195054DC" xr:uid="{0CA0EC62-45AE-4686-B83F-788C71A6FA59}"/>
    <hyperlink ref="K84" r:id="rId82" display="https://ppim-intra.pea.co.th:4434/request/PPIM195053D6" xr:uid="{2DB346BA-322D-437C-9B0E-B90EB2749F43}"/>
    <hyperlink ref="K85" r:id="rId83" display="https://ppim-intra.pea.co.th:4434/request/PPIM19505871" xr:uid="{0D83FF40-E8D1-49ED-89EA-F6A806D1A67D}"/>
    <hyperlink ref="K86" r:id="rId84" display="https://ppim-intra.pea.co.th:4434/request/PPIM19505996" xr:uid="{8A182BAB-8CFF-4FD4-958A-1C70AC555A88}"/>
    <hyperlink ref="K87" r:id="rId85" display="https://ppim-intra.pea.co.th:4434/request/PPIM19505A0E" xr:uid="{80945D70-07EA-4D32-8D52-E6CFCABBB746}"/>
  </hyperlinks>
  <pageMargins left="0.7" right="0.7" top="0.75" bottom="0.75" header="0.3" footer="0.3"/>
  <drawing r:id="rId86"/>
  <legacyDrawing r:id="rId87"/>
  <controls>
    <mc:AlternateContent xmlns:mc="http://schemas.openxmlformats.org/markup-compatibility/2006">
      <mc:Choice Requires="x14">
        <control shapeId="10241" r:id="rId88" name="Control 1">
          <controlPr defaultSize="0" autoPict="0" r:id="rId89">
            <anchor moveWithCells="1">
              <from>
                <xdr:col>0</xdr:col>
                <xdr:colOff>0</xdr:colOff>
                <xdr:row>7</xdr:row>
                <xdr:rowOff>438150</xdr:rowOff>
              </from>
              <to>
                <xdr:col>0</xdr:col>
                <xdr:colOff>228600</xdr:colOff>
                <xdr:row>8</xdr:row>
                <xdr:rowOff>200025</xdr:rowOff>
              </to>
            </anchor>
          </controlPr>
        </control>
      </mc:Choice>
      <mc:Fallback>
        <control shapeId="10241" r:id="rId88" name="Control 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FEE-980D-4DA5-9207-74E6E33FEA2F}">
  <sheetPr codeName="Sheet5">
    <tabColor rgb="FFFFC000"/>
  </sheetPr>
  <dimension ref="A1:R295"/>
  <sheetViews>
    <sheetView tabSelected="1" zoomScale="85" zoomScaleNormal="85" workbookViewId="0">
      <selection activeCell="A2" sqref="A2:J2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1" max="11" width="9" style="9"/>
    <col min="12" max="12" width="25.42578125" style="7" customWidth="1"/>
    <col min="13" max="14" width="9" style="7"/>
    <col min="15" max="16384" width="9" style="9"/>
  </cols>
  <sheetData>
    <row r="1" spans="1:18">
      <c r="K1" s="17"/>
    </row>
    <row r="2" spans="1:18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K2" s="17"/>
      <c r="L2" s="12" t="s">
        <v>213</v>
      </c>
      <c r="M2" s="12">
        <f>COUNT(B:B)</f>
        <v>293</v>
      </c>
      <c r="N2" s="13" t="s">
        <v>214</v>
      </c>
    </row>
    <row r="3" spans="1:18" ht="37.5" thickTop="1" thickBot="1">
      <c r="A3" s="18" t="s">
        <v>244</v>
      </c>
      <c r="B3" s="18">
        <v>20026098543</v>
      </c>
      <c r="C3" s="18" t="s">
        <v>245</v>
      </c>
      <c r="D3" s="19">
        <v>45307.74722222222</v>
      </c>
      <c r="E3" s="18" t="s">
        <v>10</v>
      </c>
      <c r="F3" s="18">
        <v>6.5880000000000001</v>
      </c>
      <c r="G3" s="19">
        <v>45372.489583333336</v>
      </c>
      <c r="H3" s="18" t="s">
        <v>236</v>
      </c>
      <c r="I3" s="18" t="s">
        <v>10</v>
      </c>
      <c r="J3" s="18" t="s">
        <v>112</v>
      </c>
      <c r="K3" s="20"/>
      <c r="L3" s="7" t="s">
        <v>2656</v>
      </c>
      <c r="M3" s="7">
        <f>COUNTIF(H:H,"รอตรวจสอบคำขอ")</f>
        <v>24</v>
      </c>
      <c r="N3" s="11" t="s">
        <v>214</v>
      </c>
    </row>
    <row r="4" spans="1:18" ht="36.75" thickBot="1">
      <c r="A4" s="18" t="s">
        <v>242</v>
      </c>
      <c r="B4" s="18">
        <v>20026418170</v>
      </c>
      <c r="C4" s="18" t="s">
        <v>243</v>
      </c>
      <c r="D4" s="19">
        <v>45317.931250000001</v>
      </c>
      <c r="E4" s="18" t="s">
        <v>10</v>
      </c>
      <c r="F4" s="18">
        <v>2.5619999999999998</v>
      </c>
      <c r="G4" s="18" t="s">
        <v>10</v>
      </c>
      <c r="H4" s="18" t="s">
        <v>178</v>
      </c>
      <c r="I4" s="18" t="s">
        <v>10</v>
      </c>
      <c r="J4" s="18" t="s">
        <v>112</v>
      </c>
      <c r="K4" s="20"/>
      <c r="L4" s="7" t="s">
        <v>178</v>
      </c>
      <c r="M4" s="7">
        <f>COUNTIF(H:H,"ยกเลิก")</f>
        <v>214</v>
      </c>
      <c r="N4" s="11" t="s">
        <v>214</v>
      </c>
    </row>
    <row r="5" spans="1:18" ht="36.75" thickBot="1">
      <c r="A5" s="18" t="s">
        <v>115</v>
      </c>
      <c r="B5" s="18">
        <v>20026643143</v>
      </c>
      <c r="C5" s="18" t="s">
        <v>116</v>
      </c>
      <c r="D5" s="19">
        <v>45329.609027777777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112</v>
      </c>
      <c r="K5" s="20"/>
      <c r="L5" s="7" t="s">
        <v>235</v>
      </c>
      <c r="M5" s="14">
        <f>COUNTIF(H:H,"รอผู้ยื่นคำขอส่งเอกสารแก้ไข")</f>
        <v>0</v>
      </c>
      <c r="N5" s="11" t="s">
        <v>214</v>
      </c>
      <c r="R5" s="7"/>
    </row>
    <row r="6" spans="1:18" ht="36.75" thickBot="1">
      <c r="A6" s="18" t="s">
        <v>113</v>
      </c>
      <c r="B6" s="18">
        <v>20003249820</v>
      </c>
      <c r="C6" s="18" t="s">
        <v>114</v>
      </c>
      <c r="D6" s="19">
        <v>45357.982638888891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112</v>
      </c>
      <c r="K6" s="20"/>
      <c r="L6" s="7" t="s">
        <v>189</v>
      </c>
      <c r="M6" s="7">
        <f>COUNTIF(H:H,"รอชำระเงิน")</f>
        <v>2</v>
      </c>
      <c r="N6" s="11" t="s">
        <v>214</v>
      </c>
      <c r="O6" s="7" t="s">
        <v>359</v>
      </c>
      <c r="R6" s="9" t="s">
        <v>289</v>
      </c>
    </row>
    <row r="7" spans="1:18" ht="36.75" thickBot="1">
      <c r="A7" s="18" t="s">
        <v>110</v>
      </c>
      <c r="B7" s="18">
        <v>20003385654</v>
      </c>
      <c r="C7" s="18" t="s">
        <v>111</v>
      </c>
      <c r="D7" s="19">
        <v>45358.354166666664</v>
      </c>
      <c r="E7" s="18" t="s">
        <v>10</v>
      </c>
      <c r="F7" s="18">
        <v>10</v>
      </c>
      <c r="G7" s="18" t="s">
        <v>10</v>
      </c>
      <c r="H7" s="18" t="s">
        <v>178</v>
      </c>
      <c r="I7" s="18" t="s">
        <v>10</v>
      </c>
      <c r="J7" s="18" t="s">
        <v>112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8" ht="36.75" thickBot="1">
      <c r="A8" s="18" t="s">
        <v>240</v>
      </c>
      <c r="B8" s="18">
        <v>20026418170</v>
      </c>
      <c r="C8" s="18" t="s">
        <v>241</v>
      </c>
      <c r="D8" s="19">
        <v>45372.479166666664</v>
      </c>
      <c r="E8" s="18" t="s">
        <v>10</v>
      </c>
      <c r="F8" s="18">
        <v>2.5619999999999998</v>
      </c>
      <c r="G8" s="19">
        <v>45393.572222222225</v>
      </c>
      <c r="H8" s="18" t="s">
        <v>236</v>
      </c>
      <c r="I8" s="18" t="s">
        <v>10</v>
      </c>
      <c r="J8" s="18" t="s">
        <v>112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4</v>
      </c>
      <c r="N8" s="11" t="s">
        <v>214</v>
      </c>
    </row>
    <row r="9" spans="1:18" ht="36.75" thickBot="1">
      <c r="A9" s="18" t="s">
        <v>286</v>
      </c>
      <c r="B9" s="18">
        <v>20026477902</v>
      </c>
      <c r="C9" s="18" t="s">
        <v>287</v>
      </c>
      <c r="D9" s="19">
        <v>45409.70208333333</v>
      </c>
      <c r="E9" s="18" t="s">
        <v>10</v>
      </c>
      <c r="F9" s="18">
        <v>4</v>
      </c>
      <c r="G9" s="19">
        <v>45428.43472222222</v>
      </c>
      <c r="H9" s="18" t="s">
        <v>236</v>
      </c>
      <c r="I9" s="18" t="s">
        <v>10</v>
      </c>
      <c r="J9" s="18" t="s">
        <v>112</v>
      </c>
      <c r="K9" s="20"/>
      <c r="L9" s="7" t="s">
        <v>2688</v>
      </c>
      <c r="M9" s="7">
        <f>COUNTIF(H:H,"รอแก้ไขเอกสารหลังอนุมัติเชื่อมต่อ / รับพิจารณา")</f>
        <v>3</v>
      </c>
      <c r="N9" s="7" t="s">
        <v>214</v>
      </c>
    </row>
    <row r="10" spans="1:18" ht="36.75" thickBot="1">
      <c r="A10" s="18" t="s">
        <v>288</v>
      </c>
      <c r="B10" s="18">
        <v>20026643143</v>
      </c>
      <c r="C10" s="18" t="s">
        <v>116</v>
      </c>
      <c r="D10" s="19">
        <v>45414.786111111112</v>
      </c>
      <c r="E10" s="18" t="s">
        <v>10</v>
      </c>
      <c r="F10" s="18">
        <v>10</v>
      </c>
      <c r="G10" s="19">
        <v>45429.637499999997</v>
      </c>
      <c r="H10" s="18" t="s">
        <v>236</v>
      </c>
      <c r="I10" s="18" t="s">
        <v>10</v>
      </c>
      <c r="J10" s="18" t="s">
        <v>112</v>
      </c>
      <c r="K10" s="20"/>
      <c r="L10" s="7" t="s">
        <v>2687</v>
      </c>
      <c r="M10" s="7">
        <f>COUNTIF(H:H,"รออนุมัติเชื่อมต่อ (200 kW ขึ้นไป)")</f>
        <v>0</v>
      </c>
      <c r="N10" s="7" t="s">
        <v>214</v>
      </c>
    </row>
    <row r="11" spans="1:18" ht="36.75" thickBot="1">
      <c r="A11" s="18" t="s">
        <v>376</v>
      </c>
      <c r="B11" s="18">
        <v>20003385654</v>
      </c>
      <c r="C11" s="18" t="s">
        <v>111</v>
      </c>
      <c r="D11" s="19">
        <v>45433.658333333333</v>
      </c>
      <c r="E11" s="18" t="s">
        <v>10</v>
      </c>
      <c r="F11" s="18">
        <v>10</v>
      </c>
      <c r="G11" s="18" t="s">
        <v>10</v>
      </c>
      <c r="H11" s="18" t="s">
        <v>178</v>
      </c>
      <c r="I11" s="18" t="s">
        <v>10</v>
      </c>
      <c r="J11" s="18" t="s">
        <v>112</v>
      </c>
      <c r="K11" s="20"/>
      <c r="L11" s="7" t="s">
        <v>2654</v>
      </c>
      <c r="M11" s="7">
        <f>COUNTIF(H:H,"รอตรวจสอบระบบผลิต")</f>
        <v>2</v>
      </c>
      <c r="N11" s="7" t="s">
        <v>214</v>
      </c>
    </row>
    <row r="12" spans="1:18" ht="36.75" thickBot="1">
      <c r="A12" s="18" t="s">
        <v>378</v>
      </c>
      <c r="B12" s="18">
        <v>20024958951</v>
      </c>
      <c r="C12" s="18" t="s">
        <v>379</v>
      </c>
      <c r="D12" s="19">
        <v>45437.463888888888</v>
      </c>
      <c r="E12" s="18" t="s">
        <v>10</v>
      </c>
      <c r="F12" s="18">
        <v>10</v>
      </c>
      <c r="G12" s="18" t="s">
        <v>10</v>
      </c>
      <c r="H12" s="18" t="s">
        <v>178</v>
      </c>
      <c r="I12" s="18" t="s">
        <v>10</v>
      </c>
      <c r="J12" s="18" t="s">
        <v>112</v>
      </c>
      <c r="K12" s="20"/>
      <c r="L12" s="7" t="s">
        <v>2651</v>
      </c>
      <c r="M12" s="7">
        <f>COUNTIF(H:H,"รอทดสอบเชื่อมต่อ")</f>
        <v>0</v>
      </c>
      <c r="N12" s="7" t="s">
        <v>214</v>
      </c>
    </row>
    <row r="13" spans="1:18" ht="36.75" thickBot="1">
      <c r="A13" s="18" t="s">
        <v>382</v>
      </c>
      <c r="B13" s="18">
        <v>20002913727</v>
      </c>
      <c r="C13" s="18" t="s">
        <v>383</v>
      </c>
      <c r="D13" s="19">
        <v>45439.15625</v>
      </c>
      <c r="E13" s="18" t="s">
        <v>10</v>
      </c>
      <c r="F13" s="18">
        <v>5</v>
      </c>
      <c r="G13" s="18" t="s">
        <v>10</v>
      </c>
      <c r="H13" s="18" t="s">
        <v>178</v>
      </c>
      <c r="I13" s="18" t="s">
        <v>10</v>
      </c>
      <c r="J13" s="18" t="s">
        <v>112</v>
      </c>
      <c r="K13" s="20"/>
      <c r="L13" s="7" t="s">
        <v>2655</v>
      </c>
      <c r="M13" s="7">
        <f>COUNTIF(H:H,"รออนุมัติแจ้งวันเริ่มเชื่อมต่อ")</f>
        <v>0</v>
      </c>
      <c r="N13" s="7" t="s">
        <v>214</v>
      </c>
    </row>
    <row r="14" spans="1:18" ht="36.75" thickBot="1">
      <c r="A14" s="18" t="s">
        <v>487</v>
      </c>
      <c r="B14" s="18">
        <v>20003085201</v>
      </c>
      <c r="C14" s="18" t="s">
        <v>377</v>
      </c>
      <c r="D14" s="19">
        <v>45428.495833333334</v>
      </c>
      <c r="E14" s="19">
        <v>45443.541666666664</v>
      </c>
      <c r="F14" s="18">
        <v>6</v>
      </c>
      <c r="G14" s="19">
        <v>45455.418055555558</v>
      </c>
      <c r="H14" s="18" t="s">
        <v>236</v>
      </c>
      <c r="I14" s="18" t="s">
        <v>10</v>
      </c>
      <c r="J14" s="18" t="s">
        <v>112</v>
      </c>
      <c r="K14" s="20"/>
      <c r="L14" s="7" t="s">
        <v>236</v>
      </c>
      <c r="M14" s="7">
        <f>COUNTIF(H:H,"เชื่อมต่อเรียบร้อยแล้ว")</f>
        <v>44</v>
      </c>
      <c r="N14" s="7" t="s">
        <v>214</v>
      </c>
    </row>
    <row r="15" spans="1:18" ht="36.75" thickBot="1">
      <c r="A15" s="18" t="s">
        <v>488</v>
      </c>
      <c r="B15" s="18">
        <v>20024958951</v>
      </c>
      <c r="C15" s="18" t="s">
        <v>379</v>
      </c>
      <c r="D15" s="19">
        <v>45448.625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112</v>
      </c>
      <c r="K15" s="20"/>
    </row>
    <row r="16" spans="1:18" ht="36.75" thickBot="1">
      <c r="A16" s="18" t="s">
        <v>346</v>
      </c>
      <c r="B16" s="18">
        <v>20025559002</v>
      </c>
      <c r="C16" s="18" t="s">
        <v>347</v>
      </c>
      <c r="D16" s="19">
        <v>45421.48541666667</v>
      </c>
      <c r="E16" s="19">
        <v>45448.647222222222</v>
      </c>
      <c r="F16" s="18">
        <v>2</v>
      </c>
      <c r="G16" s="19">
        <v>45540.522916666669</v>
      </c>
      <c r="H16" s="18" t="s">
        <v>236</v>
      </c>
      <c r="I16" s="18" t="s">
        <v>10</v>
      </c>
      <c r="J16" s="18" t="s">
        <v>112</v>
      </c>
      <c r="K16" s="20"/>
    </row>
    <row r="17" spans="1:11" ht="36.75" thickBot="1">
      <c r="A17" s="18" t="s">
        <v>380</v>
      </c>
      <c r="B17" s="18">
        <v>20020717757</v>
      </c>
      <c r="C17" s="18" t="s">
        <v>381</v>
      </c>
      <c r="D17" s="19">
        <v>45433.525000000001</v>
      </c>
      <c r="E17" s="19">
        <v>45448.948611111111</v>
      </c>
      <c r="F17" s="18">
        <v>15</v>
      </c>
      <c r="G17" s="19">
        <v>45475.634722222225</v>
      </c>
      <c r="H17" s="18" t="s">
        <v>236</v>
      </c>
      <c r="I17" s="18" t="s">
        <v>10</v>
      </c>
      <c r="J17" s="18" t="s">
        <v>112</v>
      </c>
      <c r="K17" s="20"/>
    </row>
    <row r="18" spans="1:11" ht="36.75" thickBot="1">
      <c r="A18" s="18" t="s">
        <v>489</v>
      </c>
      <c r="B18" s="18">
        <v>20024958951</v>
      </c>
      <c r="C18" s="18" t="s">
        <v>379</v>
      </c>
      <c r="D18" s="19">
        <v>45453.488888888889</v>
      </c>
      <c r="E18" s="18" t="s">
        <v>10</v>
      </c>
      <c r="F18" s="18">
        <v>10</v>
      </c>
      <c r="G18" s="18" t="s">
        <v>10</v>
      </c>
      <c r="H18" s="18" t="s">
        <v>178</v>
      </c>
      <c r="I18" s="18" t="s">
        <v>10</v>
      </c>
      <c r="J18" s="18" t="s">
        <v>112</v>
      </c>
      <c r="K18" s="20"/>
    </row>
    <row r="19" spans="1:11" ht="36.75" thickBot="1">
      <c r="A19" s="18" t="s">
        <v>490</v>
      </c>
      <c r="B19" s="18">
        <v>20017983829</v>
      </c>
      <c r="C19" s="18" t="s">
        <v>491</v>
      </c>
      <c r="D19" s="19">
        <v>45454.988888888889</v>
      </c>
      <c r="E19" s="18" t="s">
        <v>10</v>
      </c>
      <c r="F19" s="18">
        <v>4</v>
      </c>
      <c r="G19" s="18" t="s">
        <v>10</v>
      </c>
      <c r="H19" s="18" t="s">
        <v>178</v>
      </c>
      <c r="I19" s="18" t="s">
        <v>10</v>
      </c>
      <c r="J19" s="18" t="s">
        <v>112</v>
      </c>
      <c r="K19" s="20"/>
    </row>
    <row r="20" spans="1:11" ht="36.75" thickBot="1">
      <c r="A20" s="18" t="s">
        <v>492</v>
      </c>
      <c r="B20" s="18">
        <v>20024648425</v>
      </c>
      <c r="C20" s="18" t="s">
        <v>493</v>
      </c>
      <c r="D20" s="19">
        <v>45457.590277777781</v>
      </c>
      <c r="E20" s="18" t="s">
        <v>10</v>
      </c>
      <c r="F20" s="18">
        <v>5</v>
      </c>
      <c r="G20" s="18" t="s">
        <v>10</v>
      </c>
      <c r="H20" s="18" t="s">
        <v>178</v>
      </c>
      <c r="I20" s="18" t="s">
        <v>10</v>
      </c>
      <c r="J20" s="18" t="s">
        <v>112</v>
      </c>
      <c r="K20" s="20"/>
    </row>
    <row r="21" spans="1:11" ht="36.75" thickBot="1">
      <c r="A21" s="18" t="s">
        <v>494</v>
      </c>
      <c r="B21" s="18">
        <v>20024648425</v>
      </c>
      <c r="C21" s="18" t="s">
        <v>493</v>
      </c>
      <c r="D21" s="19">
        <v>45469.502083333333</v>
      </c>
      <c r="E21" s="18" t="s">
        <v>10</v>
      </c>
      <c r="F21" s="18">
        <v>5</v>
      </c>
      <c r="G21" s="18" t="s">
        <v>10</v>
      </c>
      <c r="H21" s="18" t="s">
        <v>178</v>
      </c>
      <c r="I21" s="18" t="s">
        <v>10</v>
      </c>
      <c r="J21" s="18" t="s">
        <v>112</v>
      </c>
      <c r="K21" s="20"/>
    </row>
    <row r="22" spans="1:11" ht="36.75" thickBot="1">
      <c r="A22" s="18" t="s">
        <v>495</v>
      </c>
      <c r="B22" s="18">
        <v>20002913727</v>
      </c>
      <c r="C22" s="18" t="s">
        <v>383</v>
      </c>
      <c r="D22" s="19">
        <v>45443.395138888889</v>
      </c>
      <c r="E22" s="19">
        <v>45471.275000000001</v>
      </c>
      <c r="F22" s="18">
        <v>5</v>
      </c>
      <c r="G22" s="19">
        <v>45478.400694444441</v>
      </c>
      <c r="H22" s="18" t="s">
        <v>236</v>
      </c>
      <c r="I22" s="18" t="s">
        <v>10</v>
      </c>
      <c r="J22" s="18" t="s">
        <v>112</v>
      </c>
      <c r="K22" s="20"/>
    </row>
    <row r="23" spans="1:11" ht="36.75" thickBot="1">
      <c r="A23" s="18" t="s">
        <v>638</v>
      </c>
      <c r="B23" s="18">
        <v>20003385654</v>
      </c>
      <c r="C23" s="18" t="s">
        <v>111</v>
      </c>
      <c r="D23" s="19">
        <v>45484.452777777777</v>
      </c>
      <c r="E23" s="18" t="s">
        <v>10</v>
      </c>
      <c r="F23" s="18">
        <v>10</v>
      </c>
      <c r="G23" s="18" t="s">
        <v>10</v>
      </c>
      <c r="H23" s="18" t="s">
        <v>178</v>
      </c>
      <c r="I23" s="18" t="s">
        <v>10</v>
      </c>
      <c r="J23" s="18" t="s">
        <v>112</v>
      </c>
      <c r="K23" s="20"/>
    </row>
    <row r="24" spans="1:11" ht="36.75" thickBot="1">
      <c r="A24" s="18" t="s">
        <v>639</v>
      </c>
      <c r="B24" s="18">
        <v>20019066534</v>
      </c>
      <c r="C24" s="18" t="s">
        <v>640</v>
      </c>
      <c r="D24" s="19">
        <v>45485.549305555556</v>
      </c>
      <c r="E24" s="19">
        <v>45498.581250000003</v>
      </c>
      <c r="F24" s="18">
        <v>20</v>
      </c>
      <c r="G24" s="18" t="s">
        <v>10</v>
      </c>
      <c r="H24" s="18" t="s">
        <v>178</v>
      </c>
      <c r="I24" s="18" t="s">
        <v>10</v>
      </c>
      <c r="J24" s="18" t="s">
        <v>112</v>
      </c>
      <c r="K24" s="20"/>
    </row>
    <row r="25" spans="1:11" ht="36.75" thickBot="1">
      <c r="A25" s="18" t="s">
        <v>723</v>
      </c>
      <c r="B25" s="18">
        <v>20003334716</v>
      </c>
      <c r="C25" s="18" t="s">
        <v>703</v>
      </c>
      <c r="D25" s="19">
        <v>45498.712500000001</v>
      </c>
      <c r="E25" s="18" t="s">
        <v>10</v>
      </c>
      <c r="F25" s="18">
        <v>10</v>
      </c>
      <c r="G25" s="18" t="s">
        <v>10</v>
      </c>
      <c r="H25" s="18" t="s">
        <v>178</v>
      </c>
      <c r="I25" s="18" t="s">
        <v>10</v>
      </c>
      <c r="J25" s="18" t="s">
        <v>112</v>
      </c>
      <c r="K25" s="20"/>
    </row>
    <row r="26" spans="1:11" ht="54.75" thickBot="1">
      <c r="A26" s="18" t="s">
        <v>724</v>
      </c>
      <c r="B26" s="18">
        <v>20003360699</v>
      </c>
      <c r="C26" s="18" t="s">
        <v>725</v>
      </c>
      <c r="D26" s="19">
        <v>45493.524305555555</v>
      </c>
      <c r="E26" s="19">
        <v>45504.438888888886</v>
      </c>
      <c r="F26" s="18">
        <v>20</v>
      </c>
      <c r="G26" s="19">
        <v>45531.538194444445</v>
      </c>
      <c r="H26" s="18" t="s">
        <v>236</v>
      </c>
      <c r="I26" s="18" t="s">
        <v>10</v>
      </c>
      <c r="J26" s="18" t="s">
        <v>112</v>
      </c>
      <c r="K26" s="20"/>
    </row>
    <row r="27" spans="1:11" ht="36.75" thickBot="1">
      <c r="A27" s="18" t="s">
        <v>636</v>
      </c>
      <c r="B27" s="18">
        <v>20003124084</v>
      </c>
      <c r="C27" s="18" t="s">
        <v>637</v>
      </c>
      <c r="D27" s="19">
        <v>45482.400000000001</v>
      </c>
      <c r="E27" s="19">
        <v>45504.602777777778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112</v>
      </c>
      <c r="K27" s="20"/>
    </row>
    <row r="28" spans="1:11" ht="36.75" thickBot="1">
      <c r="A28" s="18" t="s">
        <v>634</v>
      </c>
      <c r="B28" s="18">
        <v>20027681616</v>
      </c>
      <c r="C28" s="18" t="s">
        <v>635</v>
      </c>
      <c r="D28" s="19">
        <v>45481.591666666667</v>
      </c>
      <c r="E28" s="19">
        <v>45504.611111111109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112</v>
      </c>
      <c r="K28" s="20"/>
    </row>
    <row r="29" spans="1:11" ht="36.75" thickBot="1">
      <c r="A29" s="18" t="s">
        <v>843</v>
      </c>
      <c r="B29" s="18">
        <v>20003385654</v>
      </c>
      <c r="C29" s="18" t="s">
        <v>111</v>
      </c>
      <c r="D29" s="19">
        <v>45505.579861111109</v>
      </c>
      <c r="E29" s="18" t="s">
        <v>10</v>
      </c>
      <c r="F29" s="18">
        <v>10</v>
      </c>
      <c r="G29" s="18" t="s">
        <v>10</v>
      </c>
      <c r="H29" s="18" t="s">
        <v>178</v>
      </c>
      <c r="I29" s="18" t="s">
        <v>10</v>
      </c>
      <c r="J29" s="18" t="s">
        <v>112</v>
      </c>
      <c r="K29" s="20"/>
    </row>
    <row r="30" spans="1:11" ht="36.75" thickBot="1">
      <c r="A30" s="18" t="s">
        <v>844</v>
      </c>
      <c r="B30" s="18">
        <v>20027832751</v>
      </c>
      <c r="C30" s="18" t="s">
        <v>845</v>
      </c>
      <c r="D30" s="19">
        <v>45512.772916666669</v>
      </c>
      <c r="E30" s="18" t="s">
        <v>10</v>
      </c>
      <c r="F30" s="18">
        <v>3</v>
      </c>
      <c r="G30" s="18" t="s">
        <v>10</v>
      </c>
      <c r="H30" s="18" t="s">
        <v>178</v>
      </c>
      <c r="I30" s="18" t="s">
        <v>10</v>
      </c>
      <c r="J30" s="18" t="s">
        <v>112</v>
      </c>
      <c r="K30" s="20"/>
    </row>
    <row r="31" spans="1:11" ht="36.75" thickBot="1">
      <c r="A31" s="18" t="s">
        <v>846</v>
      </c>
      <c r="B31" s="18">
        <v>20026866591</v>
      </c>
      <c r="C31" s="18" t="s">
        <v>847</v>
      </c>
      <c r="D31" s="19">
        <v>45514.99722222222</v>
      </c>
      <c r="E31" s="18" t="s">
        <v>10</v>
      </c>
      <c r="F31" s="18">
        <v>10</v>
      </c>
      <c r="G31" s="18" t="s">
        <v>10</v>
      </c>
      <c r="H31" s="18" t="s">
        <v>178</v>
      </c>
      <c r="I31" s="18" t="s">
        <v>10</v>
      </c>
      <c r="J31" s="18" t="s">
        <v>112</v>
      </c>
      <c r="K31" s="20"/>
    </row>
    <row r="32" spans="1:11" ht="36.75" thickBot="1">
      <c r="A32" s="18" t="s">
        <v>848</v>
      </c>
      <c r="B32" s="18">
        <v>20020971333</v>
      </c>
      <c r="C32" s="18" t="s">
        <v>849</v>
      </c>
      <c r="D32" s="19">
        <v>45518.834722222222</v>
      </c>
      <c r="E32" s="18" t="s">
        <v>10</v>
      </c>
      <c r="F32" s="18">
        <v>10</v>
      </c>
      <c r="G32" s="18" t="s">
        <v>10</v>
      </c>
      <c r="H32" s="18" t="s">
        <v>178</v>
      </c>
      <c r="I32" s="18" t="s">
        <v>10</v>
      </c>
      <c r="J32" s="18" t="s">
        <v>112</v>
      </c>
      <c r="K32" s="20"/>
    </row>
    <row r="33" spans="1:11" ht="36.75" thickBot="1">
      <c r="A33" s="18" t="s">
        <v>850</v>
      </c>
      <c r="B33" s="18">
        <v>20027337292</v>
      </c>
      <c r="C33" s="18" t="s">
        <v>851</v>
      </c>
      <c r="D33" s="19">
        <v>45523.45208333333</v>
      </c>
      <c r="E33" s="18" t="s">
        <v>10</v>
      </c>
      <c r="F33" s="18">
        <v>15</v>
      </c>
      <c r="G33" s="18" t="s">
        <v>10</v>
      </c>
      <c r="H33" s="18" t="s">
        <v>236</v>
      </c>
      <c r="I33" s="18" t="s">
        <v>10</v>
      </c>
      <c r="J33" s="18" t="s">
        <v>112</v>
      </c>
      <c r="K33" s="20"/>
    </row>
    <row r="34" spans="1:11" ht="36.75" thickBot="1">
      <c r="A34" s="18" t="s">
        <v>632</v>
      </c>
      <c r="B34" s="18">
        <v>20025864204</v>
      </c>
      <c r="C34" s="18" t="s">
        <v>633</v>
      </c>
      <c r="D34" s="19">
        <v>45481.387499999997</v>
      </c>
      <c r="E34" s="19">
        <v>45526.368055555555</v>
      </c>
      <c r="F34" s="18">
        <v>3</v>
      </c>
      <c r="G34" s="19">
        <v>45539.645138888889</v>
      </c>
      <c r="H34" s="18" t="s">
        <v>236</v>
      </c>
      <c r="I34" s="18" t="s">
        <v>10</v>
      </c>
      <c r="J34" s="18" t="s">
        <v>112</v>
      </c>
      <c r="K34" s="20"/>
    </row>
    <row r="35" spans="1:11" ht="36.75" thickBot="1">
      <c r="A35" s="18" t="s">
        <v>854</v>
      </c>
      <c r="B35" s="18">
        <v>20020184213</v>
      </c>
      <c r="C35" s="18" t="s">
        <v>855</v>
      </c>
      <c r="D35" s="19">
        <v>45525.757638888892</v>
      </c>
      <c r="E35" s="19">
        <v>45530.369444444441</v>
      </c>
      <c r="F35" s="18">
        <v>20</v>
      </c>
      <c r="G35" s="19">
        <v>45530.649305555555</v>
      </c>
      <c r="H35" s="18" t="s">
        <v>236</v>
      </c>
      <c r="I35" s="18" t="s">
        <v>10</v>
      </c>
      <c r="J35" s="18" t="s">
        <v>112</v>
      </c>
      <c r="K35" s="20"/>
    </row>
    <row r="36" spans="1:11" ht="36.75" thickBot="1">
      <c r="A36" s="18" t="s">
        <v>856</v>
      </c>
      <c r="B36" s="18">
        <v>20003043484</v>
      </c>
      <c r="C36" s="18" t="s">
        <v>857</v>
      </c>
      <c r="D36" s="19">
        <v>45528.603472222225</v>
      </c>
      <c r="E36" s="19">
        <v>45530.609722222223</v>
      </c>
      <c r="F36" s="18">
        <v>10</v>
      </c>
      <c r="G36" s="19">
        <v>45537.588194444441</v>
      </c>
      <c r="H36" s="18" t="s">
        <v>236</v>
      </c>
      <c r="I36" s="18" t="s">
        <v>10</v>
      </c>
      <c r="J36" s="18" t="s">
        <v>112</v>
      </c>
      <c r="K36" s="20"/>
    </row>
    <row r="37" spans="1:11" ht="36.75" thickBot="1">
      <c r="A37" s="18" t="s">
        <v>860</v>
      </c>
      <c r="B37" s="18">
        <v>20026287827</v>
      </c>
      <c r="C37" s="18" t="s">
        <v>861</v>
      </c>
      <c r="D37" s="19">
        <v>45530.895138888889</v>
      </c>
      <c r="E37" s="18" t="s">
        <v>10</v>
      </c>
      <c r="F37" s="18">
        <v>20</v>
      </c>
      <c r="G37" s="18" t="s">
        <v>10</v>
      </c>
      <c r="H37" s="18" t="s">
        <v>178</v>
      </c>
      <c r="I37" s="18" t="s">
        <v>10</v>
      </c>
      <c r="J37" s="18" t="s">
        <v>112</v>
      </c>
      <c r="K37" s="20"/>
    </row>
    <row r="38" spans="1:11" ht="54.75" thickBot="1">
      <c r="A38" s="18" t="s">
        <v>862</v>
      </c>
      <c r="B38" s="18">
        <v>20026287827</v>
      </c>
      <c r="C38" s="18" t="s">
        <v>863</v>
      </c>
      <c r="D38" s="19">
        <v>45532.250694444447</v>
      </c>
      <c r="E38" s="18" t="s">
        <v>10</v>
      </c>
      <c r="F38" s="18">
        <v>20</v>
      </c>
      <c r="G38" s="18" t="s">
        <v>10</v>
      </c>
      <c r="H38" s="18" t="s">
        <v>178</v>
      </c>
      <c r="I38" s="18" t="s">
        <v>10</v>
      </c>
      <c r="J38" s="18" t="s">
        <v>112</v>
      </c>
      <c r="K38" s="20"/>
    </row>
    <row r="39" spans="1:11" ht="36.75" thickBot="1">
      <c r="A39" s="18" t="s">
        <v>864</v>
      </c>
      <c r="B39" s="18">
        <v>20020914714</v>
      </c>
      <c r="C39" s="18" t="s">
        <v>865</v>
      </c>
      <c r="D39" s="19">
        <v>45533.7</v>
      </c>
      <c r="E39" s="18" t="s">
        <v>10</v>
      </c>
      <c r="F39" s="18">
        <v>5</v>
      </c>
      <c r="G39" s="18" t="s">
        <v>10</v>
      </c>
      <c r="H39" s="18" t="s">
        <v>178</v>
      </c>
      <c r="I39" s="18" t="s">
        <v>10</v>
      </c>
      <c r="J39" s="18" t="s">
        <v>112</v>
      </c>
      <c r="K39" s="20"/>
    </row>
    <row r="40" spans="1:11" ht="36.75" thickBot="1">
      <c r="A40" s="18" t="s">
        <v>866</v>
      </c>
      <c r="B40" s="18">
        <v>20026866591</v>
      </c>
      <c r="C40" s="18" t="s">
        <v>847</v>
      </c>
      <c r="D40" s="19">
        <v>45519.956944444442</v>
      </c>
      <c r="E40" s="19">
        <v>45533.906944444447</v>
      </c>
      <c r="F40" s="18">
        <v>10</v>
      </c>
      <c r="G40" s="18" t="s">
        <v>10</v>
      </c>
      <c r="H40" s="18" t="s">
        <v>178</v>
      </c>
      <c r="I40" s="18" t="s">
        <v>10</v>
      </c>
      <c r="J40" s="18" t="s">
        <v>112</v>
      </c>
      <c r="K40" s="20"/>
    </row>
    <row r="41" spans="1:11" ht="54.75" thickBot="1">
      <c r="A41" s="18" t="s">
        <v>1042</v>
      </c>
      <c r="B41" s="18">
        <v>20003025330</v>
      </c>
      <c r="C41" s="18" t="s">
        <v>1043</v>
      </c>
      <c r="D41" s="19">
        <v>45535.495833333334</v>
      </c>
      <c r="E41" s="18" t="s">
        <v>10</v>
      </c>
      <c r="F41" s="18">
        <v>20</v>
      </c>
      <c r="G41" s="18" t="s">
        <v>10</v>
      </c>
      <c r="H41" s="18" t="s">
        <v>178</v>
      </c>
      <c r="I41" s="18" t="s">
        <v>10</v>
      </c>
      <c r="J41" s="18" t="s">
        <v>112</v>
      </c>
      <c r="K41" s="20"/>
    </row>
    <row r="42" spans="1:11" ht="54.75" thickBot="1">
      <c r="A42" s="18" t="s">
        <v>1044</v>
      </c>
      <c r="B42" s="18">
        <v>20022422039</v>
      </c>
      <c r="C42" s="18" t="s">
        <v>1045</v>
      </c>
      <c r="D42" s="19">
        <v>45535.502083333333</v>
      </c>
      <c r="E42" s="18" t="s">
        <v>10</v>
      </c>
      <c r="F42" s="18">
        <v>10</v>
      </c>
      <c r="G42" s="18" t="s">
        <v>10</v>
      </c>
      <c r="H42" s="18" t="s">
        <v>178</v>
      </c>
      <c r="I42" s="18" t="s">
        <v>10</v>
      </c>
      <c r="J42" s="18" t="s">
        <v>112</v>
      </c>
      <c r="K42" s="20"/>
    </row>
    <row r="43" spans="1:11" ht="36.75" thickBot="1">
      <c r="A43" s="18" t="s">
        <v>1046</v>
      </c>
      <c r="B43" s="18">
        <v>20023263667</v>
      </c>
      <c r="C43" s="18" t="s">
        <v>1047</v>
      </c>
      <c r="D43" s="19">
        <v>45538.885416666664</v>
      </c>
      <c r="E43" s="18" t="s">
        <v>10</v>
      </c>
      <c r="F43" s="18">
        <v>16</v>
      </c>
      <c r="G43" s="18" t="s">
        <v>10</v>
      </c>
      <c r="H43" s="18" t="s">
        <v>178</v>
      </c>
      <c r="I43" s="18" t="s">
        <v>10</v>
      </c>
      <c r="J43" s="18" t="s">
        <v>112</v>
      </c>
      <c r="K43" s="20"/>
    </row>
    <row r="44" spans="1:11" ht="36.75" thickBot="1">
      <c r="A44" s="18" t="s">
        <v>852</v>
      </c>
      <c r="B44" s="18">
        <v>20003249820</v>
      </c>
      <c r="C44" s="18" t="s">
        <v>853</v>
      </c>
      <c r="D44" s="19">
        <v>45529.066666666666</v>
      </c>
      <c r="E44" s="19">
        <v>45539.006249999999</v>
      </c>
      <c r="F44" s="18">
        <v>5</v>
      </c>
      <c r="G44" s="18" t="s">
        <v>10</v>
      </c>
      <c r="H44" s="18" t="s">
        <v>178</v>
      </c>
      <c r="I44" s="18" t="s">
        <v>10</v>
      </c>
      <c r="J44" s="18" t="s">
        <v>112</v>
      </c>
      <c r="K44" s="20"/>
    </row>
    <row r="45" spans="1:11" ht="36.75" thickBot="1">
      <c r="A45" s="18" t="s">
        <v>722</v>
      </c>
      <c r="B45" s="18">
        <v>20017983829</v>
      </c>
      <c r="C45" s="18" t="s">
        <v>491</v>
      </c>
      <c r="D45" s="19">
        <v>45497.498611111114</v>
      </c>
      <c r="E45" s="19">
        <v>45542.936111111114</v>
      </c>
      <c r="F45" s="18">
        <v>4</v>
      </c>
      <c r="G45" s="19">
        <v>45559.556944444441</v>
      </c>
      <c r="H45" s="18" t="s">
        <v>236</v>
      </c>
      <c r="I45" s="18" t="s">
        <v>10</v>
      </c>
      <c r="J45" s="18" t="s">
        <v>112</v>
      </c>
      <c r="K45" s="20"/>
    </row>
    <row r="46" spans="1:11" ht="36.75" thickBot="1">
      <c r="A46" s="18" t="s">
        <v>1050</v>
      </c>
      <c r="B46" s="18">
        <v>20024938243</v>
      </c>
      <c r="C46" s="18" t="s">
        <v>1051</v>
      </c>
      <c r="D46" s="19">
        <v>45545.468055555553</v>
      </c>
      <c r="E46" s="18" t="s">
        <v>10</v>
      </c>
      <c r="F46" s="18">
        <v>3</v>
      </c>
      <c r="G46" s="18" t="s">
        <v>10</v>
      </c>
      <c r="H46" s="18" t="s">
        <v>178</v>
      </c>
      <c r="I46" s="18" t="s">
        <v>10</v>
      </c>
      <c r="J46" s="18" t="s">
        <v>112</v>
      </c>
      <c r="K46" s="20"/>
    </row>
    <row r="47" spans="1:11" ht="36.75" thickBot="1">
      <c r="A47" s="18" t="s">
        <v>1052</v>
      </c>
      <c r="B47" s="18">
        <v>20021932134</v>
      </c>
      <c r="C47" s="18" t="s">
        <v>1053</v>
      </c>
      <c r="D47" s="19">
        <v>45537.644444444442</v>
      </c>
      <c r="E47" s="19">
        <v>45547.444444444445</v>
      </c>
      <c r="F47" s="18">
        <v>20</v>
      </c>
      <c r="G47" s="18" t="s">
        <v>10</v>
      </c>
      <c r="H47" s="18" t="s">
        <v>178</v>
      </c>
      <c r="I47" s="18" t="s">
        <v>10</v>
      </c>
      <c r="J47" s="18" t="s">
        <v>112</v>
      </c>
      <c r="K47" s="20"/>
    </row>
    <row r="48" spans="1:11" ht="36.75" thickBot="1">
      <c r="A48" s="18" t="s">
        <v>1054</v>
      </c>
      <c r="B48" s="18">
        <v>20020835835</v>
      </c>
      <c r="C48" s="18" t="s">
        <v>1055</v>
      </c>
      <c r="D48" s="19">
        <v>45547.527777777781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112</v>
      </c>
      <c r="K48" s="20"/>
    </row>
    <row r="49" spans="1:11" ht="36.75" thickBot="1">
      <c r="A49" s="18" t="s">
        <v>1057</v>
      </c>
      <c r="B49" s="18">
        <v>20027717341</v>
      </c>
      <c r="C49" s="18" t="s">
        <v>1058</v>
      </c>
      <c r="D49" s="19">
        <v>45548.484027777777</v>
      </c>
      <c r="E49" s="18" t="s">
        <v>10</v>
      </c>
      <c r="F49" s="18">
        <v>3</v>
      </c>
      <c r="G49" s="18" t="s">
        <v>10</v>
      </c>
      <c r="H49" s="18" t="s">
        <v>178</v>
      </c>
      <c r="I49" s="18" t="s">
        <v>10</v>
      </c>
      <c r="J49" s="18" t="s">
        <v>112</v>
      </c>
      <c r="K49" s="20"/>
    </row>
    <row r="50" spans="1:11" ht="36.75" thickBot="1">
      <c r="A50" s="18" t="s">
        <v>1059</v>
      </c>
      <c r="B50" s="18">
        <v>20023263667</v>
      </c>
      <c r="C50" s="18" t="s">
        <v>1060</v>
      </c>
      <c r="D50" s="19">
        <v>45552.584027777775</v>
      </c>
      <c r="E50" s="18" t="s">
        <v>10</v>
      </c>
      <c r="F50" s="18">
        <v>16</v>
      </c>
      <c r="G50" s="18" t="s">
        <v>10</v>
      </c>
      <c r="H50" s="18" t="s">
        <v>178</v>
      </c>
      <c r="I50" s="18" t="s">
        <v>10</v>
      </c>
      <c r="J50" s="18" t="s">
        <v>112</v>
      </c>
      <c r="K50" s="20"/>
    </row>
    <row r="51" spans="1:11" ht="36.75" thickBot="1">
      <c r="A51" s="18" t="s">
        <v>1061</v>
      </c>
      <c r="B51" s="18">
        <v>20027152642</v>
      </c>
      <c r="C51" s="18" t="s">
        <v>1062</v>
      </c>
      <c r="D51" s="19">
        <v>45553.478472222225</v>
      </c>
      <c r="E51" s="18" t="s">
        <v>10</v>
      </c>
      <c r="F51" s="18">
        <v>20</v>
      </c>
      <c r="G51" s="18" t="s">
        <v>10</v>
      </c>
      <c r="H51" s="18" t="s">
        <v>178</v>
      </c>
      <c r="I51" s="18" t="s">
        <v>10</v>
      </c>
      <c r="J51" s="18" t="s">
        <v>112</v>
      </c>
      <c r="K51" s="20"/>
    </row>
    <row r="52" spans="1:11" ht="36.75" thickBot="1">
      <c r="A52" s="18" t="s">
        <v>1188</v>
      </c>
      <c r="B52" s="18">
        <v>20026955832</v>
      </c>
      <c r="C52" s="18" t="s">
        <v>1189</v>
      </c>
      <c r="D52" s="19">
        <v>45555.462500000001</v>
      </c>
      <c r="E52" s="18" t="s">
        <v>10</v>
      </c>
      <c r="F52" s="18">
        <v>15</v>
      </c>
      <c r="G52" s="18" t="s">
        <v>10</v>
      </c>
      <c r="H52" s="18" t="s">
        <v>178</v>
      </c>
      <c r="I52" s="18" t="s">
        <v>10</v>
      </c>
      <c r="J52" s="18" t="s">
        <v>112</v>
      </c>
      <c r="K52" s="20"/>
    </row>
    <row r="53" spans="1:11" ht="36.75" thickBot="1">
      <c r="A53" s="18" t="s">
        <v>1048</v>
      </c>
      <c r="B53" s="18">
        <v>20002849278</v>
      </c>
      <c r="C53" s="18" t="s">
        <v>1049</v>
      </c>
      <c r="D53" s="19">
        <v>45543.59375</v>
      </c>
      <c r="E53" s="19">
        <v>45555.604166666664</v>
      </c>
      <c r="F53" s="18">
        <v>5</v>
      </c>
      <c r="G53" s="19">
        <v>45575.486805555556</v>
      </c>
      <c r="H53" s="18" t="s">
        <v>236</v>
      </c>
      <c r="I53" s="18" t="s">
        <v>10</v>
      </c>
      <c r="J53" s="18" t="s">
        <v>112</v>
      </c>
      <c r="K53" s="20"/>
    </row>
    <row r="54" spans="1:11" ht="36.75" thickBot="1">
      <c r="A54" s="18" t="s">
        <v>1190</v>
      </c>
      <c r="B54" s="18">
        <v>20023263667</v>
      </c>
      <c r="C54" s="18" t="s">
        <v>1191</v>
      </c>
      <c r="D54" s="19">
        <v>45555.772916666669</v>
      </c>
      <c r="E54" s="18" t="s">
        <v>10</v>
      </c>
      <c r="F54" s="18">
        <v>16</v>
      </c>
      <c r="G54" s="18" t="s">
        <v>10</v>
      </c>
      <c r="H54" s="18" t="s">
        <v>178</v>
      </c>
      <c r="I54" s="18" t="s">
        <v>10</v>
      </c>
      <c r="J54" s="18" t="s">
        <v>112</v>
      </c>
      <c r="K54" s="20"/>
    </row>
    <row r="55" spans="1:11" ht="36.75" thickBot="1">
      <c r="A55" s="18" t="s">
        <v>1192</v>
      </c>
      <c r="B55" s="18">
        <v>20025357098</v>
      </c>
      <c r="C55" s="18" t="s">
        <v>1193</v>
      </c>
      <c r="D55" s="19">
        <v>45556.720833333333</v>
      </c>
      <c r="E55" s="18" t="s">
        <v>10</v>
      </c>
      <c r="F55" s="18">
        <v>5</v>
      </c>
      <c r="G55" s="18" t="s">
        <v>10</v>
      </c>
      <c r="H55" s="18" t="s">
        <v>178</v>
      </c>
      <c r="I55" s="18" t="s">
        <v>10</v>
      </c>
      <c r="J55" s="18" t="s">
        <v>112</v>
      </c>
      <c r="K55" s="20"/>
    </row>
    <row r="56" spans="1:11" ht="36.75" thickBot="1">
      <c r="A56" s="18" t="s">
        <v>1194</v>
      </c>
      <c r="B56" s="18">
        <v>20020971333</v>
      </c>
      <c r="C56" s="18" t="s">
        <v>849</v>
      </c>
      <c r="D56" s="19">
        <v>45558.768750000003</v>
      </c>
      <c r="E56" s="18" t="s">
        <v>10</v>
      </c>
      <c r="F56" s="18">
        <v>10</v>
      </c>
      <c r="G56" s="18" t="s">
        <v>10</v>
      </c>
      <c r="H56" s="18" t="s">
        <v>178</v>
      </c>
      <c r="I56" s="18" t="s">
        <v>10</v>
      </c>
      <c r="J56" s="18" t="s">
        <v>112</v>
      </c>
      <c r="K56" s="20"/>
    </row>
    <row r="57" spans="1:11" ht="36.75" thickBot="1">
      <c r="A57" s="18" t="s">
        <v>1195</v>
      </c>
      <c r="B57" s="18">
        <v>20025644302</v>
      </c>
      <c r="C57" s="18" t="s">
        <v>1196</v>
      </c>
      <c r="D57" s="19">
        <v>45559.724305555559</v>
      </c>
      <c r="E57" s="18" t="s">
        <v>10</v>
      </c>
      <c r="F57" s="18">
        <v>3</v>
      </c>
      <c r="G57" s="18" t="s">
        <v>10</v>
      </c>
      <c r="H57" s="18" t="s">
        <v>178</v>
      </c>
      <c r="I57" s="18" t="s">
        <v>10</v>
      </c>
      <c r="J57" s="18" t="s">
        <v>112</v>
      </c>
      <c r="K57" s="20"/>
    </row>
    <row r="58" spans="1:11" ht="36.75" thickBot="1">
      <c r="A58" s="18" t="s">
        <v>1197</v>
      </c>
      <c r="B58" s="18">
        <v>20025644302</v>
      </c>
      <c r="C58" s="18" t="s">
        <v>1196</v>
      </c>
      <c r="D58" s="19">
        <v>45560.724999999999</v>
      </c>
      <c r="E58" s="18" t="s">
        <v>10</v>
      </c>
      <c r="F58" s="18">
        <v>3</v>
      </c>
      <c r="G58" s="18" t="s">
        <v>10</v>
      </c>
      <c r="H58" s="18" t="s">
        <v>178</v>
      </c>
      <c r="I58" s="18" t="s">
        <v>10</v>
      </c>
      <c r="J58" s="18" t="s">
        <v>112</v>
      </c>
      <c r="K58" s="20"/>
    </row>
    <row r="59" spans="1:11" ht="36.75" thickBot="1">
      <c r="A59" s="18" t="s">
        <v>1056</v>
      </c>
      <c r="B59" s="18">
        <v>20003385654</v>
      </c>
      <c r="C59" s="18" t="s">
        <v>111</v>
      </c>
      <c r="D59" s="19">
        <v>45547.725694444445</v>
      </c>
      <c r="E59" s="19">
        <v>45561.717361111114</v>
      </c>
      <c r="F59" s="18">
        <v>10</v>
      </c>
      <c r="G59" s="19">
        <v>45572.468055555553</v>
      </c>
      <c r="H59" s="18" t="s">
        <v>236</v>
      </c>
      <c r="I59" s="18" t="s">
        <v>10</v>
      </c>
      <c r="J59" s="18" t="s">
        <v>112</v>
      </c>
      <c r="K59" s="20"/>
    </row>
    <row r="60" spans="1:11" ht="36.75" thickBot="1">
      <c r="A60" s="18" t="s">
        <v>1198</v>
      </c>
      <c r="B60" s="18">
        <v>20016463046</v>
      </c>
      <c r="C60" s="18" t="s">
        <v>1199</v>
      </c>
      <c r="D60" s="19">
        <v>45559.852777777778</v>
      </c>
      <c r="E60" s="19">
        <v>45564.977083333331</v>
      </c>
      <c r="F60" s="18">
        <v>5</v>
      </c>
      <c r="G60" s="19">
        <v>45593.609722222223</v>
      </c>
      <c r="H60" s="18" t="s">
        <v>236</v>
      </c>
      <c r="I60" s="18" t="s">
        <v>10</v>
      </c>
      <c r="J60" s="18" t="s">
        <v>112</v>
      </c>
      <c r="K60" s="20"/>
    </row>
    <row r="61" spans="1:11" ht="36.75" thickBot="1">
      <c r="A61" s="18" t="s">
        <v>1200</v>
      </c>
      <c r="B61" s="18">
        <v>20027078114</v>
      </c>
      <c r="C61" s="18" t="s">
        <v>1201</v>
      </c>
      <c r="D61" s="19">
        <v>45559.885416666664</v>
      </c>
      <c r="E61" s="19">
        <v>45564.980555555558</v>
      </c>
      <c r="F61" s="18">
        <v>20</v>
      </c>
      <c r="G61" s="19">
        <v>45593.609722222223</v>
      </c>
      <c r="H61" s="18" t="s">
        <v>236</v>
      </c>
      <c r="I61" s="18" t="s">
        <v>10</v>
      </c>
      <c r="J61" s="18" t="s">
        <v>112</v>
      </c>
      <c r="K61" s="20"/>
    </row>
    <row r="62" spans="1:11" ht="36.75" thickBot="1">
      <c r="A62" s="18" t="s">
        <v>858</v>
      </c>
      <c r="B62" s="18">
        <v>20027832751</v>
      </c>
      <c r="C62" s="18" t="s">
        <v>859</v>
      </c>
      <c r="D62" s="19">
        <v>45530.750694444447</v>
      </c>
      <c r="E62" s="19">
        <v>45565.421527777777</v>
      </c>
      <c r="F62" s="18">
        <v>3</v>
      </c>
      <c r="G62" s="19">
        <v>45610.487500000003</v>
      </c>
      <c r="H62" s="18" t="s">
        <v>236</v>
      </c>
      <c r="I62" s="18" t="s">
        <v>10</v>
      </c>
      <c r="J62" s="18" t="s">
        <v>112</v>
      </c>
      <c r="K62" s="20"/>
    </row>
    <row r="63" spans="1:11" ht="36.75" thickBot="1">
      <c r="A63" s="18" t="s">
        <v>1203</v>
      </c>
      <c r="B63" s="18">
        <v>20027885962</v>
      </c>
      <c r="C63" s="18" t="s">
        <v>1204</v>
      </c>
      <c r="D63" s="19">
        <v>45565.455555555556</v>
      </c>
      <c r="E63" s="18" t="s">
        <v>10</v>
      </c>
      <c r="F63" s="18">
        <v>20</v>
      </c>
      <c r="G63" s="18" t="s">
        <v>10</v>
      </c>
      <c r="H63" s="18" t="s">
        <v>236</v>
      </c>
      <c r="I63" s="18" t="s">
        <v>10</v>
      </c>
      <c r="J63" s="18" t="s">
        <v>112</v>
      </c>
      <c r="K63" s="20"/>
    </row>
    <row r="64" spans="1:11" ht="36.75" thickBot="1">
      <c r="A64" s="18" t="s">
        <v>1207</v>
      </c>
      <c r="B64" s="18">
        <v>20024938243</v>
      </c>
      <c r="C64" s="18" t="s">
        <v>1051</v>
      </c>
      <c r="D64" s="19">
        <v>45554.754166666666</v>
      </c>
      <c r="E64" s="19">
        <v>45565.750694444447</v>
      </c>
      <c r="F64" s="18">
        <v>3</v>
      </c>
      <c r="G64" s="18" t="s">
        <v>10</v>
      </c>
      <c r="H64" s="18" t="s">
        <v>178</v>
      </c>
      <c r="I64" s="18" t="s">
        <v>10</v>
      </c>
      <c r="J64" s="18" t="s">
        <v>112</v>
      </c>
      <c r="K64" s="20"/>
    </row>
    <row r="65" spans="1:11" ht="36.75" thickBot="1">
      <c r="A65" s="18" t="s">
        <v>1294</v>
      </c>
      <c r="B65" s="18">
        <v>20020835335</v>
      </c>
      <c r="C65" s="18" t="s">
        <v>1055</v>
      </c>
      <c r="D65" s="19">
        <v>45569.338888888888</v>
      </c>
      <c r="E65" s="18" t="s">
        <v>10</v>
      </c>
      <c r="F65" s="18">
        <v>10</v>
      </c>
      <c r="G65" s="18" t="s">
        <v>10</v>
      </c>
      <c r="H65" s="18" t="s">
        <v>178</v>
      </c>
      <c r="I65" s="18" t="s">
        <v>10</v>
      </c>
      <c r="J65" s="18" t="s">
        <v>112</v>
      </c>
      <c r="K65" s="20"/>
    </row>
    <row r="66" spans="1:11" ht="36.75" thickBot="1">
      <c r="A66" s="18" t="s">
        <v>1208</v>
      </c>
      <c r="B66" s="18">
        <v>20024648425</v>
      </c>
      <c r="C66" s="18" t="s">
        <v>1209</v>
      </c>
      <c r="D66" s="19">
        <v>45562.605555555558</v>
      </c>
      <c r="E66" s="19">
        <v>45576.469444444447</v>
      </c>
      <c r="F66" s="18">
        <v>5</v>
      </c>
      <c r="G66" s="19">
        <v>45645.593055555553</v>
      </c>
      <c r="H66" s="18" t="s">
        <v>236</v>
      </c>
      <c r="I66" s="18" t="s">
        <v>10</v>
      </c>
      <c r="J66" s="18" t="s">
        <v>112</v>
      </c>
      <c r="K66" s="20"/>
    </row>
    <row r="67" spans="1:11" ht="36.75" thickBot="1">
      <c r="A67" s="18" t="s">
        <v>1205</v>
      </c>
      <c r="B67" s="18">
        <v>20025357098</v>
      </c>
      <c r="C67" s="18" t="s">
        <v>1206</v>
      </c>
      <c r="D67" s="19">
        <v>45565.461111111108</v>
      </c>
      <c r="E67" s="19">
        <v>45576.686805555553</v>
      </c>
      <c r="F67" s="18">
        <v>5</v>
      </c>
      <c r="G67" s="18" t="s">
        <v>10</v>
      </c>
      <c r="H67" s="18" t="s">
        <v>178</v>
      </c>
      <c r="I67" s="18" t="s">
        <v>10</v>
      </c>
      <c r="J67" s="18" t="s">
        <v>112</v>
      </c>
      <c r="K67" s="20"/>
    </row>
    <row r="68" spans="1:11" ht="36.75" thickBot="1">
      <c r="A68" s="18" t="s">
        <v>1297</v>
      </c>
      <c r="B68" s="18">
        <v>20023263667</v>
      </c>
      <c r="C68" s="18" t="s">
        <v>1191</v>
      </c>
      <c r="D68" s="19">
        <v>45580.727083333331</v>
      </c>
      <c r="E68" s="18" t="s">
        <v>10</v>
      </c>
      <c r="F68" s="18">
        <v>16</v>
      </c>
      <c r="G68" s="18" t="s">
        <v>10</v>
      </c>
      <c r="H68" s="18" t="s">
        <v>178</v>
      </c>
      <c r="I68" s="18" t="s">
        <v>10</v>
      </c>
      <c r="J68" s="18" t="s">
        <v>112</v>
      </c>
      <c r="K68" s="20"/>
    </row>
    <row r="69" spans="1:11" ht="36.75" thickBot="1">
      <c r="A69" s="18" t="s">
        <v>1298</v>
      </c>
      <c r="B69" s="18">
        <v>20003249820</v>
      </c>
      <c r="C69" s="18" t="s">
        <v>114</v>
      </c>
      <c r="D69" s="19">
        <v>45581.693055555559</v>
      </c>
      <c r="E69" s="18" t="s">
        <v>10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112</v>
      </c>
      <c r="K69" s="20"/>
    </row>
    <row r="70" spans="1:11" ht="36.75" thickBot="1">
      <c r="A70" s="18" t="s">
        <v>1401</v>
      </c>
      <c r="B70" s="18">
        <v>20024589094</v>
      </c>
      <c r="C70" s="18" t="s">
        <v>1402</v>
      </c>
      <c r="D70" s="19">
        <v>45587.495138888888</v>
      </c>
      <c r="E70" s="18" t="s">
        <v>10</v>
      </c>
      <c r="F70" s="18">
        <v>20</v>
      </c>
      <c r="G70" s="18" t="s">
        <v>10</v>
      </c>
      <c r="H70" s="18" t="s">
        <v>178</v>
      </c>
      <c r="I70" s="18" t="s">
        <v>10</v>
      </c>
      <c r="J70" s="18" t="s">
        <v>112</v>
      </c>
      <c r="K70" s="20"/>
    </row>
    <row r="71" spans="1:11" ht="36.75" thickBot="1">
      <c r="A71" s="18" t="s">
        <v>1405</v>
      </c>
      <c r="B71" s="18">
        <v>20003145589</v>
      </c>
      <c r="C71" s="18" t="s">
        <v>1406</v>
      </c>
      <c r="D71" s="19">
        <v>45589.585416666669</v>
      </c>
      <c r="E71" s="18" t="s">
        <v>10</v>
      </c>
      <c r="F71" s="18">
        <v>10</v>
      </c>
      <c r="G71" s="18" t="s">
        <v>10</v>
      </c>
      <c r="H71" s="18" t="s">
        <v>178</v>
      </c>
      <c r="I71" s="18" t="s">
        <v>10</v>
      </c>
      <c r="J71" s="18" t="s">
        <v>112</v>
      </c>
      <c r="K71" s="20"/>
    </row>
    <row r="72" spans="1:11" ht="36.75" thickBot="1">
      <c r="A72" s="18" t="s">
        <v>1407</v>
      </c>
      <c r="B72" s="18">
        <v>20020846427</v>
      </c>
      <c r="C72" s="18" t="s">
        <v>1408</v>
      </c>
      <c r="D72" s="19">
        <v>45590.82916666667</v>
      </c>
      <c r="E72" s="18" t="s">
        <v>10</v>
      </c>
      <c r="F72" s="18">
        <v>5</v>
      </c>
      <c r="G72" s="18" t="s">
        <v>10</v>
      </c>
      <c r="H72" s="18" t="s">
        <v>178</v>
      </c>
      <c r="I72" s="18" t="s">
        <v>10</v>
      </c>
      <c r="J72" s="18" t="s">
        <v>112</v>
      </c>
      <c r="K72" s="20"/>
    </row>
    <row r="73" spans="1:11" ht="36.75" thickBot="1">
      <c r="A73" s="18" t="s">
        <v>1409</v>
      </c>
      <c r="B73" s="18">
        <v>20003249820</v>
      </c>
      <c r="C73" s="18" t="s">
        <v>114</v>
      </c>
      <c r="D73" s="19">
        <v>45592.043055555558</v>
      </c>
      <c r="E73" s="18" t="s">
        <v>10</v>
      </c>
      <c r="F73" s="18">
        <v>5</v>
      </c>
      <c r="G73" s="18" t="s">
        <v>10</v>
      </c>
      <c r="H73" s="18" t="s">
        <v>178</v>
      </c>
      <c r="I73" s="18" t="s">
        <v>10</v>
      </c>
      <c r="J73" s="18" t="s">
        <v>112</v>
      </c>
      <c r="K73" s="20"/>
    </row>
    <row r="74" spans="1:11" ht="36.75" thickBot="1">
      <c r="A74" s="18" t="s">
        <v>1410</v>
      </c>
      <c r="B74" s="18">
        <v>20021769205</v>
      </c>
      <c r="C74" s="18" t="s">
        <v>1411</v>
      </c>
      <c r="D74" s="19">
        <v>45592.838194444441</v>
      </c>
      <c r="E74" s="18" t="s">
        <v>10</v>
      </c>
      <c r="F74" s="18">
        <v>10</v>
      </c>
      <c r="G74" s="18" t="s">
        <v>10</v>
      </c>
      <c r="H74" s="18" t="s">
        <v>178</v>
      </c>
      <c r="I74" s="18" t="s">
        <v>10</v>
      </c>
      <c r="J74" s="18" t="s">
        <v>112</v>
      </c>
      <c r="K74" s="20"/>
    </row>
    <row r="75" spans="1:11" ht="36.75" thickBot="1">
      <c r="A75" s="18" t="s">
        <v>1293</v>
      </c>
      <c r="B75" s="18">
        <v>20020971333</v>
      </c>
      <c r="C75" s="18" t="s">
        <v>849</v>
      </c>
      <c r="D75" s="19">
        <v>45567.586805555555</v>
      </c>
      <c r="E75" s="19">
        <v>45593.420138888891</v>
      </c>
      <c r="F75" s="18">
        <v>10</v>
      </c>
      <c r="G75" s="19">
        <v>45664.658333333333</v>
      </c>
      <c r="H75" s="18" t="s">
        <v>236</v>
      </c>
      <c r="I75" s="18" t="s">
        <v>10</v>
      </c>
      <c r="J75" s="18" t="s">
        <v>112</v>
      </c>
      <c r="K75" s="20"/>
    </row>
    <row r="76" spans="1:11" ht="36.75" thickBot="1">
      <c r="A76" s="18" t="s">
        <v>1414</v>
      </c>
      <c r="B76" s="18">
        <v>20020835835</v>
      </c>
      <c r="C76" s="18" t="s">
        <v>1055</v>
      </c>
      <c r="D76" s="19">
        <v>45586.286111111112</v>
      </c>
      <c r="E76" s="19">
        <v>45594.320138888892</v>
      </c>
      <c r="F76" s="18">
        <v>10</v>
      </c>
      <c r="G76" s="19">
        <v>45645.390277777777</v>
      </c>
      <c r="H76" s="18" t="s">
        <v>236</v>
      </c>
      <c r="I76" s="18" t="s">
        <v>10</v>
      </c>
      <c r="J76" s="18" t="s">
        <v>112</v>
      </c>
      <c r="K76" s="20"/>
    </row>
    <row r="77" spans="1:11" ht="36.75" thickBot="1">
      <c r="A77" s="18" t="s">
        <v>1563</v>
      </c>
      <c r="B77" s="18">
        <v>20024958951</v>
      </c>
      <c r="C77" s="18" t="s">
        <v>379</v>
      </c>
      <c r="D77" s="19">
        <v>45597.70208333333</v>
      </c>
      <c r="E77" s="18" t="s">
        <v>10</v>
      </c>
      <c r="F77" s="18">
        <v>10</v>
      </c>
      <c r="G77" s="18" t="s">
        <v>10</v>
      </c>
      <c r="H77" s="18" t="s">
        <v>178</v>
      </c>
      <c r="I77" s="18" t="s">
        <v>10</v>
      </c>
      <c r="J77" s="18" t="s">
        <v>112</v>
      </c>
      <c r="K77" s="20"/>
    </row>
    <row r="78" spans="1:11" ht="54.75" thickBot="1">
      <c r="A78" s="18" t="s">
        <v>1564</v>
      </c>
      <c r="B78" s="18">
        <v>20003145589</v>
      </c>
      <c r="C78" s="18" t="s">
        <v>1565</v>
      </c>
      <c r="D78" s="19">
        <v>45600.854861111111</v>
      </c>
      <c r="E78" s="18" t="s">
        <v>10</v>
      </c>
      <c r="F78" s="18">
        <v>10</v>
      </c>
      <c r="G78" s="18" t="s">
        <v>10</v>
      </c>
      <c r="H78" s="18" t="s">
        <v>178</v>
      </c>
      <c r="I78" s="18" t="s">
        <v>10</v>
      </c>
      <c r="J78" s="18" t="s">
        <v>112</v>
      </c>
      <c r="K78" s="20"/>
    </row>
    <row r="79" spans="1:11" ht="36.75" thickBot="1">
      <c r="A79" s="18" t="s">
        <v>1415</v>
      </c>
      <c r="B79" s="18">
        <v>20024589094</v>
      </c>
      <c r="C79" s="18" t="s">
        <v>1402</v>
      </c>
      <c r="D79" s="19">
        <v>45594.397222222222</v>
      </c>
      <c r="E79" s="19">
        <v>45601.729166666664</v>
      </c>
      <c r="F79" s="18">
        <v>20</v>
      </c>
      <c r="G79" s="19">
        <v>45616.431250000001</v>
      </c>
      <c r="H79" s="18" t="s">
        <v>236</v>
      </c>
      <c r="I79" s="18" t="s">
        <v>10</v>
      </c>
      <c r="J79" s="18" t="s">
        <v>112</v>
      </c>
      <c r="K79" s="20"/>
    </row>
    <row r="80" spans="1:11" ht="36.75" thickBot="1">
      <c r="A80" s="18" t="s">
        <v>1202</v>
      </c>
      <c r="B80" s="18">
        <v>20026955832</v>
      </c>
      <c r="C80" s="18" t="s">
        <v>1189</v>
      </c>
      <c r="D80" s="19">
        <v>45564.999305555553</v>
      </c>
      <c r="E80" s="19">
        <v>45603.709027777775</v>
      </c>
      <c r="F80" s="18">
        <v>15</v>
      </c>
      <c r="G80" s="19">
        <v>45628.474305555559</v>
      </c>
      <c r="H80" s="18" t="s">
        <v>178</v>
      </c>
      <c r="I80" s="18" t="s">
        <v>10</v>
      </c>
      <c r="J80" s="18" t="s">
        <v>112</v>
      </c>
      <c r="K80" s="20"/>
    </row>
    <row r="81" spans="1:11" ht="36.75" thickBot="1">
      <c r="A81" s="18" t="s">
        <v>1566</v>
      </c>
      <c r="B81" s="18">
        <v>20023263667</v>
      </c>
      <c r="C81" s="18" t="s">
        <v>1047</v>
      </c>
      <c r="D81" s="19">
        <v>45603.746527777781</v>
      </c>
      <c r="E81" s="18" t="s">
        <v>10</v>
      </c>
      <c r="F81" s="18">
        <v>16</v>
      </c>
      <c r="G81" s="18" t="s">
        <v>10</v>
      </c>
      <c r="H81" s="18" t="s">
        <v>178</v>
      </c>
      <c r="I81" s="18" t="s">
        <v>10</v>
      </c>
      <c r="J81" s="18" t="s">
        <v>112</v>
      </c>
      <c r="K81" s="20"/>
    </row>
    <row r="82" spans="1:11" ht="36.75" thickBot="1">
      <c r="A82" s="18" t="s">
        <v>1567</v>
      </c>
      <c r="B82" s="18">
        <v>20002842940</v>
      </c>
      <c r="C82" s="18" t="s">
        <v>1568</v>
      </c>
      <c r="D82" s="19">
        <v>45609.786805555559</v>
      </c>
      <c r="E82" s="18" t="s">
        <v>10</v>
      </c>
      <c r="F82" s="18">
        <v>5</v>
      </c>
      <c r="G82" s="18" t="s">
        <v>10</v>
      </c>
      <c r="H82" s="18" t="s">
        <v>178</v>
      </c>
      <c r="I82" s="18" t="s">
        <v>10</v>
      </c>
      <c r="J82" s="18" t="s">
        <v>112</v>
      </c>
      <c r="K82" s="20"/>
    </row>
    <row r="83" spans="1:11" ht="36.75" thickBot="1">
      <c r="A83" s="18" t="s">
        <v>1569</v>
      </c>
      <c r="B83" s="18">
        <v>20027152642</v>
      </c>
      <c r="C83" s="18" t="s">
        <v>1062</v>
      </c>
      <c r="D83" s="19">
        <v>45611.423611111109</v>
      </c>
      <c r="E83" s="18" t="s">
        <v>10</v>
      </c>
      <c r="F83" s="18">
        <v>20</v>
      </c>
      <c r="G83" s="18" t="s">
        <v>10</v>
      </c>
      <c r="H83" s="18" t="s">
        <v>178</v>
      </c>
      <c r="I83" s="18" t="s">
        <v>10</v>
      </c>
      <c r="J83" s="18" t="s">
        <v>112</v>
      </c>
      <c r="K83" s="20"/>
    </row>
    <row r="84" spans="1:11" ht="36.75" thickBot="1">
      <c r="A84" s="18" t="s">
        <v>1570</v>
      </c>
      <c r="B84" s="18">
        <v>20025644302</v>
      </c>
      <c r="C84" s="18" t="s">
        <v>1196</v>
      </c>
      <c r="D84" s="19">
        <v>45611.693749999999</v>
      </c>
      <c r="E84" s="18" t="s">
        <v>10</v>
      </c>
      <c r="F84" s="18">
        <v>3</v>
      </c>
      <c r="G84" s="18" t="s">
        <v>10</v>
      </c>
      <c r="H84" s="18" t="s">
        <v>178</v>
      </c>
      <c r="I84" s="18" t="s">
        <v>10</v>
      </c>
      <c r="J84" s="18" t="s">
        <v>112</v>
      </c>
      <c r="K84" s="20"/>
    </row>
    <row r="85" spans="1:11" ht="72.75" thickBot="1">
      <c r="A85" s="18" t="s">
        <v>1571</v>
      </c>
      <c r="B85" s="18">
        <v>20026652009</v>
      </c>
      <c r="C85" s="18" t="s">
        <v>825</v>
      </c>
      <c r="D85" s="19">
        <v>45614.495833333334</v>
      </c>
      <c r="E85" s="18" t="s">
        <v>10</v>
      </c>
      <c r="F85" s="18">
        <v>12</v>
      </c>
      <c r="G85" s="18" t="s">
        <v>10</v>
      </c>
      <c r="H85" s="18" t="s">
        <v>178</v>
      </c>
      <c r="I85" s="18" t="s">
        <v>10</v>
      </c>
      <c r="J85" s="18" t="s">
        <v>112</v>
      </c>
      <c r="K85" s="20"/>
    </row>
    <row r="86" spans="1:11" ht="54.75" thickBot="1">
      <c r="A86" s="18" t="s">
        <v>1572</v>
      </c>
      <c r="B86" s="18">
        <v>20003145589</v>
      </c>
      <c r="C86" s="18" t="s">
        <v>1565</v>
      </c>
      <c r="D86" s="19">
        <v>45614.585416666669</v>
      </c>
      <c r="E86" s="18" t="s">
        <v>10</v>
      </c>
      <c r="F86" s="18">
        <v>10</v>
      </c>
      <c r="G86" s="18" t="s">
        <v>10</v>
      </c>
      <c r="H86" s="18" t="s">
        <v>178</v>
      </c>
      <c r="I86" s="18" t="s">
        <v>10</v>
      </c>
      <c r="J86" s="18" t="s">
        <v>112</v>
      </c>
      <c r="K86" s="20"/>
    </row>
    <row r="87" spans="1:11" ht="36.75" thickBot="1">
      <c r="A87" s="18" t="s">
        <v>1573</v>
      </c>
      <c r="B87" s="18">
        <v>20020914714</v>
      </c>
      <c r="C87" s="18" t="s">
        <v>1574</v>
      </c>
      <c r="D87" s="19">
        <v>45614.679861111108</v>
      </c>
      <c r="E87" s="18" t="s">
        <v>10</v>
      </c>
      <c r="F87" s="18">
        <v>5</v>
      </c>
      <c r="G87" s="18" t="s">
        <v>10</v>
      </c>
      <c r="H87" s="18" t="s">
        <v>178</v>
      </c>
      <c r="I87" s="18" t="s">
        <v>10</v>
      </c>
      <c r="J87" s="18" t="s">
        <v>112</v>
      </c>
      <c r="K87" s="20"/>
    </row>
    <row r="88" spans="1:11" ht="36.75" thickBot="1">
      <c r="A88" s="18" t="s">
        <v>1295</v>
      </c>
      <c r="B88" s="18">
        <v>20024938243</v>
      </c>
      <c r="C88" s="18" t="s">
        <v>1051</v>
      </c>
      <c r="D88" s="19">
        <v>45569.474305555559</v>
      </c>
      <c r="E88" s="19">
        <v>45615.631944444445</v>
      </c>
      <c r="F88" s="18">
        <v>3</v>
      </c>
      <c r="G88" s="18" t="s">
        <v>10</v>
      </c>
      <c r="H88" s="18" t="s">
        <v>178</v>
      </c>
      <c r="I88" s="18" t="s">
        <v>10</v>
      </c>
      <c r="J88" s="18" t="s">
        <v>112</v>
      </c>
      <c r="K88" s="20"/>
    </row>
    <row r="89" spans="1:11" ht="36.75" thickBot="1">
      <c r="A89" s="18" t="s">
        <v>1579</v>
      </c>
      <c r="B89" s="18">
        <v>20027717341</v>
      </c>
      <c r="C89" s="18" t="s">
        <v>1058</v>
      </c>
      <c r="D89" s="19">
        <v>45618.597916666666</v>
      </c>
      <c r="E89" s="18" t="s">
        <v>10</v>
      </c>
      <c r="F89" s="18">
        <v>3</v>
      </c>
      <c r="G89" s="18" t="s">
        <v>10</v>
      </c>
      <c r="H89" s="18" t="s">
        <v>178</v>
      </c>
      <c r="I89" s="18" t="s">
        <v>10</v>
      </c>
      <c r="J89" s="18" t="s">
        <v>112</v>
      </c>
      <c r="K89" s="20"/>
    </row>
    <row r="90" spans="1:11" ht="36.75" thickBot="1">
      <c r="A90" s="18" t="s">
        <v>1580</v>
      </c>
      <c r="B90" s="18">
        <v>20027152642</v>
      </c>
      <c r="C90" s="18" t="s">
        <v>1062</v>
      </c>
      <c r="D90" s="19">
        <v>45621.473611111112</v>
      </c>
      <c r="E90" s="18" t="s">
        <v>10</v>
      </c>
      <c r="F90" s="18">
        <v>20</v>
      </c>
      <c r="G90" s="18" t="s">
        <v>10</v>
      </c>
      <c r="H90" s="18" t="s">
        <v>178</v>
      </c>
      <c r="I90" s="18" t="s">
        <v>10</v>
      </c>
      <c r="J90" s="18" t="s">
        <v>112</v>
      </c>
      <c r="K90" s="20"/>
    </row>
    <row r="91" spans="1:11" ht="36.75" thickBot="1">
      <c r="A91" s="18" t="s">
        <v>1581</v>
      </c>
      <c r="B91" s="18">
        <v>20017746865</v>
      </c>
      <c r="C91" s="18" t="s">
        <v>1582</v>
      </c>
      <c r="D91" s="19">
        <v>45622.970138888886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112</v>
      </c>
      <c r="K91" s="20"/>
    </row>
    <row r="92" spans="1:11" ht="36.75" thickBot="1">
      <c r="A92" s="18" t="s">
        <v>1586</v>
      </c>
      <c r="B92" s="18">
        <v>20020846427</v>
      </c>
      <c r="C92" s="18" t="s">
        <v>1408</v>
      </c>
      <c r="D92" s="19">
        <v>45623.791666666664</v>
      </c>
      <c r="E92" s="18" t="s">
        <v>10</v>
      </c>
      <c r="F92" s="18">
        <v>5</v>
      </c>
      <c r="G92" s="18" t="s">
        <v>10</v>
      </c>
      <c r="H92" s="18" t="s">
        <v>178</v>
      </c>
      <c r="I92" s="18" t="s">
        <v>10</v>
      </c>
      <c r="J92" s="18" t="s">
        <v>112</v>
      </c>
      <c r="K92" s="20"/>
    </row>
    <row r="93" spans="1:11" ht="36.75" thickBot="1">
      <c r="A93" s="18" t="s">
        <v>1412</v>
      </c>
      <c r="B93" s="18">
        <v>20021169036</v>
      </c>
      <c r="C93" s="18" t="s">
        <v>1413</v>
      </c>
      <c r="D93" s="19">
        <v>45593.520833333336</v>
      </c>
      <c r="E93" s="19">
        <v>45629.043055555558</v>
      </c>
      <c r="F93" s="18">
        <v>5</v>
      </c>
      <c r="G93" s="19">
        <v>45642.384027777778</v>
      </c>
      <c r="H93" s="18" t="s">
        <v>236</v>
      </c>
      <c r="I93" s="18" t="s">
        <v>10</v>
      </c>
      <c r="J93" s="18" t="s">
        <v>112</v>
      </c>
      <c r="K93" s="20"/>
    </row>
    <row r="94" spans="1:11" ht="36.75" thickBot="1">
      <c r="A94" s="18" t="s">
        <v>1803</v>
      </c>
      <c r="B94" s="18">
        <v>20027793794</v>
      </c>
      <c r="C94" s="18" t="s">
        <v>1804</v>
      </c>
      <c r="D94" s="19">
        <v>45633.65625</v>
      </c>
      <c r="E94" s="18" t="s">
        <v>10</v>
      </c>
      <c r="F94" s="18">
        <v>5</v>
      </c>
      <c r="G94" s="18" t="s">
        <v>10</v>
      </c>
      <c r="H94" s="18" t="s">
        <v>178</v>
      </c>
      <c r="I94" s="18" t="s">
        <v>10</v>
      </c>
      <c r="J94" s="18" t="s">
        <v>112</v>
      </c>
      <c r="K94" s="20"/>
    </row>
    <row r="95" spans="1:11" ht="36.75" thickBot="1">
      <c r="A95" s="18" t="s">
        <v>1805</v>
      </c>
      <c r="B95" s="18">
        <v>20027152642</v>
      </c>
      <c r="C95" s="18" t="s">
        <v>1062</v>
      </c>
      <c r="D95" s="19">
        <v>45635.481249999997</v>
      </c>
      <c r="E95" s="18" t="s">
        <v>10</v>
      </c>
      <c r="F95" s="18">
        <v>20</v>
      </c>
      <c r="G95" s="18" t="s">
        <v>10</v>
      </c>
      <c r="H95" s="18" t="s">
        <v>178</v>
      </c>
      <c r="I95" s="18" t="s">
        <v>10</v>
      </c>
      <c r="J95" s="18" t="s">
        <v>112</v>
      </c>
      <c r="K95" s="20"/>
    </row>
    <row r="96" spans="1:11" ht="54.75" thickBot="1">
      <c r="A96" s="18" t="s">
        <v>1806</v>
      </c>
      <c r="B96" s="18">
        <v>20003145589</v>
      </c>
      <c r="C96" s="18" t="s">
        <v>1565</v>
      </c>
      <c r="D96" s="19">
        <v>45635.632638888892</v>
      </c>
      <c r="E96" s="18" t="s">
        <v>10</v>
      </c>
      <c r="F96" s="18">
        <v>10</v>
      </c>
      <c r="G96" s="18" t="s">
        <v>10</v>
      </c>
      <c r="H96" s="18" t="s">
        <v>178</v>
      </c>
      <c r="I96" s="18" t="s">
        <v>10</v>
      </c>
      <c r="J96" s="18" t="s">
        <v>112</v>
      </c>
      <c r="K96" s="20"/>
    </row>
    <row r="97" spans="1:11" ht="36.75" thickBot="1">
      <c r="A97" s="18" t="s">
        <v>1403</v>
      </c>
      <c r="B97" s="18">
        <v>20027939140</v>
      </c>
      <c r="C97" s="18" t="s">
        <v>1404</v>
      </c>
      <c r="D97" s="19">
        <v>45587.685416666667</v>
      </c>
      <c r="E97" s="19">
        <v>45636.602777777778</v>
      </c>
      <c r="F97" s="18">
        <v>5</v>
      </c>
      <c r="G97" s="19">
        <v>45685.564583333333</v>
      </c>
      <c r="H97" s="18" t="s">
        <v>2657</v>
      </c>
      <c r="I97" s="18" t="s">
        <v>10</v>
      </c>
      <c r="J97" s="18" t="s">
        <v>112</v>
      </c>
      <c r="K97" s="20"/>
    </row>
    <row r="98" spans="1:11" ht="36.75" thickBot="1">
      <c r="A98" s="18" t="s">
        <v>1296</v>
      </c>
      <c r="B98" s="18">
        <v>20003334716</v>
      </c>
      <c r="C98" s="18" t="s">
        <v>703</v>
      </c>
      <c r="D98" s="19">
        <v>45569.609027777777</v>
      </c>
      <c r="E98" s="19">
        <v>45637.445833333331</v>
      </c>
      <c r="F98" s="18">
        <v>10</v>
      </c>
      <c r="G98" s="19">
        <v>45651.460416666669</v>
      </c>
      <c r="H98" s="18" t="s">
        <v>236</v>
      </c>
      <c r="I98" s="18" t="s">
        <v>10</v>
      </c>
      <c r="J98" s="18" t="s">
        <v>112</v>
      </c>
      <c r="K98" s="20"/>
    </row>
    <row r="99" spans="1:11" ht="36.75" thickBot="1">
      <c r="A99" s="18" t="s">
        <v>1575</v>
      </c>
      <c r="B99" s="18">
        <v>20003249820</v>
      </c>
      <c r="C99" s="18" t="s">
        <v>114</v>
      </c>
      <c r="D99" s="19">
        <v>45614.935416666667</v>
      </c>
      <c r="E99" s="19">
        <v>45642.088194444441</v>
      </c>
      <c r="F99" s="18">
        <v>5</v>
      </c>
      <c r="G99" s="19">
        <v>45691.517361111109</v>
      </c>
      <c r="H99" s="18" t="s">
        <v>236</v>
      </c>
      <c r="I99" s="18" t="s">
        <v>10</v>
      </c>
      <c r="J99" s="18" t="s">
        <v>112</v>
      </c>
      <c r="K99" s="20"/>
    </row>
    <row r="100" spans="1:11" ht="36.75" thickBot="1">
      <c r="A100" s="18" t="s">
        <v>1892</v>
      </c>
      <c r="B100" s="18">
        <v>20022325078</v>
      </c>
      <c r="C100" s="18" t="s">
        <v>1893</v>
      </c>
      <c r="D100" s="19">
        <v>45643.481249999997</v>
      </c>
      <c r="E100" s="18" t="s">
        <v>10</v>
      </c>
      <c r="F100" s="18">
        <v>10</v>
      </c>
      <c r="G100" s="18" t="s">
        <v>10</v>
      </c>
      <c r="H100" s="18" t="s">
        <v>178</v>
      </c>
      <c r="I100" s="18" t="s">
        <v>10</v>
      </c>
      <c r="J100" s="18" t="s">
        <v>112</v>
      </c>
      <c r="K100" s="20"/>
    </row>
    <row r="101" spans="1:11" ht="36.75" thickBot="1">
      <c r="A101" s="18" t="s">
        <v>1894</v>
      </c>
      <c r="B101" s="18">
        <v>20026955832</v>
      </c>
      <c r="C101" s="18" t="s">
        <v>1895</v>
      </c>
      <c r="D101" s="19">
        <v>45649.893055555556</v>
      </c>
      <c r="E101" s="18" t="s">
        <v>10</v>
      </c>
      <c r="F101" s="18">
        <v>15</v>
      </c>
      <c r="G101" s="18" t="s">
        <v>10</v>
      </c>
      <c r="H101" s="18" t="s">
        <v>178</v>
      </c>
      <c r="I101" s="18" t="s">
        <v>10</v>
      </c>
      <c r="J101" s="18" t="s">
        <v>112</v>
      </c>
      <c r="K101" s="20"/>
    </row>
    <row r="102" spans="1:11" ht="36.75" thickBot="1">
      <c r="A102" s="21" t="s">
        <v>1896</v>
      </c>
      <c r="B102" s="21">
        <v>20026955832</v>
      </c>
      <c r="C102" s="21" t="s">
        <v>1897</v>
      </c>
      <c r="D102" s="22">
        <v>45650.570833333331</v>
      </c>
      <c r="E102" s="21" t="s">
        <v>10</v>
      </c>
      <c r="F102" s="21">
        <v>15</v>
      </c>
      <c r="G102" s="22">
        <v>45667.59097222222</v>
      </c>
      <c r="H102" s="21" t="s">
        <v>236</v>
      </c>
      <c r="I102" s="21" t="s">
        <v>10</v>
      </c>
      <c r="J102" s="21" t="s">
        <v>112</v>
      </c>
      <c r="K102" s="1"/>
    </row>
    <row r="103" spans="1:11" ht="54.75" thickBot="1">
      <c r="A103" s="21" t="s">
        <v>1898</v>
      </c>
      <c r="B103" s="21">
        <v>20003145589</v>
      </c>
      <c r="C103" s="21" t="s">
        <v>1565</v>
      </c>
      <c r="D103" s="22">
        <v>45655.448611111111</v>
      </c>
      <c r="E103" s="21" t="s">
        <v>10</v>
      </c>
      <c r="F103" s="21">
        <v>10</v>
      </c>
      <c r="G103" s="21" t="s">
        <v>10</v>
      </c>
      <c r="H103" s="21" t="s">
        <v>178</v>
      </c>
      <c r="I103" s="21" t="s">
        <v>10</v>
      </c>
      <c r="J103" s="21" t="s">
        <v>112</v>
      </c>
      <c r="K103" s="20"/>
    </row>
    <row r="104" spans="1:11" ht="36.75" thickBot="1">
      <c r="A104" s="18" t="s">
        <v>1932</v>
      </c>
      <c r="B104" s="18">
        <v>20027152642</v>
      </c>
      <c r="C104" s="18" t="s">
        <v>1062</v>
      </c>
      <c r="D104" s="19">
        <v>45660.636805555558</v>
      </c>
      <c r="E104" s="18" t="s">
        <v>10</v>
      </c>
      <c r="F104" s="18">
        <v>20</v>
      </c>
      <c r="G104" s="18" t="s">
        <v>10</v>
      </c>
      <c r="H104" s="18" t="s">
        <v>178</v>
      </c>
      <c r="I104" s="18" t="s">
        <v>10</v>
      </c>
      <c r="J104" s="18" t="s">
        <v>112</v>
      </c>
      <c r="K104" s="20"/>
    </row>
    <row r="105" spans="1:11" ht="36.75" thickBot="1">
      <c r="A105" s="18" t="s">
        <v>1934</v>
      </c>
      <c r="B105" s="18">
        <v>20027793794</v>
      </c>
      <c r="C105" s="18" t="s">
        <v>1935</v>
      </c>
      <c r="D105" s="19">
        <v>45664.756944444445</v>
      </c>
      <c r="E105" s="18" t="s">
        <v>10</v>
      </c>
      <c r="F105" s="18">
        <v>5</v>
      </c>
      <c r="G105" s="18" t="s">
        <v>10</v>
      </c>
      <c r="H105" s="18" t="s">
        <v>178</v>
      </c>
      <c r="I105" s="18" t="s">
        <v>10</v>
      </c>
      <c r="J105" s="18" t="s">
        <v>112</v>
      </c>
      <c r="K105" s="20"/>
    </row>
    <row r="106" spans="1:11" ht="54.75" thickBot="1">
      <c r="A106" s="18" t="s">
        <v>1936</v>
      </c>
      <c r="B106" s="18">
        <v>20003025330</v>
      </c>
      <c r="C106" s="18" t="s">
        <v>1937</v>
      </c>
      <c r="D106" s="19">
        <v>45666.475694444445</v>
      </c>
      <c r="E106" s="18" t="s">
        <v>10</v>
      </c>
      <c r="F106" s="18">
        <v>10</v>
      </c>
      <c r="G106" s="18" t="s">
        <v>10</v>
      </c>
      <c r="H106" s="18" t="s">
        <v>178</v>
      </c>
      <c r="I106" s="18" t="s">
        <v>10</v>
      </c>
      <c r="J106" s="18" t="s">
        <v>112</v>
      </c>
      <c r="K106" s="20"/>
    </row>
    <row r="107" spans="1:11" ht="36.75" thickBot="1">
      <c r="A107" s="18" t="s">
        <v>1583</v>
      </c>
      <c r="B107" s="18">
        <v>20025357098</v>
      </c>
      <c r="C107" s="18" t="s">
        <v>1206</v>
      </c>
      <c r="D107" s="19">
        <v>45623.617361111108</v>
      </c>
      <c r="E107" s="19">
        <v>45666.490972222222</v>
      </c>
      <c r="F107" s="18">
        <v>5</v>
      </c>
      <c r="G107" s="19">
        <v>45687.547222222223</v>
      </c>
      <c r="H107" s="18" t="s">
        <v>236</v>
      </c>
      <c r="I107" s="18" t="s">
        <v>10</v>
      </c>
      <c r="J107" s="18" t="s">
        <v>112</v>
      </c>
      <c r="K107" s="20"/>
    </row>
    <row r="108" spans="1:11" ht="36.75" thickBot="1">
      <c r="A108" s="18" t="s">
        <v>1808</v>
      </c>
      <c r="B108" s="18">
        <v>20003385309</v>
      </c>
      <c r="C108" s="18" t="s">
        <v>1809</v>
      </c>
      <c r="D108" s="19">
        <v>45630.711805555555</v>
      </c>
      <c r="E108" s="19">
        <v>45668.432638888888</v>
      </c>
      <c r="F108" s="18">
        <v>20</v>
      </c>
      <c r="G108" s="18" t="s">
        <v>10</v>
      </c>
      <c r="H108" s="18" t="s">
        <v>178</v>
      </c>
      <c r="I108" s="18" t="s">
        <v>10</v>
      </c>
      <c r="J108" s="18" t="s">
        <v>112</v>
      </c>
      <c r="K108" s="20"/>
    </row>
    <row r="109" spans="1:11" ht="36.75" thickBot="1">
      <c r="A109" s="18" t="s">
        <v>1938</v>
      </c>
      <c r="B109" s="18">
        <v>20027793794</v>
      </c>
      <c r="C109" s="18" t="s">
        <v>1935</v>
      </c>
      <c r="D109" s="19">
        <v>45668.589583333334</v>
      </c>
      <c r="E109" s="18" t="s">
        <v>10</v>
      </c>
      <c r="F109" s="18">
        <v>5</v>
      </c>
      <c r="G109" s="18" t="s">
        <v>10</v>
      </c>
      <c r="H109" s="18" t="s">
        <v>178</v>
      </c>
      <c r="I109" s="18" t="s">
        <v>10</v>
      </c>
      <c r="J109" s="18" t="s">
        <v>112</v>
      </c>
      <c r="K109" s="20"/>
    </row>
    <row r="110" spans="1:11" ht="54.75" thickBot="1">
      <c r="A110" s="18" t="s">
        <v>1939</v>
      </c>
      <c r="B110" s="18">
        <v>20003145589</v>
      </c>
      <c r="C110" s="18" t="s">
        <v>1565</v>
      </c>
      <c r="D110" s="19">
        <v>45671.98541666667</v>
      </c>
      <c r="E110" s="18" t="s">
        <v>10</v>
      </c>
      <c r="F110" s="18">
        <v>10</v>
      </c>
      <c r="G110" s="18" t="s">
        <v>10</v>
      </c>
      <c r="H110" s="18" t="s">
        <v>178</v>
      </c>
      <c r="I110" s="18" t="s">
        <v>10</v>
      </c>
      <c r="J110" s="18" t="s">
        <v>112</v>
      </c>
      <c r="K110" s="20"/>
    </row>
    <row r="111" spans="1:11" ht="36.75" thickBot="1">
      <c r="A111" s="18" t="s">
        <v>2001</v>
      </c>
      <c r="B111" s="18">
        <v>20023401035</v>
      </c>
      <c r="C111" s="18" t="s">
        <v>2002</v>
      </c>
      <c r="D111" s="19">
        <v>45673.04791666667</v>
      </c>
      <c r="E111" s="18" t="s">
        <v>10</v>
      </c>
      <c r="F111" s="18">
        <v>5</v>
      </c>
      <c r="G111" s="18" t="s">
        <v>10</v>
      </c>
      <c r="H111" s="18" t="s">
        <v>178</v>
      </c>
      <c r="I111" s="18" t="s">
        <v>10</v>
      </c>
      <c r="J111" s="18" t="s">
        <v>112</v>
      </c>
      <c r="K111" s="20"/>
    </row>
    <row r="112" spans="1:11" ht="36.75" thickBot="1">
      <c r="A112" s="18" t="s">
        <v>2003</v>
      </c>
      <c r="B112" s="18">
        <v>20023401035</v>
      </c>
      <c r="C112" s="18" t="s">
        <v>2004</v>
      </c>
      <c r="D112" s="19">
        <v>45673.056250000001</v>
      </c>
      <c r="E112" s="18" t="s">
        <v>10</v>
      </c>
      <c r="F112" s="18">
        <v>5</v>
      </c>
      <c r="G112" s="18" t="s">
        <v>10</v>
      </c>
      <c r="H112" s="18" t="s">
        <v>178</v>
      </c>
      <c r="I112" s="18" t="s">
        <v>10</v>
      </c>
      <c r="J112" s="18" t="s">
        <v>112</v>
      </c>
      <c r="K112" s="20"/>
    </row>
    <row r="113" spans="1:11" ht="36.75" thickBot="1">
      <c r="A113" s="18" t="s">
        <v>1576</v>
      </c>
      <c r="B113" s="18">
        <v>20021932134</v>
      </c>
      <c r="C113" s="18" t="s">
        <v>1053</v>
      </c>
      <c r="D113" s="19">
        <v>45618.479166666664</v>
      </c>
      <c r="E113" s="19">
        <v>45673.500694444447</v>
      </c>
      <c r="F113" s="18">
        <v>20</v>
      </c>
      <c r="G113" s="18" t="s">
        <v>10</v>
      </c>
      <c r="H113" s="18" t="s">
        <v>178</v>
      </c>
      <c r="I113" s="18" t="s">
        <v>10</v>
      </c>
      <c r="J113" s="18" t="s">
        <v>112</v>
      </c>
      <c r="K113" s="20"/>
    </row>
    <row r="114" spans="1:11" ht="36.75" thickBot="1">
      <c r="A114" s="18" t="s">
        <v>1584</v>
      </c>
      <c r="B114" s="18">
        <v>20028171986</v>
      </c>
      <c r="C114" s="18" t="s">
        <v>1585</v>
      </c>
      <c r="D114" s="19">
        <v>45623.683333333334</v>
      </c>
      <c r="E114" s="19">
        <v>45673.862500000003</v>
      </c>
      <c r="F114" s="18">
        <v>5</v>
      </c>
      <c r="G114" s="19">
        <v>45688.445833333331</v>
      </c>
      <c r="H114" s="18" t="s">
        <v>236</v>
      </c>
      <c r="I114" s="18" t="s">
        <v>10</v>
      </c>
      <c r="J114" s="18" t="s">
        <v>112</v>
      </c>
      <c r="K114" s="20"/>
    </row>
    <row r="115" spans="1:11" ht="36.75" thickBot="1">
      <c r="A115" s="18" t="s">
        <v>1577</v>
      </c>
      <c r="B115" s="18">
        <v>20026267807</v>
      </c>
      <c r="C115" s="18" t="s">
        <v>1578</v>
      </c>
      <c r="D115" s="19">
        <v>45618.53402777778</v>
      </c>
      <c r="E115" s="19">
        <v>45674.466666666667</v>
      </c>
      <c r="F115" s="18">
        <v>5</v>
      </c>
      <c r="G115" s="18" t="s">
        <v>10</v>
      </c>
      <c r="H115" s="18" t="s">
        <v>189</v>
      </c>
      <c r="I115" s="18" t="s">
        <v>10</v>
      </c>
      <c r="J115" s="18" t="s">
        <v>112</v>
      </c>
      <c r="K115" s="20"/>
    </row>
    <row r="116" spans="1:11" ht="36.75" thickBot="1">
      <c r="A116" s="18" t="s">
        <v>1807</v>
      </c>
      <c r="B116" s="18">
        <v>20027717341</v>
      </c>
      <c r="C116" s="18" t="s">
        <v>1058</v>
      </c>
      <c r="D116" s="19">
        <v>45639.546527777777</v>
      </c>
      <c r="E116" s="19">
        <v>45674.476388888892</v>
      </c>
      <c r="F116" s="18">
        <v>3</v>
      </c>
      <c r="G116" s="18" t="s">
        <v>10</v>
      </c>
      <c r="H116" s="18" t="s">
        <v>178</v>
      </c>
      <c r="I116" s="18" t="s">
        <v>10</v>
      </c>
      <c r="J116" s="18" t="s">
        <v>112</v>
      </c>
      <c r="K116" s="20"/>
    </row>
    <row r="117" spans="1:11" ht="36.75" thickBot="1">
      <c r="A117" s="18" t="s">
        <v>1890</v>
      </c>
      <c r="B117" s="18">
        <v>20022302240</v>
      </c>
      <c r="C117" s="18" t="s">
        <v>1891</v>
      </c>
      <c r="D117" s="19">
        <v>45643.46875</v>
      </c>
      <c r="E117" s="19">
        <v>45677.630555555559</v>
      </c>
      <c r="F117" s="18">
        <v>10</v>
      </c>
      <c r="G117" s="18" t="s">
        <v>10</v>
      </c>
      <c r="H117" s="18" t="s">
        <v>178</v>
      </c>
      <c r="I117" s="18" t="s">
        <v>10</v>
      </c>
      <c r="J117" s="18" t="s">
        <v>112</v>
      </c>
      <c r="K117" s="20"/>
    </row>
    <row r="118" spans="1:11" ht="54.75" thickBot="1">
      <c r="A118" s="18" t="s">
        <v>2006</v>
      </c>
      <c r="B118" s="18">
        <v>20003025330</v>
      </c>
      <c r="C118" s="18" t="s">
        <v>1937</v>
      </c>
      <c r="D118" s="19">
        <v>45679.460416666669</v>
      </c>
      <c r="E118" s="18" t="s">
        <v>10</v>
      </c>
      <c r="F118" s="18">
        <v>15</v>
      </c>
      <c r="G118" s="18" t="s">
        <v>10</v>
      </c>
      <c r="H118" s="18" t="s">
        <v>178</v>
      </c>
      <c r="I118" s="18" t="s">
        <v>10</v>
      </c>
      <c r="J118" s="18" t="s">
        <v>112</v>
      </c>
      <c r="K118" s="20"/>
    </row>
    <row r="119" spans="1:11" ht="36.75" thickBot="1">
      <c r="A119" s="18" t="s">
        <v>2007</v>
      </c>
      <c r="B119" s="18">
        <v>20018161753</v>
      </c>
      <c r="C119" s="18" t="s">
        <v>2008</v>
      </c>
      <c r="D119" s="19">
        <v>45684.020138888889</v>
      </c>
      <c r="E119" s="18" t="s">
        <v>10</v>
      </c>
      <c r="F119" s="18">
        <v>10</v>
      </c>
      <c r="G119" s="18" t="s">
        <v>10</v>
      </c>
      <c r="H119" s="18" t="s">
        <v>178</v>
      </c>
      <c r="I119" s="18" t="s">
        <v>10</v>
      </c>
      <c r="J119" s="18" t="s">
        <v>112</v>
      </c>
      <c r="K119" s="20"/>
    </row>
    <row r="120" spans="1:11" ht="36.75" thickBot="1">
      <c r="A120" s="18" t="s">
        <v>2114</v>
      </c>
      <c r="B120" s="18">
        <v>20020914714</v>
      </c>
      <c r="C120" s="18" t="s">
        <v>1574</v>
      </c>
      <c r="D120" s="19">
        <v>45689.492361111108</v>
      </c>
      <c r="E120" s="18" t="s">
        <v>10</v>
      </c>
      <c r="F120" s="18">
        <v>5</v>
      </c>
      <c r="G120" s="18" t="s">
        <v>10</v>
      </c>
      <c r="H120" s="18" t="s">
        <v>178</v>
      </c>
      <c r="I120" s="18" t="s">
        <v>10</v>
      </c>
      <c r="J120" s="18" t="s">
        <v>112</v>
      </c>
      <c r="K120" s="20"/>
    </row>
    <row r="121" spans="1:11" ht="36.75" thickBot="1">
      <c r="A121" s="18" t="s">
        <v>2115</v>
      </c>
      <c r="B121" s="18">
        <v>20003401647</v>
      </c>
      <c r="C121" s="18" t="s">
        <v>2116</v>
      </c>
      <c r="D121" s="19">
        <v>45692.684027777781</v>
      </c>
      <c r="E121" s="18" t="s">
        <v>10</v>
      </c>
      <c r="F121" s="18">
        <v>5</v>
      </c>
      <c r="G121" s="18" t="s">
        <v>10</v>
      </c>
      <c r="H121" s="18" t="s">
        <v>178</v>
      </c>
      <c r="I121" s="18" t="s">
        <v>10</v>
      </c>
      <c r="J121" s="18" t="s">
        <v>112</v>
      </c>
      <c r="K121" s="20"/>
    </row>
    <row r="122" spans="1:11" ht="36.75" thickBot="1">
      <c r="A122" s="18" t="s">
        <v>2117</v>
      </c>
      <c r="B122" s="18">
        <v>20022302240</v>
      </c>
      <c r="C122" s="18" t="s">
        <v>1891</v>
      </c>
      <c r="D122" s="19">
        <v>45693.613888888889</v>
      </c>
      <c r="E122" s="18" t="s">
        <v>10</v>
      </c>
      <c r="F122" s="18">
        <v>10</v>
      </c>
      <c r="G122" s="18" t="s">
        <v>10</v>
      </c>
      <c r="H122" s="18" t="s">
        <v>178</v>
      </c>
      <c r="I122" s="18" t="s">
        <v>10</v>
      </c>
      <c r="J122" s="18" t="s">
        <v>112</v>
      </c>
      <c r="K122" s="20"/>
    </row>
    <row r="123" spans="1:11" ht="36.75" thickBot="1">
      <c r="A123" s="18" t="s">
        <v>2118</v>
      </c>
      <c r="B123" s="18">
        <v>20019046608</v>
      </c>
      <c r="C123" s="18" t="s">
        <v>2119</v>
      </c>
      <c r="D123" s="19">
        <v>45699.681250000001</v>
      </c>
      <c r="E123" s="18" t="s">
        <v>10</v>
      </c>
      <c r="F123" s="18">
        <v>20</v>
      </c>
      <c r="G123" s="18" t="s">
        <v>10</v>
      </c>
      <c r="H123" s="18" t="s">
        <v>178</v>
      </c>
      <c r="I123" s="18" t="s">
        <v>10</v>
      </c>
      <c r="J123" s="18" t="s">
        <v>112</v>
      </c>
      <c r="K123" s="20"/>
    </row>
    <row r="124" spans="1:11" ht="36.75" thickBot="1">
      <c r="A124" s="18" t="s">
        <v>2009</v>
      </c>
      <c r="B124" s="18">
        <v>20027793794</v>
      </c>
      <c r="C124" s="18" t="s">
        <v>1935</v>
      </c>
      <c r="D124" s="19">
        <v>45684.681250000001</v>
      </c>
      <c r="E124" s="19">
        <v>45701.474999999999</v>
      </c>
      <c r="F124" s="18">
        <v>5</v>
      </c>
      <c r="G124" s="19">
        <v>45818.568055555559</v>
      </c>
      <c r="H124" s="18" t="s">
        <v>236</v>
      </c>
      <c r="I124" s="18" t="s">
        <v>10</v>
      </c>
      <c r="J124" s="18" t="s">
        <v>112</v>
      </c>
      <c r="K124" s="20"/>
    </row>
    <row r="125" spans="1:11" ht="36.75" thickBot="1">
      <c r="A125" s="18" t="s">
        <v>2120</v>
      </c>
      <c r="B125" s="18">
        <v>20019000702</v>
      </c>
      <c r="C125" s="18" t="s">
        <v>2121</v>
      </c>
      <c r="D125" s="19">
        <v>45703.439583333333</v>
      </c>
      <c r="E125" s="18" t="s">
        <v>10</v>
      </c>
      <c r="F125" s="18">
        <v>5</v>
      </c>
      <c r="G125" s="19">
        <v>45716.470833333333</v>
      </c>
      <c r="H125" s="18" t="s">
        <v>236</v>
      </c>
      <c r="I125" s="18" t="s">
        <v>10</v>
      </c>
      <c r="J125" s="18" t="s">
        <v>112</v>
      </c>
      <c r="K125" s="20"/>
    </row>
    <row r="126" spans="1:11" ht="36.75" thickBot="1">
      <c r="A126" s="18" t="s">
        <v>2122</v>
      </c>
      <c r="B126" s="18">
        <v>20020846427</v>
      </c>
      <c r="C126" s="18" t="s">
        <v>1408</v>
      </c>
      <c r="D126" s="19">
        <v>45704.645833333336</v>
      </c>
      <c r="E126" s="18" t="s">
        <v>10</v>
      </c>
      <c r="F126" s="18">
        <v>5</v>
      </c>
      <c r="G126" s="18" t="s">
        <v>10</v>
      </c>
      <c r="H126" s="18" t="s">
        <v>178</v>
      </c>
      <c r="I126" s="18" t="s">
        <v>10</v>
      </c>
      <c r="J126" s="18" t="s">
        <v>112</v>
      </c>
      <c r="K126" s="20"/>
    </row>
    <row r="127" spans="1:11" ht="36.75" thickBot="1">
      <c r="A127" s="18" t="s">
        <v>2205</v>
      </c>
      <c r="B127" s="18">
        <v>20003338818</v>
      </c>
      <c r="C127" s="18" t="s">
        <v>2206</v>
      </c>
      <c r="D127" s="19">
        <v>45706.571527777778</v>
      </c>
      <c r="E127" s="18" t="s">
        <v>10</v>
      </c>
      <c r="F127" s="18">
        <v>8</v>
      </c>
      <c r="G127" s="18" t="s">
        <v>10</v>
      </c>
      <c r="H127" s="18" t="s">
        <v>178</v>
      </c>
      <c r="I127" s="18" t="s">
        <v>10</v>
      </c>
      <c r="J127" s="18" t="s">
        <v>112</v>
      </c>
      <c r="K127" s="20"/>
    </row>
    <row r="128" spans="1:11" ht="36.75" thickBot="1">
      <c r="A128" s="18" t="s">
        <v>2207</v>
      </c>
      <c r="B128" s="18">
        <v>20020914714</v>
      </c>
      <c r="C128" s="18" t="s">
        <v>1574</v>
      </c>
      <c r="D128" s="19">
        <v>45707.628472222219</v>
      </c>
      <c r="E128" s="18" t="s">
        <v>10</v>
      </c>
      <c r="F128" s="18">
        <v>5</v>
      </c>
      <c r="G128" s="18" t="s">
        <v>10</v>
      </c>
      <c r="H128" s="18" t="s">
        <v>178</v>
      </c>
      <c r="I128" s="18" t="s">
        <v>10</v>
      </c>
      <c r="J128" s="18" t="s">
        <v>112</v>
      </c>
      <c r="K128" s="20"/>
    </row>
    <row r="129" spans="1:11" ht="54.75" thickBot="1">
      <c r="A129" s="18" t="s">
        <v>1933</v>
      </c>
      <c r="B129" s="18">
        <v>20026287827</v>
      </c>
      <c r="C129" s="18" t="s">
        <v>863</v>
      </c>
      <c r="D129" s="19">
        <v>45662.415972222225</v>
      </c>
      <c r="E129" s="19">
        <v>45707.838888888888</v>
      </c>
      <c r="F129" s="18">
        <v>20</v>
      </c>
      <c r="G129" s="19">
        <v>45733.568055555559</v>
      </c>
      <c r="H129" s="18" t="s">
        <v>2657</v>
      </c>
      <c r="I129" s="18" t="s">
        <v>10</v>
      </c>
      <c r="J129" s="18" t="s">
        <v>112</v>
      </c>
      <c r="K129" s="20"/>
    </row>
    <row r="130" spans="1:11" ht="36.75" thickBot="1">
      <c r="A130" s="18" t="s">
        <v>2208</v>
      </c>
      <c r="B130" s="18">
        <v>20017746865</v>
      </c>
      <c r="C130" s="18" t="s">
        <v>2209</v>
      </c>
      <c r="D130" s="19">
        <v>45708.563194444447</v>
      </c>
      <c r="E130" s="18" t="s">
        <v>10</v>
      </c>
      <c r="F130" s="18">
        <v>5</v>
      </c>
      <c r="G130" s="18" t="s">
        <v>10</v>
      </c>
      <c r="H130" s="18" t="s">
        <v>178</v>
      </c>
      <c r="I130" s="18" t="s">
        <v>10</v>
      </c>
      <c r="J130" s="18" t="s">
        <v>112</v>
      </c>
      <c r="K130" s="20"/>
    </row>
    <row r="131" spans="1:11" ht="36.75" thickBot="1">
      <c r="A131" s="18" t="s">
        <v>2210</v>
      </c>
      <c r="B131" s="18">
        <v>20023263667</v>
      </c>
      <c r="C131" s="18" t="s">
        <v>1047</v>
      </c>
      <c r="D131" s="19">
        <v>45708.984722222223</v>
      </c>
      <c r="E131" s="18" t="s">
        <v>10</v>
      </c>
      <c r="F131" s="18">
        <v>16</v>
      </c>
      <c r="G131" s="18" t="s">
        <v>10</v>
      </c>
      <c r="H131" s="18" t="s">
        <v>178</v>
      </c>
      <c r="I131" s="18" t="s">
        <v>10</v>
      </c>
      <c r="J131" s="18" t="s">
        <v>112</v>
      </c>
      <c r="K131" s="20"/>
    </row>
    <row r="132" spans="1:11" ht="54.75" thickBot="1">
      <c r="A132" s="18" t="s">
        <v>1888</v>
      </c>
      <c r="B132" s="18">
        <v>20022325072</v>
      </c>
      <c r="C132" s="18" t="s">
        <v>1889</v>
      </c>
      <c r="D132" s="19">
        <v>45643.447222222225</v>
      </c>
      <c r="E132" s="19">
        <v>45713.470833333333</v>
      </c>
      <c r="F132" s="18">
        <v>10</v>
      </c>
      <c r="G132" s="19">
        <v>45723.479166666664</v>
      </c>
      <c r="H132" s="18" t="s">
        <v>236</v>
      </c>
      <c r="I132" s="18" t="s">
        <v>10</v>
      </c>
      <c r="J132" s="18" t="s">
        <v>112</v>
      </c>
      <c r="K132" s="20"/>
    </row>
    <row r="133" spans="1:11" ht="36.75" thickBot="1">
      <c r="A133" s="18" t="s">
        <v>2211</v>
      </c>
      <c r="B133" s="18">
        <v>20027744015</v>
      </c>
      <c r="C133" s="18" t="s">
        <v>2212</v>
      </c>
      <c r="D133" s="19">
        <v>45713.708333333336</v>
      </c>
      <c r="E133" s="18" t="s">
        <v>10</v>
      </c>
      <c r="F133" s="18">
        <v>2.85</v>
      </c>
      <c r="G133" s="18" t="s">
        <v>10</v>
      </c>
      <c r="H133" s="18" t="s">
        <v>178</v>
      </c>
      <c r="I133" s="18" t="s">
        <v>10</v>
      </c>
      <c r="J133" s="18" t="s">
        <v>112</v>
      </c>
      <c r="K133" s="20"/>
    </row>
    <row r="134" spans="1:11" ht="54.75" thickBot="1">
      <c r="A134" s="18" t="s">
        <v>2010</v>
      </c>
      <c r="B134" s="18">
        <v>20003145589</v>
      </c>
      <c r="C134" s="18" t="s">
        <v>1565</v>
      </c>
      <c r="D134" s="19">
        <v>45686.5625</v>
      </c>
      <c r="E134" s="19">
        <v>45715.779861111114</v>
      </c>
      <c r="F134" s="18">
        <v>10</v>
      </c>
      <c r="G134" s="19">
        <v>45735.479166666664</v>
      </c>
      <c r="H134" s="18" t="s">
        <v>236</v>
      </c>
      <c r="I134" s="18" t="s">
        <v>10</v>
      </c>
      <c r="J134" s="18" t="s">
        <v>112</v>
      </c>
      <c r="K134" s="20"/>
    </row>
    <row r="135" spans="1:11" ht="36.75" thickBot="1">
      <c r="A135" s="18" t="s">
        <v>2213</v>
      </c>
      <c r="B135" s="18">
        <v>20027744015</v>
      </c>
      <c r="C135" s="18" t="s">
        <v>2214</v>
      </c>
      <c r="D135" s="19">
        <v>45719.386111111111</v>
      </c>
      <c r="E135" s="18" t="s">
        <v>10</v>
      </c>
      <c r="F135" s="18">
        <v>2.85</v>
      </c>
      <c r="G135" s="18" t="s">
        <v>10</v>
      </c>
      <c r="H135" s="18" t="s">
        <v>178</v>
      </c>
      <c r="I135" s="18" t="s">
        <v>10</v>
      </c>
      <c r="J135" s="18" t="s">
        <v>112</v>
      </c>
      <c r="K135" s="20"/>
    </row>
    <row r="136" spans="1:11" ht="36.75" thickBot="1">
      <c r="A136" s="18" t="s">
        <v>2005</v>
      </c>
      <c r="B136" s="18">
        <v>20022325078</v>
      </c>
      <c r="C136" s="18" t="s">
        <v>1893</v>
      </c>
      <c r="D136" s="19">
        <v>45677.709722222222</v>
      </c>
      <c r="E136" s="19">
        <v>45719.406944444447</v>
      </c>
      <c r="F136" s="18">
        <v>10</v>
      </c>
      <c r="G136" s="19">
        <v>45747.538888888892</v>
      </c>
      <c r="H136" s="18" t="s">
        <v>236</v>
      </c>
      <c r="I136" s="18" t="s">
        <v>10</v>
      </c>
      <c r="J136" s="18" t="s">
        <v>112</v>
      </c>
      <c r="K136" s="20"/>
    </row>
    <row r="137" spans="1:11" ht="36.75" thickBot="1">
      <c r="A137" s="18" t="s">
        <v>2215</v>
      </c>
      <c r="B137" s="18">
        <v>20022302240</v>
      </c>
      <c r="C137" s="18" t="s">
        <v>1891</v>
      </c>
      <c r="D137" s="19">
        <v>45713.59375</v>
      </c>
      <c r="E137" s="19">
        <v>45719.42083333333</v>
      </c>
      <c r="F137" s="18">
        <v>10</v>
      </c>
      <c r="G137" s="19">
        <v>45747.538888888892</v>
      </c>
      <c r="H137" s="18" t="s">
        <v>236</v>
      </c>
      <c r="I137" s="18" t="s">
        <v>10</v>
      </c>
      <c r="J137" s="18" t="s">
        <v>112</v>
      </c>
      <c r="K137" s="20"/>
    </row>
    <row r="138" spans="1:11" ht="36.75" thickBot="1">
      <c r="A138" s="18" t="s">
        <v>2216</v>
      </c>
      <c r="B138" s="18">
        <v>20003385309</v>
      </c>
      <c r="C138" s="18" t="s">
        <v>1809</v>
      </c>
      <c r="D138" s="19">
        <v>45709.658333333333</v>
      </c>
      <c r="E138" s="19">
        <v>45719.5625</v>
      </c>
      <c r="F138" s="18">
        <v>20</v>
      </c>
      <c r="G138" s="18" t="s">
        <v>10</v>
      </c>
      <c r="H138" s="18" t="s">
        <v>178</v>
      </c>
      <c r="I138" s="18" t="s">
        <v>10</v>
      </c>
      <c r="J138" s="18" t="s">
        <v>112</v>
      </c>
      <c r="K138" s="20"/>
    </row>
    <row r="139" spans="1:11" ht="36.75" thickBot="1">
      <c r="A139" s="18" t="s">
        <v>2292</v>
      </c>
      <c r="B139" s="18">
        <v>20017746865</v>
      </c>
      <c r="C139" s="18" t="s">
        <v>2293</v>
      </c>
      <c r="D139" s="19">
        <v>45719.67291666667</v>
      </c>
      <c r="E139" s="18" t="s">
        <v>10</v>
      </c>
      <c r="F139" s="18">
        <v>5</v>
      </c>
      <c r="G139" s="18" t="s">
        <v>10</v>
      </c>
      <c r="H139" s="18" t="s">
        <v>178</v>
      </c>
      <c r="I139" s="18" t="s">
        <v>10</v>
      </c>
      <c r="J139" s="18" t="s">
        <v>112</v>
      </c>
      <c r="K139" s="20"/>
    </row>
    <row r="140" spans="1:11" ht="36.75" thickBot="1">
      <c r="A140" s="18" t="s">
        <v>2294</v>
      </c>
      <c r="B140" s="18">
        <v>20003338818</v>
      </c>
      <c r="C140" s="18" t="s">
        <v>2206</v>
      </c>
      <c r="D140" s="19">
        <v>45720.695833333331</v>
      </c>
      <c r="E140" s="18" t="s">
        <v>10</v>
      </c>
      <c r="F140" s="18">
        <v>8</v>
      </c>
      <c r="G140" s="18" t="s">
        <v>10</v>
      </c>
      <c r="H140" s="18" t="s">
        <v>178</v>
      </c>
      <c r="I140" s="18" t="s">
        <v>10</v>
      </c>
      <c r="J140" s="18" t="s">
        <v>112</v>
      </c>
      <c r="K140" s="20"/>
    </row>
    <row r="141" spans="1:11" ht="36.75" thickBot="1">
      <c r="A141" s="18" t="s">
        <v>2012</v>
      </c>
      <c r="B141" s="18">
        <v>20023401035</v>
      </c>
      <c r="C141" s="18" t="s">
        <v>2004</v>
      </c>
      <c r="D141" s="19">
        <v>45686.864583333336</v>
      </c>
      <c r="E141" s="19">
        <v>45721.345833333333</v>
      </c>
      <c r="F141" s="18">
        <v>5</v>
      </c>
      <c r="G141" s="19">
        <v>45722.363888888889</v>
      </c>
      <c r="H141" s="18" t="s">
        <v>236</v>
      </c>
      <c r="I141" s="18" t="s">
        <v>10</v>
      </c>
      <c r="J141" s="18" t="s">
        <v>112</v>
      </c>
      <c r="K141" s="20"/>
    </row>
    <row r="142" spans="1:11" ht="36.75" thickBot="1">
      <c r="A142" s="18" t="s">
        <v>2295</v>
      </c>
      <c r="B142" s="18">
        <v>20028286501</v>
      </c>
      <c r="C142" s="18" t="s">
        <v>2296</v>
      </c>
      <c r="D142" s="19">
        <v>45729.611805555556</v>
      </c>
      <c r="E142" s="18" t="s">
        <v>10</v>
      </c>
      <c r="F142" s="18">
        <v>10</v>
      </c>
      <c r="G142" s="18" t="s">
        <v>10</v>
      </c>
      <c r="H142" s="18" t="s">
        <v>178</v>
      </c>
      <c r="I142" s="18" t="s">
        <v>10</v>
      </c>
      <c r="J142" s="18" t="s">
        <v>112</v>
      </c>
      <c r="K142" s="20"/>
    </row>
    <row r="143" spans="1:11" ht="36.75" thickBot="1">
      <c r="A143" s="18" t="s">
        <v>2297</v>
      </c>
      <c r="B143" s="18">
        <v>20023263667</v>
      </c>
      <c r="C143" s="18" t="s">
        <v>1191</v>
      </c>
      <c r="D143" s="19">
        <v>45730.870833333334</v>
      </c>
      <c r="E143" s="18" t="s">
        <v>10</v>
      </c>
      <c r="F143" s="18">
        <v>16</v>
      </c>
      <c r="G143" s="18" t="s">
        <v>10</v>
      </c>
      <c r="H143" s="18" t="s">
        <v>178</v>
      </c>
      <c r="I143" s="18" t="s">
        <v>10</v>
      </c>
      <c r="J143" s="18" t="s">
        <v>112</v>
      </c>
      <c r="K143" s="20"/>
    </row>
    <row r="144" spans="1:11" ht="36.75" thickBot="1">
      <c r="A144" s="18" t="s">
        <v>2298</v>
      </c>
      <c r="B144" s="18">
        <v>20018161753</v>
      </c>
      <c r="C144" s="18" t="s">
        <v>2008</v>
      </c>
      <c r="D144" s="19">
        <v>45731.478472222225</v>
      </c>
      <c r="E144" s="18" t="s">
        <v>10</v>
      </c>
      <c r="F144" s="18">
        <v>10</v>
      </c>
      <c r="G144" s="18" t="s">
        <v>10</v>
      </c>
      <c r="H144" s="18" t="s">
        <v>178</v>
      </c>
      <c r="I144" s="18" t="s">
        <v>10</v>
      </c>
      <c r="J144" s="18" t="s">
        <v>112</v>
      </c>
      <c r="K144" s="20"/>
    </row>
    <row r="145" spans="1:11" ht="36.75" thickBot="1">
      <c r="A145" s="18" t="s">
        <v>2299</v>
      </c>
      <c r="B145" s="18">
        <v>20020846427</v>
      </c>
      <c r="C145" s="18" t="s">
        <v>1408</v>
      </c>
      <c r="D145" s="19">
        <v>45731.709027777775</v>
      </c>
      <c r="E145" s="18" t="s">
        <v>10</v>
      </c>
      <c r="F145" s="18">
        <v>5</v>
      </c>
      <c r="G145" s="18" t="s">
        <v>10</v>
      </c>
      <c r="H145" s="18" t="s">
        <v>178</v>
      </c>
      <c r="I145" s="18" t="s">
        <v>10</v>
      </c>
      <c r="J145" s="18" t="s">
        <v>112</v>
      </c>
      <c r="K145" s="20"/>
    </row>
    <row r="146" spans="1:11" ht="36.75" thickBot="1">
      <c r="A146" s="18" t="s">
        <v>2391</v>
      </c>
      <c r="B146" s="18">
        <v>20027999845</v>
      </c>
      <c r="C146" s="18" t="s">
        <v>2392</v>
      </c>
      <c r="D146" s="19">
        <v>45735.931250000001</v>
      </c>
      <c r="E146" s="18" t="s">
        <v>10</v>
      </c>
      <c r="F146" s="18">
        <v>10</v>
      </c>
      <c r="G146" s="18" t="s">
        <v>10</v>
      </c>
      <c r="H146" s="18" t="s">
        <v>178</v>
      </c>
      <c r="I146" s="18" t="s">
        <v>10</v>
      </c>
      <c r="J146" s="18" t="s">
        <v>112</v>
      </c>
      <c r="K146" s="20"/>
    </row>
    <row r="147" spans="1:11" ht="36.75" thickBot="1">
      <c r="A147" s="18" t="s">
        <v>2393</v>
      </c>
      <c r="B147" s="18">
        <v>20027744015</v>
      </c>
      <c r="C147" s="18" t="s">
        <v>2212</v>
      </c>
      <c r="D147" s="19">
        <v>45744.470833333333</v>
      </c>
      <c r="E147" s="18" t="s">
        <v>10</v>
      </c>
      <c r="F147" s="18">
        <v>2.85</v>
      </c>
      <c r="G147" s="18" t="s">
        <v>10</v>
      </c>
      <c r="H147" s="18" t="s">
        <v>178</v>
      </c>
      <c r="I147" s="18" t="s">
        <v>10</v>
      </c>
      <c r="J147" s="18" t="s">
        <v>112</v>
      </c>
      <c r="K147" s="20"/>
    </row>
    <row r="148" spans="1:11" ht="36.75" thickBot="1">
      <c r="A148" s="18" t="s">
        <v>2394</v>
      </c>
      <c r="B148" s="18">
        <v>20019046608</v>
      </c>
      <c r="C148" s="18" t="s">
        <v>2395</v>
      </c>
      <c r="D148" s="19">
        <v>45745.510416666664</v>
      </c>
      <c r="E148" s="18" t="s">
        <v>10</v>
      </c>
      <c r="F148" s="18">
        <v>20</v>
      </c>
      <c r="G148" s="18" t="s">
        <v>10</v>
      </c>
      <c r="H148" s="18" t="s">
        <v>178</v>
      </c>
      <c r="I148" s="18" t="s">
        <v>10</v>
      </c>
      <c r="J148" s="18" t="s">
        <v>112</v>
      </c>
      <c r="K148" s="20"/>
    </row>
    <row r="149" spans="1:11" ht="36.75" thickBot="1">
      <c r="A149" s="18" t="s">
        <v>2397</v>
      </c>
      <c r="B149" s="18">
        <v>20020846427</v>
      </c>
      <c r="C149" s="18" t="s">
        <v>2398</v>
      </c>
      <c r="D149" s="19">
        <v>45745.695833333331</v>
      </c>
      <c r="E149" s="18" t="s">
        <v>10</v>
      </c>
      <c r="F149" s="18">
        <v>5</v>
      </c>
      <c r="G149" s="18" t="s">
        <v>10</v>
      </c>
      <c r="H149" s="18" t="s">
        <v>178</v>
      </c>
      <c r="I149" s="18" t="s">
        <v>10</v>
      </c>
      <c r="J149" s="18" t="s">
        <v>112</v>
      </c>
      <c r="K149" s="20"/>
    </row>
    <row r="150" spans="1:11" ht="36.75" thickBot="1">
      <c r="A150" s="18" t="s">
        <v>2560</v>
      </c>
      <c r="B150" s="18">
        <v>20023263667</v>
      </c>
      <c r="C150" s="18" t="s">
        <v>1191</v>
      </c>
      <c r="D150" s="19">
        <v>45749.589583333334</v>
      </c>
      <c r="E150" s="18" t="s">
        <v>10</v>
      </c>
      <c r="F150" s="18">
        <v>16</v>
      </c>
      <c r="G150" s="18" t="s">
        <v>10</v>
      </c>
      <c r="H150" s="18" t="s">
        <v>178</v>
      </c>
      <c r="I150" s="18" t="s">
        <v>10</v>
      </c>
      <c r="J150" s="18" t="s">
        <v>112</v>
      </c>
      <c r="K150" s="20"/>
    </row>
    <row r="151" spans="1:11" ht="36.75" thickBot="1">
      <c r="A151" s="18" t="s">
        <v>2561</v>
      </c>
      <c r="B151" s="18">
        <v>20019046608</v>
      </c>
      <c r="C151" s="18" t="s">
        <v>2562</v>
      </c>
      <c r="D151" s="19">
        <v>45751.470138888886</v>
      </c>
      <c r="E151" s="18" t="s">
        <v>10</v>
      </c>
      <c r="F151" s="18">
        <v>20</v>
      </c>
      <c r="G151" s="18" t="s">
        <v>10</v>
      </c>
      <c r="H151" s="18" t="s">
        <v>178</v>
      </c>
      <c r="I151" s="18" t="s">
        <v>10</v>
      </c>
      <c r="J151" s="18" t="s">
        <v>112</v>
      </c>
      <c r="K151" s="20"/>
    </row>
    <row r="152" spans="1:11" ht="36.75" thickBot="1">
      <c r="A152" s="18" t="s">
        <v>2563</v>
      </c>
      <c r="B152" s="18">
        <v>20003142794</v>
      </c>
      <c r="C152" s="18" t="s">
        <v>2564</v>
      </c>
      <c r="D152" s="19">
        <v>45756.907638888886</v>
      </c>
      <c r="E152" s="18" t="s">
        <v>10</v>
      </c>
      <c r="F152" s="18">
        <v>10</v>
      </c>
      <c r="G152" s="18" t="s">
        <v>10</v>
      </c>
      <c r="H152" s="18" t="s">
        <v>178</v>
      </c>
      <c r="I152" s="18" t="s">
        <v>10</v>
      </c>
      <c r="J152" s="18" t="s">
        <v>112</v>
      </c>
      <c r="K152" s="20"/>
    </row>
    <row r="153" spans="1:11" ht="36.75" thickBot="1">
      <c r="A153" s="18" t="s">
        <v>2565</v>
      </c>
      <c r="B153" s="18">
        <v>20018393892</v>
      </c>
      <c r="C153" s="18" t="s">
        <v>2566</v>
      </c>
      <c r="D153" s="19">
        <v>45764.438194444447</v>
      </c>
      <c r="E153" s="18" t="s">
        <v>10</v>
      </c>
      <c r="F153" s="18">
        <v>8</v>
      </c>
      <c r="G153" s="18" t="s">
        <v>10</v>
      </c>
      <c r="H153" s="18" t="s">
        <v>178</v>
      </c>
      <c r="I153" s="18" t="s">
        <v>10</v>
      </c>
      <c r="J153" s="18" t="s">
        <v>112</v>
      </c>
      <c r="K153" s="20"/>
    </row>
    <row r="154" spans="1:11" ht="36.75" thickBot="1">
      <c r="A154" s="18" t="s">
        <v>2567</v>
      </c>
      <c r="B154" s="18">
        <v>20017746865</v>
      </c>
      <c r="C154" s="18" t="s">
        <v>1582</v>
      </c>
      <c r="D154" s="19">
        <v>45766.568749999999</v>
      </c>
      <c r="E154" s="18" t="s">
        <v>10</v>
      </c>
      <c r="F154" s="18">
        <v>5</v>
      </c>
      <c r="G154" s="18" t="s">
        <v>10</v>
      </c>
      <c r="H154" s="18" t="s">
        <v>178</v>
      </c>
      <c r="I154" s="18" t="s">
        <v>10</v>
      </c>
      <c r="J154" s="18" t="s">
        <v>112</v>
      </c>
      <c r="K154" s="20"/>
    </row>
    <row r="155" spans="1:11" ht="36.75" thickBot="1">
      <c r="A155" s="18" t="s">
        <v>2568</v>
      </c>
      <c r="B155" s="18">
        <v>20003338818</v>
      </c>
      <c r="C155" s="18" t="s">
        <v>2206</v>
      </c>
      <c r="D155" s="19">
        <v>45768.609027777777</v>
      </c>
      <c r="E155" s="18" t="s">
        <v>10</v>
      </c>
      <c r="F155" s="18">
        <v>8</v>
      </c>
      <c r="G155" s="18" t="s">
        <v>10</v>
      </c>
      <c r="H155" s="18" t="s">
        <v>178</v>
      </c>
      <c r="I155" s="18" t="s">
        <v>10</v>
      </c>
      <c r="J155" s="18" t="s">
        <v>112</v>
      </c>
      <c r="K155" s="20"/>
    </row>
    <row r="156" spans="1:11" ht="36.75" thickBot="1">
      <c r="A156" s="18" t="s">
        <v>1940</v>
      </c>
      <c r="B156" s="18">
        <v>20027152642</v>
      </c>
      <c r="C156" s="18" t="s">
        <v>1062</v>
      </c>
      <c r="D156" s="19">
        <v>45672.490972222222</v>
      </c>
      <c r="E156" s="19">
        <v>45774.659722222219</v>
      </c>
      <c r="F156" s="18">
        <v>20</v>
      </c>
      <c r="G156" s="19">
        <v>45828.398611111108</v>
      </c>
      <c r="H156" s="18" t="s">
        <v>2688</v>
      </c>
      <c r="I156" s="18" t="s">
        <v>10</v>
      </c>
      <c r="J156" s="18" t="s">
        <v>112</v>
      </c>
      <c r="K156" s="20"/>
    </row>
    <row r="157" spans="1:11" ht="36.75" thickBot="1">
      <c r="A157" s="18" t="s">
        <v>2570</v>
      </c>
      <c r="B157" s="18">
        <v>20003142794</v>
      </c>
      <c r="C157" s="18" t="s">
        <v>2564</v>
      </c>
      <c r="D157" s="19">
        <v>45774.993750000001</v>
      </c>
      <c r="E157" s="18" t="s">
        <v>10</v>
      </c>
      <c r="F157" s="18">
        <v>10</v>
      </c>
      <c r="G157" s="18" t="s">
        <v>10</v>
      </c>
      <c r="H157" s="18" t="s">
        <v>178</v>
      </c>
      <c r="I157" s="18" t="s">
        <v>10</v>
      </c>
      <c r="J157" s="18" t="s">
        <v>112</v>
      </c>
      <c r="K157" s="20"/>
    </row>
    <row r="158" spans="1:11" ht="36.75" thickBot="1">
      <c r="A158" s="18" t="s">
        <v>2571</v>
      </c>
      <c r="B158" s="18">
        <v>20017746865</v>
      </c>
      <c r="C158" s="18" t="s">
        <v>1582</v>
      </c>
      <c r="D158" s="19">
        <v>45775.375694444447</v>
      </c>
      <c r="E158" s="18" t="s">
        <v>10</v>
      </c>
      <c r="F158" s="18">
        <v>5</v>
      </c>
      <c r="G158" s="18" t="s">
        <v>10</v>
      </c>
      <c r="H158" s="18" t="s">
        <v>178</v>
      </c>
      <c r="I158" s="18" t="s">
        <v>10</v>
      </c>
      <c r="J158" s="18" t="s">
        <v>112</v>
      </c>
      <c r="K158" s="20"/>
    </row>
    <row r="159" spans="1:11" ht="36.75" thickBot="1">
      <c r="A159" s="18" t="s">
        <v>2572</v>
      </c>
      <c r="B159" s="18">
        <v>20003338818</v>
      </c>
      <c r="C159" s="18" t="s">
        <v>2206</v>
      </c>
      <c r="D159" s="19">
        <v>45775.435416666667</v>
      </c>
      <c r="E159" s="18" t="s">
        <v>10</v>
      </c>
      <c r="F159" s="18">
        <v>8</v>
      </c>
      <c r="G159" s="18" t="s">
        <v>10</v>
      </c>
      <c r="H159" s="18" t="s">
        <v>178</v>
      </c>
      <c r="I159" s="18" t="s">
        <v>10</v>
      </c>
      <c r="J159" s="18" t="s">
        <v>112</v>
      </c>
      <c r="K159" s="20"/>
    </row>
    <row r="160" spans="1:11" ht="36.75" thickBot="1">
      <c r="A160" s="18" t="s">
        <v>2396</v>
      </c>
      <c r="B160" s="18">
        <v>20027999845</v>
      </c>
      <c r="C160" s="18" t="s">
        <v>2392</v>
      </c>
      <c r="D160" s="19">
        <v>45745.658333333333</v>
      </c>
      <c r="E160" s="19">
        <v>45776.395833333336</v>
      </c>
      <c r="F160" s="18">
        <v>10</v>
      </c>
      <c r="G160" s="19">
        <v>45860.643750000003</v>
      </c>
      <c r="H160" s="18" t="s">
        <v>2654</v>
      </c>
      <c r="I160" s="18" t="s">
        <v>10</v>
      </c>
      <c r="J160" s="18" t="s">
        <v>112</v>
      </c>
      <c r="K160" s="20"/>
    </row>
    <row r="161" spans="1:11" ht="36.75" thickBot="1">
      <c r="A161" s="18" t="s">
        <v>2569</v>
      </c>
      <c r="B161" s="18">
        <v>20019046608</v>
      </c>
      <c r="C161" s="18" t="s">
        <v>2562</v>
      </c>
      <c r="D161" s="19">
        <v>45770.524305555555</v>
      </c>
      <c r="E161" s="19">
        <v>45780.482638888891</v>
      </c>
      <c r="F161" s="18">
        <v>20</v>
      </c>
      <c r="G161" s="18" t="s">
        <v>10</v>
      </c>
      <c r="H161" s="18" t="s">
        <v>178</v>
      </c>
      <c r="I161" s="18" t="s">
        <v>10</v>
      </c>
      <c r="J161" s="18" t="s">
        <v>112</v>
      </c>
      <c r="K161" s="20"/>
    </row>
    <row r="162" spans="1:11" ht="36.75" thickBot="1">
      <c r="A162" s="18" t="s">
        <v>2700</v>
      </c>
      <c r="B162" s="18">
        <v>20003401647</v>
      </c>
      <c r="C162" s="18" t="s">
        <v>2701</v>
      </c>
      <c r="D162" s="19">
        <v>45783.556944444441</v>
      </c>
      <c r="E162" s="18" t="s">
        <v>10</v>
      </c>
      <c r="F162" s="18">
        <v>5</v>
      </c>
      <c r="G162" s="18" t="s">
        <v>10</v>
      </c>
      <c r="H162" s="18" t="s">
        <v>178</v>
      </c>
      <c r="I162" s="18" t="s">
        <v>10</v>
      </c>
      <c r="J162" s="18" t="s">
        <v>112</v>
      </c>
      <c r="K162" s="20"/>
    </row>
    <row r="163" spans="1:11" ht="36.75" thickBot="1">
      <c r="A163" s="18" t="s">
        <v>2702</v>
      </c>
      <c r="B163" s="18">
        <v>20026866591</v>
      </c>
      <c r="C163" s="18" t="s">
        <v>2703</v>
      </c>
      <c r="D163" s="19">
        <v>45783.963194444441</v>
      </c>
      <c r="E163" s="18" t="s">
        <v>10</v>
      </c>
      <c r="F163" s="18">
        <v>10</v>
      </c>
      <c r="G163" s="18" t="s">
        <v>10</v>
      </c>
      <c r="H163" s="18" t="s">
        <v>178</v>
      </c>
      <c r="I163" s="18" t="s">
        <v>10</v>
      </c>
      <c r="J163" s="18" t="s">
        <v>112</v>
      </c>
      <c r="K163" s="20"/>
    </row>
    <row r="164" spans="1:11" ht="36.75" thickBot="1">
      <c r="A164" s="18" t="s">
        <v>2704</v>
      </c>
      <c r="B164" s="18">
        <v>20022165005</v>
      </c>
      <c r="C164" s="18" t="s">
        <v>2705</v>
      </c>
      <c r="D164" s="19">
        <v>45784.493750000001</v>
      </c>
      <c r="E164" s="18" t="s">
        <v>10</v>
      </c>
      <c r="F164" s="18">
        <v>20</v>
      </c>
      <c r="G164" s="18" t="s">
        <v>10</v>
      </c>
      <c r="H164" s="18" t="s">
        <v>178</v>
      </c>
      <c r="I164" s="18" t="s">
        <v>10</v>
      </c>
      <c r="J164" s="18" t="s">
        <v>112</v>
      </c>
      <c r="K164" s="20"/>
    </row>
    <row r="165" spans="1:11" ht="54.75" thickBot="1">
      <c r="A165" s="18" t="s">
        <v>2011</v>
      </c>
      <c r="B165" s="18">
        <v>20003025330</v>
      </c>
      <c r="C165" s="18" t="s">
        <v>1937</v>
      </c>
      <c r="D165" s="19">
        <v>45686.699305555558</v>
      </c>
      <c r="E165" s="19">
        <v>45786.424305555556</v>
      </c>
      <c r="F165" s="18">
        <v>15</v>
      </c>
      <c r="G165" s="19">
        <v>45831.644444444442</v>
      </c>
      <c r="H165" s="18" t="s">
        <v>236</v>
      </c>
      <c r="I165" s="18" t="s">
        <v>10</v>
      </c>
      <c r="J165" s="18" t="s">
        <v>112</v>
      </c>
      <c r="K165" s="20"/>
    </row>
    <row r="166" spans="1:11" ht="36.75" thickBot="1">
      <c r="A166" s="18" t="s">
        <v>2706</v>
      </c>
      <c r="B166" s="18">
        <v>20003142794</v>
      </c>
      <c r="C166" s="18" t="s">
        <v>2564</v>
      </c>
      <c r="D166" s="19">
        <v>45789.634027777778</v>
      </c>
      <c r="E166" s="18" t="s">
        <v>10</v>
      </c>
      <c r="F166" s="18">
        <v>10</v>
      </c>
      <c r="G166" s="18" t="s">
        <v>10</v>
      </c>
      <c r="H166" s="18" t="s">
        <v>178</v>
      </c>
      <c r="I166" s="18" t="s">
        <v>10</v>
      </c>
      <c r="J166" s="18" t="s">
        <v>112</v>
      </c>
      <c r="K166" s="20"/>
    </row>
    <row r="167" spans="1:11" ht="36.75" thickBot="1">
      <c r="A167" s="18" t="s">
        <v>2707</v>
      </c>
      <c r="B167" s="18">
        <v>20022165005</v>
      </c>
      <c r="C167" s="18" t="s">
        <v>2705</v>
      </c>
      <c r="D167" s="19">
        <v>45789.63958333333</v>
      </c>
      <c r="E167" s="18" t="s">
        <v>10</v>
      </c>
      <c r="F167" s="18">
        <v>20</v>
      </c>
      <c r="G167" s="18" t="s">
        <v>10</v>
      </c>
      <c r="H167" s="18" t="s">
        <v>178</v>
      </c>
      <c r="I167" s="18" t="s">
        <v>10</v>
      </c>
      <c r="J167" s="18" t="s">
        <v>112</v>
      </c>
      <c r="K167" s="20"/>
    </row>
    <row r="168" spans="1:11" ht="36.75" thickBot="1">
      <c r="A168" s="18" t="s">
        <v>2708</v>
      </c>
      <c r="B168" s="18">
        <v>20017746865</v>
      </c>
      <c r="C168" s="18" t="s">
        <v>1582</v>
      </c>
      <c r="D168" s="19">
        <v>45789.679166666669</v>
      </c>
      <c r="E168" s="18" t="s">
        <v>10</v>
      </c>
      <c r="F168" s="18">
        <v>5</v>
      </c>
      <c r="G168" s="19">
        <v>45828.527777777781</v>
      </c>
      <c r="H168" s="18" t="s">
        <v>236</v>
      </c>
      <c r="I168" s="18" t="s">
        <v>10</v>
      </c>
      <c r="J168" s="18" t="s">
        <v>112</v>
      </c>
      <c r="K168" s="20"/>
    </row>
    <row r="169" spans="1:11" ht="36.75" thickBot="1">
      <c r="A169" s="18" t="s">
        <v>2709</v>
      </c>
      <c r="B169" s="18">
        <v>20026866591</v>
      </c>
      <c r="C169" s="18" t="s">
        <v>2710</v>
      </c>
      <c r="D169" s="19">
        <v>45789.859722222223</v>
      </c>
      <c r="E169" s="18" t="s">
        <v>10</v>
      </c>
      <c r="F169" s="18">
        <v>10</v>
      </c>
      <c r="G169" s="18" t="s">
        <v>10</v>
      </c>
      <c r="H169" s="18" t="s">
        <v>178</v>
      </c>
      <c r="I169" s="18" t="s">
        <v>10</v>
      </c>
      <c r="J169" s="18" t="s">
        <v>112</v>
      </c>
      <c r="K169" s="20"/>
    </row>
    <row r="170" spans="1:11" ht="36.75" thickBot="1">
      <c r="A170" s="18" t="s">
        <v>2559</v>
      </c>
      <c r="B170" s="18">
        <v>20028286501</v>
      </c>
      <c r="C170" s="18" t="s">
        <v>2296</v>
      </c>
      <c r="D170" s="19">
        <v>45748.614583333336</v>
      </c>
      <c r="E170" s="19">
        <v>45790.367361111108</v>
      </c>
      <c r="F170" s="18">
        <v>10</v>
      </c>
      <c r="G170" s="19">
        <v>45825.582638888889</v>
      </c>
      <c r="H170" s="18" t="s">
        <v>236</v>
      </c>
      <c r="I170" s="18" t="s">
        <v>10</v>
      </c>
      <c r="J170" s="18" t="s">
        <v>112</v>
      </c>
      <c r="K170" s="20"/>
    </row>
    <row r="171" spans="1:11" ht="36.75" thickBot="1">
      <c r="A171" s="18" t="s">
        <v>2399</v>
      </c>
      <c r="B171" s="18">
        <v>20027744015</v>
      </c>
      <c r="C171" s="18" t="s">
        <v>2212</v>
      </c>
      <c r="D171" s="19">
        <v>45747.459722222222</v>
      </c>
      <c r="E171" s="19">
        <v>45790.424305555556</v>
      </c>
      <c r="F171" s="18">
        <v>2.85</v>
      </c>
      <c r="G171" s="18" t="s">
        <v>10</v>
      </c>
      <c r="H171" s="18" t="s">
        <v>178</v>
      </c>
      <c r="I171" s="18" t="s">
        <v>10</v>
      </c>
      <c r="J171" s="18" t="s">
        <v>112</v>
      </c>
      <c r="K171" s="20"/>
    </row>
    <row r="172" spans="1:11" ht="36.75" thickBot="1">
      <c r="A172" s="18" t="s">
        <v>2711</v>
      </c>
      <c r="B172" s="18">
        <v>20003338818</v>
      </c>
      <c r="C172" s="18">
        <v>5259900001132</v>
      </c>
      <c r="D172" s="19">
        <v>45790.746527777781</v>
      </c>
      <c r="E172" s="18" t="s">
        <v>10</v>
      </c>
      <c r="F172" s="18">
        <v>8</v>
      </c>
      <c r="G172" s="18" t="s">
        <v>10</v>
      </c>
      <c r="H172" s="18" t="s">
        <v>178</v>
      </c>
      <c r="I172" s="18" t="s">
        <v>10</v>
      </c>
      <c r="J172" s="18" t="s">
        <v>112</v>
      </c>
      <c r="K172" s="20"/>
    </row>
    <row r="173" spans="1:11" ht="36.75" thickBot="1">
      <c r="A173" s="18" t="s">
        <v>2712</v>
      </c>
      <c r="B173" s="18">
        <v>20023263667</v>
      </c>
      <c r="C173" s="18">
        <v>1101400231971</v>
      </c>
      <c r="D173" s="19">
        <v>45791.637499999997</v>
      </c>
      <c r="E173" s="18" t="s">
        <v>10</v>
      </c>
      <c r="F173" s="18">
        <v>16</v>
      </c>
      <c r="G173" s="18" t="s">
        <v>10</v>
      </c>
      <c r="H173" s="18" t="s">
        <v>178</v>
      </c>
      <c r="I173" s="18" t="s">
        <v>10</v>
      </c>
      <c r="J173" s="18" t="s">
        <v>112</v>
      </c>
      <c r="K173" s="20"/>
    </row>
    <row r="174" spans="1:11" ht="36.75" thickBot="1">
      <c r="A174" s="18" t="s">
        <v>2713</v>
      </c>
      <c r="B174" s="18">
        <v>20028633314</v>
      </c>
      <c r="C174" s="18" t="s">
        <v>2714</v>
      </c>
      <c r="D174" s="19">
        <v>45804.002083333333</v>
      </c>
      <c r="E174" s="18" t="s">
        <v>10</v>
      </c>
      <c r="F174" s="18">
        <v>8</v>
      </c>
      <c r="G174" s="18" t="s">
        <v>10</v>
      </c>
      <c r="H174" s="18" t="s">
        <v>178</v>
      </c>
      <c r="I174" s="18" t="s">
        <v>10</v>
      </c>
      <c r="J174" s="18" t="s">
        <v>112</v>
      </c>
      <c r="K174" s="20"/>
    </row>
    <row r="175" spans="1:11" ht="36.75" thickBot="1">
      <c r="A175" s="18" t="s">
        <v>2715</v>
      </c>
      <c r="B175" s="18">
        <v>20019046608</v>
      </c>
      <c r="C175" s="18" t="s">
        <v>2119</v>
      </c>
      <c r="D175" s="19">
        <v>45804.667361111111</v>
      </c>
      <c r="E175" s="18" t="s">
        <v>10</v>
      </c>
      <c r="F175" s="18">
        <v>20</v>
      </c>
      <c r="G175" s="19">
        <v>45852.504166666666</v>
      </c>
      <c r="H175" s="18" t="s">
        <v>236</v>
      </c>
      <c r="I175" s="18" t="s">
        <v>10</v>
      </c>
      <c r="J175" s="18" t="s">
        <v>112</v>
      </c>
      <c r="K175" s="20"/>
    </row>
    <row r="176" spans="1:11" ht="36.75" thickBot="1">
      <c r="A176" s="18" t="s">
        <v>2716</v>
      </c>
      <c r="B176" s="18">
        <v>20018482044</v>
      </c>
      <c r="C176" s="18" t="s">
        <v>2717</v>
      </c>
      <c r="D176" s="19">
        <v>45817.427083333336</v>
      </c>
      <c r="E176" s="18" t="s">
        <v>10</v>
      </c>
      <c r="F176" s="18">
        <v>3.3250000000000002</v>
      </c>
      <c r="G176" s="18" t="s">
        <v>10</v>
      </c>
      <c r="H176" s="18" t="s">
        <v>178</v>
      </c>
      <c r="I176" s="18" t="s">
        <v>10</v>
      </c>
      <c r="J176" s="18" t="s">
        <v>112</v>
      </c>
      <c r="K176" s="20"/>
    </row>
    <row r="177" spans="1:11" ht="36.75" thickBot="1">
      <c r="A177" s="18" t="s">
        <v>2718</v>
      </c>
      <c r="B177" s="18">
        <v>20003338818</v>
      </c>
      <c r="C177" s="18" t="s">
        <v>2206</v>
      </c>
      <c r="D177" s="19">
        <v>45819.415277777778</v>
      </c>
      <c r="E177" s="18" t="s">
        <v>10</v>
      </c>
      <c r="F177" s="18">
        <v>8</v>
      </c>
      <c r="G177" s="18" t="s">
        <v>10</v>
      </c>
      <c r="H177" s="18" t="s">
        <v>178</v>
      </c>
      <c r="I177" s="18" t="s">
        <v>10</v>
      </c>
      <c r="J177" s="18" t="s">
        <v>112</v>
      </c>
      <c r="K177" s="20"/>
    </row>
    <row r="178" spans="1:11" ht="36.75" thickBot="1">
      <c r="A178" s="18" t="s">
        <v>3161</v>
      </c>
      <c r="B178" s="18">
        <v>20003142794</v>
      </c>
      <c r="C178" s="18" t="s">
        <v>2564</v>
      </c>
      <c r="D178" s="19">
        <v>45824.866666666669</v>
      </c>
      <c r="E178" s="18" t="s">
        <v>10</v>
      </c>
      <c r="F178" s="18">
        <v>10</v>
      </c>
      <c r="G178" s="18" t="s">
        <v>10</v>
      </c>
      <c r="H178" s="18" t="s">
        <v>178</v>
      </c>
      <c r="I178" s="18" t="s">
        <v>10</v>
      </c>
      <c r="J178" s="18" t="s">
        <v>112</v>
      </c>
      <c r="K178" s="20"/>
    </row>
    <row r="179" spans="1:11" ht="54.75" thickBot="1">
      <c r="A179" s="18" t="s">
        <v>3162</v>
      </c>
      <c r="B179" s="18">
        <v>20021690748</v>
      </c>
      <c r="C179" s="18" t="s">
        <v>3163</v>
      </c>
      <c r="D179" s="19">
        <v>45826.643750000003</v>
      </c>
      <c r="E179" s="18" t="s">
        <v>10</v>
      </c>
      <c r="F179" s="18">
        <v>15</v>
      </c>
      <c r="G179" s="18" t="s">
        <v>10</v>
      </c>
      <c r="H179" s="18" t="s">
        <v>178</v>
      </c>
      <c r="I179" s="18" t="s">
        <v>10</v>
      </c>
      <c r="J179" s="18" t="s">
        <v>112</v>
      </c>
      <c r="K179" s="20"/>
    </row>
    <row r="180" spans="1:11" ht="36.75" thickBot="1">
      <c r="A180" s="18" t="s">
        <v>3164</v>
      </c>
      <c r="B180" s="18">
        <v>20023263667</v>
      </c>
      <c r="C180" s="18" t="s">
        <v>1191</v>
      </c>
      <c r="D180" s="19">
        <v>45827.602083333331</v>
      </c>
      <c r="E180" s="18" t="s">
        <v>10</v>
      </c>
      <c r="F180" s="18">
        <v>16</v>
      </c>
      <c r="G180" s="18" t="s">
        <v>10</v>
      </c>
      <c r="H180" s="18" t="s">
        <v>178</v>
      </c>
      <c r="I180" s="18" t="s">
        <v>10</v>
      </c>
      <c r="J180" s="18" t="s">
        <v>112</v>
      </c>
      <c r="K180" s="20"/>
    </row>
    <row r="181" spans="1:11" ht="36.75" thickBot="1">
      <c r="A181" s="18" t="s">
        <v>3165</v>
      </c>
      <c r="B181" s="18">
        <v>20026923248</v>
      </c>
      <c r="C181" s="18" t="s">
        <v>3166</v>
      </c>
      <c r="D181" s="19">
        <v>45835.574999999997</v>
      </c>
      <c r="E181" s="18" t="s">
        <v>10</v>
      </c>
      <c r="F181" s="18">
        <v>5</v>
      </c>
      <c r="G181" s="18" t="s">
        <v>10</v>
      </c>
      <c r="H181" s="18" t="s">
        <v>178</v>
      </c>
      <c r="I181" s="18" t="s">
        <v>10</v>
      </c>
      <c r="J181" s="18" t="s">
        <v>112</v>
      </c>
      <c r="K181" s="20"/>
    </row>
    <row r="182" spans="1:11" ht="36.75" thickBot="1">
      <c r="A182" s="18" t="s">
        <v>2719</v>
      </c>
      <c r="B182" s="18">
        <v>20020921453</v>
      </c>
      <c r="C182" s="18" t="s">
        <v>2720</v>
      </c>
      <c r="D182" s="19">
        <v>45819.568749999999</v>
      </c>
      <c r="E182" s="19">
        <v>45836.587500000001</v>
      </c>
      <c r="F182" s="18">
        <v>5</v>
      </c>
      <c r="G182" s="18" t="s">
        <v>10</v>
      </c>
      <c r="H182" s="18" t="s">
        <v>178</v>
      </c>
      <c r="I182" s="18" t="s">
        <v>10</v>
      </c>
      <c r="J182" s="18" t="s">
        <v>112</v>
      </c>
      <c r="K182" s="20"/>
    </row>
    <row r="183" spans="1:11" ht="54.75" thickBot="1">
      <c r="A183" s="18" t="s">
        <v>3167</v>
      </c>
      <c r="B183" s="18">
        <v>20003421773</v>
      </c>
      <c r="C183" s="18" t="s">
        <v>3168</v>
      </c>
      <c r="D183" s="19">
        <v>45846.504861111112</v>
      </c>
      <c r="E183" s="18" t="s">
        <v>10</v>
      </c>
      <c r="F183" s="18">
        <v>15</v>
      </c>
      <c r="G183" s="18" t="s">
        <v>10</v>
      </c>
      <c r="H183" s="18" t="s">
        <v>178</v>
      </c>
      <c r="I183" s="18" t="s">
        <v>10</v>
      </c>
      <c r="J183" s="18" t="s">
        <v>112</v>
      </c>
      <c r="K183" s="20"/>
    </row>
    <row r="184" spans="1:11" ht="36.75" thickBot="1">
      <c r="A184" s="18" t="s">
        <v>3169</v>
      </c>
      <c r="B184" s="18">
        <v>20003363660</v>
      </c>
      <c r="C184" s="18" t="s">
        <v>3170</v>
      </c>
      <c r="D184" s="19">
        <v>45849.438194444447</v>
      </c>
      <c r="E184" s="18" t="s">
        <v>10</v>
      </c>
      <c r="F184" s="18">
        <v>5</v>
      </c>
      <c r="G184" s="18" t="s">
        <v>10</v>
      </c>
      <c r="H184" s="18" t="s">
        <v>178</v>
      </c>
      <c r="I184" s="18" t="s">
        <v>10</v>
      </c>
      <c r="J184" s="18" t="s">
        <v>112</v>
      </c>
      <c r="K184" s="20"/>
    </row>
    <row r="185" spans="1:11" ht="36.75" thickBot="1">
      <c r="A185" s="18" t="s">
        <v>3171</v>
      </c>
      <c r="B185" s="18">
        <v>20026866591</v>
      </c>
      <c r="C185" s="18" t="s">
        <v>847</v>
      </c>
      <c r="D185" s="19">
        <v>45849.938888888886</v>
      </c>
      <c r="E185" s="18" t="s">
        <v>10</v>
      </c>
      <c r="F185" s="18">
        <v>10</v>
      </c>
      <c r="G185" s="18" t="s">
        <v>10</v>
      </c>
      <c r="H185" s="18" t="s">
        <v>178</v>
      </c>
      <c r="I185" s="18" t="s">
        <v>10</v>
      </c>
      <c r="J185" s="18" t="s">
        <v>112</v>
      </c>
      <c r="K185" s="20"/>
    </row>
    <row r="186" spans="1:11" ht="36.75" thickBot="1">
      <c r="A186" s="18" t="s">
        <v>3172</v>
      </c>
      <c r="B186" s="18">
        <v>20023263667</v>
      </c>
      <c r="C186" s="18" t="s">
        <v>1191</v>
      </c>
      <c r="D186" s="19">
        <v>45841.591666666667</v>
      </c>
      <c r="E186" s="19">
        <v>45856.020833333336</v>
      </c>
      <c r="F186" s="18">
        <v>16</v>
      </c>
      <c r="G186" s="19">
        <v>45892.408333333333</v>
      </c>
      <c r="H186" s="18" t="s">
        <v>2688</v>
      </c>
      <c r="I186" s="18" t="s">
        <v>10</v>
      </c>
      <c r="J186" s="18" t="s">
        <v>112</v>
      </c>
      <c r="K186" s="20"/>
    </row>
    <row r="187" spans="1:11" ht="72.75" thickBot="1">
      <c r="A187" s="18" t="s">
        <v>3173</v>
      </c>
      <c r="B187" s="18">
        <v>20026652009</v>
      </c>
      <c r="C187" s="18" t="s">
        <v>825</v>
      </c>
      <c r="D187" s="19">
        <v>45860.490972222222</v>
      </c>
      <c r="E187" s="18" t="s">
        <v>10</v>
      </c>
      <c r="F187" s="18">
        <v>12</v>
      </c>
      <c r="G187" s="18" t="s">
        <v>10</v>
      </c>
      <c r="H187" s="18" t="s">
        <v>178</v>
      </c>
      <c r="I187" s="18" t="s">
        <v>10</v>
      </c>
      <c r="J187" s="18" t="s">
        <v>112</v>
      </c>
      <c r="K187" s="20"/>
    </row>
    <row r="188" spans="1:11" ht="36.75" thickBot="1">
      <c r="A188" s="18" t="s">
        <v>3174</v>
      </c>
      <c r="B188" s="18">
        <v>20024245600</v>
      </c>
      <c r="C188" s="18" t="s">
        <v>3175</v>
      </c>
      <c r="D188" s="19">
        <v>45862.659722222219</v>
      </c>
      <c r="E188" s="18" t="s">
        <v>10</v>
      </c>
      <c r="F188" s="18">
        <v>5</v>
      </c>
      <c r="G188" s="18" t="s">
        <v>10</v>
      </c>
      <c r="H188" s="18" t="s">
        <v>178</v>
      </c>
      <c r="I188" s="18" t="s">
        <v>10</v>
      </c>
      <c r="J188" s="18" t="s">
        <v>112</v>
      </c>
      <c r="K188" s="20"/>
    </row>
    <row r="189" spans="1:11" ht="36.75" thickBot="1">
      <c r="A189" s="18" t="s">
        <v>3176</v>
      </c>
      <c r="B189" s="18">
        <v>20002913667</v>
      </c>
      <c r="C189" s="18" t="s">
        <v>3177</v>
      </c>
      <c r="D189" s="19">
        <v>45865.878472222219</v>
      </c>
      <c r="E189" s="18" t="s">
        <v>10</v>
      </c>
      <c r="F189" s="18">
        <v>5</v>
      </c>
      <c r="G189" s="18" t="s">
        <v>10</v>
      </c>
      <c r="H189" s="18" t="s">
        <v>178</v>
      </c>
      <c r="I189" s="18" t="s">
        <v>10</v>
      </c>
      <c r="J189" s="18" t="s">
        <v>112</v>
      </c>
      <c r="K189" s="20"/>
    </row>
    <row r="190" spans="1:11" ht="36.75" thickBot="1">
      <c r="A190" s="18" t="s">
        <v>3178</v>
      </c>
      <c r="B190" s="18">
        <v>20024245600</v>
      </c>
      <c r="C190" s="18" t="s">
        <v>3175</v>
      </c>
      <c r="D190" s="19">
        <v>45867.392361111109</v>
      </c>
      <c r="E190" s="18" t="s">
        <v>10</v>
      </c>
      <c r="F190" s="18">
        <v>5</v>
      </c>
      <c r="G190" s="18" t="s">
        <v>10</v>
      </c>
      <c r="H190" s="18" t="s">
        <v>178</v>
      </c>
      <c r="I190" s="18" t="s">
        <v>10</v>
      </c>
      <c r="J190" s="18" t="s">
        <v>112</v>
      </c>
      <c r="K190" s="20"/>
    </row>
    <row r="191" spans="1:11" ht="36.75" thickBot="1">
      <c r="A191" s="18" t="s">
        <v>3179</v>
      </c>
      <c r="B191" s="18">
        <v>20027744015</v>
      </c>
      <c r="C191" s="18" t="s">
        <v>2212</v>
      </c>
      <c r="D191" s="19">
        <v>45842.450694444444</v>
      </c>
      <c r="E191" s="19">
        <v>45867.416666666664</v>
      </c>
      <c r="F191" s="18">
        <v>2.85</v>
      </c>
      <c r="G191" s="19">
        <v>45912.385416666664</v>
      </c>
      <c r="H191" s="18" t="s">
        <v>236</v>
      </c>
      <c r="I191" s="18" t="s">
        <v>10</v>
      </c>
      <c r="J191" s="18" t="s">
        <v>112</v>
      </c>
      <c r="K191" s="20"/>
    </row>
    <row r="192" spans="1:11" ht="72.75" thickBot="1">
      <c r="A192" s="18" t="s">
        <v>3180</v>
      </c>
      <c r="B192" s="18">
        <v>20026652009</v>
      </c>
      <c r="C192" s="18" t="s">
        <v>825</v>
      </c>
      <c r="D192" s="19">
        <v>45867.574999999997</v>
      </c>
      <c r="E192" s="18" t="s">
        <v>10</v>
      </c>
      <c r="F192" s="18">
        <v>12</v>
      </c>
      <c r="G192" s="18" t="s">
        <v>10</v>
      </c>
      <c r="H192" s="18" t="s">
        <v>178</v>
      </c>
      <c r="I192" s="18" t="s">
        <v>10</v>
      </c>
      <c r="J192" s="18" t="s">
        <v>112</v>
      </c>
      <c r="K192" s="20"/>
    </row>
    <row r="193" spans="1:11" ht="36.75" thickBot="1">
      <c r="A193" s="18" t="s">
        <v>3181</v>
      </c>
      <c r="B193" s="18">
        <v>20003363660</v>
      </c>
      <c r="C193" s="18" t="s">
        <v>3170</v>
      </c>
      <c r="D193" s="19">
        <v>45869.645138888889</v>
      </c>
      <c r="E193" s="18" t="s">
        <v>10</v>
      </c>
      <c r="F193" s="18">
        <v>5</v>
      </c>
      <c r="G193" s="18" t="s">
        <v>10</v>
      </c>
      <c r="H193" s="18" t="s">
        <v>178</v>
      </c>
      <c r="I193" s="18" t="s">
        <v>10</v>
      </c>
      <c r="J193" s="18" t="s">
        <v>112</v>
      </c>
      <c r="K193" s="20"/>
    </row>
    <row r="194" spans="1:11" ht="54.75" thickBot="1">
      <c r="A194" s="18" t="s">
        <v>3182</v>
      </c>
      <c r="B194" s="18">
        <v>20003421773</v>
      </c>
      <c r="C194" s="18" t="s">
        <v>3168</v>
      </c>
      <c r="D194" s="19">
        <v>45874.662499999999</v>
      </c>
      <c r="E194" s="18" t="s">
        <v>10</v>
      </c>
      <c r="F194" s="18">
        <v>15</v>
      </c>
      <c r="G194" s="18" t="s">
        <v>10</v>
      </c>
      <c r="H194" s="18" t="s">
        <v>178</v>
      </c>
      <c r="I194" s="18" t="s">
        <v>10</v>
      </c>
      <c r="J194" s="18" t="s">
        <v>112</v>
      </c>
      <c r="K194" s="20"/>
    </row>
    <row r="195" spans="1:11" ht="36.75" thickBot="1">
      <c r="A195" s="18" t="s">
        <v>3183</v>
      </c>
      <c r="B195" s="18">
        <v>20018482044</v>
      </c>
      <c r="C195" s="18" t="s">
        <v>2717</v>
      </c>
      <c r="D195" s="19">
        <v>45832.555555555555</v>
      </c>
      <c r="E195" s="19">
        <v>45875.404166666667</v>
      </c>
      <c r="F195" s="18">
        <v>3.3250000000000002</v>
      </c>
      <c r="G195" s="18" t="s">
        <v>10</v>
      </c>
      <c r="H195" s="18" t="s">
        <v>178</v>
      </c>
      <c r="I195" s="18" t="s">
        <v>10</v>
      </c>
      <c r="J195" s="18" t="s">
        <v>112</v>
      </c>
      <c r="K195" s="20"/>
    </row>
    <row r="196" spans="1:11" ht="36.75" thickBot="1">
      <c r="A196" s="18" t="s">
        <v>3184</v>
      </c>
      <c r="B196" s="18">
        <v>20018157479</v>
      </c>
      <c r="C196" s="18" t="s">
        <v>3185</v>
      </c>
      <c r="D196" s="19">
        <v>45882.558333333334</v>
      </c>
      <c r="E196" s="18" t="s">
        <v>10</v>
      </c>
      <c r="F196" s="18">
        <v>3</v>
      </c>
      <c r="G196" s="18" t="s">
        <v>10</v>
      </c>
      <c r="H196" s="18" t="s">
        <v>178</v>
      </c>
      <c r="I196" s="18" t="s">
        <v>10</v>
      </c>
      <c r="J196" s="18" t="s">
        <v>112</v>
      </c>
      <c r="K196" s="20"/>
    </row>
    <row r="197" spans="1:11" ht="36.75" thickBot="1">
      <c r="A197" s="18" t="s">
        <v>3186</v>
      </c>
      <c r="B197" s="18">
        <v>20025555475</v>
      </c>
      <c r="C197" s="18" t="s">
        <v>3187</v>
      </c>
      <c r="D197" s="19">
        <v>45887.405555555553</v>
      </c>
      <c r="E197" s="18" t="s">
        <v>10</v>
      </c>
      <c r="F197" s="18">
        <v>5</v>
      </c>
      <c r="G197" s="18" t="s">
        <v>10</v>
      </c>
      <c r="H197" s="18" t="s">
        <v>178</v>
      </c>
      <c r="I197" s="18" t="s">
        <v>10</v>
      </c>
      <c r="J197" s="18" t="s">
        <v>112</v>
      </c>
      <c r="K197" s="20"/>
    </row>
    <row r="198" spans="1:11" ht="54.75" thickBot="1">
      <c r="A198" s="18" t="s">
        <v>3188</v>
      </c>
      <c r="B198" s="18">
        <v>20026902701</v>
      </c>
      <c r="C198" s="18" t="s">
        <v>3189</v>
      </c>
      <c r="D198" s="19">
        <v>45888.624305555553</v>
      </c>
      <c r="E198" s="18" t="s">
        <v>10</v>
      </c>
      <c r="F198" s="18">
        <v>10</v>
      </c>
      <c r="G198" s="18" t="s">
        <v>10</v>
      </c>
      <c r="H198" s="18" t="s">
        <v>178</v>
      </c>
      <c r="I198" s="18" t="s">
        <v>10</v>
      </c>
      <c r="J198" s="18" t="s">
        <v>112</v>
      </c>
      <c r="K198" s="20"/>
    </row>
    <row r="199" spans="1:11" ht="72.75" thickBot="1">
      <c r="A199" s="18" t="s">
        <v>3190</v>
      </c>
      <c r="B199" s="18">
        <v>20026652009</v>
      </c>
      <c r="C199" s="18" t="s">
        <v>825</v>
      </c>
      <c r="D199" s="19">
        <v>45877.370833333334</v>
      </c>
      <c r="E199" s="19">
        <v>45890.355555555558</v>
      </c>
      <c r="F199" s="18">
        <v>12</v>
      </c>
      <c r="G199" s="19">
        <v>45894.394444444442</v>
      </c>
      <c r="H199" s="18" t="s">
        <v>236</v>
      </c>
      <c r="I199" s="18" t="s">
        <v>10</v>
      </c>
      <c r="J199" s="18" t="s">
        <v>112</v>
      </c>
      <c r="K199" s="20"/>
    </row>
    <row r="200" spans="1:11" ht="36.75" thickBot="1">
      <c r="A200" s="18" t="s">
        <v>3191</v>
      </c>
      <c r="B200" s="18">
        <v>20028138683</v>
      </c>
      <c r="C200" s="18" t="s">
        <v>3192</v>
      </c>
      <c r="D200" s="19">
        <v>45890.538888888892</v>
      </c>
      <c r="E200" s="18" t="s">
        <v>10</v>
      </c>
      <c r="F200" s="18">
        <v>3</v>
      </c>
      <c r="G200" s="18" t="s">
        <v>10</v>
      </c>
      <c r="H200" s="18" t="s">
        <v>178</v>
      </c>
      <c r="I200" s="18" t="s">
        <v>10</v>
      </c>
      <c r="J200" s="18" t="s">
        <v>112</v>
      </c>
      <c r="K200" s="20"/>
    </row>
    <row r="201" spans="1:11" ht="36.75" thickBot="1">
      <c r="A201" s="18" t="s">
        <v>3193</v>
      </c>
      <c r="B201" s="18">
        <v>20028101378</v>
      </c>
      <c r="C201" s="18" t="s">
        <v>3194</v>
      </c>
      <c r="D201" s="19">
        <v>45890.550694444442</v>
      </c>
      <c r="E201" s="18" t="s">
        <v>10</v>
      </c>
      <c r="F201" s="18">
        <v>5</v>
      </c>
      <c r="G201" s="18" t="s">
        <v>10</v>
      </c>
      <c r="H201" s="18" t="s">
        <v>178</v>
      </c>
      <c r="I201" s="18" t="s">
        <v>10</v>
      </c>
      <c r="J201" s="18" t="s">
        <v>112</v>
      </c>
      <c r="K201" s="20"/>
    </row>
    <row r="202" spans="1:11" ht="36.75" thickBot="1">
      <c r="A202" s="18" t="s">
        <v>3195</v>
      </c>
      <c r="B202" s="18">
        <v>20028079343</v>
      </c>
      <c r="C202" s="18" t="s">
        <v>2163</v>
      </c>
      <c r="D202" s="19">
        <v>45890.563888888886</v>
      </c>
      <c r="E202" s="18" t="s">
        <v>10</v>
      </c>
      <c r="F202" s="18">
        <v>5</v>
      </c>
      <c r="G202" s="18" t="s">
        <v>10</v>
      </c>
      <c r="H202" s="18" t="s">
        <v>178</v>
      </c>
      <c r="I202" s="18" t="s">
        <v>10</v>
      </c>
      <c r="J202" s="18" t="s">
        <v>112</v>
      </c>
      <c r="K202" s="1"/>
    </row>
    <row r="203" spans="1:11" ht="36.75" thickBot="1">
      <c r="A203" s="21" t="s">
        <v>3196</v>
      </c>
      <c r="B203" s="21">
        <v>20028079344</v>
      </c>
      <c r="C203" s="21" t="s">
        <v>2163</v>
      </c>
      <c r="D203" s="22">
        <v>45890.575694444444</v>
      </c>
      <c r="E203" s="21" t="s">
        <v>10</v>
      </c>
      <c r="F203" s="21">
        <v>5</v>
      </c>
      <c r="G203" s="21" t="s">
        <v>10</v>
      </c>
      <c r="H203" s="21" t="s">
        <v>178</v>
      </c>
      <c r="I203" s="21" t="s">
        <v>10</v>
      </c>
      <c r="J203" s="21" t="s">
        <v>112</v>
      </c>
      <c r="K203" s="20"/>
    </row>
    <row r="204" spans="1:11" ht="36.75" thickBot="1">
      <c r="A204" s="18" t="s">
        <v>3197</v>
      </c>
      <c r="B204" s="18">
        <v>20028079345</v>
      </c>
      <c r="C204" s="18" t="s">
        <v>2163</v>
      </c>
      <c r="D204" s="19">
        <v>45890.584027777775</v>
      </c>
      <c r="E204" s="18" t="s">
        <v>10</v>
      </c>
      <c r="F204" s="18">
        <v>5</v>
      </c>
      <c r="G204" s="18" t="s">
        <v>10</v>
      </c>
      <c r="H204" s="18" t="s">
        <v>178</v>
      </c>
      <c r="I204" s="18" t="s">
        <v>10</v>
      </c>
      <c r="J204" s="18" t="s">
        <v>112</v>
      </c>
      <c r="K204" s="20"/>
    </row>
    <row r="205" spans="1:11" ht="36.75" thickBot="1">
      <c r="A205" s="18" t="s">
        <v>3198</v>
      </c>
      <c r="B205" s="18">
        <v>20028079346</v>
      </c>
      <c r="C205" s="18" t="s">
        <v>2163</v>
      </c>
      <c r="D205" s="19">
        <v>45890.590277777781</v>
      </c>
      <c r="E205" s="18" t="s">
        <v>10</v>
      </c>
      <c r="F205" s="18">
        <v>5</v>
      </c>
      <c r="G205" s="18" t="s">
        <v>10</v>
      </c>
      <c r="H205" s="18" t="s">
        <v>178</v>
      </c>
      <c r="I205" s="18" t="s">
        <v>10</v>
      </c>
      <c r="J205" s="18" t="s">
        <v>112</v>
      </c>
      <c r="K205" s="20"/>
    </row>
    <row r="206" spans="1:11" ht="36.75" thickBot="1">
      <c r="A206" s="18" t="s">
        <v>3199</v>
      </c>
      <c r="B206" s="18">
        <v>20028079348</v>
      </c>
      <c r="C206" s="18" t="s">
        <v>2163</v>
      </c>
      <c r="D206" s="19">
        <v>45890.602083333331</v>
      </c>
      <c r="E206" s="18" t="s">
        <v>10</v>
      </c>
      <c r="F206" s="18">
        <v>5</v>
      </c>
      <c r="G206" s="18" t="s">
        <v>10</v>
      </c>
      <c r="H206" s="18" t="s">
        <v>178</v>
      </c>
      <c r="I206" s="18" t="s">
        <v>10</v>
      </c>
      <c r="J206" s="18" t="s">
        <v>112</v>
      </c>
      <c r="K206" s="20"/>
    </row>
    <row r="207" spans="1:11" ht="36.75" thickBot="1">
      <c r="A207" s="18" t="s">
        <v>3200</v>
      </c>
      <c r="B207" s="18">
        <v>20028079347</v>
      </c>
      <c r="C207" s="18" t="s">
        <v>2163</v>
      </c>
      <c r="D207" s="19">
        <v>45890.607638888891</v>
      </c>
      <c r="E207" s="18" t="s">
        <v>10</v>
      </c>
      <c r="F207" s="18">
        <v>5</v>
      </c>
      <c r="G207" s="18" t="s">
        <v>10</v>
      </c>
      <c r="H207" s="18" t="s">
        <v>178</v>
      </c>
      <c r="I207" s="18" t="s">
        <v>10</v>
      </c>
      <c r="J207" s="18" t="s">
        <v>112</v>
      </c>
      <c r="K207" s="20"/>
    </row>
    <row r="208" spans="1:11" ht="36.75" thickBot="1">
      <c r="A208" s="18" t="s">
        <v>3201</v>
      </c>
      <c r="B208" s="18">
        <v>20027793116</v>
      </c>
      <c r="C208" s="18" t="s">
        <v>3202</v>
      </c>
      <c r="D208" s="19">
        <v>45895.581944444442</v>
      </c>
      <c r="E208" s="18" t="s">
        <v>10</v>
      </c>
      <c r="F208" s="18">
        <v>3</v>
      </c>
      <c r="G208" s="18" t="s">
        <v>10</v>
      </c>
      <c r="H208" s="18" t="s">
        <v>178</v>
      </c>
      <c r="I208" s="18" t="s">
        <v>10</v>
      </c>
      <c r="J208" s="18" t="s">
        <v>112</v>
      </c>
      <c r="K208" s="20"/>
    </row>
    <row r="209" spans="1:11" ht="36.75" thickBot="1">
      <c r="A209" s="18" t="s">
        <v>3203</v>
      </c>
      <c r="B209" s="18">
        <v>20021769205</v>
      </c>
      <c r="C209" s="18" t="s">
        <v>1411</v>
      </c>
      <c r="D209" s="19">
        <v>45895.656944444447</v>
      </c>
      <c r="E209" s="18" t="s">
        <v>10</v>
      </c>
      <c r="F209" s="18">
        <v>10</v>
      </c>
      <c r="G209" s="18" t="s">
        <v>10</v>
      </c>
      <c r="H209" s="18" t="s">
        <v>178</v>
      </c>
      <c r="I209" s="18" t="s">
        <v>10</v>
      </c>
      <c r="J209" s="18" t="s">
        <v>112</v>
      </c>
      <c r="K209" s="20"/>
    </row>
    <row r="210" spans="1:11" ht="36.75" thickBot="1">
      <c r="A210" s="18" t="s">
        <v>3204</v>
      </c>
      <c r="B210" s="18">
        <v>20027714886</v>
      </c>
      <c r="C210" s="18" t="s">
        <v>3205</v>
      </c>
      <c r="D210" s="19">
        <v>45897.410416666666</v>
      </c>
      <c r="E210" s="18" t="s">
        <v>10</v>
      </c>
      <c r="F210" s="18">
        <v>3</v>
      </c>
      <c r="G210" s="18" t="s">
        <v>10</v>
      </c>
      <c r="H210" s="18" t="s">
        <v>178</v>
      </c>
      <c r="I210" s="18" t="s">
        <v>10</v>
      </c>
      <c r="J210" s="18" t="s">
        <v>112</v>
      </c>
      <c r="K210" s="20"/>
    </row>
    <row r="211" spans="1:11" ht="36.75" thickBot="1">
      <c r="A211" s="18" t="s">
        <v>3206</v>
      </c>
      <c r="B211" s="18">
        <v>20022165005</v>
      </c>
      <c r="C211" s="18" t="s">
        <v>2705</v>
      </c>
      <c r="D211" s="19">
        <v>45824.7</v>
      </c>
      <c r="E211" s="19">
        <v>45901.46597222222</v>
      </c>
      <c r="F211" s="18">
        <v>20</v>
      </c>
      <c r="G211" s="19">
        <v>45924.553472222222</v>
      </c>
      <c r="H211" s="18" t="s">
        <v>236</v>
      </c>
      <c r="I211" s="18" t="s">
        <v>10</v>
      </c>
      <c r="J211" s="18" t="s">
        <v>112</v>
      </c>
      <c r="K211" s="20"/>
    </row>
    <row r="212" spans="1:11" ht="36.75" thickBot="1">
      <c r="A212" s="18" t="s">
        <v>3207</v>
      </c>
      <c r="B212" s="18">
        <v>20003510634</v>
      </c>
      <c r="C212" s="18" t="s">
        <v>3208</v>
      </c>
      <c r="D212" s="19">
        <v>45906.692361111112</v>
      </c>
      <c r="E212" s="18" t="s">
        <v>10</v>
      </c>
      <c r="F212" s="18">
        <v>5</v>
      </c>
      <c r="G212" s="18" t="s">
        <v>10</v>
      </c>
      <c r="H212" s="18" t="s">
        <v>178</v>
      </c>
      <c r="I212" s="18" t="s">
        <v>10</v>
      </c>
      <c r="J212" s="18" t="s">
        <v>112</v>
      </c>
      <c r="K212" s="20"/>
    </row>
    <row r="213" spans="1:11" ht="36.75" thickBot="1">
      <c r="A213" s="18" t="s">
        <v>3209</v>
      </c>
      <c r="B213" s="18">
        <v>20028481133</v>
      </c>
      <c r="C213" s="18" t="s">
        <v>3210</v>
      </c>
      <c r="D213" s="19">
        <v>45906.953472222223</v>
      </c>
      <c r="E213" s="18" t="s">
        <v>10</v>
      </c>
      <c r="F213" s="18">
        <v>10</v>
      </c>
      <c r="G213" s="18" t="s">
        <v>10</v>
      </c>
      <c r="H213" s="18" t="s">
        <v>178</v>
      </c>
      <c r="I213" s="18" t="s">
        <v>10</v>
      </c>
      <c r="J213" s="18" t="s">
        <v>112</v>
      </c>
      <c r="K213" s="20"/>
    </row>
    <row r="214" spans="1:11" ht="36.75" thickBot="1">
      <c r="A214" s="18" t="s">
        <v>3211</v>
      </c>
      <c r="B214" s="18">
        <v>20003385309</v>
      </c>
      <c r="C214" s="18" t="s">
        <v>1809</v>
      </c>
      <c r="D214" s="19">
        <v>45910.431944444441</v>
      </c>
      <c r="E214" s="18" t="s">
        <v>10</v>
      </c>
      <c r="F214" s="18">
        <v>20</v>
      </c>
      <c r="G214" s="18" t="s">
        <v>10</v>
      </c>
      <c r="H214" s="18" t="s">
        <v>178</v>
      </c>
      <c r="I214" s="18" t="s">
        <v>10</v>
      </c>
      <c r="J214" s="18" t="s">
        <v>112</v>
      </c>
      <c r="K214" s="20"/>
    </row>
    <row r="215" spans="1:11" ht="36.75" thickBot="1">
      <c r="A215" s="18" t="s">
        <v>3212</v>
      </c>
      <c r="B215" s="18">
        <v>20003363660</v>
      </c>
      <c r="C215" s="18" t="s">
        <v>3170</v>
      </c>
      <c r="D215" s="19">
        <v>45910.481249999997</v>
      </c>
      <c r="E215" s="18" t="s">
        <v>10</v>
      </c>
      <c r="F215" s="18">
        <v>5</v>
      </c>
      <c r="G215" s="18" t="s">
        <v>10</v>
      </c>
      <c r="H215" s="18" t="s">
        <v>178</v>
      </c>
      <c r="I215" s="18" t="s">
        <v>10</v>
      </c>
      <c r="J215" s="18" t="s">
        <v>112</v>
      </c>
      <c r="K215" s="20"/>
    </row>
    <row r="216" spans="1:11" ht="36.75" thickBot="1">
      <c r="A216" s="18" t="s">
        <v>3213</v>
      </c>
      <c r="B216" s="18">
        <v>20025555475</v>
      </c>
      <c r="C216" s="18" t="s">
        <v>3187</v>
      </c>
      <c r="D216" s="19">
        <v>45915.478472222225</v>
      </c>
      <c r="E216" s="18" t="s">
        <v>10</v>
      </c>
      <c r="F216" s="18">
        <v>5</v>
      </c>
      <c r="G216" s="18" t="s">
        <v>10</v>
      </c>
      <c r="H216" s="18" t="s">
        <v>178</v>
      </c>
      <c r="I216" s="18" t="s">
        <v>10</v>
      </c>
      <c r="J216" s="18" t="s">
        <v>112</v>
      </c>
      <c r="K216" s="20"/>
    </row>
    <row r="217" spans="1:11" ht="36.75" thickBot="1">
      <c r="A217" s="18" t="s">
        <v>3214</v>
      </c>
      <c r="B217" s="18">
        <v>20028138683</v>
      </c>
      <c r="C217" s="18" t="s">
        <v>3215</v>
      </c>
      <c r="D217" s="19">
        <v>45915.532638888886</v>
      </c>
      <c r="E217" s="18" t="s">
        <v>10</v>
      </c>
      <c r="F217" s="18">
        <v>5</v>
      </c>
      <c r="G217" s="18" t="s">
        <v>10</v>
      </c>
      <c r="H217" s="18" t="s">
        <v>178</v>
      </c>
      <c r="I217" s="18" t="s">
        <v>10</v>
      </c>
      <c r="J217" s="18" t="s">
        <v>112</v>
      </c>
      <c r="K217" s="20"/>
    </row>
    <row r="218" spans="1:11" ht="36.75" thickBot="1">
      <c r="A218" s="18" t="s">
        <v>3216</v>
      </c>
      <c r="B218" s="18">
        <v>20028101378</v>
      </c>
      <c r="C218" s="18" t="s">
        <v>3194</v>
      </c>
      <c r="D218" s="19">
        <v>45915.544444444444</v>
      </c>
      <c r="E218" s="18" t="s">
        <v>10</v>
      </c>
      <c r="F218" s="18">
        <v>5</v>
      </c>
      <c r="G218" s="18" t="s">
        <v>10</v>
      </c>
      <c r="H218" s="18" t="s">
        <v>178</v>
      </c>
      <c r="I218" s="18" t="s">
        <v>10</v>
      </c>
      <c r="J218" s="18" t="s">
        <v>112</v>
      </c>
      <c r="K218" s="20"/>
    </row>
    <row r="219" spans="1:11" ht="36.75" thickBot="1">
      <c r="A219" s="18" t="s">
        <v>3217</v>
      </c>
      <c r="B219" s="18">
        <v>20028079343</v>
      </c>
      <c r="C219" s="18" t="s">
        <v>2163</v>
      </c>
      <c r="D219" s="19">
        <v>45915.556250000001</v>
      </c>
      <c r="E219" s="18" t="s">
        <v>10</v>
      </c>
      <c r="F219" s="18">
        <v>5</v>
      </c>
      <c r="G219" s="18" t="s">
        <v>10</v>
      </c>
      <c r="H219" s="18" t="s">
        <v>178</v>
      </c>
      <c r="I219" s="18" t="s">
        <v>10</v>
      </c>
      <c r="J219" s="18" t="s">
        <v>112</v>
      </c>
      <c r="K219" s="20"/>
    </row>
    <row r="220" spans="1:11" ht="36.75" thickBot="1">
      <c r="A220" s="18" t="s">
        <v>3218</v>
      </c>
      <c r="B220" s="18">
        <v>20028079344</v>
      </c>
      <c r="C220" s="18" t="s">
        <v>2163</v>
      </c>
      <c r="D220" s="19">
        <v>45915.561805555553</v>
      </c>
      <c r="E220" s="18" t="s">
        <v>10</v>
      </c>
      <c r="F220" s="18">
        <v>5</v>
      </c>
      <c r="G220" s="18" t="s">
        <v>10</v>
      </c>
      <c r="H220" s="18" t="s">
        <v>178</v>
      </c>
      <c r="I220" s="18" t="s">
        <v>10</v>
      </c>
      <c r="J220" s="18" t="s">
        <v>112</v>
      </c>
      <c r="K220" s="20"/>
    </row>
    <row r="221" spans="1:11" ht="36.75" thickBot="1">
      <c r="A221" s="18" t="s">
        <v>3219</v>
      </c>
      <c r="B221" s="18">
        <v>20028079345</v>
      </c>
      <c r="C221" s="18" t="s">
        <v>2163</v>
      </c>
      <c r="D221" s="19">
        <v>45915.568055555559</v>
      </c>
      <c r="E221" s="18" t="s">
        <v>10</v>
      </c>
      <c r="F221" s="18">
        <v>5</v>
      </c>
      <c r="G221" s="18" t="s">
        <v>10</v>
      </c>
      <c r="H221" s="18" t="s">
        <v>178</v>
      </c>
      <c r="I221" s="18" t="s">
        <v>10</v>
      </c>
      <c r="J221" s="18" t="s">
        <v>112</v>
      </c>
      <c r="K221" s="20"/>
    </row>
    <row r="222" spans="1:11" ht="36.75" thickBot="1">
      <c r="A222" s="18" t="s">
        <v>3220</v>
      </c>
      <c r="B222" s="18">
        <v>20028079346</v>
      </c>
      <c r="C222" s="18" t="s">
        <v>2163</v>
      </c>
      <c r="D222" s="19">
        <v>45915.594444444447</v>
      </c>
      <c r="E222" s="18" t="s">
        <v>10</v>
      </c>
      <c r="F222" s="18">
        <v>5</v>
      </c>
      <c r="G222" s="18" t="s">
        <v>10</v>
      </c>
      <c r="H222" s="18" t="s">
        <v>178</v>
      </c>
      <c r="I222" s="18" t="s">
        <v>10</v>
      </c>
      <c r="J222" s="18" t="s">
        <v>112</v>
      </c>
      <c r="K222" s="20"/>
    </row>
    <row r="223" spans="1:11" ht="36.75" thickBot="1">
      <c r="A223" s="18" t="s">
        <v>3221</v>
      </c>
      <c r="B223" s="18">
        <v>20028079347</v>
      </c>
      <c r="C223" s="18" t="s">
        <v>2163</v>
      </c>
      <c r="D223" s="19">
        <v>45915.599305555559</v>
      </c>
      <c r="E223" s="18" t="s">
        <v>10</v>
      </c>
      <c r="F223" s="18">
        <v>5</v>
      </c>
      <c r="G223" s="18" t="s">
        <v>10</v>
      </c>
      <c r="H223" s="18" t="s">
        <v>178</v>
      </c>
      <c r="I223" s="18" t="s">
        <v>10</v>
      </c>
      <c r="J223" s="18" t="s">
        <v>112</v>
      </c>
      <c r="K223" s="20"/>
    </row>
    <row r="224" spans="1:11" ht="36.75" thickBot="1">
      <c r="A224" s="18" t="s">
        <v>3222</v>
      </c>
      <c r="B224" s="18">
        <v>20028079348</v>
      </c>
      <c r="C224" s="18" t="s">
        <v>2163</v>
      </c>
      <c r="D224" s="19">
        <v>45915.605555555558</v>
      </c>
      <c r="E224" s="18" t="s">
        <v>10</v>
      </c>
      <c r="F224" s="18">
        <v>5</v>
      </c>
      <c r="G224" s="18" t="s">
        <v>10</v>
      </c>
      <c r="H224" s="18" t="s">
        <v>178</v>
      </c>
      <c r="I224" s="18" t="s">
        <v>10</v>
      </c>
      <c r="J224" s="18" t="s">
        <v>112</v>
      </c>
      <c r="K224" s="20"/>
    </row>
    <row r="225" spans="1:11" ht="36.75" thickBot="1">
      <c r="A225" s="18" t="s">
        <v>3223</v>
      </c>
      <c r="B225" s="18">
        <v>20026923248</v>
      </c>
      <c r="C225" s="18" t="s">
        <v>3166</v>
      </c>
      <c r="D225" s="19">
        <v>45915.647222222222</v>
      </c>
      <c r="E225" s="18" t="s">
        <v>10</v>
      </c>
      <c r="F225" s="18">
        <v>5</v>
      </c>
      <c r="G225" s="18" t="s">
        <v>10</v>
      </c>
      <c r="H225" s="18" t="s">
        <v>178</v>
      </c>
      <c r="I225" s="18" t="s">
        <v>10</v>
      </c>
      <c r="J225" s="18" t="s">
        <v>112</v>
      </c>
      <c r="K225" s="20"/>
    </row>
    <row r="226" spans="1:11" ht="36.75" thickBot="1">
      <c r="A226" s="18" t="s">
        <v>3224</v>
      </c>
      <c r="B226" s="18">
        <v>20027714886</v>
      </c>
      <c r="C226" s="18" t="s">
        <v>3205</v>
      </c>
      <c r="D226" s="19">
        <v>45916.40347222222</v>
      </c>
      <c r="E226" s="18" t="s">
        <v>10</v>
      </c>
      <c r="F226" s="18">
        <v>3</v>
      </c>
      <c r="G226" s="19">
        <v>45957.515277777777</v>
      </c>
      <c r="H226" s="18" t="s">
        <v>2688</v>
      </c>
      <c r="I226" s="18" t="s">
        <v>10</v>
      </c>
      <c r="J226" s="18" t="s">
        <v>112</v>
      </c>
      <c r="K226" s="20"/>
    </row>
    <row r="227" spans="1:11" ht="36.75" thickBot="1">
      <c r="A227" s="18" t="s">
        <v>3225</v>
      </c>
      <c r="B227" s="18">
        <v>20027793116</v>
      </c>
      <c r="C227" s="18" t="s">
        <v>3202</v>
      </c>
      <c r="D227" s="19">
        <v>45916.570138888892</v>
      </c>
      <c r="E227" s="18" t="s">
        <v>10</v>
      </c>
      <c r="F227" s="18">
        <v>3</v>
      </c>
      <c r="G227" s="18" t="s">
        <v>10</v>
      </c>
      <c r="H227" s="18" t="s">
        <v>178</v>
      </c>
      <c r="I227" s="18" t="s">
        <v>10</v>
      </c>
      <c r="J227" s="18" t="s">
        <v>112</v>
      </c>
      <c r="K227" s="20"/>
    </row>
    <row r="228" spans="1:11" ht="36.75" thickBot="1">
      <c r="A228" s="18" t="s">
        <v>3226</v>
      </c>
      <c r="B228" s="18">
        <v>20003338818</v>
      </c>
      <c r="C228" s="18" t="s">
        <v>3227</v>
      </c>
      <c r="D228" s="19">
        <v>45916.668749999997</v>
      </c>
      <c r="E228" s="18" t="s">
        <v>10</v>
      </c>
      <c r="F228" s="18">
        <v>8</v>
      </c>
      <c r="G228" s="18" t="s">
        <v>10</v>
      </c>
      <c r="H228" s="18" t="s">
        <v>178</v>
      </c>
      <c r="I228" s="18" t="s">
        <v>10</v>
      </c>
      <c r="J228" s="18" t="s">
        <v>112</v>
      </c>
      <c r="K228" s="20"/>
    </row>
    <row r="229" spans="1:11" ht="36.75" thickBot="1">
      <c r="A229" s="18" t="s">
        <v>3228</v>
      </c>
      <c r="B229" s="18">
        <v>20002976736</v>
      </c>
      <c r="C229" s="18" t="s">
        <v>3229</v>
      </c>
      <c r="D229" s="19">
        <v>45918.824999999997</v>
      </c>
      <c r="E229" s="18" t="s">
        <v>10</v>
      </c>
      <c r="F229" s="18">
        <v>5</v>
      </c>
      <c r="G229" s="18" t="s">
        <v>10</v>
      </c>
      <c r="H229" s="18" t="s">
        <v>178</v>
      </c>
      <c r="I229" s="18" t="s">
        <v>10</v>
      </c>
      <c r="J229" s="18" t="s">
        <v>112</v>
      </c>
      <c r="K229" s="20"/>
    </row>
    <row r="230" spans="1:11" ht="36.75" thickBot="1">
      <c r="A230" s="18" t="s">
        <v>3230</v>
      </c>
      <c r="B230" s="18">
        <v>20003385309</v>
      </c>
      <c r="C230" s="18" t="s">
        <v>1809</v>
      </c>
      <c r="D230" s="19">
        <v>45922.384722222225</v>
      </c>
      <c r="E230" s="18" t="s">
        <v>10</v>
      </c>
      <c r="F230" s="18">
        <v>20</v>
      </c>
      <c r="G230" s="18" t="s">
        <v>10</v>
      </c>
      <c r="H230" s="18" t="s">
        <v>178</v>
      </c>
      <c r="I230" s="18" t="s">
        <v>10</v>
      </c>
      <c r="J230" s="18" t="s">
        <v>112</v>
      </c>
      <c r="K230" s="20"/>
    </row>
    <row r="231" spans="1:11" ht="36.75" thickBot="1">
      <c r="A231" s="18" t="s">
        <v>3231</v>
      </c>
      <c r="B231" s="18">
        <v>20020921453</v>
      </c>
      <c r="C231" s="18" t="s">
        <v>2720</v>
      </c>
      <c r="D231" s="19">
        <v>45911.888888888891</v>
      </c>
      <c r="E231" s="19">
        <v>45922.939583333333</v>
      </c>
      <c r="F231" s="18">
        <v>5</v>
      </c>
      <c r="G231" s="19">
        <v>45992.351388888892</v>
      </c>
      <c r="H231" s="18" t="s">
        <v>2657</v>
      </c>
      <c r="I231" s="18" t="s">
        <v>10</v>
      </c>
      <c r="J231" s="18" t="s">
        <v>112</v>
      </c>
      <c r="K231" s="20"/>
    </row>
    <row r="232" spans="1:11" ht="36.75" thickBot="1">
      <c r="A232" s="18" t="s">
        <v>3232</v>
      </c>
      <c r="B232" s="18">
        <v>20028138683</v>
      </c>
      <c r="C232" s="18" t="s">
        <v>3215</v>
      </c>
      <c r="D232" s="19">
        <v>45923.392361111109</v>
      </c>
      <c r="E232" s="18" t="s">
        <v>10</v>
      </c>
      <c r="F232" s="18">
        <v>3</v>
      </c>
      <c r="G232" s="18" t="s">
        <v>10</v>
      </c>
      <c r="H232" s="18" t="s">
        <v>178</v>
      </c>
      <c r="I232" s="18" t="s">
        <v>10</v>
      </c>
      <c r="J232" s="18" t="s">
        <v>112</v>
      </c>
      <c r="K232" s="20"/>
    </row>
    <row r="233" spans="1:11" ht="36.75" thickBot="1">
      <c r="A233" s="18" t="s">
        <v>3233</v>
      </c>
      <c r="B233" s="18">
        <v>20028101378</v>
      </c>
      <c r="C233" s="18" t="s">
        <v>3194</v>
      </c>
      <c r="D233" s="19">
        <v>45923.4</v>
      </c>
      <c r="E233" s="18" t="s">
        <v>10</v>
      </c>
      <c r="F233" s="18">
        <v>5</v>
      </c>
      <c r="G233" s="18" t="s">
        <v>10</v>
      </c>
      <c r="H233" s="18" t="s">
        <v>178</v>
      </c>
      <c r="I233" s="18" t="s">
        <v>10</v>
      </c>
      <c r="J233" s="18" t="s">
        <v>112</v>
      </c>
      <c r="K233" s="20"/>
    </row>
    <row r="234" spans="1:11" ht="36.75" thickBot="1">
      <c r="A234" s="18" t="s">
        <v>3234</v>
      </c>
      <c r="B234" s="18">
        <v>20028367914</v>
      </c>
      <c r="C234" s="18" t="s">
        <v>3235</v>
      </c>
      <c r="D234" s="19">
        <v>45909.467361111114</v>
      </c>
      <c r="E234" s="19">
        <v>45924.59097222222</v>
      </c>
      <c r="F234" s="18">
        <v>5</v>
      </c>
      <c r="G234" s="18" t="s">
        <v>10</v>
      </c>
      <c r="H234" s="18" t="s">
        <v>178</v>
      </c>
      <c r="I234" s="18" t="s">
        <v>10</v>
      </c>
      <c r="J234" s="18" t="s">
        <v>112</v>
      </c>
      <c r="K234" s="20"/>
    </row>
    <row r="235" spans="1:11" ht="36.75" thickBot="1">
      <c r="A235" s="18" t="s">
        <v>3236</v>
      </c>
      <c r="B235" s="18">
        <v>20026326976</v>
      </c>
      <c r="C235" s="18" t="s">
        <v>3229</v>
      </c>
      <c r="D235" s="19">
        <v>45929.791666666664</v>
      </c>
      <c r="E235" s="18" t="s">
        <v>10</v>
      </c>
      <c r="F235" s="18">
        <v>5</v>
      </c>
      <c r="G235" s="18" t="s">
        <v>10</v>
      </c>
      <c r="H235" s="18" t="s">
        <v>178</v>
      </c>
      <c r="I235" s="18" t="s">
        <v>10</v>
      </c>
      <c r="J235" s="18" t="s">
        <v>112</v>
      </c>
      <c r="K235" s="20"/>
    </row>
    <row r="236" spans="1:11" ht="36.75" thickBot="1">
      <c r="A236" s="18" t="s">
        <v>3237</v>
      </c>
      <c r="B236" s="18">
        <v>20003510634</v>
      </c>
      <c r="C236" s="18" t="s">
        <v>3208</v>
      </c>
      <c r="D236" s="19">
        <v>45917.826388888891</v>
      </c>
      <c r="E236" s="19">
        <v>45929.811805555553</v>
      </c>
      <c r="F236" s="18">
        <v>5</v>
      </c>
      <c r="G236" s="18" t="s">
        <v>10</v>
      </c>
      <c r="H236" s="18" t="s">
        <v>178</v>
      </c>
      <c r="I236" s="18" t="s">
        <v>10</v>
      </c>
      <c r="J236" s="18" t="s">
        <v>112</v>
      </c>
      <c r="K236" s="20"/>
    </row>
    <row r="237" spans="1:11" ht="36.75" thickBot="1">
      <c r="A237" s="18" t="s">
        <v>3238</v>
      </c>
      <c r="B237" s="18">
        <v>20003385309</v>
      </c>
      <c r="C237" s="18" t="s">
        <v>1809</v>
      </c>
      <c r="D237" s="19">
        <v>45930.365972222222</v>
      </c>
      <c r="E237" s="18" t="s">
        <v>10</v>
      </c>
      <c r="F237" s="18">
        <v>20</v>
      </c>
      <c r="G237" s="18" t="s">
        <v>10</v>
      </c>
      <c r="H237" s="18" t="s">
        <v>178</v>
      </c>
      <c r="I237" s="18" t="s">
        <v>10</v>
      </c>
      <c r="J237" s="18" t="s">
        <v>112</v>
      </c>
      <c r="K237" s="20"/>
    </row>
    <row r="238" spans="1:11" ht="36.75" thickBot="1">
      <c r="A238" s="18" t="s">
        <v>3239</v>
      </c>
      <c r="B238" s="18">
        <v>20028138683</v>
      </c>
      <c r="C238" s="18" t="s">
        <v>3215</v>
      </c>
      <c r="D238" s="19">
        <v>45930.452777777777</v>
      </c>
      <c r="E238" s="18" t="s">
        <v>10</v>
      </c>
      <c r="F238" s="18">
        <v>3</v>
      </c>
      <c r="G238" s="18" t="s">
        <v>10</v>
      </c>
      <c r="H238" s="18" t="s">
        <v>178</v>
      </c>
      <c r="I238" s="18" t="s">
        <v>10</v>
      </c>
      <c r="J238" s="18" t="s">
        <v>112</v>
      </c>
      <c r="K238" s="20"/>
    </row>
    <row r="239" spans="1:11" ht="36.75" thickBot="1">
      <c r="A239" s="18" t="s">
        <v>3240</v>
      </c>
      <c r="B239" s="18">
        <v>20028101378</v>
      </c>
      <c r="C239" s="18" t="s">
        <v>3194</v>
      </c>
      <c r="D239" s="19">
        <v>45930.457638888889</v>
      </c>
      <c r="E239" s="18" t="s">
        <v>10</v>
      </c>
      <c r="F239" s="18">
        <v>5</v>
      </c>
      <c r="G239" s="18" t="s">
        <v>10</v>
      </c>
      <c r="H239" s="18" t="s">
        <v>178</v>
      </c>
      <c r="I239" s="18" t="s">
        <v>10</v>
      </c>
      <c r="J239" s="18" t="s">
        <v>112</v>
      </c>
      <c r="K239" s="20"/>
    </row>
    <row r="240" spans="1:11" ht="36.75" thickBot="1">
      <c r="A240" s="18" t="s">
        <v>3241</v>
      </c>
      <c r="B240" s="18">
        <v>20028079343</v>
      </c>
      <c r="C240" s="18" t="s">
        <v>2163</v>
      </c>
      <c r="D240" s="19">
        <v>45930.463194444441</v>
      </c>
      <c r="E240" s="18" t="s">
        <v>10</v>
      </c>
      <c r="F240" s="18">
        <v>5</v>
      </c>
      <c r="G240" s="18" t="s">
        <v>10</v>
      </c>
      <c r="H240" s="18" t="s">
        <v>178</v>
      </c>
      <c r="I240" s="18" t="s">
        <v>10</v>
      </c>
      <c r="J240" s="18" t="s">
        <v>112</v>
      </c>
      <c r="K240" s="20"/>
    </row>
    <row r="241" spans="1:11" ht="36.75" thickBot="1">
      <c r="A241" s="18" t="s">
        <v>3242</v>
      </c>
      <c r="B241" s="18">
        <v>20028079344</v>
      </c>
      <c r="C241" s="18" t="s">
        <v>2163</v>
      </c>
      <c r="D241" s="19">
        <v>45930.467361111114</v>
      </c>
      <c r="E241" s="18" t="s">
        <v>10</v>
      </c>
      <c r="F241" s="18">
        <v>5</v>
      </c>
      <c r="G241" s="18" t="s">
        <v>10</v>
      </c>
      <c r="H241" s="18" t="s">
        <v>178</v>
      </c>
      <c r="I241" s="18" t="s">
        <v>10</v>
      </c>
      <c r="J241" s="18" t="s">
        <v>112</v>
      </c>
      <c r="K241" s="20"/>
    </row>
    <row r="242" spans="1:11" ht="36.75" thickBot="1">
      <c r="A242" s="18" t="s">
        <v>3243</v>
      </c>
      <c r="B242" s="18">
        <v>20028079345</v>
      </c>
      <c r="C242" s="18" t="s">
        <v>2163</v>
      </c>
      <c r="D242" s="19">
        <v>45930.470833333333</v>
      </c>
      <c r="E242" s="18" t="s">
        <v>10</v>
      </c>
      <c r="F242" s="18">
        <v>5</v>
      </c>
      <c r="G242" s="18" t="s">
        <v>10</v>
      </c>
      <c r="H242" s="18" t="s">
        <v>178</v>
      </c>
      <c r="I242" s="18" t="s">
        <v>10</v>
      </c>
      <c r="J242" s="18" t="s">
        <v>112</v>
      </c>
      <c r="K242" s="20"/>
    </row>
    <row r="243" spans="1:11" ht="36.75" thickBot="1">
      <c r="A243" s="18" t="s">
        <v>3244</v>
      </c>
      <c r="B243" s="18">
        <v>20028079346</v>
      </c>
      <c r="C243" s="18" t="s">
        <v>2163</v>
      </c>
      <c r="D243" s="19">
        <v>45930.474999999999</v>
      </c>
      <c r="E243" s="18" t="s">
        <v>10</v>
      </c>
      <c r="F243" s="18">
        <v>5</v>
      </c>
      <c r="G243" s="18" t="s">
        <v>10</v>
      </c>
      <c r="H243" s="18" t="s">
        <v>178</v>
      </c>
      <c r="I243" s="18" t="s">
        <v>10</v>
      </c>
      <c r="J243" s="18" t="s">
        <v>112</v>
      </c>
      <c r="K243" s="20"/>
    </row>
    <row r="244" spans="1:11" ht="36.75" thickBot="1">
      <c r="A244" s="18" t="s">
        <v>3245</v>
      </c>
      <c r="B244" s="18">
        <v>20028079347</v>
      </c>
      <c r="C244" s="18" t="s">
        <v>2163</v>
      </c>
      <c r="D244" s="19">
        <v>45930.479166666664</v>
      </c>
      <c r="E244" s="18" t="s">
        <v>10</v>
      </c>
      <c r="F244" s="18">
        <v>5</v>
      </c>
      <c r="G244" s="18" t="s">
        <v>10</v>
      </c>
      <c r="H244" s="18" t="s">
        <v>178</v>
      </c>
      <c r="I244" s="18" t="s">
        <v>10</v>
      </c>
      <c r="J244" s="18" t="s">
        <v>112</v>
      </c>
      <c r="K244" s="20"/>
    </row>
    <row r="245" spans="1:11" ht="36.75" thickBot="1">
      <c r="A245" s="18" t="s">
        <v>3246</v>
      </c>
      <c r="B245" s="18">
        <v>20028079348</v>
      </c>
      <c r="C245" s="18" t="s">
        <v>2163</v>
      </c>
      <c r="D245" s="19">
        <v>45930.481944444444</v>
      </c>
      <c r="E245" s="18" t="s">
        <v>10</v>
      </c>
      <c r="F245" s="18">
        <v>5</v>
      </c>
      <c r="G245" s="18" t="s">
        <v>10</v>
      </c>
      <c r="H245" s="18" t="s">
        <v>178</v>
      </c>
      <c r="I245" s="18" t="s">
        <v>10</v>
      </c>
      <c r="J245" s="18" t="s">
        <v>112</v>
      </c>
      <c r="K245" s="20"/>
    </row>
    <row r="246" spans="1:11" ht="54.75" thickBot="1">
      <c r="A246" s="18" t="s">
        <v>3247</v>
      </c>
      <c r="B246" s="18">
        <v>20021690748</v>
      </c>
      <c r="C246" s="18" t="s">
        <v>3163</v>
      </c>
      <c r="D246" s="19">
        <v>45877.427777777775</v>
      </c>
      <c r="E246" s="19">
        <v>45930.506944444445</v>
      </c>
      <c r="F246" s="18">
        <v>15</v>
      </c>
      <c r="G246" s="18" t="s">
        <v>10</v>
      </c>
      <c r="H246" s="18" t="s">
        <v>178</v>
      </c>
      <c r="I246" s="18" t="s">
        <v>10</v>
      </c>
      <c r="J246" s="18" t="s">
        <v>112</v>
      </c>
      <c r="K246" s="20"/>
    </row>
    <row r="247" spans="1:11" ht="36.75" thickBot="1">
      <c r="A247" s="18" t="s">
        <v>3248</v>
      </c>
      <c r="B247" s="18">
        <v>20027793116</v>
      </c>
      <c r="C247" s="18" t="s">
        <v>3202</v>
      </c>
      <c r="D247" s="19">
        <v>45933.473611111112</v>
      </c>
      <c r="E247" s="18" t="s">
        <v>10</v>
      </c>
      <c r="F247" s="18">
        <v>3</v>
      </c>
      <c r="G247" s="18" t="s">
        <v>10</v>
      </c>
      <c r="H247" s="18" t="s">
        <v>178</v>
      </c>
      <c r="I247" s="18" t="s">
        <v>10</v>
      </c>
      <c r="J247" s="18" t="s">
        <v>112</v>
      </c>
      <c r="K247" s="20"/>
    </row>
    <row r="248" spans="1:11" ht="36.75" thickBot="1">
      <c r="A248" s="18" t="s">
        <v>3252</v>
      </c>
      <c r="B248" s="18">
        <v>20024245600</v>
      </c>
      <c r="C248" s="18" t="s">
        <v>3253</v>
      </c>
      <c r="D248" s="19">
        <v>45936.442361111112</v>
      </c>
      <c r="E248" s="18" t="s">
        <v>10</v>
      </c>
      <c r="F248" s="18">
        <v>5</v>
      </c>
      <c r="G248" s="18" t="s">
        <v>10</v>
      </c>
      <c r="H248" s="18" t="s">
        <v>178</v>
      </c>
      <c r="I248" s="18" t="s">
        <v>10</v>
      </c>
      <c r="J248" s="18" t="s">
        <v>112</v>
      </c>
      <c r="K248" s="20"/>
    </row>
    <row r="249" spans="1:11" ht="36.75" thickBot="1">
      <c r="A249" s="18" t="s">
        <v>3254</v>
      </c>
      <c r="B249" s="18">
        <v>20028264039</v>
      </c>
      <c r="C249" s="18" t="s">
        <v>3255</v>
      </c>
      <c r="D249" s="19">
        <v>45938.70208333333</v>
      </c>
      <c r="E249" s="18" t="s">
        <v>10</v>
      </c>
      <c r="F249" s="18">
        <v>5</v>
      </c>
      <c r="G249" s="18" t="s">
        <v>10</v>
      </c>
      <c r="H249" s="18" t="s">
        <v>178</v>
      </c>
      <c r="I249" s="18" t="s">
        <v>10</v>
      </c>
      <c r="J249" s="18" t="s">
        <v>112</v>
      </c>
      <c r="K249" s="20"/>
    </row>
    <row r="250" spans="1:11" ht="36.75" thickBot="1">
      <c r="A250" s="18" t="s">
        <v>3256</v>
      </c>
      <c r="B250" s="18">
        <v>20024245600</v>
      </c>
      <c r="C250" s="18" t="s">
        <v>3253</v>
      </c>
      <c r="D250" s="19">
        <v>45940.631944444445</v>
      </c>
      <c r="E250" s="18" t="s">
        <v>10</v>
      </c>
      <c r="F250" s="18">
        <v>5</v>
      </c>
      <c r="G250" s="18" t="s">
        <v>10</v>
      </c>
      <c r="H250" s="18" t="s">
        <v>178</v>
      </c>
      <c r="I250" s="18" t="s">
        <v>10</v>
      </c>
      <c r="J250" s="18" t="s">
        <v>112</v>
      </c>
      <c r="K250" s="20"/>
    </row>
    <row r="251" spans="1:11" ht="36.75" thickBot="1">
      <c r="A251" s="18" t="s">
        <v>3257</v>
      </c>
      <c r="B251" s="18">
        <v>20025555475</v>
      </c>
      <c r="C251" s="18" t="s">
        <v>3187</v>
      </c>
      <c r="D251" s="19">
        <v>45923.432638888888</v>
      </c>
      <c r="E251" s="19">
        <v>45944.436111111114</v>
      </c>
      <c r="F251" s="18">
        <v>5</v>
      </c>
      <c r="G251" s="19">
        <v>45972.482638888891</v>
      </c>
      <c r="H251" s="18" t="s">
        <v>2654</v>
      </c>
      <c r="I251" s="18" t="s">
        <v>10</v>
      </c>
      <c r="J251" s="18" t="s">
        <v>112</v>
      </c>
      <c r="K251" s="20"/>
    </row>
    <row r="252" spans="1:11" ht="36.75" thickBot="1">
      <c r="A252" s="18" t="s">
        <v>3258</v>
      </c>
      <c r="B252" s="18">
        <v>20003385309</v>
      </c>
      <c r="C252" s="18" t="s">
        <v>1809</v>
      </c>
      <c r="D252" s="19">
        <v>45944.556250000001</v>
      </c>
      <c r="E252" s="18" t="s">
        <v>10</v>
      </c>
      <c r="F252" s="18">
        <v>20</v>
      </c>
      <c r="G252" s="18" t="s">
        <v>10</v>
      </c>
      <c r="H252" s="18" t="s">
        <v>178</v>
      </c>
      <c r="I252" s="18" t="s">
        <v>10</v>
      </c>
      <c r="J252" s="18" t="s">
        <v>112</v>
      </c>
      <c r="K252" s="20"/>
    </row>
    <row r="253" spans="1:11" ht="36.75" thickBot="1">
      <c r="A253" s="18" t="s">
        <v>3259</v>
      </c>
      <c r="B253" s="18">
        <v>20003073660</v>
      </c>
      <c r="C253" s="18" t="s">
        <v>3260</v>
      </c>
      <c r="D253" s="19">
        <v>45944.563194444447</v>
      </c>
      <c r="E253" s="18" t="s">
        <v>10</v>
      </c>
      <c r="F253" s="18">
        <v>5</v>
      </c>
      <c r="G253" s="18" t="s">
        <v>10</v>
      </c>
      <c r="H253" s="18" t="s">
        <v>178</v>
      </c>
      <c r="I253" s="18" t="s">
        <v>10</v>
      </c>
      <c r="J253" s="18" t="s">
        <v>112</v>
      </c>
      <c r="K253" s="20"/>
    </row>
    <row r="254" spans="1:11" ht="54.75" thickBot="1">
      <c r="A254" s="18" t="s">
        <v>3261</v>
      </c>
      <c r="B254" s="18">
        <v>20026902701</v>
      </c>
      <c r="C254" s="18" t="s">
        <v>3189</v>
      </c>
      <c r="D254" s="19">
        <v>45916.406944444447</v>
      </c>
      <c r="E254" s="19">
        <v>45944.618055555555</v>
      </c>
      <c r="F254" s="18">
        <v>10</v>
      </c>
      <c r="G254" s="18" t="s">
        <v>10</v>
      </c>
      <c r="H254" s="18" t="s">
        <v>189</v>
      </c>
      <c r="I254" s="18" t="s">
        <v>10</v>
      </c>
      <c r="J254" s="18" t="s">
        <v>112</v>
      </c>
      <c r="K254" s="20"/>
    </row>
    <row r="255" spans="1:11" ht="36.75" thickBot="1">
      <c r="A255" s="18" t="s">
        <v>3262</v>
      </c>
      <c r="B255" s="18">
        <v>20026326976</v>
      </c>
      <c r="C255" s="18" t="s">
        <v>3263</v>
      </c>
      <c r="D255" s="19">
        <v>45944.711805555555</v>
      </c>
      <c r="E255" s="18" t="s">
        <v>10</v>
      </c>
      <c r="F255" s="18">
        <v>5</v>
      </c>
      <c r="G255" s="18" t="s">
        <v>10</v>
      </c>
      <c r="H255" s="18" t="s">
        <v>178</v>
      </c>
      <c r="I255" s="18" t="s">
        <v>10</v>
      </c>
      <c r="J255" s="18" t="s">
        <v>112</v>
      </c>
      <c r="K255" s="20"/>
    </row>
    <row r="256" spans="1:11" ht="36.75" thickBot="1">
      <c r="A256" s="18" t="s">
        <v>3264</v>
      </c>
      <c r="B256" s="18">
        <v>20003510634</v>
      </c>
      <c r="C256" s="18" t="s">
        <v>3208</v>
      </c>
      <c r="D256" s="19">
        <v>45944.893055555556</v>
      </c>
      <c r="E256" s="18" t="s">
        <v>10</v>
      </c>
      <c r="F256" s="18">
        <v>5</v>
      </c>
      <c r="G256" s="18" t="s">
        <v>10</v>
      </c>
      <c r="H256" s="18" t="s">
        <v>178</v>
      </c>
      <c r="I256" s="18" t="s">
        <v>10</v>
      </c>
      <c r="J256" s="18" t="s">
        <v>112</v>
      </c>
      <c r="K256" s="20"/>
    </row>
    <row r="257" spans="1:11" ht="36.75" thickBot="1">
      <c r="A257" s="18" t="s">
        <v>3265</v>
      </c>
      <c r="B257" s="18">
        <v>20016463046</v>
      </c>
      <c r="C257" s="18" t="s">
        <v>1199</v>
      </c>
      <c r="D257" s="19">
        <v>45923.92083333333</v>
      </c>
      <c r="E257" s="19">
        <v>45945.413194444445</v>
      </c>
      <c r="F257" s="18">
        <v>5</v>
      </c>
      <c r="G257" s="19">
        <v>45986.576388888891</v>
      </c>
      <c r="H257" s="18" t="s">
        <v>2657</v>
      </c>
      <c r="I257" s="18" t="s">
        <v>10</v>
      </c>
      <c r="J257" s="18" t="s">
        <v>112</v>
      </c>
      <c r="K257" s="20"/>
    </row>
    <row r="258" spans="1:11" ht="36.75" thickBot="1">
      <c r="A258" s="18" t="s">
        <v>3266</v>
      </c>
      <c r="B258" s="18">
        <v>20026923248</v>
      </c>
      <c r="C258" s="18" t="s">
        <v>3166</v>
      </c>
      <c r="D258" s="19">
        <v>45924.652083333334</v>
      </c>
      <c r="E258" s="19">
        <v>45945.628472222219</v>
      </c>
      <c r="F258" s="18">
        <v>5</v>
      </c>
      <c r="G258" s="18" t="s">
        <v>10</v>
      </c>
      <c r="H258" s="18" t="s">
        <v>178</v>
      </c>
      <c r="I258" s="18" t="s">
        <v>10</v>
      </c>
      <c r="J258" s="18" t="s">
        <v>112</v>
      </c>
      <c r="K258" s="20"/>
    </row>
    <row r="259" spans="1:11" ht="36.75" thickBot="1">
      <c r="A259" s="18" t="s">
        <v>3267</v>
      </c>
      <c r="B259" s="18">
        <v>20003333151</v>
      </c>
      <c r="C259" s="18" t="s">
        <v>3268</v>
      </c>
      <c r="D259" s="19">
        <v>45947.067361111112</v>
      </c>
      <c r="E259" s="18" t="s">
        <v>10</v>
      </c>
      <c r="F259" s="18">
        <v>15</v>
      </c>
      <c r="G259" s="18" t="s">
        <v>10</v>
      </c>
      <c r="H259" s="18" t="s">
        <v>178</v>
      </c>
      <c r="I259" s="18" t="s">
        <v>10</v>
      </c>
      <c r="J259" s="18" t="s">
        <v>112</v>
      </c>
      <c r="K259" s="20"/>
    </row>
    <row r="260" spans="1:11" ht="36.75" thickBot="1">
      <c r="A260" s="18" t="s">
        <v>3269</v>
      </c>
      <c r="B260" s="18">
        <v>20003333151</v>
      </c>
      <c r="C260" s="18" t="s">
        <v>3270</v>
      </c>
      <c r="D260" s="19">
        <v>45948.851388888892</v>
      </c>
      <c r="E260" s="18" t="s">
        <v>10</v>
      </c>
      <c r="F260" s="18">
        <v>15</v>
      </c>
      <c r="G260" s="18" t="s">
        <v>10</v>
      </c>
      <c r="H260" s="18" t="s">
        <v>178</v>
      </c>
      <c r="I260" s="18" t="s">
        <v>10</v>
      </c>
      <c r="J260" s="18" t="s">
        <v>112</v>
      </c>
      <c r="K260" s="20"/>
    </row>
    <row r="261" spans="1:11" ht="36.75" thickBot="1">
      <c r="A261" s="18" t="s">
        <v>3273</v>
      </c>
      <c r="B261" s="18">
        <v>20003134157</v>
      </c>
      <c r="C261" s="18" t="s">
        <v>3274</v>
      </c>
      <c r="D261" s="19">
        <v>45950.743055555555</v>
      </c>
      <c r="E261" s="18" t="s">
        <v>10</v>
      </c>
      <c r="F261" s="18">
        <v>6</v>
      </c>
      <c r="G261" s="18" t="s">
        <v>10</v>
      </c>
      <c r="H261" s="18" t="s">
        <v>178</v>
      </c>
      <c r="I261" s="18" t="s">
        <v>10</v>
      </c>
      <c r="J261" s="18" t="s">
        <v>112</v>
      </c>
      <c r="K261" s="20"/>
    </row>
    <row r="262" spans="1:11" ht="36.75" thickBot="1">
      <c r="A262" s="18" t="s">
        <v>3278</v>
      </c>
      <c r="B262" s="18">
        <v>20003401647</v>
      </c>
      <c r="C262" s="18" t="s">
        <v>3279</v>
      </c>
      <c r="D262" s="19">
        <v>45957.488888888889</v>
      </c>
      <c r="E262" s="18" t="s">
        <v>10</v>
      </c>
      <c r="F262" s="18">
        <v>5</v>
      </c>
      <c r="G262" s="18" t="s">
        <v>10</v>
      </c>
      <c r="H262" s="18" t="s">
        <v>178</v>
      </c>
      <c r="I262" s="18" t="s">
        <v>10</v>
      </c>
      <c r="J262" s="18" t="s">
        <v>112</v>
      </c>
      <c r="K262" s="20"/>
    </row>
    <row r="263" spans="1:11" ht="36.75" thickBot="1">
      <c r="A263" s="18" t="s">
        <v>3280</v>
      </c>
      <c r="B263" s="18">
        <v>20027717341</v>
      </c>
      <c r="C263" s="18" t="s">
        <v>1058</v>
      </c>
      <c r="D263" s="19">
        <v>45958.522916666669</v>
      </c>
      <c r="E263" s="18" t="s">
        <v>10</v>
      </c>
      <c r="F263" s="18">
        <v>3</v>
      </c>
      <c r="G263" s="18" t="s">
        <v>10</v>
      </c>
      <c r="H263" s="18" t="s">
        <v>178</v>
      </c>
      <c r="I263" s="18" t="s">
        <v>10</v>
      </c>
      <c r="J263" s="18" t="s">
        <v>112</v>
      </c>
      <c r="K263" s="20"/>
    </row>
    <row r="264" spans="1:11" ht="36.75" thickBot="1">
      <c r="A264" s="18" t="s">
        <v>3281</v>
      </c>
      <c r="B264" s="18">
        <v>20021932134</v>
      </c>
      <c r="C264" s="18" t="s">
        <v>1053</v>
      </c>
      <c r="D264" s="19">
        <v>45958.679861111108</v>
      </c>
      <c r="E264" s="18" t="s">
        <v>10</v>
      </c>
      <c r="F264" s="18">
        <v>20</v>
      </c>
      <c r="G264" s="18" t="s">
        <v>10</v>
      </c>
      <c r="H264" s="18" t="s">
        <v>178</v>
      </c>
      <c r="I264" s="18" t="s">
        <v>10</v>
      </c>
      <c r="J264" s="18" t="s">
        <v>112</v>
      </c>
      <c r="K264" s="20"/>
    </row>
    <row r="265" spans="1:11" ht="36.75" thickBot="1">
      <c r="A265" s="18" t="s">
        <v>3282</v>
      </c>
      <c r="B265" s="18">
        <v>20003385309</v>
      </c>
      <c r="C265" s="18" t="s">
        <v>1809</v>
      </c>
      <c r="D265" s="19">
        <v>45959.385416666664</v>
      </c>
      <c r="E265" s="18" t="s">
        <v>10</v>
      </c>
      <c r="F265" s="18">
        <v>20</v>
      </c>
      <c r="G265" s="18" t="s">
        <v>10</v>
      </c>
      <c r="H265" s="18" t="s">
        <v>178</v>
      </c>
      <c r="I265" s="18" t="s">
        <v>10</v>
      </c>
      <c r="J265" s="18" t="s">
        <v>112</v>
      </c>
      <c r="K265" s="20"/>
    </row>
    <row r="266" spans="1:11" ht="36.75" thickBot="1">
      <c r="A266" s="18" t="s">
        <v>3283</v>
      </c>
      <c r="B266" s="18">
        <v>20003073660</v>
      </c>
      <c r="C266" s="18" t="s">
        <v>3284</v>
      </c>
      <c r="D266" s="19">
        <v>45959.438888888886</v>
      </c>
      <c r="E266" s="18" t="s">
        <v>10</v>
      </c>
      <c r="F266" s="18">
        <v>5</v>
      </c>
      <c r="G266" s="18" t="s">
        <v>10</v>
      </c>
      <c r="H266" s="18" t="s">
        <v>178</v>
      </c>
      <c r="I266" s="18" t="s">
        <v>10</v>
      </c>
      <c r="J266" s="18" t="s">
        <v>112</v>
      </c>
      <c r="K266" s="20"/>
    </row>
    <row r="267" spans="1:11" ht="36.75" thickBot="1">
      <c r="A267" s="18" t="s">
        <v>3289</v>
      </c>
      <c r="B267" s="18">
        <v>20028101378</v>
      </c>
      <c r="C267" s="18" t="s">
        <v>3194</v>
      </c>
      <c r="D267" s="19">
        <v>45960.605555555558</v>
      </c>
      <c r="E267" s="18" t="s">
        <v>10</v>
      </c>
      <c r="F267" s="18">
        <v>5</v>
      </c>
      <c r="G267" s="18" t="s">
        <v>10</v>
      </c>
      <c r="H267" s="18" t="s">
        <v>178</v>
      </c>
      <c r="I267" s="18" t="s">
        <v>10</v>
      </c>
      <c r="J267" s="18" t="s">
        <v>112</v>
      </c>
      <c r="K267" s="20"/>
    </row>
    <row r="268" spans="1:11" ht="36.75" thickBot="1">
      <c r="A268" s="18" t="s">
        <v>3290</v>
      </c>
      <c r="B268" s="18">
        <v>20019574671</v>
      </c>
      <c r="C268" s="18" t="s">
        <v>3291</v>
      </c>
      <c r="D268" s="19">
        <v>45936.739583333336</v>
      </c>
      <c r="E268" s="19">
        <v>45961.67083333333</v>
      </c>
      <c r="F268" s="18">
        <v>5</v>
      </c>
      <c r="G268" s="18" t="s">
        <v>10</v>
      </c>
      <c r="H268" s="18" t="s">
        <v>178</v>
      </c>
      <c r="I268" s="18" t="s">
        <v>10</v>
      </c>
      <c r="J268" s="18" t="s">
        <v>112</v>
      </c>
      <c r="K268" s="20"/>
    </row>
    <row r="269" spans="1:11" ht="36.75" thickBot="1">
      <c r="A269" s="18" t="s">
        <v>3292</v>
      </c>
      <c r="B269" s="18">
        <v>20003510634</v>
      </c>
      <c r="C269" s="18" t="s">
        <v>3208</v>
      </c>
      <c r="D269" s="19">
        <v>45962.800694444442</v>
      </c>
      <c r="E269" s="18" t="s">
        <v>10</v>
      </c>
      <c r="F269" s="18">
        <v>5</v>
      </c>
      <c r="G269" s="18" t="s">
        <v>10</v>
      </c>
      <c r="H269" s="18" t="s">
        <v>178</v>
      </c>
      <c r="I269" s="18" t="s">
        <v>10</v>
      </c>
      <c r="J269" s="18" t="s">
        <v>112</v>
      </c>
      <c r="K269" s="20"/>
    </row>
    <row r="270" spans="1:11" ht="36.75" thickBot="1">
      <c r="A270" s="18" t="s">
        <v>3293</v>
      </c>
      <c r="B270" s="18">
        <v>20028367914</v>
      </c>
      <c r="C270" s="18" t="s">
        <v>3235</v>
      </c>
      <c r="D270" s="19">
        <v>45965.570138888892</v>
      </c>
      <c r="E270" s="18" t="s">
        <v>10</v>
      </c>
      <c r="F270" s="18">
        <v>5</v>
      </c>
      <c r="G270" s="18" t="s">
        <v>10</v>
      </c>
      <c r="H270" s="18" t="s">
        <v>178</v>
      </c>
      <c r="I270" s="18" t="s">
        <v>10</v>
      </c>
      <c r="J270" s="18" t="s">
        <v>112</v>
      </c>
      <c r="K270" s="20"/>
    </row>
    <row r="271" spans="1:11" ht="72.75" thickBot="1">
      <c r="A271" s="18" t="s">
        <v>3249</v>
      </c>
      <c r="B271" s="18">
        <v>20003143047</v>
      </c>
      <c r="C271" s="18" t="s">
        <v>3250</v>
      </c>
      <c r="D271" s="19">
        <v>45934.700694444444</v>
      </c>
      <c r="E271" s="19">
        <v>45967.556250000001</v>
      </c>
      <c r="F271" s="18">
        <v>15</v>
      </c>
      <c r="G271" s="18" t="s">
        <v>10</v>
      </c>
      <c r="H271" s="18" t="s">
        <v>178</v>
      </c>
      <c r="I271" s="18" t="s">
        <v>10</v>
      </c>
      <c r="J271" s="18" t="s">
        <v>112</v>
      </c>
      <c r="K271" s="20"/>
    </row>
    <row r="272" spans="1:11" ht="54.75" thickBot="1">
      <c r="A272" s="18" t="s">
        <v>3251</v>
      </c>
      <c r="B272" s="18">
        <v>20003421773</v>
      </c>
      <c r="C272" s="18" t="s">
        <v>3168</v>
      </c>
      <c r="D272" s="19">
        <v>45936.397222222222</v>
      </c>
      <c r="E272" s="19">
        <v>45970.859027777777</v>
      </c>
      <c r="F272" s="18">
        <v>15</v>
      </c>
      <c r="G272" s="18" t="s">
        <v>10</v>
      </c>
      <c r="H272" s="23" t="s">
        <v>2656</v>
      </c>
      <c r="I272" s="18" t="s">
        <v>10</v>
      </c>
      <c r="J272" s="18" t="s">
        <v>112</v>
      </c>
      <c r="K272" s="20"/>
    </row>
    <row r="273" spans="1:11" ht="36.75" thickBot="1">
      <c r="A273" s="18" t="s">
        <v>7801</v>
      </c>
      <c r="B273" s="18">
        <v>20003134157</v>
      </c>
      <c r="C273" s="18" t="s">
        <v>3274</v>
      </c>
      <c r="D273" s="19">
        <v>45971.370138888888</v>
      </c>
      <c r="E273" s="18" t="s">
        <v>10</v>
      </c>
      <c r="F273" s="18">
        <v>6</v>
      </c>
      <c r="G273" s="18" t="s">
        <v>10</v>
      </c>
      <c r="H273" s="23" t="s">
        <v>2656</v>
      </c>
      <c r="I273" s="18" t="s">
        <v>10</v>
      </c>
      <c r="J273" s="18" t="s">
        <v>112</v>
      </c>
      <c r="K273" s="20"/>
    </row>
    <row r="274" spans="1:11" ht="36.75" thickBot="1">
      <c r="A274" s="18" t="s">
        <v>7802</v>
      </c>
      <c r="B274" s="18">
        <v>20028101378</v>
      </c>
      <c r="C274" s="18" t="s">
        <v>3194</v>
      </c>
      <c r="D274" s="19">
        <v>45971.411805555559</v>
      </c>
      <c r="E274" s="18" t="s">
        <v>10</v>
      </c>
      <c r="F274" s="18">
        <v>5</v>
      </c>
      <c r="G274" s="18" t="s">
        <v>10</v>
      </c>
      <c r="H274" s="23" t="s">
        <v>2656</v>
      </c>
      <c r="I274" s="18" t="s">
        <v>10</v>
      </c>
      <c r="J274" s="18" t="s">
        <v>112</v>
      </c>
      <c r="K274" s="20"/>
    </row>
    <row r="275" spans="1:11" ht="36.75" thickBot="1">
      <c r="A275" s="18" t="s">
        <v>3287</v>
      </c>
      <c r="B275" s="18">
        <v>20003429336</v>
      </c>
      <c r="C275" s="18" t="s">
        <v>3288</v>
      </c>
      <c r="D275" s="19">
        <v>45911.4375</v>
      </c>
      <c r="E275" s="19">
        <v>45971.416666666664</v>
      </c>
      <c r="F275" s="18">
        <v>10</v>
      </c>
      <c r="G275" s="18" t="s">
        <v>10</v>
      </c>
      <c r="H275" s="23" t="s">
        <v>2656</v>
      </c>
      <c r="I275" s="18" t="s">
        <v>10</v>
      </c>
      <c r="J275" s="18" t="s">
        <v>112</v>
      </c>
      <c r="K275" s="20"/>
    </row>
    <row r="276" spans="1:11" ht="36.75" thickBot="1">
      <c r="A276" s="18" t="s">
        <v>7803</v>
      </c>
      <c r="B276" s="18">
        <v>20021525621</v>
      </c>
      <c r="C276" s="18" t="s">
        <v>3530</v>
      </c>
      <c r="D276" s="19">
        <v>45971.572916666664</v>
      </c>
      <c r="E276" s="18" t="s">
        <v>10</v>
      </c>
      <c r="F276" s="18">
        <v>5</v>
      </c>
      <c r="G276" s="18" t="s">
        <v>10</v>
      </c>
      <c r="H276" s="23" t="s">
        <v>2656</v>
      </c>
      <c r="I276" s="18" t="s">
        <v>10</v>
      </c>
      <c r="J276" s="18" t="s">
        <v>112</v>
      </c>
      <c r="K276" s="20"/>
    </row>
    <row r="277" spans="1:11" ht="36.75" thickBot="1">
      <c r="A277" s="18" t="s">
        <v>7804</v>
      </c>
      <c r="B277" s="18">
        <v>20003333151</v>
      </c>
      <c r="C277" s="18" t="s">
        <v>7805</v>
      </c>
      <c r="D277" s="19">
        <v>45971.963194444441</v>
      </c>
      <c r="E277" s="18" t="s">
        <v>10</v>
      </c>
      <c r="F277" s="18">
        <v>15</v>
      </c>
      <c r="G277" s="18" t="s">
        <v>10</v>
      </c>
      <c r="H277" s="23" t="s">
        <v>2656</v>
      </c>
      <c r="I277" s="18" t="s">
        <v>10</v>
      </c>
      <c r="J277" s="18" t="s">
        <v>112</v>
      </c>
      <c r="K277" s="20"/>
    </row>
    <row r="278" spans="1:11" ht="36.75" thickBot="1">
      <c r="A278" s="18" t="s">
        <v>3277</v>
      </c>
      <c r="B278" s="18">
        <v>20002913667</v>
      </c>
      <c r="C278" s="18" t="s">
        <v>3177</v>
      </c>
      <c r="D278" s="19">
        <v>45955.823611111111</v>
      </c>
      <c r="E278" s="19">
        <v>45972.513888888891</v>
      </c>
      <c r="F278" s="18">
        <v>5</v>
      </c>
      <c r="G278" s="18" t="s">
        <v>10</v>
      </c>
      <c r="H278" s="23" t="s">
        <v>2656</v>
      </c>
      <c r="I278" s="18" t="s">
        <v>10</v>
      </c>
      <c r="J278" s="18" t="s">
        <v>112</v>
      </c>
      <c r="K278" s="20"/>
    </row>
    <row r="279" spans="1:11" ht="36.75" thickBot="1">
      <c r="A279" s="18" t="s">
        <v>3275</v>
      </c>
      <c r="B279" s="18">
        <v>20026413921</v>
      </c>
      <c r="C279" s="18" t="s">
        <v>3276</v>
      </c>
      <c r="D279" s="19">
        <v>45953.918749999997</v>
      </c>
      <c r="E279" s="19">
        <v>45973.563194444447</v>
      </c>
      <c r="F279" s="18">
        <v>15</v>
      </c>
      <c r="G279" s="18" t="s">
        <v>10</v>
      </c>
      <c r="H279" s="23" t="s">
        <v>2656</v>
      </c>
      <c r="I279" s="18" t="s">
        <v>10</v>
      </c>
      <c r="J279" s="18" t="s">
        <v>112</v>
      </c>
      <c r="K279" s="20"/>
    </row>
    <row r="280" spans="1:11" ht="36.75" thickBot="1">
      <c r="A280" s="18" t="s">
        <v>7806</v>
      </c>
      <c r="B280" s="18">
        <v>20003073660</v>
      </c>
      <c r="C280" s="18" t="s">
        <v>3260</v>
      </c>
      <c r="D280" s="19">
        <v>45973.645138888889</v>
      </c>
      <c r="E280" s="18" t="s">
        <v>10</v>
      </c>
      <c r="F280" s="18">
        <v>5</v>
      </c>
      <c r="G280" s="18" t="s">
        <v>10</v>
      </c>
      <c r="H280" s="23" t="s">
        <v>2656</v>
      </c>
      <c r="I280" s="18" t="s">
        <v>10</v>
      </c>
      <c r="J280" s="18" t="s">
        <v>112</v>
      </c>
      <c r="K280" s="20"/>
    </row>
    <row r="281" spans="1:11" ht="36.75" thickBot="1">
      <c r="A281" s="18" t="s">
        <v>3286</v>
      </c>
      <c r="B281" s="18">
        <v>20028264039</v>
      </c>
      <c r="C281" s="18" t="s">
        <v>3255</v>
      </c>
      <c r="D281" s="19">
        <v>45959.605555555558</v>
      </c>
      <c r="E281" s="19">
        <v>45973.649305555555</v>
      </c>
      <c r="F281" s="18">
        <v>5</v>
      </c>
      <c r="G281" s="18" t="s">
        <v>10</v>
      </c>
      <c r="H281" s="23" t="s">
        <v>2656</v>
      </c>
      <c r="I281" s="18" t="s">
        <v>10</v>
      </c>
      <c r="J281" s="18" t="s">
        <v>112</v>
      </c>
      <c r="K281" s="20"/>
    </row>
    <row r="282" spans="1:11" ht="36.75" thickBot="1">
      <c r="A282" s="18" t="s">
        <v>7807</v>
      </c>
      <c r="B282" s="18">
        <v>20023098836</v>
      </c>
      <c r="C282" s="18" t="s">
        <v>7808</v>
      </c>
      <c r="D282" s="19">
        <v>45976.981249999997</v>
      </c>
      <c r="E282" s="18" t="s">
        <v>10</v>
      </c>
      <c r="F282" s="18">
        <v>20</v>
      </c>
      <c r="G282" s="18" t="s">
        <v>10</v>
      </c>
      <c r="H282" s="25" t="s">
        <v>2656</v>
      </c>
      <c r="I282" s="18" t="s">
        <v>10</v>
      </c>
      <c r="J282" s="18" t="s">
        <v>112</v>
      </c>
      <c r="K282" s="20"/>
    </row>
    <row r="283" spans="1:11" ht="36.75" thickBot="1">
      <c r="A283" s="18" t="s">
        <v>7809</v>
      </c>
      <c r="B283" s="18">
        <v>20028458101</v>
      </c>
      <c r="C283" s="18" t="s">
        <v>7810</v>
      </c>
      <c r="D283" s="19">
        <v>45978.402083333334</v>
      </c>
      <c r="E283" s="18" t="s">
        <v>10</v>
      </c>
      <c r="F283" s="18">
        <v>5</v>
      </c>
      <c r="G283" s="18" t="s">
        <v>10</v>
      </c>
      <c r="H283" s="25" t="s">
        <v>2656</v>
      </c>
      <c r="I283" s="18" t="s">
        <v>10</v>
      </c>
      <c r="J283" s="18" t="s">
        <v>112</v>
      </c>
      <c r="K283" s="20"/>
    </row>
    <row r="284" spans="1:11" ht="36.75" thickBot="1">
      <c r="A284" s="18" t="s">
        <v>7811</v>
      </c>
      <c r="B284" s="18">
        <v>20028079344</v>
      </c>
      <c r="C284" s="18" t="s">
        <v>2163</v>
      </c>
      <c r="D284" s="19">
        <v>45978.429166666669</v>
      </c>
      <c r="E284" s="18" t="s">
        <v>10</v>
      </c>
      <c r="F284" s="18">
        <v>5</v>
      </c>
      <c r="G284" s="18" t="s">
        <v>10</v>
      </c>
      <c r="H284" s="25" t="s">
        <v>2656</v>
      </c>
      <c r="I284" s="18" t="s">
        <v>10</v>
      </c>
      <c r="J284" s="18" t="s">
        <v>112</v>
      </c>
      <c r="K284" s="20"/>
    </row>
    <row r="285" spans="1:11" ht="36.75" thickBot="1">
      <c r="A285" s="18" t="s">
        <v>7812</v>
      </c>
      <c r="B285" s="18">
        <v>20028079344</v>
      </c>
      <c r="C285" s="18" t="s">
        <v>2163</v>
      </c>
      <c r="D285" s="19">
        <v>45978.43472222222</v>
      </c>
      <c r="E285" s="18" t="s">
        <v>10</v>
      </c>
      <c r="F285" s="18">
        <v>5</v>
      </c>
      <c r="G285" s="18" t="s">
        <v>10</v>
      </c>
      <c r="H285" s="25" t="s">
        <v>2656</v>
      </c>
      <c r="I285" s="18" t="s">
        <v>10</v>
      </c>
      <c r="J285" s="18" t="s">
        <v>112</v>
      </c>
      <c r="K285" s="20"/>
    </row>
    <row r="286" spans="1:11" ht="36.75" thickBot="1">
      <c r="A286" s="18" t="s">
        <v>7813</v>
      </c>
      <c r="B286" s="18">
        <v>20028079346</v>
      </c>
      <c r="C286" s="18" t="s">
        <v>2163</v>
      </c>
      <c r="D286" s="19">
        <v>45978.438888888886</v>
      </c>
      <c r="E286" s="18" t="s">
        <v>10</v>
      </c>
      <c r="F286" s="18">
        <v>5</v>
      </c>
      <c r="G286" s="18" t="s">
        <v>10</v>
      </c>
      <c r="H286" s="25" t="s">
        <v>2656</v>
      </c>
      <c r="I286" s="18" t="s">
        <v>10</v>
      </c>
      <c r="J286" s="18" t="s">
        <v>112</v>
      </c>
      <c r="K286" s="20"/>
    </row>
    <row r="287" spans="1:11" ht="36.75" thickBot="1">
      <c r="A287" s="18" t="s">
        <v>7814</v>
      </c>
      <c r="B287" s="18">
        <v>20028079347</v>
      </c>
      <c r="C287" s="18" t="s">
        <v>2163</v>
      </c>
      <c r="D287" s="19">
        <v>45978.442361111112</v>
      </c>
      <c r="E287" s="18" t="s">
        <v>10</v>
      </c>
      <c r="F287" s="18">
        <v>5</v>
      </c>
      <c r="G287" s="18" t="s">
        <v>10</v>
      </c>
      <c r="H287" s="25" t="s">
        <v>2656</v>
      </c>
      <c r="I287" s="18" t="s">
        <v>10</v>
      </c>
      <c r="J287" s="18" t="s">
        <v>112</v>
      </c>
      <c r="K287" s="20"/>
    </row>
    <row r="288" spans="1:11" ht="36.75" thickBot="1">
      <c r="A288" s="18" t="s">
        <v>7815</v>
      </c>
      <c r="B288" s="18">
        <v>20028079348</v>
      </c>
      <c r="C288" s="18" t="s">
        <v>2163</v>
      </c>
      <c r="D288" s="19">
        <v>45978.445833333331</v>
      </c>
      <c r="E288" s="18" t="s">
        <v>10</v>
      </c>
      <c r="F288" s="18">
        <v>5</v>
      </c>
      <c r="G288" s="18" t="s">
        <v>10</v>
      </c>
      <c r="H288" s="25" t="s">
        <v>2656</v>
      </c>
      <c r="I288" s="18" t="s">
        <v>10</v>
      </c>
      <c r="J288" s="18" t="s">
        <v>112</v>
      </c>
      <c r="K288" s="20"/>
    </row>
    <row r="289" spans="1:11" ht="36.75" thickBot="1">
      <c r="A289" s="18" t="s">
        <v>3271</v>
      </c>
      <c r="B289" s="18">
        <v>20027472920</v>
      </c>
      <c r="C289" s="18" t="s">
        <v>3272</v>
      </c>
      <c r="D289" s="19">
        <v>45911.689583333333</v>
      </c>
      <c r="E289" s="19">
        <v>45978.472916666666</v>
      </c>
      <c r="F289" s="18">
        <v>15</v>
      </c>
      <c r="G289" s="18" t="s">
        <v>10</v>
      </c>
      <c r="H289" s="25" t="s">
        <v>2656</v>
      </c>
      <c r="I289" s="18" t="s">
        <v>10</v>
      </c>
      <c r="J289" s="18" t="s">
        <v>112</v>
      </c>
      <c r="K289" s="20"/>
    </row>
    <row r="290" spans="1:11" ht="36.75" thickBot="1">
      <c r="A290" s="18" t="s">
        <v>7816</v>
      </c>
      <c r="B290" s="18">
        <v>20003401647</v>
      </c>
      <c r="C290" s="18" t="s">
        <v>3279</v>
      </c>
      <c r="D290" s="19">
        <v>45978.578472222223</v>
      </c>
      <c r="E290" s="18" t="s">
        <v>10</v>
      </c>
      <c r="F290" s="18">
        <v>5</v>
      </c>
      <c r="G290" s="18" t="s">
        <v>10</v>
      </c>
      <c r="H290" s="25" t="s">
        <v>2656</v>
      </c>
      <c r="I290" s="18" t="s">
        <v>10</v>
      </c>
      <c r="J290" s="18" t="s">
        <v>112</v>
      </c>
      <c r="K290" s="20"/>
    </row>
    <row r="291" spans="1:11" ht="36.75" thickBot="1">
      <c r="A291" s="18" t="s">
        <v>7817</v>
      </c>
      <c r="B291" s="18">
        <v>20021211832</v>
      </c>
      <c r="C291" s="18" t="s">
        <v>7818</v>
      </c>
      <c r="D291" s="19">
        <v>45978.743055555555</v>
      </c>
      <c r="E291" s="18" t="s">
        <v>10</v>
      </c>
      <c r="F291" s="18">
        <v>10</v>
      </c>
      <c r="G291" s="18" t="s">
        <v>10</v>
      </c>
      <c r="H291" s="25" t="s">
        <v>2656</v>
      </c>
      <c r="I291" s="18" t="s">
        <v>10</v>
      </c>
      <c r="J291" s="18" t="s">
        <v>112</v>
      </c>
      <c r="K291" s="20"/>
    </row>
    <row r="292" spans="1:11" ht="36.75" thickBot="1">
      <c r="A292" s="18" t="s">
        <v>3285</v>
      </c>
      <c r="B292" s="18">
        <v>20027793116</v>
      </c>
      <c r="C292" s="18" t="s">
        <v>3202</v>
      </c>
      <c r="D292" s="19">
        <v>45945.493055555555</v>
      </c>
      <c r="E292" s="19">
        <v>45979.646527777775</v>
      </c>
      <c r="F292" s="18">
        <v>3</v>
      </c>
      <c r="G292" s="18" t="s">
        <v>10</v>
      </c>
      <c r="H292" s="25" t="s">
        <v>2656</v>
      </c>
      <c r="I292" s="18" t="s">
        <v>10</v>
      </c>
      <c r="J292" s="18" t="s">
        <v>112</v>
      </c>
      <c r="K292" s="20"/>
    </row>
    <row r="293" spans="1:11" ht="36.75" thickBot="1">
      <c r="A293" s="18" t="s">
        <v>7819</v>
      </c>
      <c r="B293" s="18">
        <v>20028042645</v>
      </c>
      <c r="C293" s="18" t="s">
        <v>7820</v>
      </c>
      <c r="D293" s="19">
        <v>45984.504861111112</v>
      </c>
      <c r="E293" s="18" t="s">
        <v>10</v>
      </c>
      <c r="F293" s="18">
        <v>5</v>
      </c>
      <c r="G293" s="18" t="s">
        <v>10</v>
      </c>
      <c r="H293" s="25" t="s">
        <v>2656</v>
      </c>
      <c r="I293" s="18" t="s">
        <v>10</v>
      </c>
      <c r="J293" s="18" t="s">
        <v>112</v>
      </c>
      <c r="K293" s="20"/>
    </row>
    <row r="294" spans="1:11" ht="36.75" thickBot="1">
      <c r="A294" s="18" t="s">
        <v>7821</v>
      </c>
      <c r="B294" s="18">
        <v>20003385309</v>
      </c>
      <c r="C294" s="18" t="s">
        <v>1809</v>
      </c>
      <c r="D294" s="19">
        <v>45982.397222222222</v>
      </c>
      <c r="E294" s="19">
        <v>45987.636111111111</v>
      </c>
      <c r="F294" s="18">
        <v>20</v>
      </c>
      <c r="G294" s="18" t="s">
        <v>10</v>
      </c>
      <c r="H294" s="18" t="s">
        <v>2656</v>
      </c>
      <c r="I294" s="18" t="s">
        <v>10</v>
      </c>
      <c r="J294" s="18" t="s">
        <v>112</v>
      </c>
      <c r="K294" s="20"/>
    </row>
    <row r="295" spans="1:11" ht="36.75" thickBot="1">
      <c r="A295" s="18" t="s">
        <v>7822</v>
      </c>
      <c r="B295" s="18">
        <v>20029019342</v>
      </c>
      <c r="C295" s="18" t="s">
        <v>7823</v>
      </c>
      <c r="D295" s="19">
        <v>45992.581250000003</v>
      </c>
      <c r="E295" s="18" t="s">
        <v>10</v>
      </c>
      <c r="F295" s="18">
        <v>6</v>
      </c>
      <c r="G295" s="18" t="s">
        <v>10</v>
      </c>
      <c r="H295" s="18" t="s">
        <v>2656</v>
      </c>
      <c r="I295" s="18" t="s">
        <v>10</v>
      </c>
      <c r="J295" s="18" t="s">
        <v>112</v>
      </c>
      <c r="K295" s="1"/>
    </row>
  </sheetData>
  <conditionalFormatting sqref="B2">
    <cfRule type="duplicateValues" dxfId="0" priority="1"/>
  </conditionalFormatting>
  <hyperlinks>
    <hyperlink ref="K3" r:id="rId1" display="https://ppim-intra.pea.co.th:4434/request/PPIM1850003B" xr:uid="{9A781D1D-6B70-4439-8DD3-93FB5DD8545D}"/>
    <hyperlink ref="K4" r:id="rId2" display="https://ppim-intra.pea.co.th:4434/request/PPIM185001AA" xr:uid="{B4860ABA-9349-4E84-BA1F-E63E06C8372B}"/>
    <hyperlink ref="K5" r:id="rId3" display="https://ppim-intra.pea.co.th:4434/request/PPIM18500394" xr:uid="{A1FFD9B4-0F96-4E8B-8883-242DC4DB0CE3}"/>
    <hyperlink ref="K6" r:id="rId4" display="https://ppim-intra.pea.co.th:4434/request/PPIM185007C5" xr:uid="{9C6D21B6-61EA-4958-96F8-D740CF5B8B79}"/>
    <hyperlink ref="K7" r:id="rId5" display="https://ppim-intra.pea.co.th:4434/request/PPIM185007C6" xr:uid="{AE66398D-1ECD-4BEA-ADAA-77538A2AEFFA}"/>
    <hyperlink ref="K8" r:id="rId6" display="https://ppim-intra.pea.co.th:4434/request/PPIM185009F8" xr:uid="{789C3BD3-5D76-40D2-9A63-B55E1C7E6F4C}"/>
    <hyperlink ref="K9" r:id="rId7" display="https://ppim-intra.pea.co.th:4434/request/PPIM18500EF3" xr:uid="{2AC21664-67DB-4789-ACF7-5A5826366081}"/>
    <hyperlink ref="K10" r:id="rId8" display="https://ppim-intra.pea.co.th:4434/request/PPIM18500FC8" xr:uid="{3CB77E63-3DE8-4489-8E12-0D22C3D7577E}"/>
    <hyperlink ref="K11" r:id="rId9" display="https://ppim-intra.pea.co.th:4434/request/PPIM18501312" xr:uid="{5575F3FE-0E35-4698-9BD7-56BC5D1FCCFE}"/>
    <hyperlink ref="K12" r:id="rId10" display="https://ppim-intra.pea.co.th:4434/request/PPIM185013C9" xr:uid="{11BFD418-65AE-4E85-A302-22901EDF866D}"/>
    <hyperlink ref="K13" r:id="rId11" display="https://ppim-intra.pea.co.th:4434/request/PPIM185013FA" xr:uid="{94ED8217-D4CD-426D-8D72-13928D6380AD}"/>
    <hyperlink ref="K14" r:id="rId12" display="https://ppim-intra.pea.co.th:4434/request/PPIM185011EE" xr:uid="{8EED3916-C49A-4EF1-AC49-03D6D536D72C}"/>
    <hyperlink ref="K15" r:id="rId13" display="https://ppim-intra.pea.co.th:4434/request/PPIM185015E5" xr:uid="{36440196-50CF-4283-9367-F0F9A8B5E92D}"/>
    <hyperlink ref="K16" r:id="rId14" display="https://ppim-intra.pea.co.th:4434/request/PPIM185010C3" xr:uid="{3B904065-D630-46EF-86DE-933E0AC365A3}"/>
    <hyperlink ref="K17" r:id="rId15" display="https://ppim-intra.pea.co.th:4434/request/PPIM18501300" xr:uid="{FD9616E1-389C-4BDF-B427-0C8C45E3DAFE}"/>
    <hyperlink ref="K18" r:id="rId16" display="https://ppim-intra.pea.co.th:4434/request/PPIM185016CD" xr:uid="{E537C923-0CD7-43FB-B7CC-BA99282B5161}"/>
    <hyperlink ref="K19" r:id="rId17" display="https://ppim-intra.pea.co.th:4434/request/PPIM18501744" xr:uid="{131E8958-9496-46D9-98CE-70B799DFB31E}"/>
    <hyperlink ref="K20" r:id="rId18" display="https://ppim-intra.pea.co.th:4434/request/PPIM185017E6" xr:uid="{E2C3B3B3-E0C8-4013-891E-4146C930C721}"/>
    <hyperlink ref="K21" r:id="rId19" display="https://ppim-intra.pea.co.th:4434/request/PPIM18501A6B" xr:uid="{01A7AD37-517F-4755-BFAB-BADB8630A7E8}"/>
    <hyperlink ref="K22" r:id="rId20" display="https://ppim-intra.pea.co.th:4434/request/PPIM1850151F" xr:uid="{EDC2861B-55BB-4178-87B8-3F8827958FDA}"/>
    <hyperlink ref="K23" r:id="rId21" display="https://ppim-intra.pea.co.th:4434/request/PPIM18501DDE" xr:uid="{4C15886B-0D9A-4D55-9C36-31B2C9CF9144}"/>
    <hyperlink ref="K24" r:id="rId22" display="https://ppim-intra.pea.co.th:4434/request/PPIM18501E4C" xr:uid="{03D91837-2D43-4171-9D81-8E630B138794}"/>
    <hyperlink ref="K25" r:id="rId23" display="https://ppim-intra.pea.co.th:4434/request/PPIM185021E3" xr:uid="{19109681-B03B-4F45-8C2E-167DD80394A8}"/>
    <hyperlink ref="K26" r:id="rId24" display="https://ppim-intra.pea.co.th:4434/request/PPIM18502077" xr:uid="{CD7F02D6-5FFF-4057-8A47-0EE004A3E5C0}"/>
    <hyperlink ref="K27" r:id="rId25" display="https://ppim-intra.pea.co.th:4434/request/PPIM18501D3F" xr:uid="{CAB8DA36-6954-4257-91B1-1D7CF646BF55}"/>
    <hyperlink ref="K28" r:id="rId26" display="https://ppim-intra.pea.co.th:4434/request/PPIM18501D0C" xr:uid="{FEFF44E0-F3F3-4902-BC61-8ADD8E1FA27B}"/>
    <hyperlink ref="K29" r:id="rId27" display="https://ppim-intra.pea.co.th:4434/request/PPIM1850232E" xr:uid="{423F4C5F-C218-42E7-9AD5-122478354E27}"/>
    <hyperlink ref="K30" r:id="rId28" display="https://ppim-intra.pea.co.th:4434/request/PPIM18502484" xr:uid="{D87422CE-03DB-4C3F-920C-59677B9C5338}"/>
    <hyperlink ref="K31" r:id="rId29" display="https://ppim-intra.pea.co.th:4434/request/PPIM18502512" xr:uid="{066C156F-B7E0-4DF1-ACDB-11617450AF75}"/>
    <hyperlink ref="K32" r:id="rId30" display="https://ppim-intra.pea.co.th:4434/request/PPIM1850260A" xr:uid="{E40A472E-9D76-42A0-9E8B-BF2325DD2644}"/>
    <hyperlink ref="K33" r:id="rId31" display="https://ppim-intra.pea.co.th:4434/request/PPIM1850271D" xr:uid="{A9AB2626-E5F4-4B43-9566-75FDC87BD978}"/>
    <hyperlink ref="K34" r:id="rId32" display="https://ppim-intra.pea.co.th:4434/request/PPIM18501CE0" xr:uid="{07B5015A-B5CA-488A-A86F-E3B304B761CE}"/>
    <hyperlink ref="K35" r:id="rId33" display="https://ppim-intra.pea.co.th:4434/request/PPIM18502814" xr:uid="{1FCB46AC-E076-4B9D-927E-BA6E2279BD67}"/>
    <hyperlink ref="K36" r:id="rId34" display="https://ppim-intra.pea.co.th:4434/request/PPIM185028DB" xr:uid="{AA8B300D-2947-455C-80FF-CF2A86DD4F9F}"/>
    <hyperlink ref="K37" r:id="rId35" display="https://ppim-intra.pea.co.th:4434/request/PPIM18502962" xr:uid="{EDF3ACD5-CB38-4DB1-9245-1C78FCA923CC}"/>
    <hyperlink ref="K38" r:id="rId36" display="https://ppim-intra.pea.co.th:4434/request/PPIM185029CF" xr:uid="{63333D87-F8D1-4921-9EDD-2136CC3F025E}"/>
    <hyperlink ref="K39" r:id="rId37" display="https://ppim-intra.pea.co.th:4434/request/PPIM18502A79" xr:uid="{B1D10798-CB80-4AC5-9298-FCCBDE2BBC8F}"/>
    <hyperlink ref="K40" r:id="rId38" display="https://ppim-intra.pea.co.th:4434/request/PPIM18502670" xr:uid="{FED28F76-6FB9-4070-BB0C-6402F08AB9CC}"/>
    <hyperlink ref="K41" r:id="rId39" display="https://ppim-intra.pea.co.th:4434/request/PPIM18502AF0" xr:uid="{147CE07B-6C75-435C-9A19-E98316116901}"/>
    <hyperlink ref="K42" r:id="rId40" display="https://ppim-intra.pea.co.th:4434/request/PPIM18502AF1" xr:uid="{8E7FC823-1225-48E5-9FB7-33F3A5FC5732}"/>
    <hyperlink ref="K43" r:id="rId41" display="https://ppim-intra.pea.co.th:4434/request/PPIM18502BD8" xr:uid="{57C449E1-FEA9-4A2A-83D9-C9BD6DCE23A0}"/>
    <hyperlink ref="K44" r:id="rId42" display="https://ppim-intra.pea.co.th:4434/request/PPIM185028F5" xr:uid="{56ACAB9B-DB8E-402F-8763-772879B466A7}"/>
    <hyperlink ref="K45" r:id="rId43" display="https://ppim-intra.pea.co.th:4434/request/PPIM18502149" xr:uid="{BA63F0A4-5278-4C48-86CF-BFC14713554F}"/>
    <hyperlink ref="K46" r:id="rId44" display="https://ppim-intra.pea.co.th:4434/request/PPIM18502D71" xr:uid="{429662D9-9BAF-400C-AC95-2131AF67A446}"/>
    <hyperlink ref="K47" r:id="rId45" display="https://ppim-intra.pea.co.th:4434/request/PPIM18502B64" xr:uid="{9FDC0207-ADDE-44D6-BE94-74280E57505F}"/>
    <hyperlink ref="K48" r:id="rId46" display="https://ppim-intra.pea.co.th:4434/request/PPIM18502E28" xr:uid="{E594E359-2644-474C-AADE-56D6E209CA64}"/>
    <hyperlink ref="K49" r:id="rId47" display="https://ppim-intra.pea.co.th:4434/request/PPIM18502E91" xr:uid="{CA3592C7-A7DA-4FF4-A3E9-9AFF6679EE29}"/>
    <hyperlink ref="K50" r:id="rId48" display="https://ppim-intra.pea.co.th:4434/request/PPIM18502F9C" xr:uid="{C880B7D1-436F-45A5-8FA0-807634DA4D8A}"/>
    <hyperlink ref="K51" r:id="rId49" display="https://ppim-intra.pea.co.th:4434/request/PPIM18502FD3" xr:uid="{483C632E-6731-4D86-A8F2-A98A90FDA085}"/>
    <hyperlink ref="K52" r:id="rId50" display="https://ppim-intra.pea.co.th:4434/request/PPIM185030A9" xr:uid="{972169AA-28BC-4BB2-AC58-21EC3508371A}"/>
    <hyperlink ref="K53" r:id="rId51" display="https://ppim-intra.pea.co.th:4434/request/PPIM18502D09" xr:uid="{3800B8BA-6865-43D5-B88D-B0D5C7D1168D}"/>
    <hyperlink ref="K54" r:id="rId52" display="https://ppim-intra.pea.co.th:4434/request/PPIM185030ED" xr:uid="{4DC27075-C45A-460F-9F1F-65EA03CCA26C}"/>
    <hyperlink ref="K55" r:id="rId53" display="https://ppim-intra.pea.co.th:4434/request/PPIM18503119" xr:uid="{ADEA3150-8997-4B50-B0EE-F22CCFAD6167}"/>
    <hyperlink ref="K56" r:id="rId54" display="https://ppim-intra.pea.co.th:4434/request/PPIM1850319C" xr:uid="{352FE839-28A4-4035-B609-B19BB591BCE2}"/>
    <hyperlink ref="K57" r:id="rId55" display="https://ppim-intra.pea.co.th:4434/request/PPIM185031F4" xr:uid="{4F975A29-C7C1-4B77-9AE6-03C259C113A9}"/>
    <hyperlink ref="K58" r:id="rId56" display="https://ppim-intra.pea.co.th:4434/request/PPIM18503255" xr:uid="{CE1A0C56-9EBF-4CA1-A16A-B0F9C6F8B0B1}"/>
    <hyperlink ref="K59" r:id="rId57" display="https://ppim-intra.pea.co.th:4434/request/PPIM18502E6B" xr:uid="{C75BD9DB-5553-4E0C-B0F3-2B5A9D2847A3}"/>
    <hyperlink ref="K60" r:id="rId58" display="https://ppim-intra.pea.co.th:4434/request/PPIM18503207" xr:uid="{4B1E5FF7-2837-42B5-AD52-3A177E2D97A7}"/>
    <hyperlink ref="K61" r:id="rId59" display="https://ppim-intra.pea.co.th:4434/request/PPIM1850320A" xr:uid="{C32301FB-97AA-445E-BC2E-ECFFE168E1A8}"/>
    <hyperlink ref="K62" r:id="rId60" display="https://ppim-intra.pea.co.th:4434/request/PPIM18502958" xr:uid="{C4ECB425-6B01-47C6-A226-E697DD84065F}"/>
    <hyperlink ref="K63" r:id="rId61" display="https://ppim-intra.pea.co.th:4434/request/PPIM18503359" xr:uid="{3CED6632-BC0A-40A2-AB69-050F560A92A9}"/>
    <hyperlink ref="K64" r:id="rId62" display="https://ppim-intra.pea.co.th:4434/request/PPIM18503085" xr:uid="{12CE6C93-4724-4364-9EA3-62476148CA0D}"/>
    <hyperlink ref="K65" r:id="rId63" display="https://ppim-intra.pea.co.th:4434/request/PPIM185034DB" xr:uid="{47DBE97C-ED96-41E5-8A64-5510279D62E9}"/>
    <hyperlink ref="K66" r:id="rId64" display="https://ppim-intra.pea.co.th:4434/request/PPIM185032D6" xr:uid="{43A5FEED-7347-4522-88DB-51FB52038A16}"/>
    <hyperlink ref="K67" r:id="rId65" display="https://ppim-intra.pea.co.th:4434/request/PPIM1850335E" xr:uid="{39DCCCDE-FB9A-4CB0-9374-C4BC946DD343}"/>
    <hyperlink ref="K68" r:id="rId66" display="https://ppim-intra.pea.co.th:4434/request/PPIM18503821" xr:uid="{37CC3315-9C72-415F-A572-F88EFFB3D8E6}"/>
    <hyperlink ref="K69" r:id="rId67" display="https://ppim-intra.pea.co.th:4434/request/PPIM18503870" xr:uid="{97E9E162-6AC4-4F72-91A2-32D742AAD0DE}"/>
    <hyperlink ref="K70" r:id="rId68" display="https://ppim-intra.pea.co.th:4434/request/PPIM185039F8" xr:uid="{9C0AF9AD-9C91-4F5A-A9BD-07C490C18581}"/>
    <hyperlink ref="K71" r:id="rId69" display="https://ppim-intra.pea.co.th:4434/request/PPIM18503A8C" xr:uid="{594BF820-1953-4A8F-B628-1CC10EA091E9}"/>
    <hyperlink ref="K72" r:id="rId70" display="https://ppim-intra.pea.co.th:4434/request/PPIM18503ADD" xr:uid="{252D2C95-67A9-4D79-9210-ABDC1BEE3931}"/>
    <hyperlink ref="K73" r:id="rId71" display="https://ppim-intra.pea.co.th:4434/request/PPIM18503AEE" xr:uid="{F8D2AB0F-5C41-4EC5-8BA1-73B9E07F5485}"/>
    <hyperlink ref="K74" r:id="rId72" display="https://ppim-intra.pea.co.th:4434/request/PPIM18503B08" xr:uid="{5F15DD94-2630-4614-9D21-5C17558333F0}"/>
    <hyperlink ref="K75" r:id="rId73" display="https://ppim-intra.pea.co.th:4434/request/PPIM1850342C" xr:uid="{246C3FDB-1012-46F4-A127-7A243A67205B}"/>
    <hyperlink ref="K76" r:id="rId74" display="https://ppim-intra.pea.co.th:4434/request/PPIM1850397F" xr:uid="{E0A9EC4A-8116-4DD7-8F6E-181755D10321}"/>
    <hyperlink ref="K77" r:id="rId75" display="https://ppim-intra.pea.co.th:4434/request/PPIM18503C8B" xr:uid="{CE109BCA-39B0-419A-8884-13415918AAA9}"/>
    <hyperlink ref="K78" r:id="rId76" display="https://ppim-intra.pea.co.th:4434/request/PPIM18503D4A" xr:uid="{8D76A12D-96CB-4301-A115-2E659B5081CF}"/>
    <hyperlink ref="K79" r:id="rId77" display="https://ppim-intra.pea.co.th:4434/request/PPIM18503B8A" xr:uid="{6B359F5D-4373-4B0A-A207-269E207A77F5}"/>
    <hyperlink ref="K80" r:id="rId78" display="https://ppim-intra.pea.co.th:4434/request/PPIM1850334A" xr:uid="{318E6155-1596-4BE2-8F71-D4B9361173F1}"/>
    <hyperlink ref="K81" r:id="rId79" display="https://ppim-intra.pea.co.th:4434/request/PPIM18503E58" xr:uid="{9E9960F7-6808-49A4-BCD2-48F2D265E2B7}"/>
    <hyperlink ref="K82" r:id="rId80" display="https://ppim-intra.pea.co.th:4434/request/PPIM18503FF7" xr:uid="{AB49F3B5-F75A-4D04-9A17-5AF3CE75CDBF}"/>
    <hyperlink ref="K83" r:id="rId81" display="https://ppim-intra.pea.co.th:4434/request/PPIM18504093" xr:uid="{E72B8CB7-0465-4B96-B402-9DD351A4F7D6}"/>
    <hyperlink ref="K84" r:id="rId82" display="https://ppim-intra.pea.co.th:4434/request/PPIM185040D0" xr:uid="{4E5F3B60-A4E0-4882-BB80-59074C35680B}"/>
    <hyperlink ref="K85" r:id="rId83" display="https://ppim-intra.pea.co.th:4434/request/PPIM18504137" xr:uid="{4D8D6A40-E363-43EB-B891-01F138EB0BBC}"/>
    <hyperlink ref="K86" r:id="rId84" display="https://ppim-intra.pea.co.th:4434/request/PPIM18504147" xr:uid="{6E856536-8FF6-49CE-B46E-EE8690526805}"/>
    <hyperlink ref="K87" r:id="rId85" display="https://ppim-intra.pea.co.th:4434/request/PPIM1850415F" xr:uid="{13F75BD5-C5FE-45D0-B6B0-D3E4BDDE191C}"/>
    <hyperlink ref="K88" r:id="rId86" display="https://ppim-intra.pea.co.th:4434/request/PPIM185034F1" xr:uid="{B9F86310-7113-4380-A99C-70ED120FA00C}"/>
    <hyperlink ref="K89" r:id="rId87" display="https://ppim-intra.pea.co.th:4434/request/PPIM185042A2" xr:uid="{EBECB758-4E91-4AEA-8DB6-6CC7C17E4012}"/>
    <hyperlink ref="K90" r:id="rId88" display="https://ppim-intra.pea.co.th:4434/request/PPIM1850430A" xr:uid="{833ABB37-0E8E-4521-8856-5E291FF03230}"/>
    <hyperlink ref="K91" r:id="rId89" display="https://ppim-intra.pea.co.th:4434/request/PPIM1850437E" xr:uid="{D4D936B0-1B6E-43E6-81CD-26BDB759D25D}"/>
    <hyperlink ref="K92" r:id="rId90" display="https://ppim-intra.pea.co.th:4434/request/PPIM185043BB" xr:uid="{ECBC5562-B127-4F20-B4E0-96FA06FE380D}"/>
    <hyperlink ref="K93" r:id="rId91" display="https://ppim-intra.pea.co.th:4434/request/PPIM18503B3F" xr:uid="{51A861AE-AA7D-4D5C-9F0C-3B63A6C65E6C}"/>
    <hyperlink ref="K94" r:id="rId92" display="https://ppim-intra.pea.co.th:4434/request/PPIM185045F2" xr:uid="{0F53CF7B-A208-42F8-BF63-CC42F795841B}"/>
    <hyperlink ref="K95" r:id="rId93" display="https://ppim-intra.pea.co.th:4434/request/PPIM1850460F" xr:uid="{FA6EE550-BFFA-4DA0-A606-CD0EEDCE0B43}"/>
    <hyperlink ref="K96" r:id="rId94" display="https://ppim-intra.pea.co.th:4434/request/PPIM18504625" xr:uid="{9DC95145-B5B5-4689-A85F-F1C7DE466C78}"/>
    <hyperlink ref="K97" r:id="rId95" display="https://ppim-intra.pea.co.th:4434/request/PPIM18503A26" xr:uid="{3E300BE7-6324-43E7-A95E-9D5B2E3F90B3}"/>
    <hyperlink ref="K98" r:id="rId96" display="https://ppim-intra.pea.co.th:4434/request/PPIM18503503" xr:uid="{C53396E4-299A-4C3E-8504-9FD3098694D6}"/>
    <hyperlink ref="K99" r:id="rId97" display="https://ppim-intra.pea.co.th:4434/request/PPIM1850416F" xr:uid="{7FA942D8-CFAA-438A-AB44-BA42B3B1D00C}"/>
    <hyperlink ref="K100" r:id="rId98" display="https://ppim-intra.pea.co.th:4434/request/PPIM1850480F" xr:uid="{EFF952DC-EE8C-4C76-9D4D-7EC9BFCB0659}"/>
    <hyperlink ref="K101" r:id="rId99" display="https://ppim-intra.pea.co.th:4434/request/PPIM1850497A" xr:uid="{53E7A414-F92F-4440-B38F-9944B384A4BC}"/>
    <hyperlink ref="K103" r:id="rId100" display="https://ppim-intra.pea.co.th:4434/request/PPIM18504A60" xr:uid="{3F5D5D35-9BC2-4534-B7E7-E57EFF1701B7}"/>
    <hyperlink ref="K104" r:id="rId101" display="https://ppim-intra.pea.co.th:4434/request/PPIM1950005C" xr:uid="{8542DAE5-B84D-47E5-BD76-4007F12C828A}"/>
    <hyperlink ref="K105" r:id="rId102" display="https://ppim-intra.pea.co.th:4434/request/PPIM19500137" xr:uid="{0FE253CC-E060-4BD8-8DB9-8E259AC8BEFA}"/>
    <hyperlink ref="K106" r:id="rId103" display="https://ppim-intra.pea.co.th:4434/request/PPIM19500199" xr:uid="{F8DADA8E-13DA-4EE2-9ABC-BEC87EE826EE}"/>
    <hyperlink ref="K107" r:id="rId104" display="https://ppim-intra.pea.co.th:4434/request/PPIM18504398" xr:uid="{176C4B99-8D7A-47D0-A5BD-9C66150137DE}"/>
    <hyperlink ref="K108" r:id="rId105" display="https://ppim-intra.pea.co.th:4434/request/PPIM18504584" xr:uid="{4A026B6A-0657-4371-B1CD-2F65C37230EA}"/>
    <hyperlink ref="K109" r:id="rId106" display="https://ppim-intra.pea.co.th:4434/request/PPIM1950022D" xr:uid="{75B61F28-48EB-420B-B77A-5C8099EACF62}"/>
    <hyperlink ref="K110" r:id="rId107" display="https://ppim-intra.pea.co.th:4434/request/PPIM195002FC" xr:uid="{81012E3F-78DB-4CAF-9D1C-C430CE12DF53}"/>
    <hyperlink ref="K111" r:id="rId108" display="https://ppim-intra.pea.co.th:4434/request/PPIM19500365" xr:uid="{630C729C-5596-4D23-98AA-9F5769D2224F}"/>
    <hyperlink ref="K112" r:id="rId109" display="https://ppim-intra.pea.co.th:4434/request/PPIM19500366" xr:uid="{4AAAEE9C-EF3D-435B-BAEC-F49907ED3124}"/>
    <hyperlink ref="K113" r:id="rId110" display="https://ppim-intra.pea.co.th:4434/request/PPIM18504287" xr:uid="{34F3F046-3D54-46DD-9721-8EB6A26F04B2}"/>
    <hyperlink ref="K114" r:id="rId111" display="https://ppim-intra.pea.co.th:4434/request/PPIM185043AA" xr:uid="{34CBF5FE-F0BB-41FA-8DD7-3587AF69A00B}"/>
    <hyperlink ref="K115" r:id="rId112" display="https://ppim-intra.pea.co.th:4434/request/PPIM18504290" xr:uid="{B4653253-8F9E-4DAF-AC82-B3BA05B9B68F}"/>
    <hyperlink ref="K116" r:id="rId113" display="https://ppim-intra.pea.co.th:4434/request/PPIM18504731" xr:uid="{8EEF4084-01C5-4C80-AFD1-B06A0A44AE85}"/>
    <hyperlink ref="K117" r:id="rId114" display="https://ppim-intra.pea.co.th:4434/request/PPIM1850480B" xr:uid="{5EADAF87-F79E-4C17-93CE-2D0D3C112BEC}"/>
    <hyperlink ref="K118" r:id="rId115" display="https://ppim-intra.pea.co.th:4434/request/PPIM19500523" xr:uid="{F88A81D2-730B-40B4-B0E8-4AA435EC7E7F}"/>
    <hyperlink ref="K119" r:id="rId116" display="https://ppim-intra.pea.co.th:4434/request/PPIM1950062E" xr:uid="{5EBA4D9B-E795-48A4-9C6C-4D395A882450}"/>
    <hyperlink ref="K120" r:id="rId117" display="https://ppim-intra.pea.co.th:4434/request/PPIM1950079F" xr:uid="{AEBDBB24-5461-419B-A2D5-09097F23F866}"/>
    <hyperlink ref="K121" r:id="rId118" display="https://ppim-intra.pea.co.th:4434/request/PPIM1950085D" xr:uid="{9E5FDEFE-B87F-4CE4-9FAC-D73938555354}"/>
    <hyperlink ref="K122" r:id="rId119" display="https://ppim-intra.pea.co.th:4434/request/PPIM1950089A" xr:uid="{DB3DE885-6F19-47E8-B7DA-0D39B9F455D5}"/>
    <hyperlink ref="K123" r:id="rId120" display="https://ppim-intra.pea.co.th:4434/request/PPIM19500A28" xr:uid="{157E01EF-F6C1-4C21-95FF-312260B4AC56}"/>
    <hyperlink ref="K124" r:id="rId121" display="https://ppim-intra.pea.co.th:4434/request/PPIM1950066D" xr:uid="{A50D728F-838C-474C-A675-22652F8EB81B}"/>
    <hyperlink ref="K125" r:id="rId122" display="https://ppim-intra.pea.co.th:4434/request/PPIM19500B1A" xr:uid="{F9DA69F7-2D63-4254-B57A-689222CDB391}"/>
    <hyperlink ref="K126" r:id="rId123" display="https://ppim-intra.pea.co.th:4434/request/PPIM19500B3F" xr:uid="{534ED8B7-B257-45E0-BEB9-21B2E6A99527}"/>
    <hyperlink ref="K127" r:id="rId124" display="https://ppim-intra.pea.co.th:4434/request/PPIM19500BBC" xr:uid="{F9B87F1E-62CC-4292-8B36-D919A223BF40}"/>
    <hyperlink ref="K128" r:id="rId125" display="https://ppim-intra.pea.co.th:4434/request/PPIM19500C06" xr:uid="{93120D9F-EBC5-4457-B125-5765C24A079C}"/>
    <hyperlink ref="K129" r:id="rId126" display="https://ppim-intra.pea.co.th:4434/request/PPIM19500084" xr:uid="{E170DC1C-DAC0-4439-BE5D-C7C810A6DB3C}"/>
    <hyperlink ref="K130" r:id="rId127" display="https://ppim-intra.pea.co.th:4434/request/PPIM19500C45" xr:uid="{8E33715E-79E5-490E-B1DA-57E289A81D33}"/>
    <hyperlink ref="K131" r:id="rId128" display="https://ppim-intra.pea.co.th:4434/request/PPIM19500C7C" xr:uid="{73799281-C582-4ACA-928E-6656DC50765C}"/>
    <hyperlink ref="K132" r:id="rId129" display="https://ppim-intra.pea.co.th:4434/request/PPIM18504805" xr:uid="{C6F7B547-9BA8-4DDD-967C-1A6897BDBD90}"/>
    <hyperlink ref="K133" r:id="rId130" display="https://ppim-intra.pea.co.th:4434/request/PPIM19500D9E" xr:uid="{9CD09539-77F0-4A7E-B873-B90878DC1917}"/>
    <hyperlink ref="K134" r:id="rId131" display="https://ppim-intra.pea.co.th:4434/request/PPIM195006E3" xr:uid="{CD62C22C-6101-4479-A461-476560CF940A}"/>
    <hyperlink ref="K135" r:id="rId132" display="https://ppim-intra.pea.co.th:4434/request/PPIM19500F07" xr:uid="{7D996194-6950-4DCF-8492-42B2BA45A51D}"/>
    <hyperlink ref="K136" r:id="rId133" display="https://ppim-intra.pea.co.th:4434/request/PPIM19500481" xr:uid="{AB2D3244-D37A-475F-8676-8DC9CDE6AF2B}"/>
    <hyperlink ref="K137" r:id="rId134" display="https://ppim-intra.pea.co.th:4434/request/PPIM19500D77" xr:uid="{DB296D6B-3476-4A92-A369-C08F7295E1AC}"/>
    <hyperlink ref="K138" r:id="rId135" display="https://ppim-intra.pea.co.th:4434/request/PPIM19500CB3" xr:uid="{2BA83A43-1C3A-4C79-B829-A23146F5FDFA}"/>
    <hyperlink ref="K139" r:id="rId136" display="https://ppim-intra.pea.co.th:4434/request/PPIM19500F56" xr:uid="{3811AEDB-A89B-4D71-9E43-D9256AD6B104}"/>
    <hyperlink ref="K140" r:id="rId137" display="https://ppim-intra.pea.co.th:4434/request/PPIM19500FDE" xr:uid="{C0760FC6-313E-4426-AD81-BD93C5026928}"/>
    <hyperlink ref="K141" r:id="rId138" display="https://ppim-intra.pea.co.th:4434/request/PPIM1950070C" xr:uid="{E06BBB96-F38B-4157-9FEC-3B8E019F0217}"/>
    <hyperlink ref="K142" r:id="rId139" display="https://ppim-intra.pea.co.th:4434/request/PPIM1950129C" xr:uid="{43751D83-7940-460B-AD74-02CA8CCFAB1B}"/>
    <hyperlink ref="K143" r:id="rId140" display="https://ppim-intra.pea.co.th:4434/request/PPIM19501323" xr:uid="{3B085C6B-21E6-4296-AA58-2DFAEFAD069C}"/>
    <hyperlink ref="K144" r:id="rId141" display="https://ppim-intra.pea.co.th:4434/request/PPIM19501333" xr:uid="{3C3C9F7E-0EFD-4BA4-90BD-EA05145A0169}"/>
    <hyperlink ref="K145" r:id="rId142" display="https://ppim-intra.pea.co.th:4434/request/PPIM19501343" xr:uid="{767E36B8-D534-45B1-BA49-3EA40A9BFEBA}"/>
    <hyperlink ref="K146" r:id="rId143" display="https://ppim-intra.pea.co.th:4434/request/PPIM19501492" xr:uid="{C179D432-78D7-4EF7-95FC-FF2EC386CA6E}"/>
    <hyperlink ref="K147" r:id="rId144" display="https://ppim-intra.pea.co.th:4434/request/PPIM19501819" xr:uid="{C3E38F19-B0B9-4BEF-B66B-7425B1A99D06}"/>
    <hyperlink ref="K148" r:id="rId145" display="https://ppim-intra.pea.co.th:4434/request/PPIM19501863" xr:uid="{68836E31-8985-4351-AAD8-8EDABB13C54A}"/>
    <hyperlink ref="K149" r:id="rId146" display="https://ppim-intra.pea.co.th:4434/request/PPIM19501874" xr:uid="{5FE04332-605A-4698-9667-99B799981FFD}"/>
    <hyperlink ref="K150" r:id="rId147" display="https://ppim-intra.pea.co.th:4434/request/PPIM19501967" xr:uid="{9B69C328-4E45-4DD0-B935-39E30185931D}"/>
    <hyperlink ref="K151" r:id="rId148" display="https://ppim-intra.pea.co.th:4434/request/PPIM195019F1" xr:uid="{78707628-BA88-465E-8A39-32D51EA3DB66}"/>
    <hyperlink ref="K152" r:id="rId149" display="https://ppim-intra.pea.co.th:4434/request/PPIM19501B73" xr:uid="{5871B57F-9E8A-4E00-847B-FF7D2D07D6C5}"/>
    <hyperlink ref="K153" r:id="rId150" display="https://ppim-intra.pea.co.th:4434/request/PPIM19501C53" xr:uid="{1E650D6F-547C-4FC4-988B-56F771295D51}"/>
    <hyperlink ref="K154" r:id="rId151" display="https://ppim-intra.pea.co.th:4434/request/PPIM19501CF4" xr:uid="{37A37CE2-EDE2-4DA0-AE9B-483743B6BCBB}"/>
    <hyperlink ref="K155" r:id="rId152" display="https://ppim-intra.pea.co.th:4434/request/PPIM19501D4A" xr:uid="{FC034E26-A931-4486-AE5F-9B95FD7FECD9}"/>
    <hyperlink ref="K156" r:id="rId153" display="https://ppim-intra.pea.co.th:4434/request/PPIM19500322" xr:uid="{231B97BC-A33B-48E7-9BDE-C0D7FC5663A1}"/>
    <hyperlink ref="K157" r:id="rId154" display="https://ppim-intra.pea.co.th:4434/request/PPIM19501F33" xr:uid="{FC8732EB-BD79-4F4B-B37A-A6366A7F4096}"/>
    <hyperlink ref="K158" r:id="rId155" display="https://ppim-intra.pea.co.th:4434/request/PPIM19501F39" xr:uid="{830AF996-D376-4F3B-AECB-FFD87DB2D09A}"/>
    <hyperlink ref="K159" r:id="rId156" display="https://ppim-intra.pea.co.th:4434/request/PPIM19501F41" xr:uid="{534B1D1F-DA71-457E-8D94-1D2167C427C2}"/>
    <hyperlink ref="K160" r:id="rId157" display="https://ppim-intra.pea.co.th:4434/request/PPIM1950186C" xr:uid="{B96EBF43-2A7A-4B0D-B9BF-800621B0F8B1}"/>
    <hyperlink ref="K161" r:id="rId158" display="https://ppim-intra.pea.co.th:4434/request/PPIM19501E00" xr:uid="{29964218-70FC-44AF-B85F-AD83407DAE93}"/>
    <hyperlink ref="K162" r:id="rId159" display="https://ppim-intra.pea.co.th:4434/request/PPIM1950212B" xr:uid="{79A0CB4E-B96C-425F-B2D4-A4F4B15FF4E5}"/>
    <hyperlink ref="K163" r:id="rId160" display="https://ppim-intra.pea.co.th:4434/request/PPIM19502176" xr:uid="{D64A6912-4CD1-4F0D-8D3D-182FE6C5D4D6}"/>
    <hyperlink ref="K164" r:id="rId161" display="https://ppim-intra.pea.co.th:4434/request/PPIM19502198" xr:uid="{6B9FC3D0-12AE-403E-A8A0-4E233591B9BA}"/>
    <hyperlink ref="K165" r:id="rId162" display="https://ppim-intra.pea.co.th:4434/request/PPIM19500702" xr:uid="{B41F3B89-2EA5-4EE2-87B0-168A746537C6}"/>
    <hyperlink ref="K166" r:id="rId163" display="https://ppim-intra.pea.co.th:4434/request/PPIM19502308" xr:uid="{20B67EC0-CE8B-4356-8DEC-D50FE531333B}"/>
    <hyperlink ref="K167" r:id="rId164" display="https://ppim-intra.pea.co.th:4434/request/PPIM19502309" xr:uid="{3818ADA0-5951-4249-90AD-B092CDE47432}"/>
    <hyperlink ref="K168" r:id="rId165" display="https://ppim-intra.pea.co.th:4434/request/PPIM1950230E" xr:uid="{92389230-E654-4C00-BDF3-BA165B89BEFF}"/>
    <hyperlink ref="K169" r:id="rId166" display="https://ppim-intra.pea.co.th:4434/request/PPIM19502319" xr:uid="{EE133D15-3081-489F-A2ED-FEECA03316D7}"/>
    <hyperlink ref="K170" r:id="rId167" display="https://ppim-intra.pea.co.th:4434/request/PPIM19501914" xr:uid="{A7E79E19-6D89-481C-AE1F-1B243B656EBC}"/>
    <hyperlink ref="K171" r:id="rId168" display="https://ppim-intra.pea.co.th:4434/request/PPIM195018AE" xr:uid="{CC00972D-2342-43F9-B2ED-9638B23EB62D}"/>
    <hyperlink ref="K172" r:id="rId169" display="https://ppim-intra.pea.co.th:4434/request/PPIM19502375" xr:uid="{03C0303E-80A7-4C83-ADBC-CAA9B52D9D90}"/>
    <hyperlink ref="K173" r:id="rId170" display="https://ppim-intra.pea.co.th:4434/request/PPIM195023B7" xr:uid="{61F91151-2AD5-4068-8414-3BB71CC460B1}"/>
    <hyperlink ref="K174" r:id="rId171" display="https://ppim-intra.pea.co.th:4434/request/PPIM19502745" xr:uid="{0145065A-151D-4EB6-AE99-D10790F5E89E}"/>
    <hyperlink ref="K175" r:id="rId172" display="https://ppim-intra.pea.co.th:4434/request/PPIM1950279A" xr:uid="{F4FA5130-74EB-4DFF-A167-40079B4367DF}"/>
    <hyperlink ref="K176" r:id="rId173" display="https://ppim-intra.pea.co.th:4434/request/PPIM19502B07" xr:uid="{C1A43738-423A-4B78-BFA9-EFC2CD2AEB35}"/>
    <hyperlink ref="K177" r:id="rId174" display="https://ppim-intra.pea.co.th:4434/request/PPIM19502BC8" xr:uid="{5EE14867-62E0-4737-99FB-1226904EF1FC}"/>
    <hyperlink ref="K178" r:id="rId175" display="https://ppim-intra.pea.co.th:4434/request/PPIM19502D99" xr:uid="{CCD08274-8BE7-4186-9C51-A8DFE7194EB0}"/>
    <hyperlink ref="K179" r:id="rId176" display="https://ppim-intra.pea.co.th:4434/request/PPIM19502E2E" xr:uid="{9AFFA03F-D5B2-456C-83BF-7CFBCCF2DAA4}"/>
    <hyperlink ref="K180" r:id="rId177" display="https://ppim-intra.pea.co.th:4434/request/PPIM19502E73" xr:uid="{44293A6A-5087-4140-869F-91BAEADF7AAE}"/>
    <hyperlink ref="K181" r:id="rId178" display="https://ppim-intra.pea.co.th:4434/request/PPIM19503114" xr:uid="{1229EC76-128A-4834-B7F5-AF435F3E3974}"/>
    <hyperlink ref="K182" r:id="rId179" display="https://ppim-intra.pea.co.th:4434/request/PPIM19502BF2" xr:uid="{1BA6626E-CB64-40A6-B18F-719AD77F1602}"/>
    <hyperlink ref="K183" r:id="rId180" display="https://ppim-intra.pea.co.th:4434/request/PPIM19503415" xr:uid="{E56C71B7-393D-411B-BBB2-B708EAF5009E}"/>
    <hyperlink ref="K184" r:id="rId181" display="https://ppim-intra.pea.co.th:4434/request/PPIM195034D3" xr:uid="{D066A6CE-CCF2-4D36-B3E8-9F5F88D6326A}"/>
    <hyperlink ref="K185" r:id="rId182" display="https://ppim-intra.pea.co.th:4434/request/PPIM1950350C" xr:uid="{00D167CE-1D08-4483-879E-F7751CDB3410}"/>
    <hyperlink ref="K186" r:id="rId183" display="https://ppim-intra.pea.co.th:4434/request/PPIM195032D8" xr:uid="{74CA4434-533A-42F8-AF9A-E62709E9A818}"/>
    <hyperlink ref="K187" r:id="rId184" display="https://ppim-intra.pea.co.th:4434/request/PPIM19503805" xr:uid="{63E1F1AB-D5B8-4B7A-81A9-3E221062652B}"/>
    <hyperlink ref="K188" r:id="rId185" display="https://ppim-intra.pea.co.th:4434/request/PPIM195038F5" xr:uid="{A4EFE3F5-4C19-4F07-B916-CEBF74F65FEB}"/>
    <hyperlink ref="K189" r:id="rId186" display="https://ppim-intra.pea.co.th:4434/request/PPIM19503983" xr:uid="{88670B3F-FCF9-49B3-BABE-43DE04E4127D}"/>
    <hyperlink ref="K190" r:id="rId187" display="https://ppim-intra.pea.co.th:4434/request/PPIM195039A5" xr:uid="{E844CEB1-D0E4-44DA-A43A-0E89C7D97B46}"/>
    <hyperlink ref="K191" r:id="rId188" display="https://ppim-intra.pea.co.th:4434/request/PPIM19503310" xr:uid="{E9BC1BE2-4AC9-4396-9917-B51C700F0A1D}"/>
    <hyperlink ref="K192" r:id="rId189" display="https://ppim-intra.pea.co.th:4434/request/PPIM195039C3" xr:uid="{85434E11-BD14-427F-AB6B-6883F23927C8}"/>
    <hyperlink ref="K193" r:id="rId190" display="https://ppim-intra.pea.co.th:4434/request/PPIM19503A6A" xr:uid="{F34920DD-39BC-4AAC-A735-51F552696C8A}"/>
    <hyperlink ref="K194" r:id="rId191" display="https://ppim-intra.pea.co.th:4434/request/PPIM19503BBB" xr:uid="{12D99E06-FE3C-4088-AD1D-49FB01C91565}"/>
    <hyperlink ref="K195" r:id="rId192" display="https://ppim-intra.pea.co.th:4434/request/PPIM19502FDB" xr:uid="{8DDE7DF7-D4FD-4CAA-8FF0-8D9E955AF24E}"/>
    <hyperlink ref="K196" r:id="rId193" display="https://ppim-intra.pea.co.th:4434/request/PPIM19503D74" xr:uid="{ABF9C598-E267-4133-B08C-86E34B5AB792}"/>
    <hyperlink ref="K197" r:id="rId194" display="https://ppim-intra.pea.co.th:4434/request/PPIM19503EC6" xr:uid="{5E630F63-7946-4944-B7CB-49F9D155CC8D}"/>
    <hyperlink ref="K198" r:id="rId195" display="https://ppim-intra.pea.co.th:4434/request/PPIM19503F8A" xr:uid="{1195A8A5-4ACB-4069-AA51-0B6C365A5E33}"/>
    <hyperlink ref="K199" r:id="rId196" display="https://ppim-intra.pea.co.th:4434/request/PPIM19503C8E" xr:uid="{164EF7FB-7404-4B33-A634-6994AEAE44B7}"/>
    <hyperlink ref="K200" r:id="rId197" display="https://ppim-intra.pea.co.th:4434/request/PPIM19504032" xr:uid="{3125AC45-75D4-4996-9A82-09CCDB96895A}"/>
    <hyperlink ref="K201" r:id="rId198" display="https://ppim-intra.pea.co.th:4434/request/PPIM19504033" xr:uid="{E210539C-F5B9-43E5-B530-09890D248F5D}"/>
    <hyperlink ref="K203" r:id="rId199" display="https://ppim-intra.pea.co.th:4434/request/PPIM19504038" xr:uid="{275EC23A-53E4-4708-B9F3-CFAC9076B7A6}"/>
    <hyperlink ref="K204" r:id="rId200" display="https://ppim-intra.pea.co.th:4434/request/PPIM1950403E" xr:uid="{996B21EE-EB60-4E78-9BC6-5B18BB638C24}"/>
    <hyperlink ref="K205" r:id="rId201" display="https://ppim-intra.pea.co.th:4434/request/PPIM1950403F" xr:uid="{9697D7F9-045A-4F5B-A069-C85B714D8479}"/>
    <hyperlink ref="K206" r:id="rId202" display="https://ppim-intra.pea.co.th:4434/request/PPIM19504042" xr:uid="{C760C00A-5844-402B-B2DB-533334924AC8}"/>
    <hyperlink ref="K207" r:id="rId203" display="https://ppim-intra.pea.co.th:4434/request/PPIM19504043" xr:uid="{7284BBFC-10CE-48A9-9B7F-382079CAB175}"/>
    <hyperlink ref="K208" r:id="rId204" display="https://ppim-intra.pea.co.th:4434/request/PPIM195041BE" xr:uid="{59EBF132-A9E3-4B94-B0F3-39AAACFABCB2}"/>
    <hyperlink ref="K209" r:id="rId205" display="https://ppim-intra.pea.co.th:4434/request/PPIM195041D3" xr:uid="{3BA9D2F2-7473-42C9-B9C2-CF848AC77BF8}"/>
    <hyperlink ref="K210" r:id="rId206" display="https://ppim-intra.pea.co.th:4434/request/PPIM19504236" xr:uid="{97903252-37D1-4E55-A332-FF7A8678D4C7}"/>
    <hyperlink ref="K211" r:id="rId207" display="https://ppim-intra.pea.co.th:4434/request/PPIM19502D8B" xr:uid="{8DD60392-B9CB-4CB7-B6CE-129E4F0F58F3}"/>
    <hyperlink ref="K212" r:id="rId208" display="https://ppim-intra.pea.co.th:4434/request/PPIM195044E5" xr:uid="{9E004814-37ED-4507-B2CE-308460C3E6C7}"/>
    <hyperlink ref="K213" r:id="rId209" display="https://ppim-intra.pea.co.th:4434/request/PPIM195044EB" xr:uid="{4055C2DF-1F98-4EB7-816B-C43678E4116A}"/>
    <hyperlink ref="K214" r:id="rId210" display="https://ppim-intra.pea.co.th:4434/request/PPIM195045BE" xr:uid="{B9F6757B-83E7-48A8-A596-AA1B5AB7CF00}"/>
    <hyperlink ref="K215" r:id="rId211" display="https://ppim-intra.pea.co.th:4434/request/PPIM195045CC" xr:uid="{BB9DCD3E-7D5B-4CD4-8DBB-A748E7F4069C}"/>
    <hyperlink ref="K216" r:id="rId212" display="https://ppim-intra.pea.co.th:4434/request/PPIM19504751" xr:uid="{7E990F00-EA19-4E65-B41F-D871C56CCDA0}"/>
    <hyperlink ref="K217" r:id="rId213" display="https://ppim-intra.pea.co.th:4434/request/PPIM1950475A" xr:uid="{18A2F393-B75F-4634-B298-0A32E17968F0}"/>
    <hyperlink ref="K218" r:id="rId214" display="https://ppim-intra.pea.co.th:4434/request/PPIM1950475C" xr:uid="{7F3370DA-D689-4E01-99B9-0CB270814032}"/>
    <hyperlink ref="K219" r:id="rId215" display="https://ppim-intra.pea.co.th:4434/request/PPIM1950475E" xr:uid="{24AD1562-5C4C-40B4-BAF7-A7D9912FEBA1}"/>
    <hyperlink ref="K220" r:id="rId216" display="https://ppim-intra.pea.co.th:4434/request/PPIM1950475F" xr:uid="{7009193E-1465-456D-83C6-53A46145BD6B}"/>
    <hyperlink ref="K221" r:id="rId217" display="https://ppim-intra.pea.co.th:4434/request/PPIM19504760" xr:uid="{D0EF9F7B-1372-4568-888A-6497C309DCA0}"/>
    <hyperlink ref="K222" r:id="rId218" display="https://ppim-intra.pea.co.th:4434/request/PPIM19504767" xr:uid="{80C5BCBD-90E3-408A-BD61-61B7C7066972}"/>
    <hyperlink ref="K223" r:id="rId219" display="https://ppim-intra.pea.co.th:4434/request/PPIM19504768" xr:uid="{B31C0FC4-9E07-4106-95AB-810306E13203}"/>
    <hyperlink ref="K224" r:id="rId220" display="https://ppim-intra.pea.co.th:4434/request/PPIM1950476B" xr:uid="{3E45222A-417F-4362-9EBB-0584C1AD1666}"/>
    <hyperlink ref="K225" r:id="rId221" display="https://ppim-intra.pea.co.th:4434/request/PPIM19504777" xr:uid="{33A8A500-A1D9-402B-86B8-BA956C4DF7AD}"/>
    <hyperlink ref="K226" r:id="rId222" display="https://ppim-intra.pea.co.th:4434/request/PPIM195047A4" xr:uid="{A8E5F1BF-0E2D-48ED-B249-7E8D0CD98868}"/>
    <hyperlink ref="K227" r:id="rId223" display="https://ppim-intra.pea.co.th:4434/request/PPIM195047C7" xr:uid="{F6B367FE-3F91-48B2-AE9B-A8F2AF9E9644}"/>
    <hyperlink ref="K228" r:id="rId224" display="https://ppim-intra.pea.co.th:4434/request/PPIM195047E4" xr:uid="{67687C7B-5C2D-47DB-A6FE-C6FC57CE79B8}"/>
    <hyperlink ref="K229" r:id="rId225" display="https://ppim-intra.pea.co.th:4434/request/PPIM19504893" xr:uid="{64B4F6C8-AB2F-4256-9B60-A56E427C1FAC}"/>
    <hyperlink ref="K230" r:id="rId226" display="https://ppim-intra.pea.co.th:4434/request/PPIM1950493D" xr:uid="{2DA879EA-9C4D-44E9-9406-9E14162E46AE}"/>
    <hyperlink ref="K231" r:id="rId227" display="https://ppim-intra.pea.co.th:4434/request/PPIM1950466F" xr:uid="{348ACA83-B732-402D-97D4-E1DE178FF275}"/>
    <hyperlink ref="K232" r:id="rId228" display="https://ppim-intra.pea.co.th:4434/request/PPIM195049CC" xr:uid="{9F4878C0-DBE0-4AF6-9D1F-76CB34380D8E}"/>
    <hyperlink ref="K233" r:id="rId229" display="https://ppim-intra.pea.co.th:4434/request/PPIM195049D1" xr:uid="{A3DDE55E-07A0-46EE-B1D5-5C659F3863BA}"/>
    <hyperlink ref="K234" r:id="rId230" display="https://ppim-intra.pea.co.th:4434/request/PPIM19504565" xr:uid="{28CC76C6-3018-4A7B-85F3-E3AA826A4F87}"/>
    <hyperlink ref="K235" r:id="rId231" display="https://ppim-intra.pea.co.th:4434/request/PPIM19504BC2" xr:uid="{4E693D80-5D43-46F3-8C06-41902F070CA1}"/>
    <hyperlink ref="K236" r:id="rId232" display="https://ppim-intra.pea.co.th:4434/request/PPIM1950484C" xr:uid="{7C5577DB-35E6-46E6-AF42-0C19FA4974EC}"/>
    <hyperlink ref="K237" r:id="rId233" display="https://ppim-intra.pea.co.th:4434/request/PPIM19504BD2" xr:uid="{78A3FD9D-D02B-49D2-AA45-510ED2FD7306}"/>
    <hyperlink ref="K238" r:id="rId234" display="https://ppim-intra.pea.co.th:4434/request/PPIM19504BDE" xr:uid="{85E94644-8B9C-45A3-BF81-7A2FC645DFD7}"/>
    <hyperlink ref="K239" r:id="rId235" display="https://ppim-intra.pea.co.th:4434/request/PPIM19504BDF" xr:uid="{45548EDE-E24B-43F0-A2EE-E087D06B3724}"/>
    <hyperlink ref="K240" r:id="rId236" display="https://ppim-intra.pea.co.th:4434/request/PPIM19504BE1" xr:uid="{8F20BD8E-A6D9-46F0-88F2-BE66B3A33CE8}"/>
    <hyperlink ref="K241" r:id="rId237" display="https://ppim-intra.pea.co.th:4434/request/PPIM19504BE2" xr:uid="{E6FC5311-7AFC-4046-8AE0-F96D612331F8}"/>
    <hyperlink ref="K242" r:id="rId238" display="https://ppim-intra.pea.co.th:4434/request/PPIM19504BE3" xr:uid="{C4AA6E09-3B31-4E35-8840-19B083C94F53}"/>
    <hyperlink ref="K243" r:id="rId239" display="https://ppim-intra.pea.co.th:4434/request/PPIM19504BE5" xr:uid="{B4412A2C-BAA4-4BAE-99F4-5D44FF9127B5}"/>
    <hyperlink ref="K244" r:id="rId240" display="https://ppim-intra.pea.co.th:4434/request/PPIM19504BE6" xr:uid="{D0EE698F-A00C-4C68-881D-CADBCF0831DF}"/>
    <hyperlink ref="K245" r:id="rId241" display="https://ppim-intra.pea.co.th:4434/request/PPIM19504BE8" xr:uid="{C6416FF7-E902-45E2-A989-BEF430D67587}"/>
    <hyperlink ref="K246" r:id="rId242" display="https://ppim-intra.pea.co.th:4434/request/PPIM19503C95" xr:uid="{D6D745F7-1133-4655-B0A8-8E29E006D7C1}"/>
    <hyperlink ref="K247" r:id="rId243" display="https://ppim-intra.pea.co.th:4434/request/PPIM19504CEC" xr:uid="{40540512-231D-4C97-B93F-1F4F73A17987}"/>
    <hyperlink ref="K248" r:id="rId244" display="https://ppim-intra.pea.co.th:4434/request/PPIM19504D7E" xr:uid="{AA45F370-4435-4B00-A645-DAA58F95DCA0}"/>
    <hyperlink ref="K249" r:id="rId245" display="https://ppim-intra.pea.co.th:4434/request/PPIM19504EA2" xr:uid="{60B0BF63-A8B7-48FD-8952-55D0CDC7D683}"/>
    <hyperlink ref="K250" r:id="rId246" display="https://ppim-intra.pea.co.th:4434/request/PPIM19504F53" xr:uid="{21A59649-8845-4C8C-8879-EDE162556965}"/>
    <hyperlink ref="K251" r:id="rId247" display="https://ppim-intra.pea.co.th:4434/request/PPIM195049D5" xr:uid="{E93E83AB-9344-47CF-BBEC-F93D786F98E7}"/>
    <hyperlink ref="K252" r:id="rId248" display="https://ppim-intra.pea.co.th:4434/request/PPIM19504FDC" xr:uid="{9BA086B0-35AA-4E6C-851A-E47D82E535EB}"/>
    <hyperlink ref="K253" r:id="rId249" display="https://ppim-intra.pea.co.th:4434/request/PPIM19504FE0" xr:uid="{E8349083-E158-412F-A385-31650C0FD206}"/>
    <hyperlink ref="K254" r:id="rId250" display="https://ppim-intra.pea.co.th:4434/request/PPIM195047A5" xr:uid="{A7294BCA-1F22-4D4D-9F3A-479B5456536F}"/>
    <hyperlink ref="K255" r:id="rId251" display="https://ppim-intra.pea.co.th:4434/request/PPIM19505007" xr:uid="{C0466F3A-8822-4A90-86D5-55C8A395A913}"/>
    <hyperlink ref="K256" r:id="rId252" display="https://ppim-intra.pea.co.th:4434/request/PPIM19505012" xr:uid="{4164D467-D440-4B00-BF52-09871D143247}"/>
    <hyperlink ref="K257" r:id="rId253" display="https://ppim-intra.pea.co.th:4434/request/PPIM19504A24" xr:uid="{142A3C1C-B322-4C01-B010-A8AB9893009C}"/>
    <hyperlink ref="K258" r:id="rId254" display="https://ppim-intra.pea.co.th:4434/request/PPIM19504A71" xr:uid="{AB733D64-4072-4EB9-A0F4-90D5A1D5595C}"/>
    <hyperlink ref="K259" r:id="rId255" display="https://ppim-intra.pea.co.th:4434/request/PPIM195050C7" xr:uid="{84AE242B-BC7C-4052-96B2-528822090D1F}"/>
    <hyperlink ref="K260" r:id="rId256" display="https://ppim-intra.pea.co.th:4434/request/PPIM19505119" xr:uid="{AC650942-1E72-42E1-BB14-8D3EE251CFC7}"/>
    <hyperlink ref="K261" r:id="rId257" display="https://ppim-intra.pea.co.th:4434/request/PPIM1950518A" xr:uid="{F29FD6D6-A9E9-47EF-BDE0-97531D831D07}"/>
    <hyperlink ref="K262" r:id="rId258" display="https://ppim-intra.pea.co.th:4434/request/PPIM19505322" xr:uid="{FAB59D82-3B44-4859-89BF-8C10D94364CD}"/>
    <hyperlink ref="K263" r:id="rId259" display="https://ppim-intra.pea.co.th:4434/request/PPIM19505382" xr:uid="{08D1859D-5619-4FB1-A5FB-30C3DA7AD7A0}"/>
    <hyperlink ref="K264" r:id="rId260" display="https://ppim-intra.pea.co.th:4434/request/PPIM1950539F" xr:uid="{659DDEE4-5D89-4BFC-9814-4DC67101F437}"/>
    <hyperlink ref="K265" r:id="rId261" display="https://ppim-intra.pea.co.th:4434/request/PPIM195053C3" xr:uid="{6CDEDABD-5E7F-4750-806B-196A41C159AE}"/>
    <hyperlink ref="K266" r:id="rId262" display="https://ppim-intra.pea.co.th:4434/request/PPIM195053CD" xr:uid="{982E6926-E77E-4B5D-8118-91BF4AD12A38}"/>
    <hyperlink ref="K267" r:id="rId263" display="https://ppim-intra.pea.co.th:4434/request/PPIM1950544E" xr:uid="{1F4B03EA-732D-4951-892E-F7FB7D738D62}"/>
    <hyperlink ref="K268" r:id="rId264" display="https://ppim-intra.pea.co.th:4434/request/PPIM19504DCD" xr:uid="{F8484D0D-4346-46B4-9963-166889C6060A}"/>
    <hyperlink ref="K269" r:id="rId265" display="https://ppim-intra.pea.co.th:4434/request/PPIM19505500" xr:uid="{35194230-053E-414A-9110-EA7B5C2FAC0C}"/>
    <hyperlink ref="K270" r:id="rId266" display="https://ppim-intra.pea.co.th:4434/request/PPIM195055A4" xr:uid="{C10D7669-BB0A-401F-A261-7A99354ED53B}"/>
    <hyperlink ref="K271" r:id="rId267" display="https://ppim-intra.pea.co.th:4434/request/PPIM19504D51" xr:uid="{66AD6EA5-0E5D-45F3-9245-E7D3735C7023}"/>
    <hyperlink ref="K272" r:id="rId268" display="https://ppim-intra.pea.co.th:4434/request/PPIM19504D73" xr:uid="{9EF8C3A6-1A9B-442A-B906-A3A534444FE9}"/>
    <hyperlink ref="K273" r:id="rId269" display="https://ppim-intra.pea.co.th:4434/request/PPIM19505719" xr:uid="{8A397708-6AB1-4766-A267-626568D1935A}"/>
    <hyperlink ref="K274" r:id="rId270" display="https://ppim-intra.pea.co.th:4434/request/PPIM1950571D" xr:uid="{B02398B0-4F3E-4418-9EE3-B1A1AF4DD135}"/>
    <hyperlink ref="K275" r:id="rId271" display="https://ppim-intra.pea.co.th:4434/request/PPIM1950461F" xr:uid="{78F5A290-F260-4B6F-9DAF-9BA256BAD8D1}"/>
    <hyperlink ref="K276" r:id="rId272" display="https://ppim-intra.pea.co.th:4434/request/PPIM19505743" xr:uid="{851367ED-7965-4EE6-AE38-B7957191129B}"/>
    <hyperlink ref="K277" r:id="rId273" display="https://ppim-intra.pea.co.th:4434/request/PPIM19505774" xr:uid="{B6825D22-1AD7-4274-A637-69663B38305B}"/>
    <hyperlink ref="K278" r:id="rId274" display="https://ppim-intra.pea.co.th:4434/request/PPIM195052E5" xr:uid="{6D4C4468-5C89-4A30-8B66-F4CA41CC7FAA}"/>
    <hyperlink ref="K279" r:id="rId275" display="https://ppim-intra.pea.co.th:4434/request/PPIM1950527D" xr:uid="{C65F184F-3E0F-4AF9-8DEA-5CE50DE35C1C}"/>
    <hyperlink ref="K280" r:id="rId276" display="https://ppim-intra.pea.co.th:4434/request/PPIM19505810" xr:uid="{18A6A91C-F02E-4793-9B9C-8FA35ABD491E}"/>
    <hyperlink ref="K281" r:id="rId277" display="https://ppim-intra.pea.co.th:4434/request/PPIM195053F4" xr:uid="{40A42BBE-3EE2-49D1-B43F-365145E2D9CE}"/>
    <hyperlink ref="K282" r:id="rId278" display="https://ppim-intra.pea.co.th:4434/request/PPIM1950590A" xr:uid="{668DE213-6247-4F87-A837-6C2F4101BF1F}"/>
    <hyperlink ref="K283" r:id="rId279" display="https://ppim-intra.pea.co.th:4434/request/PPIM19505924" xr:uid="{1BA6A934-1DD7-4DC6-BE87-DCB568678E56}"/>
    <hyperlink ref="K284" r:id="rId280" display="https://ppim-intra.pea.co.th:4434/request/PPIM1950592E" xr:uid="{D0144A44-52B6-4E28-9E19-6B9C885D3C74}"/>
    <hyperlink ref="K285" r:id="rId281" display="https://ppim-intra.pea.co.th:4434/request/PPIM19505932" xr:uid="{537A931F-7AB4-4C16-82E6-471F5D240062}"/>
    <hyperlink ref="K286" r:id="rId282" display="https://ppim-intra.pea.co.th:4434/request/PPIM19505934" xr:uid="{8DDEA9AD-451F-4797-81F9-AED39E3901DE}"/>
    <hyperlink ref="K287" r:id="rId283" display="https://ppim-intra.pea.co.th:4434/request/PPIM19505937" xr:uid="{1C5B525C-1055-49ED-A579-91C15E3EFB5D}"/>
    <hyperlink ref="K288" r:id="rId284" display="https://ppim-intra.pea.co.th:4434/request/PPIM19505938" xr:uid="{8E404EEE-6F5A-46DA-B920-6B7BCB5BE958}"/>
    <hyperlink ref="K289" r:id="rId285" display="https://ppim-intra.pea.co.th:4434/request/PPIM1950465E" xr:uid="{C395D36B-F612-408A-809A-A0031963FD7A}"/>
    <hyperlink ref="K290" r:id="rId286" display="https://ppim-intra.pea.co.th:4434/request/PPIM1950594A" xr:uid="{19211CD7-C949-4B7B-8925-BA5E1C04B839}"/>
    <hyperlink ref="K291" r:id="rId287" display="https://ppim-intra.pea.co.th:4434/request/PPIM19505967" xr:uid="{51A3179D-7C02-4834-8BD1-E577F878B712}"/>
    <hyperlink ref="K292" r:id="rId288" display="https://ppim-intra.pea.co.th:4434/request/PPIM1950502B" xr:uid="{5D7A786B-8F5E-4109-B61E-E78897AC5DBD}"/>
    <hyperlink ref="K293" r:id="rId289" display="https://ppim-intra.pea.co.th:4434/request/PPIM19505AEA" xr:uid="{89273651-60CE-4CD6-B7CB-E88A36EFACDD}"/>
    <hyperlink ref="K294" r:id="rId290" display="https://ppim-intra.pea.co.th:4434/request/PPIM19505A78" xr:uid="{8FF80A8E-20ED-47FC-BDFD-EB3722DDA967}"/>
  </hyperlinks>
  <pageMargins left="0.7" right="0.7" top="0.75" bottom="0.75" header="0.3" footer="0.3"/>
  <drawing r:id="rId291"/>
  <legacyDrawing r:id="rId292"/>
  <controls>
    <mc:AlternateContent xmlns:mc="http://schemas.openxmlformats.org/markup-compatibility/2006">
      <mc:Choice Requires="x14">
        <control shapeId="11265" r:id="rId293" name="Control 1">
          <controlPr defaultSize="0" r:id="rId294">
            <anchor moveWithCells="1">
              <from>
                <xdr:col>0</xdr:col>
                <xdr:colOff>0</xdr:colOff>
                <xdr:row>8</xdr:row>
                <xdr:rowOff>352425</xdr:rowOff>
              </from>
              <to>
                <xdr:col>0</xdr:col>
                <xdr:colOff>190500</xdr:colOff>
                <xdr:row>9</xdr:row>
                <xdr:rowOff>76200</xdr:rowOff>
              </to>
            </anchor>
          </controlPr>
        </control>
      </mc:Choice>
      <mc:Fallback>
        <control shapeId="11265" r:id="rId293" name="Control 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0D1C-38D1-4399-AB74-F2F8EA0A8D5D}">
  <sheetPr codeName="Sheet6">
    <tabColor rgb="FFFFC000"/>
  </sheetPr>
  <dimension ref="A2:O168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5.85546875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52</v>
      </c>
      <c r="N2" s="13" t="s">
        <v>214</v>
      </c>
    </row>
    <row r="3" spans="1:15" ht="37.5" thickTop="1" thickBot="1">
      <c r="A3" s="18" t="s">
        <v>1810</v>
      </c>
      <c r="B3" s="18">
        <v>20023475316</v>
      </c>
      <c r="C3" s="18" t="s">
        <v>177</v>
      </c>
      <c r="D3" s="19">
        <v>45315.665972222225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172</v>
      </c>
      <c r="K3" s="20"/>
      <c r="L3" s="7" t="s">
        <v>2656</v>
      </c>
      <c r="M3" s="7">
        <f>COUNTIF(H:H,"รอตรวจสอบคำขอ")</f>
        <v>14</v>
      </c>
      <c r="N3" s="11" t="s">
        <v>214</v>
      </c>
    </row>
    <row r="4" spans="1:15" ht="36.75" thickBot="1">
      <c r="A4" s="21" t="s">
        <v>174</v>
      </c>
      <c r="B4" s="21">
        <v>20000673517</v>
      </c>
      <c r="C4" s="21" t="s">
        <v>175</v>
      </c>
      <c r="D4" s="22">
        <v>45373.119444444441</v>
      </c>
      <c r="E4" s="21" t="s">
        <v>10</v>
      </c>
      <c r="F4" s="21">
        <v>5</v>
      </c>
      <c r="G4" s="21" t="s">
        <v>10</v>
      </c>
      <c r="H4" s="21" t="s">
        <v>178</v>
      </c>
      <c r="I4" s="21" t="s">
        <v>10</v>
      </c>
      <c r="J4" s="21" t="s">
        <v>176</v>
      </c>
      <c r="K4" s="20"/>
      <c r="L4" s="7" t="s">
        <v>178</v>
      </c>
      <c r="M4" s="7">
        <f>COUNTIF(H:H,"ยกเลิก")</f>
        <v>8</v>
      </c>
      <c r="N4" s="11" t="s">
        <v>214</v>
      </c>
    </row>
    <row r="5" spans="1:15" ht="36.75" thickBot="1">
      <c r="A5" s="18" t="s">
        <v>173</v>
      </c>
      <c r="B5" s="18">
        <v>20003096662</v>
      </c>
      <c r="C5" s="18" t="s">
        <v>171</v>
      </c>
      <c r="D5" s="19">
        <v>45384.762499999997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172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170</v>
      </c>
      <c r="B6" s="18">
        <v>20003096662</v>
      </c>
      <c r="C6" s="18" t="s">
        <v>171</v>
      </c>
      <c r="D6" s="19">
        <v>45384.779166666667</v>
      </c>
      <c r="E6" s="19">
        <v>45489.622916666667</v>
      </c>
      <c r="F6" s="18">
        <v>5</v>
      </c>
      <c r="G6" s="19">
        <v>45650.591666666667</v>
      </c>
      <c r="H6" s="18" t="s">
        <v>2657</v>
      </c>
      <c r="I6" s="18" t="s">
        <v>10</v>
      </c>
      <c r="J6" s="18" t="s">
        <v>172</v>
      </c>
      <c r="K6" s="20"/>
      <c r="L6" s="7" t="s">
        <v>189</v>
      </c>
      <c r="M6" s="14">
        <f>COUNTIF(H:H,"รอชำระเงิน")</f>
        <v>1</v>
      </c>
      <c r="N6" s="11" t="s">
        <v>214</v>
      </c>
      <c r="O6" s="7" t="s">
        <v>359</v>
      </c>
    </row>
    <row r="7" spans="1:15" ht="36.75" thickBot="1">
      <c r="A7" s="18" t="s">
        <v>290</v>
      </c>
      <c r="B7" s="18">
        <v>20003301273</v>
      </c>
      <c r="C7" s="18" t="s">
        <v>291</v>
      </c>
      <c r="D7" s="19">
        <v>45404.675694444442</v>
      </c>
      <c r="E7" s="19">
        <v>45490.658333333333</v>
      </c>
      <c r="F7" s="18">
        <v>10</v>
      </c>
      <c r="G7" s="19">
        <v>45575.604166666664</v>
      </c>
      <c r="H7" s="18" t="s">
        <v>2654</v>
      </c>
      <c r="I7" s="18" t="s">
        <v>10</v>
      </c>
      <c r="J7" s="18" t="s">
        <v>172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13</v>
      </c>
      <c r="N7" s="11" t="s">
        <v>214</v>
      </c>
    </row>
    <row r="8" spans="1:15" ht="36.75" thickBot="1">
      <c r="A8" s="18" t="s">
        <v>496</v>
      </c>
      <c r="B8" s="18">
        <v>20026714597</v>
      </c>
      <c r="C8" s="18" t="s">
        <v>497</v>
      </c>
      <c r="D8" s="19">
        <v>45456.446527777778</v>
      </c>
      <c r="E8" s="19">
        <v>45491.525694444441</v>
      </c>
      <c r="F8" s="18">
        <v>5</v>
      </c>
      <c r="G8" s="19">
        <v>45572.487500000003</v>
      </c>
      <c r="H8" s="18" t="s">
        <v>236</v>
      </c>
      <c r="I8" s="18" t="s">
        <v>10</v>
      </c>
      <c r="J8" s="18" t="s">
        <v>176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3</v>
      </c>
      <c r="N8" s="11" t="s">
        <v>214</v>
      </c>
    </row>
    <row r="9" spans="1:15" ht="36.75" thickBot="1">
      <c r="A9" s="18" t="s">
        <v>726</v>
      </c>
      <c r="B9" s="18">
        <v>20003204576</v>
      </c>
      <c r="C9" s="18" t="s">
        <v>727</v>
      </c>
      <c r="D9" s="19">
        <v>45495.936111111114</v>
      </c>
      <c r="E9" s="18" t="s">
        <v>10</v>
      </c>
      <c r="F9" s="18">
        <v>10</v>
      </c>
      <c r="G9" s="19">
        <v>45590.642361111109</v>
      </c>
      <c r="H9" s="18" t="s">
        <v>2657</v>
      </c>
      <c r="I9" s="18" t="s">
        <v>10</v>
      </c>
      <c r="J9" s="18" t="s">
        <v>176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728</v>
      </c>
      <c r="B10" s="18">
        <v>20003535101</v>
      </c>
      <c r="C10" s="18" t="s">
        <v>703</v>
      </c>
      <c r="D10" s="19">
        <v>45498.64166666667</v>
      </c>
      <c r="E10" s="19">
        <v>45513.49722222222</v>
      </c>
      <c r="F10" s="18">
        <v>10</v>
      </c>
      <c r="G10" s="19">
        <v>45567.431250000001</v>
      </c>
      <c r="H10" s="18" t="s">
        <v>236</v>
      </c>
      <c r="I10" s="18" t="s">
        <v>10</v>
      </c>
      <c r="J10" s="18" t="s">
        <v>176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869</v>
      </c>
      <c r="B11" s="18">
        <v>20018544538</v>
      </c>
      <c r="C11" s="18" t="s">
        <v>870</v>
      </c>
      <c r="D11" s="19">
        <v>45525.961111111108</v>
      </c>
      <c r="E11" s="18" t="s">
        <v>10</v>
      </c>
      <c r="F11" s="18">
        <v>10</v>
      </c>
      <c r="G11" s="18" t="s">
        <v>10</v>
      </c>
      <c r="H11" s="18" t="s">
        <v>178</v>
      </c>
      <c r="I11" s="18" t="s">
        <v>10</v>
      </c>
      <c r="J11" s="18" t="s">
        <v>176</v>
      </c>
      <c r="K11" s="20"/>
      <c r="L11" t="s">
        <v>2654</v>
      </c>
      <c r="M11">
        <f>COUNTIF(H:H,"รอตรวจสอบระบบผลิต")</f>
        <v>8</v>
      </c>
      <c r="N11" t="s">
        <v>214</v>
      </c>
    </row>
    <row r="12" spans="1:15" ht="36.75" thickBot="1">
      <c r="A12" s="18" t="s">
        <v>871</v>
      </c>
      <c r="B12" s="18">
        <v>20022087542</v>
      </c>
      <c r="C12" s="18" t="s">
        <v>872</v>
      </c>
      <c r="D12" s="19">
        <v>45530.859027777777</v>
      </c>
      <c r="E12" s="18" t="s">
        <v>10</v>
      </c>
      <c r="F12" s="18">
        <v>12</v>
      </c>
      <c r="G12" s="19">
        <v>45593.609722222223</v>
      </c>
      <c r="H12" s="18" t="s">
        <v>2654</v>
      </c>
      <c r="I12" s="18" t="s">
        <v>10</v>
      </c>
      <c r="J12" s="18" t="s">
        <v>176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873</v>
      </c>
      <c r="B13" s="18">
        <v>20023247478</v>
      </c>
      <c r="C13" s="18" t="s">
        <v>872</v>
      </c>
      <c r="D13" s="19">
        <v>45530.864583333336</v>
      </c>
      <c r="E13" s="18" t="s">
        <v>10</v>
      </c>
      <c r="F13" s="18">
        <v>20</v>
      </c>
      <c r="G13" s="19">
        <v>45593.609722222223</v>
      </c>
      <c r="H13" s="18" t="s">
        <v>2654</v>
      </c>
      <c r="I13" s="18" t="s">
        <v>10</v>
      </c>
      <c r="J13" s="18" t="s">
        <v>176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1063</v>
      </c>
      <c r="B14" s="18">
        <v>20024250642</v>
      </c>
      <c r="C14" s="18" t="s">
        <v>1064</v>
      </c>
      <c r="D14" s="19">
        <v>45552.013888888891</v>
      </c>
      <c r="E14" s="18" t="s">
        <v>10</v>
      </c>
      <c r="F14" s="18">
        <v>5</v>
      </c>
      <c r="G14" s="19">
        <v>45576.56527777778</v>
      </c>
      <c r="H14" s="18" t="s">
        <v>236</v>
      </c>
      <c r="I14" s="18" t="s">
        <v>10</v>
      </c>
      <c r="J14" s="18" t="s">
        <v>176</v>
      </c>
      <c r="K14" s="20"/>
      <c r="L14" t="s">
        <v>236</v>
      </c>
      <c r="M14">
        <f>COUNTIF(H:H,"เชื่อมต่อเรียบร้อยแล้ว")</f>
        <v>5</v>
      </c>
      <c r="N14" t="s">
        <v>214</v>
      </c>
    </row>
    <row r="15" spans="1:15" ht="36.75" thickBot="1">
      <c r="A15" s="18" t="s">
        <v>867</v>
      </c>
      <c r="B15" s="18">
        <v>20026058038</v>
      </c>
      <c r="C15" s="18" t="s">
        <v>868</v>
      </c>
      <c r="D15" s="19">
        <v>45524.503472222219</v>
      </c>
      <c r="E15" s="19">
        <v>45552.729861111111</v>
      </c>
      <c r="F15" s="18">
        <v>10</v>
      </c>
      <c r="G15" s="19">
        <v>45573.459722222222</v>
      </c>
      <c r="H15" s="18" t="s">
        <v>2657</v>
      </c>
      <c r="I15" s="18" t="s">
        <v>10</v>
      </c>
      <c r="J15" s="18" t="s">
        <v>172</v>
      </c>
      <c r="K15" s="20"/>
    </row>
    <row r="16" spans="1:15" ht="72.75" thickBot="1">
      <c r="A16" s="18" t="s">
        <v>1587</v>
      </c>
      <c r="B16" s="18">
        <v>20026652091</v>
      </c>
      <c r="C16" s="18" t="s">
        <v>825</v>
      </c>
      <c r="D16" s="19">
        <v>45604.613888888889</v>
      </c>
      <c r="E16" s="18" t="s">
        <v>10</v>
      </c>
      <c r="F16" s="18">
        <v>12</v>
      </c>
      <c r="G16" s="19">
        <v>45670.581250000003</v>
      </c>
      <c r="H16" s="18" t="s">
        <v>236</v>
      </c>
      <c r="I16" s="18" t="s">
        <v>10</v>
      </c>
      <c r="J16" s="18" t="s">
        <v>176</v>
      </c>
      <c r="K16" s="20"/>
    </row>
    <row r="17" spans="1:11" ht="36.75" thickBot="1">
      <c r="A17" s="18" t="s">
        <v>1588</v>
      </c>
      <c r="B17" s="18">
        <v>0</v>
      </c>
      <c r="C17" s="18" t="s">
        <v>1589</v>
      </c>
      <c r="D17" s="19">
        <v>45610.414583333331</v>
      </c>
      <c r="E17" s="18" t="s">
        <v>10</v>
      </c>
      <c r="F17" s="18">
        <v>10</v>
      </c>
      <c r="G17" s="18" t="s">
        <v>10</v>
      </c>
      <c r="H17" s="18" t="s">
        <v>178</v>
      </c>
      <c r="I17" s="18" t="s">
        <v>10</v>
      </c>
      <c r="J17" s="18" t="s">
        <v>176</v>
      </c>
      <c r="K17" s="20"/>
    </row>
    <row r="18" spans="1:11" ht="36.75" thickBot="1">
      <c r="A18" s="18" t="s">
        <v>1590</v>
      </c>
      <c r="B18" s="18">
        <v>0</v>
      </c>
      <c r="C18" s="18" t="s">
        <v>1591</v>
      </c>
      <c r="D18" s="19">
        <v>45610.424305555556</v>
      </c>
      <c r="E18" s="18" t="s">
        <v>10</v>
      </c>
      <c r="F18" s="18">
        <v>10</v>
      </c>
      <c r="G18" s="18" t="s">
        <v>10</v>
      </c>
      <c r="H18" s="18" t="s">
        <v>178</v>
      </c>
      <c r="I18" s="18" t="s">
        <v>10</v>
      </c>
      <c r="J18" s="18" t="s">
        <v>176</v>
      </c>
      <c r="K18" s="20"/>
    </row>
    <row r="19" spans="1:11" ht="54.75" thickBot="1">
      <c r="A19" s="18" t="s">
        <v>1811</v>
      </c>
      <c r="B19" s="18">
        <v>20003475221</v>
      </c>
      <c r="C19" s="18" t="s">
        <v>1812</v>
      </c>
      <c r="D19" s="19">
        <v>45628.456250000003</v>
      </c>
      <c r="E19" s="18" t="s">
        <v>10</v>
      </c>
      <c r="F19" s="18">
        <v>10</v>
      </c>
      <c r="G19" s="19">
        <v>45673.537499999999</v>
      </c>
      <c r="H19" s="18" t="s">
        <v>236</v>
      </c>
      <c r="I19" s="18" t="s">
        <v>10</v>
      </c>
      <c r="J19" s="18" t="s">
        <v>176</v>
      </c>
      <c r="K19" s="20"/>
    </row>
    <row r="20" spans="1:11" ht="36.75" thickBot="1">
      <c r="A20" s="18" t="s">
        <v>1899</v>
      </c>
      <c r="B20" s="18">
        <v>20019125468</v>
      </c>
      <c r="C20" s="18" t="s">
        <v>1900</v>
      </c>
      <c r="D20" s="19">
        <v>45645.449305555558</v>
      </c>
      <c r="E20" s="18" t="s">
        <v>10</v>
      </c>
      <c r="F20" s="18">
        <v>15</v>
      </c>
      <c r="G20" s="18" t="s">
        <v>10</v>
      </c>
      <c r="H20" s="18" t="s">
        <v>2652</v>
      </c>
      <c r="I20" s="18" t="s">
        <v>2681</v>
      </c>
      <c r="J20" s="18" t="s">
        <v>172</v>
      </c>
      <c r="K20" s="20"/>
    </row>
    <row r="21" spans="1:11" ht="36.75" thickBot="1">
      <c r="A21" s="18" t="s">
        <v>1941</v>
      </c>
      <c r="B21" s="18">
        <v>20019679001</v>
      </c>
      <c r="C21" s="18" t="s">
        <v>1942</v>
      </c>
      <c r="D21" s="19">
        <v>45660.632638888892</v>
      </c>
      <c r="E21" s="18" t="s">
        <v>10</v>
      </c>
      <c r="F21" s="18">
        <v>12</v>
      </c>
      <c r="G21" s="18" t="s">
        <v>10</v>
      </c>
      <c r="H21" s="18" t="s">
        <v>178</v>
      </c>
      <c r="I21" s="18" t="s">
        <v>10</v>
      </c>
      <c r="J21" s="18" t="s">
        <v>176</v>
      </c>
      <c r="K21" s="20"/>
    </row>
    <row r="22" spans="1:11" ht="36.75" thickBot="1">
      <c r="A22" s="18" t="s">
        <v>1210</v>
      </c>
      <c r="B22" s="18">
        <v>20003583700</v>
      </c>
      <c r="C22" s="18" t="s">
        <v>1211</v>
      </c>
      <c r="D22" s="19">
        <v>45565.695138888892</v>
      </c>
      <c r="E22" s="19">
        <v>45668.484027777777</v>
      </c>
      <c r="F22" s="18">
        <v>10</v>
      </c>
      <c r="G22" s="18" t="s">
        <v>10</v>
      </c>
      <c r="H22" s="18" t="s">
        <v>2652</v>
      </c>
      <c r="I22" s="18" t="s">
        <v>2681</v>
      </c>
      <c r="J22" s="18" t="s">
        <v>172</v>
      </c>
      <c r="K22" s="20"/>
    </row>
    <row r="23" spans="1:11" ht="36.75" thickBot="1">
      <c r="A23" s="18" t="s">
        <v>1416</v>
      </c>
      <c r="B23" s="18">
        <v>20026021180</v>
      </c>
      <c r="C23" s="18" t="s">
        <v>1417</v>
      </c>
      <c r="D23" s="19">
        <v>45594.645138888889</v>
      </c>
      <c r="E23" s="19">
        <v>45669.480555555558</v>
      </c>
      <c r="F23" s="18">
        <v>5</v>
      </c>
      <c r="G23" s="18" t="s">
        <v>10</v>
      </c>
      <c r="H23" s="18" t="s">
        <v>178</v>
      </c>
      <c r="I23" s="18" t="s">
        <v>10</v>
      </c>
      <c r="J23" s="18" t="s">
        <v>172</v>
      </c>
      <c r="K23" s="20"/>
    </row>
    <row r="24" spans="1:11" ht="36.75" thickBot="1">
      <c r="A24" s="18" t="s">
        <v>1813</v>
      </c>
      <c r="B24" s="18">
        <v>20003471273</v>
      </c>
      <c r="C24" s="18" t="s">
        <v>1814</v>
      </c>
      <c r="D24" s="19">
        <v>45639.661111111112</v>
      </c>
      <c r="E24" s="19">
        <v>45670.497916666667</v>
      </c>
      <c r="F24" s="18">
        <v>5</v>
      </c>
      <c r="G24" s="18" t="s">
        <v>10</v>
      </c>
      <c r="H24" s="18" t="s">
        <v>2652</v>
      </c>
      <c r="I24" s="18" t="s">
        <v>2681</v>
      </c>
      <c r="J24" s="18" t="s">
        <v>172</v>
      </c>
      <c r="K24" s="20"/>
    </row>
    <row r="25" spans="1:11" ht="36.75" thickBot="1">
      <c r="A25" s="18" t="s">
        <v>1943</v>
      </c>
      <c r="B25" s="18">
        <v>20026053865</v>
      </c>
      <c r="C25" s="18" t="s">
        <v>1944</v>
      </c>
      <c r="D25" s="19">
        <v>45661.379861111112</v>
      </c>
      <c r="E25" s="19">
        <v>45674.462500000001</v>
      </c>
      <c r="F25" s="18">
        <v>15</v>
      </c>
      <c r="G25" s="18" t="s">
        <v>10</v>
      </c>
      <c r="H25" s="18" t="s">
        <v>2652</v>
      </c>
      <c r="I25" s="18" t="s">
        <v>2681</v>
      </c>
      <c r="J25" s="18" t="s">
        <v>176</v>
      </c>
      <c r="K25" s="20"/>
    </row>
    <row r="26" spans="1:11" ht="36.75" thickBot="1">
      <c r="A26" s="18" t="s">
        <v>1945</v>
      </c>
      <c r="B26" s="18">
        <v>20026373472</v>
      </c>
      <c r="C26" s="18" t="s">
        <v>1946</v>
      </c>
      <c r="D26" s="19">
        <v>45672.658333333333</v>
      </c>
      <c r="E26" s="19">
        <v>45674.658333333333</v>
      </c>
      <c r="F26" s="18">
        <v>3</v>
      </c>
      <c r="G26" s="18" t="s">
        <v>10</v>
      </c>
      <c r="H26" s="18" t="s">
        <v>2652</v>
      </c>
      <c r="I26" s="18" t="s">
        <v>2681</v>
      </c>
      <c r="J26" s="18" t="s">
        <v>176</v>
      </c>
      <c r="K26" s="20"/>
    </row>
    <row r="27" spans="1:11" ht="36.75" thickBot="1">
      <c r="A27" s="18" t="s">
        <v>2013</v>
      </c>
      <c r="B27" s="18">
        <v>20016470166</v>
      </c>
      <c r="C27" s="18" t="s">
        <v>2014</v>
      </c>
      <c r="D27" s="19">
        <v>45681.567361111112</v>
      </c>
      <c r="E27" s="19">
        <v>45691.449305555558</v>
      </c>
      <c r="F27" s="18">
        <v>3</v>
      </c>
      <c r="G27" s="18" t="s">
        <v>10</v>
      </c>
      <c r="H27" s="18" t="s">
        <v>2652</v>
      </c>
      <c r="I27" s="18" t="s">
        <v>2681</v>
      </c>
      <c r="J27" s="18" t="s">
        <v>176</v>
      </c>
      <c r="K27" s="20"/>
    </row>
    <row r="28" spans="1:11" ht="36.75" thickBot="1">
      <c r="A28" s="18" t="s">
        <v>2123</v>
      </c>
      <c r="B28" s="18">
        <v>20003120573</v>
      </c>
      <c r="C28" s="18" t="s">
        <v>2124</v>
      </c>
      <c r="D28" s="19">
        <v>45696.679166666669</v>
      </c>
      <c r="E28" s="18" t="s">
        <v>10</v>
      </c>
      <c r="F28" s="18">
        <v>5</v>
      </c>
      <c r="G28" s="18" t="s">
        <v>10</v>
      </c>
      <c r="H28" s="18" t="s">
        <v>2652</v>
      </c>
      <c r="I28" s="18" t="s">
        <v>2681</v>
      </c>
      <c r="J28" s="18" t="s">
        <v>176</v>
      </c>
      <c r="K28" s="20"/>
    </row>
    <row r="29" spans="1:11" ht="36.75" thickBot="1">
      <c r="A29" s="18" t="s">
        <v>2300</v>
      </c>
      <c r="B29" s="18">
        <v>20027944804</v>
      </c>
      <c r="C29" s="18" t="s">
        <v>2301</v>
      </c>
      <c r="D29" s="19">
        <v>45727.675000000003</v>
      </c>
      <c r="E29" s="18" t="s">
        <v>10</v>
      </c>
      <c r="F29" s="18">
        <v>5</v>
      </c>
      <c r="G29" s="18" t="s">
        <v>10</v>
      </c>
      <c r="H29" s="18" t="s">
        <v>2652</v>
      </c>
      <c r="I29" s="18" t="s">
        <v>2681</v>
      </c>
      <c r="J29" s="18" t="s">
        <v>176</v>
      </c>
      <c r="K29" s="20"/>
    </row>
    <row r="30" spans="1:11" ht="36.75" thickBot="1">
      <c r="A30" s="18" t="s">
        <v>2302</v>
      </c>
      <c r="B30" s="18">
        <v>20020169405</v>
      </c>
      <c r="C30" s="18" t="s">
        <v>2303</v>
      </c>
      <c r="D30" s="19">
        <v>45727.71875</v>
      </c>
      <c r="E30" s="18" t="s">
        <v>10</v>
      </c>
      <c r="F30" s="18">
        <v>3</v>
      </c>
      <c r="G30" s="18" t="s">
        <v>10</v>
      </c>
      <c r="H30" s="18" t="s">
        <v>189</v>
      </c>
      <c r="I30" s="18" t="s">
        <v>10</v>
      </c>
      <c r="J30" s="18" t="s">
        <v>176</v>
      </c>
      <c r="K30" s="20"/>
    </row>
    <row r="31" spans="1:11" ht="36.75" thickBot="1">
      <c r="A31" s="18" t="s">
        <v>2217</v>
      </c>
      <c r="B31" s="18">
        <v>20026021180</v>
      </c>
      <c r="C31" s="18" t="s">
        <v>1417</v>
      </c>
      <c r="D31" s="19">
        <v>45706.674305555556</v>
      </c>
      <c r="E31" s="19">
        <v>45769.685416666667</v>
      </c>
      <c r="F31" s="18">
        <v>5</v>
      </c>
      <c r="G31" s="18" t="s">
        <v>10</v>
      </c>
      <c r="H31" s="18" t="s">
        <v>2652</v>
      </c>
      <c r="I31" s="18" t="s">
        <v>2681</v>
      </c>
      <c r="J31" s="18" t="s">
        <v>172</v>
      </c>
      <c r="K31" s="20"/>
    </row>
    <row r="32" spans="1:11" ht="36.75" thickBot="1">
      <c r="A32" s="18" t="s">
        <v>2721</v>
      </c>
      <c r="B32" s="18">
        <v>20003308803</v>
      </c>
      <c r="C32" s="18" t="s">
        <v>2722</v>
      </c>
      <c r="D32" s="19">
        <v>45783.674305555556</v>
      </c>
      <c r="E32" s="18" t="s">
        <v>10</v>
      </c>
      <c r="F32" s="18">
        <v>10</v>
      </c>
      <c r="G32" s="19">
        <v>45917.542361111111</v>
      </c>
      <c r="H32" s="18" t="s">
        <v>2654</v>
      </c>
      <c r="I32" s="18" t="s">
        <v>10</v>
      </c>
      <c r="J32" s="18" t="s">
        <v>176</v>
      </c>
      <c r="K32" s="20"/>
    </row>
    <row r="33" spans="1:11" ht="36.75" thickBot="1">
      <c r="A33" s="18" t="s">
        <v>2723</v>
      </c>
      <c r="B33" s="18">
        <v>20003350317</v>
      </c>
      <c r="C33" s="18" t="s">
        <v>2724</v>
      </c>
      <c r="D33" s="19">
        <v>45798.527083333334</v>
      </c>
      <c r="E33" s="18" t="s">
        <v>10</v>
      </c>
      <c r="F33" s="18">
        <v>5</v>
      </c>
      <c r="G33" s="18" t="s">
        <v>10</v>
      </c>
      <c r="H33" s="18" t="s">
        <v>2652</v>
      </c>
      <c r="I33" s="18" t="s">
        <v>2699</v>
      </c>
      <c r="J33" s="18" t="s">
        <v>176</v>
      </c>
      <c r="K33" s="20"/>
    </row>
    <row r="34" spans="1:11" ht="36.75" thickBot="1">
      <c r="A34" s="18" t="s">
        <v>2727</v>
      </c>
      <c r="B34" s="18">
        <v>20026723820</v>
      </c>
      <c r="C34" s="18" t="s">
        <v>2728</v>
      </c>
      <c r="D34" s="19">
        <v>45810.713194444441</v>
      </c>
      <c r="E34" s="18" t="s">
        <v>10</v>
      </c>
      <c r="F34" s="18">
        <v>5</v>
      </c>
      <c r="G34" s="18" t="s">
        <v>10</v>
      </c>
      <c r="H34" s="18" t="s">
        <v>2652</v>
      </c>
      <c r="I34" s="18" t="s">
        <v>2699</v>
      </c>
      <c r="J34" s="18" t="s">
        <v>176</v>
      </c>
      <c r="K34" s="20"/>
    </row>
    <row r="35" spans="1:11" ht="36.75" thickBot="1">
      <c r="A35" s="18" t="s">
        <v>3294</v>
      </c>
      <c r="B35" s="18">
        <v>20019803214</v>
      </c>
      <c r="C35" s="18" t="s">
        <v>3295</v>
      </c>
      <c r="D35" s="19">
        <v>45838.693055555559</v>
      </c>
      <c r="E35" s="18" t="s">
        <v>10</v>
      </c>
      <c r="F35" s="18">
        <v>10</v>
      </c>
      <c r="G35" s="18" t="s">
        <v>10</v>
      </c>
      <c r="H35" s="23" t="s">
        <v>2656</v>
      </c>
      <c r="I35" s="18" t="s">
        <v>10</v>
      </c>
      <c r="J35" s="18" t="s">
        <v>176</v>
      </c>
      <c r="K35" s="20"/>
    </row>
    <row r="36" spans="1:11" ht="36.75" thickBot="1">
      <c r="A36" s="18" t="s">
        <v>3296</v>
      </c>
      <c r="B36" s="18">
        <v>20019803207</v>
      </c>
      <c r="C36" s="18" t="s">
        <v>3297</v>
      </c>
      <c r="D36" s="19">
        <v>45838.702777777777</v>
      </c>
      <c r="E36" s="18" t="s">
        <v>10</v>
      </c>
      <c r="F36" s="18">
        <v>5</v>
      </c>
      <c r="G36" s="18" t="s">
        <v>10</v>
      </c>
      <c r="H36" s="18" t="s">
        <v>2652</v>
      </c>
      <c r="I36" s="18" t="s">
        <v>2699</v>
      </c>
      <c r="J36" s="18" t="s">
        <v>176</v>
      </c>
      <c r="K36" s="20"/>
    </row>
    <row r="37" spans="1:11" ht="36.75" thickBot="1">
      <c r="A37" s="18" t="s">
        <v>3298</v>
      </c>
      <c r="B37" s="18">
        <v>20025533023</v>
      </c>
      <c r="C37" s="18" t="s">
        <v>3299</v>
      </c>
      <c r="D37" s="19">
        <v>45850.665972222225</v>
      </c>
      <c r="E37" s="18" t="s">
        <v>10</v>
      </c>
      <c r="F37" s="18">
        <v>20</v>
      </c>
      <c r="G37" s="19">
        <v>45922.59652777778</v>
      </c>
      <c r="H37" s="18" t="s">
        <v>2654</v>
      </c>
      <c r="I37" s="18" t="s">
        <v>10</v>
      </c>
      <c r="J37" s="18" t="s">
        <v>176</v>
      </c>
      <c r="K37" s="20"/>
    </row>
    <row r="38" spans="1:11" ht="36.75" thickBot="1">
      <c r="A38" s="18" t="s">
        <v>3300</v>
      </c>
      <c r="B38" s="18">
        <v>20022508595</v>
      </c>
      <c r="C38" s="18" t="s">
        <v>3301</v>
      </c>
      <c r="D38" s="19">
        <v>45894.508333333331</v>
      </c>
      <c r="E38" s="18" t="s">
        <v>10</v>
      </c>
      <c r="F38" s="18">
        <v>5</v>
      </c>
      <c r="G38" s="18" t="s">
        <v>10</v>
      </c>
      <c r="H38" s="23" t="s">
        <v>2656</v>
      </c>
      <c r="I38" s="18" t="s">
        <v>10</v>
      </c>
      <c r="J38" s="18" t="s">
        <v>172</v>
      </c>
      <c r="K38" s="20"/>
    </row>
    <row r="39" spans="1:11" ht="36.75" thickBot="1">
      <c r="A39" s="18" t="s">
        <v>3302</v>
      </c>
      <c r="B39" s="18">
        <v>20003567117</v>
      </c>
      <c r="C39" s="18" t="s">
        <v>3303</v>
      </c>
      <c r="D39" s="19">
        <v>45904.664583333331</v>
      </c>
      <c r="E39" s="19">
        <v>45909.438888888886</v>
      </c>
      <c r="F39" s="18">
        <v>3.5</v>
      </c>
      <c r="G39" s="19">
        <v>45926.493750000001</v>
      </c>
      <c r="H39" s="18" t="s">
        <v>2654</v>
      </c>
      <c r="I39" s="18" t="s">
        <v>10</v>
      </c>
      <c r="J39" s="18" t="s">
        <v>176</v>
      </c>
      <c r="K39" s="20"/>
    </row>
    <row r="40" spans="1:11" ht="36.75" thickBot="1">
      <c r="A40" s="18" t="s">
        <v>3304</v>
      </c>
      <c r="B40" s="18">
        <v>20021438211</v>
      </c>
      <c r="C40" s="18" t="s">
        <v>3305</v>
      </c>
      <c r="D40" s="19">
        <v>45877.424305555556</v>
      </c>
      <c r="E40" s="19">
        <v>45909.629166666666</v>
      </c>
      <c r="F40" s="18">
        <v>10</v>
      </c>
      <c r="G40" s="19">
        <v>45982.571527777778</v>
      </c>
      <c r="H40" s="18" t="s">
        <v>2654</v>
      </c>
      <c r="I40" s="18" t="s">
        <v>10</v>
      </c>
      <c r="J40" s="18" t="s">
        <v>176</v>
      </c>
      <c r="K40" s="20"/>
    </row>
    <row r="41" spans="1:11" ht="72.75" thickBot="1">
      <c r="A41" s="18" t="s">
        <v>3306</v>
      </c>
      <c r="B41" s="18">
        <v>20003480452</v>
      </c>
      <c r="C41" s="18" t="s">
        <v>3307</v>
      </c>
      <c r="D41" s="19">
        <v>45910.388888888891</v>
      </c>
      <c r="E41" s="18" t="s">
        <v>10</v>
      </c>
      <c r="F41" s="18">
        <v>15</v>
      </c>
      <c r="G41" s="18" t="s">
        <v>10</v>
      </c>
      <c r="H41" s="18" t="s">
        <v>2652</v>
      </c>
      <c r="I41" s="18" t="s">
        <v>2699</v>
      </c>
      <c r="J41" s="18" t="s">
        <v>176</v>
      </c>
      <c r="K41" s="20"/>
    </row>
    <row r="42" spans="1:11" ht="36.75" thickBot="1">
      <c r="A42" s="18" t="s">
        <v>3308</v>
      </c>
      <c r="B42" s="18">
        <v>20003292915</v>
      </c>
      <c r="C42" s="18" t="s">
        <v>3309</v>
      </c>
      <c r="D42" s="19">
        <v>45910.470138888886</v>
      </c>
      <c r="E42" s="18" t="s">
        <v>10</v>
      </c>
      <c r="F42" s="18">
        <v>5</v>
      </c>
      <c r="G42" s="18" t="s">
        <v>10</v>
      </c>
      <c r="H42" s="23" t="s">
        <v>2656</v>
      </c>
      <c r="I42" s="18" t="s">
        <v>10</v>
      </c>
      <c r="J42" s="18" t="s">
        <v>176</v>
      </c>
      <c r="K42" s="20"/>
    </row>
    <row r="43" spans="1:11" ht="54.75" thickBot="1">
      <c r="A43" s="18" t="s">
        <v>3310</v>
      </c>
      <c r="B43" s="18">
        <v>20003533090</v>
      </c>
      <c r="C43" s="18" t="s">
        <v>3311</v>
      </c>
      <c r="D43" s="19">
        <v>45912.491666666669</v>
      </c>
      <c r="E43" s="18" t="s">
        <v>10</v>
      </c>
      <c r="F43" s="18">
        <v>20</v>
      </c>
      <c r="G43" s="19">
        <v>45922.633333333331</v>
      </c>
      <c r="H43" s="18" t="s">
        <v>2654</v>
      </c>
      <c r="I43" s="18" t="s">
        <v>10</v>
      </c>
      <c r="J43" s="18" t="s">
        <v>176</v>
      </c>
      <c r="K43" s="20"/>
    </row>
    <row r="44" spans="1:11" ht="36.75" thickBot="1">
      <c r="A44" s="18" t="s">
        <v>3312</v>
      </c>
      <c r="B44" s="18">
        <v>20025807700</v>
      </c>
      <c r="C44" s="18" t="s">
        <v>3313</v>
      </c>
      <c r="D44" s="19">
        <v>45923.972222222219</v>
      </c>
      <c r="E44" s="18" t="s">
        <v>10</v>
      </c>
      <c r="F44" s="18">
        <v>10</v>
      </c>
      <c r="G44" s="18" t="s">
        <v>10</v>
      </c>
      <c r="H44" s="23" t="s">
        <v>2656</v>
      </c>
      <c r="I44" s="18" t="s">
        <v>10</v>
      </c>
      <c r="J44" s="18" t="s">
        <v>176</v>
      </c>
      <c r="K44" s="20"/>
    </row>
    <row r="45" spans="1:11" ht="36.75" thickBot="1">
      <c r="A45" s="18" t="s">
        <v>3314</v>
      </c>
      <c r="B45" s="18">
        <v>20028628923</v>
      </c>
      <c r="C45" s="18" t="s">
        <v>3315</v>
      </c>
      <c r="D45" s="19">
        <v>45929.477777777778</v>
      </c>
      <c r="E45" s="18" t="s">
        <v>10</v>
      </c>
      <c r="F45" s="18">
        <v>5</v>
      </c>
      <c r="G45" s="18" t="s">
        <v>10</v>
      </c>
      <c r="H45" s="23" t="s">
        <v>2656</v>
      </c>
      <c r="I45" s="18" t="s">
        <v>10</v>
      </c>
      <c r="J45" s="18" t="s">
        <v>172</v>
      </c>
      <c r="K45" s="20"/>
    </row>
    <row r="46" spans="1:11" ht="36.75" thickBot="1">
      <c r="A46" s="18" t="s">
        <v>2725</v>
      </c>
      <c r="B46" s="18">
        <v>20003552487</v>
      </c>
      <c r="C46" s="18" t="s">
        <v>2726</v>
      </c>
      <c r="D46" s="19">
        <v>45800.746527777781</v>
      </c>
      <c r="E46" s="19">
        <v>45930.694444444445</v>
      </c>
      <c r="F46" s="18">
        <v>5</v>
      </c>
      <c r="G46" s="18" t="s">
        <v>10</v>
      </c>
      <c r="H46" s="23" t="s">
        <v>2656</v>
      </c>
      <c r="I46" s="18" t="s">
        <v>10</v>
      </c>
      <c r="J46" s="18" t="s">
        <v>172</v>
      </c>
      <c r="K46" s="20"/>
    </row>
    <row r="47" spans="1:11" ht="90.75" thickBot="1">
      <c r="A47" s="18" t="s">
        <v>3316</v>
      </c>
      <c r="B47" s="18">
        <v>20003482707</v>
      </c>
      <c r="C47" s="18" t="s">
        <v>3317</v>
      </c>
      <c r="D47" s="19">
        <v>45933.573611111111</v>
      </c>
      <c r="E47" s="18" t="s">
        <v>10</v>
      </c>
      <c r="F47" s="18">
        <v>15</v>
      </c>
      <c r="G47" s="18" t="s">
        <v>10</v>
      </c>
      <c r="H47" s="23" t="s">
        <v>2656</v>
      </c>
      <c r="I47" s="18" t="s">
        <v>10</v>
      </c>
      <c r="J47" s="18" t="s">
        <v>176</v>
      </c>
      <c r="K47" s="20"/>
    </row>
    <row r="48" spans="1:11" ht="36.75" thickBot="1">
      <c r="A48" s="18" t="s">
        <v>3318</v>
      </c>
      <c r="B48" s="18">
        <v>20023235695</v>
      </c>
      <c r="C48" s="18" t="s">
        <v>3319</v>
      </c>
      <c r="D48" s="19">
        <v>45939.53402777778</v>
      </c>
      <c r="E48" s="18" t="s">
        <v>10</v>
      </c>
      <c r="F48" s="18">
        <v>6</v>
      </c>
      <c r="G48" s="18" t="s">
        <v>10</v>
      </c>
      <c r="H48" s="23" t="s">
        <v>2656</v>
      </c>
      <c r="I48" s="18" t="s">
        <v>10</v>
      </c>
      <c r="J48" s="18" t="s">
        <v>176</v>
      </c>
      <c r="K48" s="20"/>
    </row>
    <row r="49" spans="1:11" ht="36.75" thickBot="1">
      <c r="A49" s="18" t="s">
        <v>3320</v>
      </c>
      <c r="B49" s="18">
        <v>20019135131</v>
      </c>
      <c r="C49" s="18" t="s">
        <v>3321</v>
      </c>
      <c r="D49" s="19">
        <v>45944.705555555556</v>
      </c>
      <c r="E49" s="18" t="s">
        <v>10</v>
      </c>
      <c r="F49" s="18">
        <v>20</v>
      </c>
      <c r="G49" s="18" t="s">
        <v>10</v>
      </c>
      <c r="H49" s="23" t="s">
        <v>2656</v>
      </c>
      <c r="I49" s="18" t="s">
        <v>10</v>
      </c>
      <c r="J49" s="18" t="s">
        <v>176</v>
      </c>
      <c r="K49" s="20"/>
    </row>
    <row r="50" spans="1:11" ht="36.75" thickBot="1">
      <c r="A50" s="18" t="s">
        <v>3322</v>
      </c>
      <c r="B50" s="18">
        <v>20025349865</v>
      </c>
      <c r="C50" s="18" t="s">
        <v>3323</v>
      </c>
      <c r="D50" s="19">
        <v>45833.503472222219</v>
      </c>
      <c r="E50" s="19">
        <v>45957.377083333333</v>
      </c>
      <c r="F50" s="18">
        <v>20</v>
      </c>
      <c r="G50" s="18" t="s">
        <v>10</v>
      </c>
      <c r="H50" s="23" t="s">
        <v>2656</v>
      </c>
      <c r="I50" s="18" t="s">
        <v>10</v>
      </c>
      <c r="J50" s="18" t="s">
        <v>176</v>
      </c>
      <c r="K50" s="20"/>
    </row>
    <row r="51" spans="1:11" ht="36.75" thickBot="1">
      <c r="A51" s="18" t="s">
        <v>7824</v>
      </c>
      <c r="B51" s="18">
        <v>20023016007</v>
      </c>
      <c r="C51" s="18" t="s">
        <v>7825</v>
      </c>
      <c r="D51" s="19">
        <v>45975.48333333333</v>
      </c>
      <c r="E51" s="18" t="s">
        <v>10</v>
      </c>
      <c r="F51" s="18">
        <v>10</v>
      </c>
      <c r="G51" s="18" t="s">
        <v>10</v>
      </c>
      <c r="H51" s="25" t="s">
        <v>2656</v>
      </c>
      <c r="I51" s="18" t="s">
        <v>10</v>
      </c>
      <c r="J51" s="18" t="s">
        <v>176</v>
      </c>
      <c r="K51" s="20"/>
    </row>
    <row r="52" spans="1:11" ht="36.75" thickBot="1">
      <c r="A52" s="18" t="s">
        <v>7826</v>
      </c>
      <c r="B52" s="18">
        <v>20003605596</v>
      </c>
      <c r="C52" s="18" t="s">
        <v>7827</v>
      </c>
      <c r="D52" s="19">
        <v>45977.73541666667</v>
      </c>
      <c r="E52" s="18" t="s">
        <v>10</v>
      </c>
      <c r="F52" s="18">
        <v>10</v>
      </c>
      <c r="G52" s="18" t="s">
        <v>10</v>
      </c>
      <c r="H52" s="25" t="s">
        <v>2656</v>
      </c>
      <c r="I52" s="18" t="s">
        <v>10</v>
      </c>
      <c r="J52" s="18" t="s">
        <v>176</v>
      </c>
      <c r="K52" s="20"/>
    </row>
    <row r="53" spans="1:11" ht="36.75" thickBot="1">
      <c r="A53" s="18" t="s">
        <v>7828</v>
      </c>
      <c r="B53" s="18">
        <v>20003605596</v>
      </c>
      <c r="C53" s="18" t="s">
        <v>7829</v>
      </c>
      <c r="D53" s="19">
        <v>45977.743750000001</v>
      </c>
      <c r="E53" s="18" t="s">
        <v>10</v>
      </c>
      <c r="F53" s="18">
        <v>10</v>
      </c>
      <c r="G53" s="18" t="s">
        <v>10</v>
      </c>
      <c r="H53" s="25" t="s">
        <v>2656</v>
      </c>
      <c r="I53" s="18" t="s">
        <v>10</v>
      </c>
      <c r="J53" s="18" t="s">
        <v>176</v>
      </c>
      <c r="K53" s="20"/>
    </row>
    <row r="54" spans="1:11" ht="36.75" thickBot="1">
      <c r="A54" s="18" t="s">
        <v>7830</v>
      </c>
      <c r="B54" s="18">
        <v>20018701408</v>
      </c>
      <c r="C54" s="18" t="s">
        <v>7831</v>
      </c>
      <c r="D54" s="19">
        <v>45981.617361111108</v>
      </c>
      <c r="E54" s="18" t="s">
        <v>10</v>
      </c>
      <c r="F54" s="18">
        <v>5</v>
      </c>
      <c r="G54" s="18" t="s">
        <v>10</v>
      </c>
      <c r="H54" s="25" t="s">
        <v>2656</v>
      </c>
      <c r="I54" s="18" t="s">
        <v>10</v>
      </c>
      <c r="J54" s="18" t="s">
        <v>176</v>
      </c>
      <c r="K54" s="1"/>
    </row>
    <row r="55" spans="1:11" ht="18.75" thickBot="1">
      <c r="A55" s="18"/>
      <c r="B55" s="18"/>
      <c r="C55" s="18"/>
      <c r="D55" s="19"/>
      <c r="E55" s="19"/>
      <c r="F55" s="18"/>
      <c r="G55" s="19"/>
      <c r="H55" s="18"/>
      <c r="I55" s="18"/>
      <c r="J55" s="18"/>
    </row>
    <row r="56" spans="1:11" ht="18.75" thickBot="1">
      <c r="A56" s="18"/>
      <c r="B56" s="18"/>
      <c r="C56" s="18"/>
      <c r="D56" s="19"/>
      <c r="E56" s="19"/>
      <c r="F56" s="18"/>
      <c r="G56" s="19"/>
      <c r="H56" s="18"/>
      <c r="I56" s="18"/>
      <c r="J56" s="18"/>
    </row>
    <row r="57" spans="1:11" ht="18.75" thickBot="1">
      <c r="A57" s="18"/>
      <c r="B57" s="18"/>
      <c r="C57" s="18"/>
      <c r="D57" s="19"/>
      <c r="E57" s="19"/>
      <c r="F57" s="18"/>
      <c r="G57" s="19"/>
      <c r="H57" s="18"/>
      <c r="I57" s="18"/>
      <c r="J57" s="18"/>
    </row>
    <row r="58" spans="1:11" ht="18.75" thickBot="1">
      <c r="A58" s="18"/>
      <c r="B58" s="18"/>
      <c r="C58" s="18"/>
      <c r="D58" s="19"/>
      <c r="E58" s="18"/>
      <c r="F58" s="18"/>
      <c r="G58" s="18"/>
      <c r="H58" s="18"/>
      <c r="I58" s="18"/>
      <c r="J58" s="18"/>
    </row>
    <row r="59" spans="1:11" ht="18.75" thickBot="1">
      <c r="A59" s="18"/>
      <c r="B59" s="18"/>
      <c r="C59" s="18"/>
      <c r="D59" s="19"/>
      <c r="E59" s="18"/>
      <c r="F59" s="18"/>
      <c r="G59" s="18"/>
      <c r="H59" s="18"/>
      <c r="I59" s="18"/>
      <c r="J59" s="18"/>
    </row>
    <row r="60" spans="1:11" ht="18.75" thickBot="1">
      <c r="A60" s="18"/>
      <c r="B60" s="18"/>
      <c r="C60" s="18"/>
      <c r="D60" s="19"/>
      <c r="E60" s="19"/>
      <c r="F60" s="18"/>
      <c r="G60" s="19"/>
      <c r="H60" s="18"/>
      <c r="I60" s="18"/>
      <c r="J60" s="18"/>
    </row>
    <row r="61" spans="1:11" ht="18.75" thickBot="1">
      <c r="A61" s="18"/>
      <c r="B61" s="18"/>
      <c r="C61" s="18"/>
      <c r="D61" s="19"/>
      <c r="E61" s="18"/>
      <c r="F61" s="18"/>
      <c r="G61" s="19"/>
      <c r="H61" s="18"/>
      <c r="I61" s="18"/>
      <c r="J61" s="18"/>
    </row>
    <row r="62" spans="1:11" ht="18.75" thickBot="1">
      <c r="A62" s="18"/>
      <c r="B62" s="18"/>
      <c r="C62" s="18"/>
      <c r="D62" s="19"/>
      <c r="E62" s="18"/>
      <c r="F62" s="18"/>
      <c r="G62" s="18"/>
      <c r="H62" s="18"/>
      <c r="I62" s="18"/>
      <c r="J62" s="18"/>
    </row>
    <row r="63" spans="1:11" ht="18.75" thickBot="1">
      <c r="A63" s="18"/>
      <c r="B63" s="18"/>
      <c r="C63" s="18"/>
      <c r="D63" s="19"/>
      <c r="E63" s="18"/>
      <c r="F63" s="18"/>
      <c r="G63" s="19"/>
      <c r="H63" s="18"/>
      <c r="I63" s="18"/>
      <c r="J63" s="18"/>
    </row>
    <row r="64" spans="1:11" ht="18.75" thickBot="1">
      <c r="A64" s="18"/>
      <c r="B64" s="18"/>
      <c r="C64" s="18"/>
      <c r="D64" s="19"/>
      <c r="E64" s="19"/>
      <c r="F64" s="18"/>
      <c r="G64" s="19"/>
      <c r="H64" s="18"/>
      <c r="I64" s="18"/>
      <c r="J64" s="18"/>
    </row>
    <row r="65" spans="1:10" ht="18.75" thickBot="1">
      <c r="A65" s="18"/>
      <c r="B65" s="18"/>
      <c r="C65" s="18"/>
      <c r="D65" s="19"/>
      <c r="E65" s="19"/>
      <c r="F65" s="18"/>
      <c r="G65" s="19"/>
      <c r="H65" s="18"/>
      <c r="I65" s="18"/>
      <c r="J65" s="18"/>
    </row>
    <row r="66" spans="1:10" ht="18.75" thickBot="1">
      <c r="A66" s="18"/>
      <c r="B66" s="18"/>
      <c r="C66" s="18"/>
      <c r="D66" s="19"/>
      <c r="E66" s="18"/>
      <c r="F66" s="18"/>
      <c r="G66" s="19"/>
      <c r="H66" s="18"/>
      <c r="I66" s="18"/>
      <c r="J66" s="18"/>
    </row>
    <row r="67" spans="1:10" ht="18.75" thickBot="1">
      <c r="A67" s="18"/>
      <c r="B67" s="18"/>
      <c r="C67" s="18"/>
      <c r="D67" s="19"/>
      <c r="E67" s="19"/>
      <c r="F67" s="18"/>
      <c r="G67" s="18"/>
      <c r="H67" s="18"/>
      <c r="I67" s="18"/>
      <c r="J67" s="18"/>
    </row>
    <row r="68" spans="1:10" ht="18.75" thickBot="1">
      <c r="A68" s="18"/>
      <c r="B68" s="18"/>
      <c r="C68" s="18"/>
      <c r="D68" s="19"/>
      <c r="E68" s="19"/>
      <c r="F68" s="18"/>
      <c r="G68" s="19"/>
      <c r="H68" s="18"/>
      <c r="I68" s="18"/>
      <c r="J68" s="18"/>
    </row>
    <row r="69" spans="1:10" ht="18.75" thickBot="1">
      <c r="A69" s="18"/>
      <c r="B69" s="18"/>
      <c r="C69" s="18"/>
      <c r="D69" s="19"/>
      <c r="E69" s="18"/>
      <c r="F69" s="18"/>
      <c r="G69" s="18"/>
      <c r="H69" s="18"/>
      <c r="I69" s="18"/>
      <c r="J69" s="18"/>
    </row>
    <row r="70" spans="1:10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0" ht="18.75" thickBot="1">
      <c r="A71" s="18"/>
      <c r="B71" s="18"/>
      <c r="C71" s="18"/>
      <c r="D71" s="19"/>
      <c r="E71" s="19"/>
      <c r="F71" s="18"/>
      <c r="G71" s="19"/>
      <c r="H71" s="18"/>
      <c r="I71" s="18"/>
      <c r="J71" s="18"/>
    </row>
    <row r="72" spans="1:10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0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0" ht="18.75" thickBot="1">
      <c r="A74" s="18"/>
      <c r="B74" s="18"/>
      <c r="C74" s="18"/>
      <c r="D74" s="19"/>
      <c r="E74" s="18"/>
      <c r="F74" s="18"/>
      <c r="G74" s="18"/>
      <c r="H74" s="18"/>
      <c r="I74" s="18"/>
      <c r="J74" s="18"/>
    </row>
    <row r="75" spans="1:10" ht="18.75" thickBot="1">
      <c r="A75" s="18"/>
      <c r="B75" s="18"/>
      <c r="C75" s="18"/>
      <c r="D75" s="19"/>
      <c r="E75" s="18"/>
      <c r="F75" s="18"/>
      <c r="G75" s="19"/>
      <c r="H75" s="18"/>
      <c r="I75" s="18"/>
      <c r="J75" s="18"/>
    </row>
    <row r="76" spans="1:10" ht="18.75" thickBot="1">
      <c r="A76" s="18"/>
      <c r="B76" s="18"/>
      <c r="C76" s="18"/>
      <c r="D76" s="19"/>
      <c r="E76" s="19"/>
      <c r="F76" s="18"/>
      <c r="G76" s="19"/>
      <c r="H76" s="18"/>
      <c r="I76" s="18"/>
      <c r="J76" s="18"/>
    </row>
    <row r="77" spans="1:10" ht="18.75" thickBot="1">
      <c r="A77" s="18"/>
      <c r="B77" s="18"/>
      <c r="C77" s="18"/>
      <c r="D77" s="19"/>
      <c r="E77" s="18"/>
      <c r="F77" s="18"/>
      <c r="G77" s="19"/>
      <c r="H77" s="18"/>
      <c r="I77" s="18"/>
      <c r="J77" s="18"/>
    </row>
    <row r="78" spans="1:10" ht="18.75" thickBot="1">
      <c r="A78" s="18"/>
      <c r="B78" s="18"/>
      <c r="C78" s="18"/>
      <c r="D78" s="19"/>
      <c r="E78" s="19"/>
      <c r="F78" s="18"/>
      <c r="G78" s="19"/>
      <c r="H78" s="18"/>
      <c r="I78" s="18"/>
      <c r="J78" s="18"/>
    </row>
    <row r="79" spans="1:10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0" ht="18.75" thickBot="1">
      <c r="A80" s="18"/>
      <c r="B80" s="18"/>
      <c r="C80" s="18"/>
      <c r="D80" s="19"/>
      <c r="E80" s="18"/>
      <c r="F80" s="18"/>
      <c r="G80" s="19"/>
      <c r="H80" s="18"/>
      <c r="I80" s="18"/>
      <c r="J80" s="18"/>
    </row>
    <row r="81" spans="1:10" ht="18.75" thickBot="1">
      <c r="A81" s="18"/>
      <c r="B81" s="18"/>
      <c r="C81" s="18"/>
      <c r="D81" s="19"/>
      <c r="E81" s="19"/>
      <c r="F81" s="18"/>
      <c r="G81" s="18"/>
      <c r="H81" s="18"/>
      <c r="I81" s="18"/>
      <c r="J81" s="18"/>
    </row>
    <row r="82" spans="1:10" ht="18.75" thickBot="1">
      <c r="A82" s="18"/>
      <c r="B82" s="18"/>
      <c r="C82" s="18"/>
      <c r="D82" s="19"/>
      <c r="E82" s="18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9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8"/>
      <c r="H85" s="18"/>
      <c r="I85" s="18"/>
      <c r="J85" s="18"/>
    </row>
    <row r="86" spans="1:10" ht="18.75" thickBot="1">
      <c r="A86" s="18"/>
      <c r="B86" s="18"/>
      <c r="C86" s="18"/>
      <c r="D86" s="19"/>
      <c r="E86" s="19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8"/>
      <c r="F88" s="18"/>
      <c r="G88" s="19"/>
      <c r="H88" s="18"/>
      <c r="I88" s="18"/>
      <c r="J88" s="18"/>
    </row>
    <row r="89" spans="1:10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1" priority="1"/>
  </conditionalFormatting>
  <hyperlinks>
    <hyperlink ref="K3" r:id="rId1" display="https://ppim-intra.pea.co.th:4434/request/PPIM18500140" xr:uid="{2F0F1935-9CCE-44C1-8517-8C4FBFD75210}"/>
    <hyperlink ref="K4" r:id="rId2" display="https://ppim-intra.pea.co.th:4434/request/PPIM18500A1F" xr:uid="{3FAB8406-70A5-474E-BB3A-5EA50EAA10DC}"/>
    <hyperlink ref="K5" r:id="rId3" display="https://ppim-intra.pea.co.th:4434/request/PPIM18500BE0" xr:uid="{B032D600-1F18-4CF7-8DF0-209FF6860A7A}"/>
    <hyperlink ref="K6" r:id="rId4" display="https://ppim-intra.pea.co.th:4434/request/PPIM18500BE1" xr:uid="{A46AA147-50EF-4BBF-B71C-6D812975DA02}"/>
    <hyperlink ref="K7" r:id="rId5" display="https://ppim-intra.pea.co.th:4434/request/PPIM18500E13" xr:uid="{A28E20BD-F09A-4BAC-99C8-AFE679BCDBA7}"/>
    <hyperlink ref="K8" r:id="rId6" display="https://ppim-intra.pea.co.th:4434/request/PPIM18501761" xr:uid="{95B023FE-02F1-41B2-A108-77A1B587229F}"/>
    <hyperlink ref="K9" r:id="rId7" display="https://ppim-intra.pea.co.th:4434/request/PPIM185020DD" xr:uid="{26D38BBE-5C35-40CB-9036-6407DB2A475F}"/>
    <hyperlink ref="K10" r:id="rId8" display="https://ppim-intra.pea.co.th:4434/request/PPIM185021CB" xr:uid="{042BBD85-8969-4D3E-8648-1E289963CA75}"/>
    <hyperlink ref="K11" r:id="rId9" display="https://ppim-intra.pea.co.th:4434/request/PPIM1850281D" xr:uid="{33DCCED6-5901-4EFF-AFF4-0113111ADCF7}"/>
    <hyperlink ref="K12" r:id="rId10" display="https://ppim-intra.pea.co.th:4434/request/PPIM1850295C" xr:uid="{4B085A13-79B8-49AD-95E8-CB1DACC1DD80}"/>
    <hyperlink ref="K13" r:id="rId11" display="https://ppim-intra.pea.co.th:4434/request/PPIM1850295D" xr:uid="{E265AD04-88D3-475E-B24B-A116F3C3E96A}"/>
    <hyperlink ref="K14" r:id="rId12" display="https://ppim-intra.pea.co.th:4434/request/PPIM18502F6B" xr:uid="{21AAC4E8-C6E7-48D5-A748-55B64FBB892D}"/>
    <hyperlink ref="K15" r:id="rId13" display="https://ppim-intra.pea.co.th:4434/request/PPIM1850278E" xr:uid="{F0E97019-1C83-428E-B907-75EA3DEAF2F0}"/>
    <hyperlink ref="K16" r:id="rId14" display="https://ppim-intra.pea.co.th:4434/request/PPIM18503E93" xr:uid="{CADA9AFF-8150-407B-B78E-2D9CF190EDF4}"/>
    <hyperlink ref="K17" r:id="rId15" display="https://ppim-intra.pea.co.th:4434/request/PPIM1850401E" xr:uid="{A1B59D2D-3B6F-4364-AB96-932D5055ABA3}"/>
    <hyperlink ref="K18" r:id="rId16" display="https://ppim-intra.pea.co.th:4434/request/PPIM18504022" xr:uid="{4657AB06-D3E7-4103-B3EA-BD0CAA1B920D}"/>
    <hyperlink ref="K19" r:id="rId17" display="https://ppim-intra.pea.co.th:4434/request/PPIM185044C0" xr:uid="{FACD1610-87EE-4201-8DD5-AB37B67741EB}"/>
    <hyperlink ref="K20" r:id="rId18" display="https://ppim-intra.pea.co.th:4434/request/PPIM1850489C" xr:uid="{D2B0EDF7-B72D-400E-ACB5-069AEE8B016C}"/>
    <hyperlink ref="K21" r:id="rId19" display="https://ppim-intra.pea.co.th:4434/request/PPIM1950005B" xr:uid="{ED06E10E-7DF1-4567-8E1C-C9FCDEEBD706}"/>
    <hyperlink ref="K22" r:id="rId20" display="https://ppim-intra.pea.co.th:4434/request/PPIM1850339E" xr:uid="{CAAE6E47-7A6F-4006-BA69-FAD0B9CE722F}"/>
    <hyperlink ref="K23" r:id="rId21" display="https://ppim-intra.pea.co.th:4434/request/PPIM18503BB3" xr:uid="{B460138D-8028-465D-99E6-C5891093D1B0}"/>
    <hyperlink ref="K24" r:id="rId22" display="https://ppim-intra.pea.co.th:4434/request/PPIM1850474A" xr:uid="{4F5F8290-0000-482A-9447-2B7C840DDB05}"/>
    <hyperlink ref="K25" r:id="rId23" display="https://ppim-intra.pea.co.th:4434/request/PPIM1950006B" xr:uid="{948D59E9-6675-4CE1-9AC3-ED4AB05B7127}"/>
    <hyperlink ref="K26" r:id="rId24" display="https://ppim-intra.pea.co.th:4434/request/PPIM19500344" xr:uid="{833C80CF-E36C-473E-B5F8-0CB48D4023E8}"/>
    <hyperlink ref="K27" r:id="rId25" display="https://ppim-intra.pea.co.th:4434/request/PPIM195005DA" xr:uid="{A1071CB8-0584-4AB7-B110-2837F058EA51}"/>
    <hyperlink ref="K28" r:id="rId26" display="https://ppim-intra.pea.co.th:4434/request/PPIM1950097E" xr:uid="{B3115EEC-882D-4DA3-B636-F43EA3613006}"/>
    <hyperlink ref="K29" r:id="rId27" display="https://ppim-intra.pea.co.th:4434/request/PPIM195011E1" xr:uid="{4BF8C6B3-45A4-4075-A88A-12D982926F63}"/>
    <hyperlink ref="K30" r:id="rId28" display="https://ppim-intra.pea.co.th:4434/request/PPIM195011F2" xr:uid="{E8222422-C316-4819-A6B8-0622A49F67E2}"/>
    <hyperlink ref="K31" r:id="rId29" display="https://ppim-intra.pea.co.th:4434/request/PPIM19500BCF" xr:uid="{678B56BD-C9CD-40F6-972E-A55B9667FA3A}"/>
    <hyperlink ref="K32" r:id="rId30" display="https://ppim-intra.pea.co.th:4434/request/PPIM1950214E" xr:uid="{D47B93A0-B1ED-42CC-B2B2-E60C9BE5B27A}"/>
    <hyperlink ref="K33" r:id="rId31" display="https://ppim-intra.pea.co.th:4434/request/PPIM19502514" xr:uid="{0FD6A356-D03A-4DD8-928F-746AB289E5BA}"/>
    <hyperlink ref="K34" r:id="rId32" display="https://ppim-intra.pea.co.th:4434/request/PPIM19502973" xr:uid="{ABBDF684-187B-464D-A25E-859EEC9A71D7}"/>
    <hyperlink ref="K35" r:id="rId33" display="https://ppim-intra.pea.co.th:4434/request/PPIM195031C8" xr:uid="{1E54A3E7-7E9F-444B-A4E6-811570E784E2}"/>
    <hyperlink ref="K36" r:id="rId34" display="https://ppim-intra.pea.co.th:4434/request/PPIM195031CD" xr:uid="{080A30B3-24BE-4C55-8B41-7E040B047F76}"/>
    <hyperlink ref="K37" r:id="rId35" display="https://ppim-intra.pea.co.th:4434/request/PPIM1950352A" xr:uid="{DA5F6F73-9712-4518-AA65-B3B640A1BFA8}"/>
    <hyperlink ref="K38" r:id="rId36" display="https://ppim-intra.pea.co.th:4434/request/PPIM1950414A" xr:uid="{6A919F26-8B37-4BE0-8E4E-4353748C43E8}"/>
    <hyperlink ref="K39" r:id="rId37" display="https://ppim-intra.pea.co.th:4434/request/PPIM19504447" xr:uid="{B85061B0-7AC8-422E-86E8-9F5E160F1872}"/>
    <hyperlink ref="K40" r:id="rId38" display="https://ppim-intra.pea.co.th:4434/request/PPIM19503C94" xr:uid="{EC8F9D5C-CC9D-417C-A920-EF356CF5338F}"/>
    <hyperlink ref="K41" r:id="rId39" display="https://ppim-intra.pea.co.th:4434/request/PPIM195045B4" xr:uid="{744B283A-FC10-4E23-85AE-70AAF8BA2C30}"/>
    <hyperlink ref="K42" r:id="rId40" display="https://ppim-intra.pea.co.th:4434/request/PPIM195045C9" xr:uid="{9E71B8DB-8121-428D-B6B4-8EC20885A3C9}"/>
    <hyperlink ref="K43" r:id="rId41" display="https://ppim-intra.pea.co.th:4434/request/PPIM19504693" xr:uid="{17D85C83-6552-49BD-B7D3-8EC66C61ACCD}"/>
    <hyperlink ref="K44" r:id="rId42" display="https://ppim-intra.pea.co.th:4434/request/PPIM19504A29" xr:uid="{51281F6F-0001-4D98-B4A6-84FB5F936DAC}"/>
    <hyperlink ref="K45" r:id="rId43" display="https://ppim-intra.pea.co.th:4434/request/PPIM19504B81" xr:uid="{DDBA051B-7CB1-4418-A589-C05E9EB88E4B}"/>
    <hyperlink ref="K46" r:id="rId44" display="https://ppim-intra.pea.co.th:4434/request/PPIM19502667" xr:uid="{DEF69CC5-08B1-4EC2-BA83-0736187BCCAB}"/>
    <hyperlink ref="K47" r:id="rId45" display="https://ppim-intra.pea.co.th:4434/request/PPIM19504D06" xr:uid="{6C0A6491-0357-4B86-B95C-9B4445AC9D01}"/>
    <hyperlink ref="K48" r:id="rId46" display="https://ppim-intra.pea.co.th:4434/request/PPIM19504ED8" xr:uid="{A25E5433-9DF1-4B17-AF06-4320DD1E21E4}"/>
    <hyperlink ref="K49" r:id="rId47" display="https://ppim-intra.pea.co.th:4434/request/PPIM19505005" xr:uid="{A57850FF-C2B3-484A-A5DF-079631FA7A98}"/>
    <hyperlink ref="K50" r:id="rId48" display="https://ppim-intra.pea.co.th:4434/request/PPIM1950305B" xr:uid="{0F7A714A-925D-4F95-9E5A-E1F6A5C9225F}"/>
    <hyperlink ref="K51" r:id="rId49" display="https://ppim-intra.pea.co.th:4434/request/PPIM1950589F" xr:uid="{1BEDA6AE-B4B6-4646-86B2-28DBBB4C5871}"/>
    <hyperlink ref="K52" r:id="rId50" display="https://ppim-intra.pea.co.th:4434/request/PPIM19505918" xr:uid="{9BF0AE69-5188-40C2-AFB2-43FD84CCAADB}"/>
    <hyperlink ref="K53" r:id="rId51" display="https://ppim-intra.pea.co.th:4434/request/PPIM19505919" xr:uid="{9EB2665C-631C-4E72-BC6C-E0763885E544}"/>
  </hyperlinks>
  <pageMargins left="0.7" right="0.7" top="0.75" bottom="0.75" header="0.3" footer="0.3"/>
  <drawing r:id="rId52"/>
  <legacyDrawing r:id="rId53"/>
  <controls>
    <mc:AlternateContent xmlns:mc="http://schemas.openxmlformats.org/markup-compatibility/2006">
      <mc:Choice Requires="x14">
        <control shapeId="12289" r:id="rId54" name="Control 1">
          <controlPr defaultSize="0" r:id="rId55">
            <anchor moveWithCells="1">
              <from>
                <xdr:col>0</xdr:col>
                <xdr:colOff>0</xdr:colOff>
                <xdr:row>8</xdr:row>
                <xdr:rowOff>438150</xdr:rowOff>
              </from>
              <to>
                <xdr:col>0</xdr:col>
                <xdr:colOff>161925</xdr:colOff>
                <xdr:row>9</xdr:row>
                <xdr:rowOff>142875</xdr:rowOff>
              </to>
            </anchor>
          </controlPr>
        </control>
      </mc:Choice>
      <mc:Fallback>
        <control shapeId="12289" r:id="rId54" name="Control 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275D-87CA-41CF-90C3-6F09FF1F769D}">
  <sheetPr codeName="Sheet7">
    <tabColor rgb="FFFFC000"/>
  </sheetPr>
  <dimension ref="A2:O168"/>
  <sheetViews>
    <sheetView tabSelected="1" topLeftCell="A10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5.7109375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101</v>
      </c>
      <c r="N2" s="13" t="s">
        <v>214</v>
      </c>
    </row>
    <row r="3" spans="1:15" ht="37.5" thickTop="1" thickBot="1">
      <c r="A3" s="18" t="s">
        <v>1815</v>
      </c>
      <c r="B3" s="18">
        <v>20003061805</v>
      </c>
      <c r="C3" s="18" t="s">
        <v>212</v>
      </c>
      <c r="D3" s="19">
        <v>45317.557638888888</v>
      </c>
      <c r="E3" s="18" t="s">
        <v>10</v>
      </c>
      <c r="F3" s="18">
        <v>3</v>
      </c>
      <c r="G3" s="18" t="s">
        <v>10</v>
      </c>
      <c r="H3" s="18" t="s">
        <v>178</v>
      </c>
      <c r="I3" s="18" t="s">
        <v>10</v>
      </c>
      <c r="J3" s="18" t="s">
        <v>199</v>
      </c>
      <c r="K3" s="20"/>
      <c r="L3" s="7" t="s">
        <v>2656</v>
      </c>
      <c r="M3" s="7">
        <f>COUNTIF(H:H,"รอตรวจสอบคำขอ")</f>
        <v>20</v>
      </c>
      <c r="N3" s="11" t="s">
        <v>214</v>
      </c>
    </row>
    <row r="4" spans="1:15" ht="36.75" thickBot="1">
      <c r="A4" s="18" t="s">
        <v>210</v>
      </c>
      <c r="B4" s="18">
        <v>20003259227</v>
      </c>
      <c r="C4" s="18" t="s">
        <v>211</v>
      </c>
      <c r="D4" s="19">
        <v>45328.723611111112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199</v>
      </c>
      <c r="K4" s="20"/>
      <c r="L4" s="7" t="s">
        <v>178</v>
      </c>
      <c r="M4" s="7">
        <f>COUNTIF(H:H,"ยกเลิก")</f>
        <v>35</v>
      </c>
      <c r="N4" s="11" t="s">
        <v>214</v>
      </c>
    </row>
    <row r="5" spans="1:15" ht="36.75" thickBot="1">
      <c r="A5" s="18" t="s">
        <v>208</v>
      </c>
      <c r="B5" s="18">
        <v>20022201838</v>
      </c>
      <c r="C5" s="18" t="s">
        <v>209</v>
      </c>
      <c r="D5" s="19">
        <v>45328.769444444442</v>
      </c>
      <c r="E5" s="18" t="s">
        <v>10</v>
      </c>
      <c r="F5" s="18">
        <v>9.1999999999999993</v>
      </c>
      <c r="G5" s="18" t="s">
        <v>10</v>
      </c>
      <c r="H5" s="18" t="s">
        <v>178</v>
      </c>
      <c r="I5" s="18" t="s">
        <v>10</v>
      </c>
      <c r="J5" s="18" t="s">
        <v>199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204</v>
      </c>
      <c r="B6" s="18">
        <v>20027274571</v>
      </c>
      <c r="C6" s="18" t="s">
        <v>205</v>
      </c>
      <c r="D6" s="19">
        <v>45359.460416666669</v>
      </c>
      <c r="E6" s="18" t="s">
        <v>10</v>
      </c>
      <c r="F6" s="18">
        <v>3</v>
      </c>
      <c r="G6" s="18" t="s">
        <v>10</v>
      </c>
      <c r="H6" s="18" t="s">
        <v>178</v>
      </c>
      <c r="I6" s="18" t="s">
        <v>10</v>
      </c>
      <c r="J6" s="18" t="s">
        <v>199</v>
      </c>
      <c r="K6" s="20"/>
      <c r="L6" s="7" t="s">
        <v>189</v>
      </c>
      <c r="M6" s="14">
        <f>COUNTIF(H:H,"รอชำระเงิน")</f>
        <v>0</v>
      </c>
      <c r="N6" s="11" t="s">
        <v>214</v>
      </c>
      <c r="O6" s="7" t="s">
        <v>359</v>
      </c>
    </row>
    <row r="7" spans="1:15" ht="36.75" thickBot="1">
      <c r="A7" s="18" t="s">
        <v>200</v>
      </c>
      <c r="B7" s="18">
        <v>20025961337</v>
      </c>
      <c r="C7" s="18" t="s">
        <v>201</v>
      </c>
      <c r="D7" s="19">
        <v>45370.460416666669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199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3</v>
      </c>
      <c r="N7" s="11" t="s">
        <v>214</v>
      </c>
    </row>
    <row r="8" spans="1:15" ht="36.75" thickBot="1">
      <c r="A8" s="18" t="s">
        <v>197</v>
      </c>
      <c r="B8" s="18">
        <v>20025961337</v>
      </c>
      <c r="C8" s="18" t="s">
        <v>198</v>
      </c>
      <c r="D8" s="19">
        <v>45384.679166666669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199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9</v>
      </c>
      <c r="N8" s="11" t="s">
        <v>214</v>
      </c>
    </row>
    <row r="9" spans="1:15" ht="36.75" thickBot="1">
      <c r="A9" s="18" t="s">
        <v>292</v>
      </c>
      <c r="B9" s="18">
        <v>20026659250</v>
      </c>
      <c r="C9" s="18" t="s">
        <v>293</v>
      </c>
      <c r="D9" s="19">
        <v>45392.475694444445</v>
      </c>
      <c r="E9" s="18" t="s">
        <v>10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199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294</v>
      </c>
      <c r="B10" s="18">
        <v>20026659250</v>
      </c>
      <c r="C10" s="18" t="s">
        <v>293</v>
      </c>
      <c r="D10" s="19">
        <v>45392.556944444441</v>
      </c>
      <c r="E10" s="18" t="s">
        <v>10</v>
      </c>
      <c r="F10" s="18">
        <v>5</v>
      </c>
      <c r="G10" s="19">
        <v>45687.518750000003</v>
      </c>
      <c r="H10" s="18" t="s">
        <v>2657</v>
      </c>
      <c r="I10" s="18" t="s">
        <v>10</v>
      </c>
      <c r="J10" s="18" t="s">
        <v>199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498</v>
      </c>
      <c r="B11" s="18">
        <v>20022201838</v>
      </c>
      <c r="C11" s="18" t="s">
        <v>209</v>
      </c>
      <c r="D11" s="19">
        <v>45415.450694444444</v>
      </c>
      <c r="E11" s="18" t="s">
        <v>10</v>
      </c>
      <c r="F11" s="18">
        <v>9.1999999999999993</v>
      </c>
      <c r="G11" s="19">
        <v>45600.472222222219</v>
      </c>
      <c r="H11" s="18" t="s">
        <v>236</v>
      </c>
      <c r="I11" s="18" t="s">
        <v>10</v>
      </c>
      <c r="J11" s="18" t="s">
        <v>199</v>
      </c>
      <c r="K11" s="20"/>
      <c r="L11" t="s">
        <v>2654</v>
      </c>
      <c r="M11">
        <f>COUNTIF(H:H,"รอตรวจสอบระบบผลิต")</f>
        <v>0</v>
      </c>
      <c r="N11" t="s">
        <v>214</v>
      </c>
    </row>
    <row r="12" spans="1:15" ht="36.75" thickBot="1">
      <c r="A12" s="18" t="s">
        <v>499</v>
      </c>
      <c r="B12" s="18">
        <v>20003259227</v>
      </c>
      <c r="C12" s="18" t="s">
        <v>211</v>
      </c>
      <c r="D12" s="19">
        <v>45429.718055555553</v>
      </c>
      <c r="E12" s="18" t="s">
        <v>10</v>
      </c>
      <c r="F12" s="18">
        <v>10</v>
      </c>
      <c r="G12" s="19">
        <v>45600.472222222219</v>
      </c>
      <c r="H12" s="18" t="s">
        <v>236</v>
      </c>
      <c r="I12" s="18" t="s">
        <v>10</v>
      </c>
      <c r="J12" s="18" t="s">
        <v>199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500</v>
      </c>
      <c r="B13" s="18">
        <v>20026980929</v>
      </c>
      <c r="C13" s="18" t="s">
        <v>501</v>
      </c>
      <c r="D13" s="19">
        <v>45432.697222222225</v>
      </c>
      <c r="E13" s="18" t="s">
        <v>10</v>
      </c>
      <c r="F13" s="18">
        <v>3</v>
      </c>
      <c r="G13" s="19">
        <v>45595.593055555553</v>
      </c>
      <c r="H13" s="18" t="s">
        <v>236</v>
      </c>
      <c r="I13" s="18" t="s">
        <v>10</v>
      </c>
      <c r="J13" s="18" t="s">
        <v>199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502</v>
      </c>
      <c r="B14" s="18">
        <v>20027544982</v>
      </c>
      <c r="C14" s="18" t="s">
        <v>503</v>
      </c>
      <c r="D14" s="19">
        <v>45442.775694444441</v>
      </c>
      <c r="E14" s="18" t="s">
        <v>10</v>
      </c>
      <c r="F14" s="18">
        <v>5</v>
      </c>
      <c r="G14" s="19">
        <v>45581.409722222219</v>
      </c>
      <c r="H14" s="18" t="s">
        <v>236</v>
      </c>
      <c r="I14" s="18" t="s">
        <v>10</v>
      </c>
      <c r="J14" s="18" t="s">
        <v>199</v>
      </c>
      <c r="K14" s="20"/>
      <c r="L14" t="s">
        <v>236</v>
      </c>
      <c r="M14">
        <f>COUNTIF(H:H,"เชื่อมต่อเรียบร้อยแล้ว")</f>
        <v>34</v>
      </c>
      <c r="N14" t="s">
        <v>214</v>
      </c>
    </row>
    <row r="15" spans="1:15" ht="36.75" thickBot="1">
      <c r="A15" s="18" t="s">
        <v>504</v>
      </c>
      <c r="B15" s="18">
        <v>20022201838</v>
      </c>
      <c r="C15" s="18" t="s">
        <v>209</v>
      </c>
      <c r="D15" s="19">
        <v>45448.576388888891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199</v>
      </c>
      <c r="K15" s="20"/>
    </row>
    <row r="16" spans="1:15" ht="36.75" thickBot="1">
      <c r="A16" s="18" t="s">
        <v>505</v>
      </c>
      <c r="B16" s="18">
        <v>20024092692</v>
      </c>
      <c r="C16" s="18" t="s">
        <v>506</v>
      </c>
      <c r="D16" s="19">
        <v>45456.45416666667</v>
      </c>
      <c r="E16" s="18" t="s">
        <v>10</v>
      </c>
      <c r="F16" s="18">
        <v>20</v>
      </c>
      <c r="G16" s="18" t="s">
        <v>10</v>
      </c>
      <c r="H16" s="18" t="s">
        <v>178</v>
      </c>
      <c r="I16" s="18" t="s">
        <v>10</v>
      </c>
      <c r="J16" s="18" t="s">
        <v>199</v>
      </c>
      <c r="K16" s="20"/>
    </row>
    <row r="17" spans="1:11" ht="36.75" thickBot="1">
      <c r="A17" s="18" t="s">
        <v>511</v>
      </c>
      <c r="B17" s="18">
        <v>20023740144</v>
      </c>
      <c r="C17" s="18" t="s">
        <v>512</v>
      </c>
      <c r="D17" s="19">
        <v>45470.618750000001</v>
      </c>
      <c r="E17" s="18" t="s">
        <v>10</v>
      </c>
      <c r="F17" s="18">
        <v>5</v>
      </c>
      <c r="G17" s="19">
        <v>45575.379166666666</v>
      </c>
      <c r="H17" s="18" t="s">
        <v>236</v>
      </c>
      <c r="I17" s="18" t="s">
        <v>10</v>
      </c>
      <c r="J17" s="18" t="s">
        <v>199</v>
      </c>
      <c r="K17" s="20"/>
    </row>
    <row r="18" spans="1:11" ht="36.75" thickBot="1">
      <c r="A18" s="18" t="s">
        <v>641</v>
      </c>
      <c r="B18" s="18">
        <v>20003061805</v>
      </c>
      <c r="C18" s="18">
        <v>3101701272532</v>
      </c>
      <c r="D18" s="19">
        <v>45488.466666666667</v>
      </c>
      <c r="E18" s="18" t="s">
        <v>10</v>
      </c>
      <c r="F18" s="18">
        <v>3</v>
      </c>
      <c r="G18" s="18" t="s">
        <v>10</v>
      </c>
      <c r="H18" s="18" t="s">
        <v>178</v>
      </c>
      <c r="I18" s="18" t="s">
        <v>10</v>
      </c>
      <c r="J18" s="18" t="s">
        <v>199</v>
      </c>
      <c r="K18" s="20"/>
    </row>
    <row r="19" spans="1:11" ht="36.75" thickBot="1">
      <c r="A19" s="18" t="s">
        <v>729</v>
      </c>
      <c r="B19" s="18">
        <v>20017165419</v>
      </c>
      <c r="C19" s="18" t="s">
        <v>730</v>
      </c>
      <c r="D19" s="19">
        <v>45498.455555555556</v>
      </c>
      <c r="E19" s="18" t="s">
        <v>10</v>
      </c>
      <c r="F19" s="18">
        <v>4</v>
      </c>
      <c r="G19" s="18" t="s">
        <v>10</v>
      </c>
      <c r="H19" s="18" t="s">
        <v>178</v>
      </c>
      <c r="I19" s="18" t="s">
        <v>10</v>
      </c>
      <c r="J19" s="18" t="s">
        <v>199</v>
      </c>
      <c r="K19" s="20"/>
    </row>
    <row r="20" spans="1:11" ht="36.75" thickBot="1">
      <c r="A20" s="18" t="s">
        <v>731</v>
      </c>
      <c r="B20" s="18">
        <v>20027274571</v>
      </c>
      <c r="C20" s="18" t="s">
        <v>732</v>
      </c>
      <c r="D20" s="19">
        <v>45499.609722222223</v>
      </c>
      <c r="E20" s="18" t="s">
        <v>10</v>
      </c>
      <c r="F20" s="18">
        <v>3</v>
      </c>
      <c r="G20" s="19">
        <v>45537.449305555558</v>
      </c>
      <c r="H20" s="18" t="s">
        <v>236</v>
      </c>
      <c r="I20" s="18" t="s">
        <v>10</v>
      </c>
      <c r="J20" s="18" t="s">
        <v>199</v>
      </c>
      <c r="K20" s="20"/>
    </row>
    <row r="21" spans="1:11" ht="36.75" thickBot="1">
      <c r="A21" s="18" t="s">
        <v>202</v>
      </c>
      <c r="B21" s="18">
        <v>20027274578</v>
      </c>
      <c r="C21" s="18" t="s">
        <v>203</v>
      </c>
      <c r="D21" s="19">
        <v>45359.467361111114</v>
      </c>
      <c r="E21" s="19">
        <v>45499.613888888889</v>
      </c>
      <c r="F21" s="18">
        <v>3</v>
      </c>
      <c r="G21" s="19">
        <v>45537.449305555558</v>
      </c>
      <c r="H21" s="18" t="s">
        <v>236</v>
      </c>
      <c r="I21" s="18" t="s">
        <v>10</v>
      </c>
      <c r="J21" s="18" t="s">
        <v>199</v>
      </c>
      <c r="K21" s="20"/>
    </row>
    <row r="22" spans="1:11" ht="36.75" thickBot="1">
      <c r="A22" s="18" t="s">
        <v>206</v>
      </c>
      <c r="B22" s="18">
        <v>20018649267</v>
      </c>
      <c r="C22" s="18" t="s">
        <v>207</v>
      </c>
      <c r="D22" s="19">
        <v>45348.696527777778</v>
      </c>
      <c r="E22" s="19">
        <v>45507.640277777777</v>
      </c>
      <c r="F22" s="18">
        <v>5</v>
      </c>
      <c r="G22" s="19">
        <v>45674.585416666669</v>
      </c>
      <c r="H22" s="18" t="s">
        <v>236</v>
      </c>
      <c r="I22" s="18" t="s">
        <v>10</v>
      </c>
      <c r="J22" s="18" t="s">
        <v>199</v>
      </c>
      <c r="K22" s="20"/>
    </row>
    <row r="23" spans="1:11" ht="36.75" thickBot="1">
      <c r="A23" s="18" t="s">
        <v>874</v>
      </c>
      <c r="B23" s="18">
        <v>20022133229</v>
      </c>
      <c r="C23" s="18" t="s">
        <v>875</v>
      </c>
      <c r="D23" s="19">
        <v>45513.414583333331</v>
      </c>
      <c r="E23" s="18" t="s">
        <v>10</v>
      </c>
      <c r="F23" s="18">
        <v>5</v>
      </c>
      <c r="G23" s="19">
        <v>45664.658333333333</v>
      </c>
      <c r="H23" s="18" t="s">
        <v>236</v>
      </c>
      <c r="I23" s="18" t="s">
        <v>10</v>
      </c>
      <c r="J23" s="18" t="s">
        <v>199</v>
      </c>
      <c r="K23" s="20"/>
    </row>
    <row r="24" spans="1:11" ht="36.75" thickBot="1">
      <c r="A24" s="18" t="s">
        <v>876</v>
      </c>
      <c r="B24" s="18">
        <v>20003541627</v>
      </c>
      <c r="C24" s="18" t="s">
        <v>877</v>
      </c>
      <c r="D24" s="19">
        <v>45524.51458333333</v>
      </c>
      <c r="E24" s="18" t="s">
        <v>10</v>
      </c>
      <c r="F24" s="18">
        <v>5</v>
      </c>
      <c r="G24" s="19">
        <v>45600.388194444444</v>
      </c>
      <c r="H24" s="18" t="s">
        <v>236</v>
      </c>
      <c r="I24" s="18" t="s">
        <v>10</v>
      </c>
      <c r="J24" s="18" t="s">
        <v>199</v>
      </c>
      <c r="K24" s="20"/>
    </row>
    <row r="25" spans="1:11" ht="36.75" thickBot="1">
      <c r="A25" s="18" t="s">
        <v>1073</v>
      </c>
      <c r="B25" s="18">
        <v>20003123429</v>
      </c>
      <c r="C25" s="18" t="s">
        <v>1074</v>
      </c>
      <c r="D25" s="19">
        <v>45545.422222222223</v>
      </c>
      <c r="E25" s="18" t="s">
        <v>10</v>
      </c>
      <c r="F25" s="18">
        <v>5</v>
      </c>
      <c r="G25" s="18" t="s">
        <v>10</v>
      </c>
      <c r="H25" s="18" t="s">
        <v>178</v>
      </c>
      <c r="I25" s="18" t="s">
        <v>10</v>
      </c>
      <c r="J25" s="18" t="s">
        <v>199</v>
      </c>
      <c r="K25" s="20"/>
    </row>
    <row r="26" spans="1:11" ht="36.75" thickBot="1">
      <c r="A26" s="18" t="s">
        <v>1075</v>
      </c>
      <c r="B26" s="18">
        <v>20003258686</v>
      </c>
      <c r="C26" s="18" t="s">
        <v>1076</v>
      </c>
      <c r="D26" s="19">
        <v>45546.628472222219</v>
      </c>
      <c r="E26" s="18" t="s">
        <v>10</v>
      </c>
      <c r="F26" s="18">
        <v>10</v>
      </c>
      <c r="G26" s="18" t="s">
        <v>10</v>
      </c>
      <c r="H26" s="18" t="s">
        <v>178</v>
      </c>
      <c r="I26" s="18" t="s">
        <v>10</v>
      </c>
      <c r="J26" s="18" t="s">
        <v>199</v>
      </c>
      <c r="K26" s="20"/>
    </row>
    <row r="27" spans="1:11" ht="36.75" thickBot="1">
      <c r="A27" s="18" t="s">
        <v>509</v>
      </c>
      <c r="B27" s="18">
        <v>20026920748</v>
      </c>
      <c r="C27" s="18" t="s">
        <v>510</v>
      </c>
      <c r="D27" s="19">
        <v>45464.73333333333</v>
      </c>
      <c r="E27" s="19">
        <v>45560.395833333336</v>
      </c>
      <c r="F27" s="18">
        <v>5</v>
      </c>
      <c r="G27" s="19">
        <v>45576.44027777778</v>
      </c>
      <c r="H27" s="18" t="s">
        <v>236</v>
      </c>
      <c r="I27" s="18" t="s">
        <v>10</v>
      </c>
      <c r="J27" s="18" t="s">
        <v>199</v>
      </c>
      <c r="K27" s="20"/>
    </row>
    <row r="28" spans="1:11" ht="36.75" thickBot="1">
      <c r="A28" s="18" t="s">
        <v>507</v>
      </c>
      <c r="B28" s="18">
        <v>20026170715</v>
      </c>
      <c r="C28" s="18" t="s">
        <v>508</v>
      </c>
      <c r="D28" s="19">
        <v>45464.723611111112</v>
      </c>
      <c r="E28" s="19">
        <v>45562.568749999999</v>
      </c>
      <c r="F28" s="18">
        <v>10</v>
      </c>
      <c r="G28" s="19">
        <v>45576.44027777778</v>
      </c>
      <c r="H28" s="18" t="s">
        <v>236</v>
      </c>
      <c r="I28" s="18" t="s">
        <v>10</v>
      </c>
      <c r="J28" s="18" t="s">
        <v>199</v>
      </c>
      <c r="K28" s="20"/>
    </row>
    <row r="29" spans="1:11" ht="36.75" thickBot="1">
      <c r="A29" s="18" t="s">
        <v>1299</v>
      </c>
      <c r="B29" s="18">
        <v>20023379699</v>
      </c>
      <c r="C29" s="18" t="s">
        <v>1300</v>
      </c>
      <c r="D29" s="19">
        <v>45568.627083333333</v>
      </c>
      <c r="E29" s="18" t="s">
        <v>10</v>
      </c>
      <c r="F29" s="18">
        <v>5</v>
      </c>
      <c r="G29" s="18" t="s">
        <v>10</v>
      </c>
      <c r="H29" s="18" t="s">
        <v>178</v>
      </c>
      <c r="I29" s="18" t="s">
        <v>10</v>
      </c>
      <c r="J29" s="18" t="s">
        <v>199</v>
      </c>
      <c r="K29" s="20"/>
    </row>
    <row r="30" spans="1:11" ht="36.75" thickBot="1">
      <c r="A30" s="18" t="s">
        <v>1067</v>
      </c>
      <c r="B30" s="18">
        <v>20027686093</v>
      </c>
      <c r="C30" s="18" t="s">
        <v>1068</v>
      </c>
      <c r="D30" s="19">
        <v>45540.981944444444</v>
      </c>
      <c r="E30" s="19">
        <v>45592.590277777781</v>
      </c>
      <c r="F30" s="18">
        <v>5</v>
      </c>
      <c r="G30" s="19">
        <v>45622.587500000001</v>
      </c>
      <c r="H30" s="18" t="s">
        <v>2657</v>
      </c>
      <c r="I30" s="18" t="s">
        <v>10</v>
      </c>
      <c r="J30" s="18" t="s">
        <v>199</v>
      </c>
      <c r="K30" s="20"/>
    </row>
    <row r="31" spans="1:11" ht="36.75" thickBot="1">
      <c r="A31" s="18" t="s">
        <v>1069</v>
      </c>
      <c r="B31" s="18">
        <v>20003116884</v>
      </c>
      <c r="C31" s="18" t="s">
        <v>1070</v>
      </c>
      <c r="D31" s="19">
        <v>45541.75</v>
      </c>
      <c r="E31" s="19">
        <v>45593.452777777777</v>
      </c>
      <c r="F31" s="18">
        <v>5</v>
      </c>
      <c r="G31" s="19">
        <v>45688.593055555553</v>
      </c>
      <c r="H31" s="18" t="s">
        <v>236</v>
      </c>
      <c r="I31" s="18" t="s">
        <v>10</v>
      </c>
      <c r="J31" s="18" t="s">
        <v>199</v>
      </c>
      <c r="K31" s="20"/>
    </row>
    <row r="32" spans="1:11" ht="36.75" thickBot="1">
      <c r="A32" s="18" t="s">
        <v>1065</v>
      </c>
      <c r="B32" s="18">
        <v>20018681656</v>
      </c>
      <c r="C32" s="18" t="s">
        <v>1066</v>
      </c>
      <c r="D32" s="19">
        <v>45540.713194444441</v>
      </c>
      <c r="E32" s="19">
        <v>45601.495833333334</v>
      </c>
      <c r="F32" s="18">
        <v>5</v>
      </c>
      <c r="G32" s="19">
        <v>45685.563888888886</v>
      </c>
      <c r="H32" s="18" t="s">
        <v>2657</v>
      </c>
      <c r="I32" s="18" t="s">
        <v>10</v>
      </c>
      <c r="J32" s="18" t="s">
        <v>199</v>
      </c>
      <c r="K32" s="20"/>
    </row>
    <row r="33" spans="1:11" ht="36.75" thickBot="1">
      <c r="A33" s="18" t="s">
        <v>1071</v>
      </c>
      <c r="B33" s="18">
        <v>20027402521</v>
      </c>
      <c r="C33" s="18" t="s">
        <v>1072</v>
      </c>
      <c r="D33" s="19">
        <v>45542.495138888888</v>
      </c>
      <c r="E33" s="19">
        <v>45602.55972222222</v>
      </c>
      <c r="F33" s="18">
        <v>20</v>
      </c>
      <c r="G33" s="19">
        <v>45608.394444444442</v>
      </c>
      <c r="H33" s="18" t="s">
        <v>236</v>
      </c>
      <c r="I33" s="18" t="s">
        <v>10</v>
      </c>
      <c r="J33" s="18" t="s">
        <v>199</v>
      </c>
      <c r="K33" s="20"/>
    </row>
    <row r="34" spans="1:11" ht="36.75" thickBot="1">
      <c r="A34" s="18" t="s">
        <v>1594</v>
      </c>
      <c r="B34" s="18">
        <v>20020871776</v>
      </c>
      <c r="C34" s="18" t="s">
        <v>1595</v>
      </c>
      <c r="D34" s="19">
        <v>45607.4</v>
      </c>
      <c r="E34" s="18" t="s">
        <v>10</v>
      </c>
      <c r="F34" s="18">
        <v>8</v>
      </c>
      <c r="G34" s="18" t="s">
        <v>10</v>
      </c>
      <c r="H34" s="18" t="s">
        <v>178</v>
      </c>
      <c r="I34" s="18" t="s">
        <v>10</v>
      </c>
      <c r="J34" s="18" t="s">
        <v>199</v>
      </c>
      <c r="K34" s="20"/>
    </row>
    <row r="35" spans="1:11" ht="36.75" thickBot="1">
      <c r="A35" s="18" t="s">
        <v>1596</v>
      </c>
      <c r="B35" s="18">
        <v>20003579451</v>
      </c>
      <c r="C35" s="18" t="s">
        <v>1597</v>
      </c>
      <c r="D35" s="19">
        <v>45611.611805555556</v>
      </c>
      <c r="E35" s="18" t="s">
        <v>10</v>
      </c>
      <c r="F35" s="18">
        <v>10</v>
      </c>
      <c r="G35" s="18" t="s">
        <v>10</v>
      </c>
      <c r="H35" s="18" t="s">
        <v>178</v>
      </c>
      <c r="I35" s="18" t="s">
        <v>10</v>
      </c>
      <c r="J35" s="18" t="s">
        <v>199</v>
      </c>
      <c r="K35" s="20"/>
    </row>
    <row r="36" spans="1:11" ht="54.75" thickBot="1">
      <c r="A36" s="18" t="s">
        <v>1600</v>
      </c>
      <c r="B36" s="18">
        <v>20003595130</v>
      </c>
      <c r="C36" s="18" t="s">
        <v>1560</v>
      </c>
      <c r="D36" s="19">
        <v>45621.462500000001</v>
      </c>
      <c r="E36" s="18" t="s">
        <v>10</v>
      </c>
      <c r="F36" s="18">
        <v>20</v>
      </c>
      <c r="G36" s="18" t="s">
        <v>10</v>
      </c>
      <c r="H36" s="18" t="s">
        <v>178</v>
      </c>
      <c r="I36" s="18" t="s">
        <v>10</v>
      </c>
      <c r="J36" s="18" t="s">
        <v>199</v>
      </c>
      <c r="K36" s="20"/>
    </row>
    <row r="37" spans="1:11" ht="36.75" thickBot="1">
      <c r="A37" s="18" t="s">
        <v>1212</v>
      </c>
      <c r="B37" s="18">
        <v>20003123429</v>
      </c>
      <c r="C37" s="18" t="s">
        <v>1074</v>
      </c>
      <c r="D37" s="19">
        <v>45554.486111111109</v>
      </c>
      <c r="E37" s="19">
        <v>45628.386805555558</v>
      </c>
      <c r="F37" s="18">
        <v>5</v>
      </c>
      <c r="G37" s="19">
        <v>45685.564583333333</v>
      </c>
      <c r="H37" s="18" t="s">
        <v>2657</v>
      </c>
      <c r="I37" s="18" t="s">
        <v>10</v>
      </c>
      <c r="J37" s="18" t="s">
        <v>199</v>
      </c>
      <c r="K37" s="20"/>
    </row>
    <row r="38" spans="1:11" ht="36.75" thickBot="1">
      <c r="A38" s="18" t="s">
        <v>1816</v>
      </c>
      <c r="B38" s="18">
        <v>20003258686</v>
      </c>
      <c r="C38" s="18" t="s">
        <v>1076</v>
      </c>
      <c r="D38" s="19">
        <v>45628.429861111108</v>
      </c>
      <c r="E38" s="18" t="s">
        <v>10</v>
      </c>
      <c r="F38" s="18">
        <v>10</v>
      </c>
      <c r="G38" s="18" t="s">
        <v>10</v>
      </c>
      <c r="H38" s="18" t="s">
        <v>178</v>
      </c>
      <c r="I38" s="18" t="s">
        <v>10</v>
      </c>
      <c r="J38" s="18" t="s">
        <v>199</v>
      </c>
      <c r="K38" s="20"/>
    </row>
    <row r="39" spans="1:11" ht="36.75" thickBot="1">
      <c r="A39" s="18" t="s">
        <v>1817</v>
      </c>
      <c r="B39" s="18">
        <v>20023379699</v>
      </c>
      <c r="C39" s="18" t="s">
        <v>1300</v>
      </c>
      <c r="D39" s="19">
        <v>45629.676388888889</v>
      </c>
      <c r="E39" s="18" t="s">
        <v>10</v>
      </c>
      <c r="F39" s="18">
        <v>5</v>
      </c>
      <c r="G39" s="18" t="s">
        <v>10</v>
      </c>
      <c r="H39" s="18" t="s">
        <v>178</v>
      </c>
      <c r="I39" s="18" t="s">
        <v>10</v>
      </c>
      <c r="J39" s="18" t="s">
        <v>199</v>
      </c>
      <c r="K39" s="20"/>
    </row>
    <row r="40" spans="1:11" ht="36.75" thickBot="1">
      <c r="A40" s="18" t="s">
        <v>1592</v>
      </c>
      <c r="B40" s="18">
        <v>20025668256</v>
      </c>
      <c r="C40" s="18" t="s">
        <v>1593</v>
      </c>
      <c r="D40" s="19">
        <v>45603.636805555558</v>
      </c>
      <c r="E40" s="19">
        <v>45640.468055555553</v>
      </c>
      <c r="F40" s="18">
        <v>10</v>
      </c>
      <c r="G40" s="19">
        <v>45643.428472222222</v>
      </c>
      <c r="H40" s="18" t="s">
        <v>236</v>
      </c>
      <c r="I40" s="18" t="s">
        <v>10</v>
      </c>
      <c r="J40" s="18" t="s">
        <v>199</v>
      </c>
      <c r="K40" s="20"/>
    </row>
    <row r="41" spans="1:11" ht="36.75" thickBot="1">
      <c r="A41" s="18" t="s">
        <v>1601</v>
      </c>
      <c r="B41" s="18">
        <v>20003595130</v>
      </c>
      <c r="C41" s="18" t="s">
        <v>1602</v>
      </c>
      <c r="D41" s="19">
        <v>45624.495833333334</v>
      </c>
      <c r="E41" s="19">
        <v>45640.585416666669</v>
      </c>
      <c r="F41" s="18">
        <v>20</v>
      </c>
      <c r="G41" s="19">
        <v>45643.336805555555</v>
      </c>
      <c r="H41" s="18" t="s">
        <v>236</v>
      </c>
      <c r="I41" s="18" t="s">
        <v>10</v>
      </c>
      <c r="J41" s="18" t="s">
        <v>199</v>
      </c>
      <c r="K41" s="20"/>
    </row>
    <row r="42" spans="1:11" ht="36.75" thickBot="1">
      <c r="A42" s="18" t="s">
        <v>1818</v>
      </c>
      <c r="B42" s="18">
        <v>20020871776</v>
      </c>
      <c r="C42" s="18" t="s">
        <v>1595</v>
      </c>
      <c r="D42" s="19">
        <v>45642.386111111111</v>
      </c>
      <c r="E42" s="18" t="s">
        <v>10</v>
      </c>
      <c r="F42" s="18">
        <v>8</v>
      </c>
      <c r="G42" s="19">
        <v>45679.445833333331</v>
      </c>
      <c r="H42" s="18" t="s">
        <v>236</v>
      </c>
      <c r="I42" s="18" t="s">
        <v>10</v>
      </c>
      <c r="J42" s="18" t="s">
        <v>199</v>
      </c>
      <c r="K42" s="20"/>
    </row>
    <row r="43" spans="1:11" ht="36.75" thickBot="1">
      <c r="A43" s="18" t="s">
        <v>1598</v>
      </c>
      <c r="B43" s="18">
        <v>20003442538</v>
      </c>
      <c r="C43" s="18" t="s">
        <v>1599</v>
      </c>
      <c r="D43" s="19">
        <v>45619.792361111111</v>
      </c>
      <c r="E43" s="19">
        <v>45656.362500000003</v>
      </c>
      <c r="F43" s="18">
        <v>15</v>
      </c>
      <c r="G43" s="19">
        <v>45671.45416666667</v>
      </c>
      <c r="H43" s="18" t="s">
        <v>236</v>
      </c>
      <c r="I43" s="18" t="s">
        <v>10</v>
      </c>
      <c r="J43" s="18" t="s">
        <v>199</v>
      </c>
      <c r="K43" s="20"/>
    </row>
    <row r="44" spans="1:11" ht="36.75" thickBot="1">
      <c r="A44" s="18" t="s">
        <v>1947</v>
      </c>
      <c r="B44" s="18">
        <v>20023769826</v>
      </c>
      <c r="C44" s="18" t="s">
        <v>1948</v>
      </c>
      <c r="D44" s="19">
        <v>45661.698611111111</v>
      </c>
      <c r="E44" s="18" t="s">
        <v>10</v>
      </c>
      <c r="F44" s="18">
        <v>3</v>
      </c>
      <c r="G44" s="19">
        <v>45680.65</v>
      </c>
      <c r="H44" s="18" t="s">
        <v>236</v>
      </c>
      <c r="I44" s="18" t="s">
        <v>10</v>
      </c>
      <c r="J44" s="18" t="s">
        <v>199</v>
      </c>
      <c r="K44" s="20"/>
    </row>
    <row r="45" spans="1:11" ht="36.75" thickBot="1">
      <c r="A45" s="18" t="s">
        <v>1951</v>
      </c>
      <c r="B45" s="18">
        <v>20028062837</v>
      </c>
      <c r="C45" s="18" t="s">
        <v>1952</v>
      </c>
      <c r="D45" s="19">
        <v>45668.447916666664</v>
      </c>
      <c r="E45" s="19">
        <v>45677.375694444447</v>
      </c>
      <c r="F45" s="18">
        <v>10</v>
      </c>
      <c r="G45" s="19">
        <v>45679.368750000001</v>
      </c>
      <c r="H45" s="18" t="s">
        <v>236</v>
      </c>
      <c r="I45" s="18" t="s">
        <v>10</v>
      </c>
      <c r="J45" s="18" t="s">
        <v>199</v>
      </c>
      <c r="K45" s="20"/>
    </row>
    <row r="46" spans="1:11" ht="36.75" thickBot="1">
      <c r="A46" s="18" t="s">
        <v>1901</v>
      </c>
      <c r="B46" s="18">
        <v>20026409493</v>
      </c>
      <c r="C46" s="18" t="s">
        <v>1902</v>
      </c>
      <c r="D46" s="19">
        <v>45652.488888888889</v>
      </c>
      <c r="E46" s="19">
        <v>45677.415277777778</v>
      </c>
      <c r="F46" s="18">
        <v>5</v>
      </c>
      <c r="G46" s="19">
        <v>45680.643750000003</v>
      </c>
      <c r="H46" s="18" t="s">
        <v>2657</v>
      </c>
      <c r="I46" s="18" t="s">
        <v>10</v>
      </c>
      <c r="J46" s="18" t="s">
        <v>199</v>
      </c>
      <c r="K46" s="20"/>
    </row>
    <row r="47" spans="1:11" ht="36.75" thickBot="1">
      <c r="A47" s="18" t="s">
        <v>2017</v>
      </c>
      <c r="B47" s="18">
        <v>20003258686</v>
      </c>
      <c r="C47" s="18" t="s">
        <v>2018</v>
      </c>
      <c r="D47" s="19">
        <v>45678.402083333334</v>
      </c>
      <c r="E47" s="18" t="s">
        <v>10</v>
      </c>
      <c r="F47" s="18">
        <v>10</v>
      </c>
      <c r="G47" s="18" t="s">
        <v>10</v>
      </c>
      <c r="H47" s="18" t="s">
        <v>178</v>
      </c>
      <c r="I47" s="18" t="s">
        <v>10</v>
      </c>
      <c r="J47" s="18" t="s">
        <v>199</v>
      </c>
      <c r="K47" s="20"/>
    </row>
    <row r="48" spans="1:11" ht="36.75" thickBot="1">
      <c r="A48" s="18" t="s">
        <v>2021</v>
      </c>
      <c r="B48" s="18">
        <v>20019089492</v>
      </c>
      <c r="C48" s="18" t="s">
        <v>2022</v>
      </c>
      <c r="D48" s="19">
        <v>45680.490972222222</v>
      </c>
      <c r="E48" s="18" t="s">
        <v>10</v>
      </c>
      <c r="F48" s="18">
        <v>3.8</v>
      </c>
      <c r="G48" s="19">
        <v>45818.479861111111</v>
      </c>
      <c r="H48" s="18" t="s">
        <v>236</v>
      </c>
      <c r="I48" s="18" t="s">
        <v>10</v>
      </c>
      <c r="J48" s="18" t="s">
        <v>199</v>
      </c>
      <c r="K48" s="20"/>
    </row>
    <row r="49" spans="1:11" ht="36.75" thickBot="1">
      <c r="A49" s="18" t="s">
        <v>2023</v>
      </c>
      <c r="B49" s="18">
        <v>20022327198</v>
      </c>
      <c r="C49" s="18" t="s">
        <v>2024</v>
      </c>
      <c r="D49" s="19">
        <v>45680.636805555558</v>
      </c>
      <c r="E49" s="18" t="s">
        <v>10</v>
      </c>
      <c r="F49" s="18">
        <v>10</v>
      </c>
      <c r="G49" s="18" t="s">
        <v>10</v>
      </c>
      <c r="H49" s="18" t="s">
        <v>178</v>
      </c>
      <c r="I49" s="18" t="s">
        <v>10</v>
      </c>
      <c r="J49" s="18" t="s">
        <v>199</v>
      </c>
      <c r="K49" s="20"/>
    </row>
    <row r="50" spans="1:11" ht="36.75" thickBot="1">
      <c r="A50" s="18" t="s">
        <v>2025</v>
      </c>
      <c r="B50" s="18">
        <v>20020451524</v>
      </c>
      <c r="C50" s="18" t="s">
        <v>2026</v>
      </c>
      <c r="D50" s="19">
        <v>45680.63958333333</v>
      </c>
      <c r="E50" s="18" t="s">
        <v>10</v>
      </c>
      <c r="F50" s="18">
        <v>8</v>
      </c>
      <c r="G50" s="19">
        <v>45926.564583333333</v>
      </c>
      <c r="H50" s="18" t="s">
        <v>236</v>
      </c>
      <c r="I50" s="18" t="s">
        <v>10</v>
      </c>
      <c r="J50" s="18" t="s">
        <v>199</v>
      </c>
      <c r="K50" s="20"/>
    </row>
    <row r="51" spans="1:11" ht="54.75" thickBot="1">
      <c r="A51" s="18" t="s">
        <v>1949</v>
      </c>
      <c r="B51" s="18">
        <v>20021318247</v>
      </c>
      <c r="C51" s="18" t="s">
        <v>1950</v>
      </c>
      <c r="D51" s="19">
        <v>45666.982638888891</v>
      </c>
      <c r="E51" s="19">
        <v>45684.984722222223</v>
      </c>
      <c r="F51" s="18">
        <v>20</v>
      </c>
      <c r="G51" s="18" t="s">
        <v>10</v>
      </c>
      <c r="H51" s="18" t="s">
        <v>236</v>
      </c>
      <c r="I51" s="18" t="s">
        <v>10</v>
      </c>
      <c r="J51" s="18" t="s">
        <v>199</v>
      </c>
      <c r="K51" s="20"/>
    </row>
    <row r="52" spans="1:11" ht="36.75" thickBot="1">
      <c r="A52" s="18" t="s">
        <v>2027</v>
      </c>
      <c r="B52" s="18">
        <v>20010766407</v>
      </c>
      <c r="C52" s="18" t="s">
        <v>2028</v>
      </c>
      <c r="D52" s="19">
        <v>45680.043749999997</v>
      </c>
      <c r="E52" s="19">
        <v>45685.438888888886</v>
      </c>
      <c r="F52" s="18">
        <v>20</v>
      </c>
      <c r="G52" s="19">
        <v>45688.649305555555</v>
      </c>
      <c r="H52" s="18" t="s">
        <v>236</v>
      </c>
      <c r="I52" s="18" t="s">
        <v>10</v>
      </c>
      <c r="J52" s="18" t="s">
        <v>199</v>
      </c>
      <c r="K52" s="20"/>
    </row>
    <row r="53" spans="1:11" ht="36.75" thickBot="1">
      <c r="A53" s="18" t="s">
        <v>2029</v>
      </c>
      <c r="B53" s="18">
        <v>20027963356</v>
      </c>
      <c r="C53" s="18" t="s">
        <v>2030</v>
      </c>
      <c r="D53" s="19">
        <v>45685.677083333336</v>
      </c>
      <c r="E53" s="18" t="s">
        <v>10</v>
      </c>
      <c r="F53" s="18">
        <v>5</v>
      </c>
      <c r="G53" s="18" t="s">
        <v>10</v>
      </c>
      <c r="H53" s="18" t="s">
        <v>178</v>
      </c>
      <c r="I53" s="18" t="s">
        <v>10</v>
      </c>
      <c r="J53" s="18" t="s">
        <v>199</v>
      </c>
      <c r="K53" s="20"/>
    </row>
    <row r="54" spans="1:11" ht="36.75" thickBot="1">
      <c r="A54" s="18" t="s">
        <v>2031</v>
      </c>
      <c r="B54" s="18">
        <v>20026413918</v>
      </c>
      <c r="C54" s="18" t="s">
        <v>2032</v>
      </c>
      <c r="D54" s="19">
        <v>45685.821527777778</v>
      </c>
      <c r="E54" s="18" t="s">
        <v>10</v>
      </c>
      <c r="F54" s="18">
        <v>3</v>
      </c>
      <c r="G54" s="18" t="s">
        <v>10</v>
      </c>
      <c r="H54" s="18" t="s">
        <v>178</v>
      </c>
      <c r="I54" s="18" t="s">
        <v>10</v>
      </c>
      <c r="J54" s="18" t="s">
        <v>199</v>
      </c>
      <c r="K54" s="20"/>
    </row>
    <row r="55" spans="1:11" ht="36.75" thickBot="1">
      <c r="A55" s="18" t="s">
        <v>2125</v>
      </c>
      <c r="B55" s="18">
        <v>20003291946</v>
      </c>
      <c r="C55" s="18" t="s">
        <v>2126</v>
      </c>
      <c r="D55" s="19">
        <v>45690.606249999997</v>
      </c>
      <c r="E55" s="18" t="s">
        <v>10</v>
      </c>
      <c r="F55" s="18">
        <v>15</v>
      </c>
      <c r="G55" s="18" t="s">
        <v>10</v>
      </c>
      <c r="H55" s="18" t="s">
        <v>178</v>
      </c>
      <c r="I55" s="18" t="s">
        <v>10</v>
      </c>
      <c r="J55" s="18" t="s">
        <v>199</v>
      </c>
      <c r="K55" s="20"/>
    </row>
    <row r="56" spans="1:11" ht="54.75" thickBot="1">
      <c r="A56" s="18" t="s">
        <v>2129</v>
      </c>
      <c r="B56" s="18">
        <v>20028156936</v>
      </c>
      <c r="C56" s="18" t="s">
        <v>2130</v>
      </c>
      <c r="D56" s="19">
        <v>45691.65</v>
      </c>
      <c r="E56" s="18" t="s">
        <v>10</v>
      </c>
      <c r="F56" s="18">
        <v>5</v>
      </c>
      <c r="G56" s="18" t="s">
        <v>10</v>
      </c>
      <c r="H56" s="18" t="s">
        <v>178</v>
      </c>
      <c r="I56" s="18" t="s">
        <v>10</v>
      </c>
      <c r="J56" s="18" t="s">
        <v>199</v>
      </c>
      <c r="K56" s="20"/>
    </row>
    <row r="57" spans="1:11" ht="54.75" thickBot="1">
      <c r="A57" s="18" t="s">
        <v>2131</v>
      </c>
      <c r="B57" s="18">
        <v>20028305570</v>
      </c>
      <c r="C57" s="18" t="s">
        <v>2130</v>
      </c>
      <c r="D57" s="19">
        <v>45695.613888888889</v>
      </c>
      <c r="E57" s="18" t="s">
        <v>10</v>
      </c>
      <c r="F57" s="18">
        <v>20</v>
      </c>
      <c r="G57" s="18" t="s">
        <v>10</v>
      </c>
      <c r="H57" s="18" t="s">
        <v>178</v>
      </c>
      <c r="I57" s="18" t="s">
        <v>10</v>
      </c>
      <c r="J57" s="18" t="s">
        <v>199</v>
      </c>
      <c r="K57" s="20"/>
    </row>
    <row r="58" spans="1:11" ht="36.75" thickBot="1">
      <c r="A58" s="18" t="s">
        <v>2218</v>
      </c>
      <c r="B58" s="18">
        <v>20016975465</v>
      </c>
      <c r="C58" s="18" t="s">
        <v>2219</v>
      </c>
      <c r="D58" s="19">
        <v>45708.638888888891</v>
      </c>
      <c r="E58" s="18" t="s">
        <v>10</v>
      </c>
      <c r="F58" s="18">
        <v>12</v>
      </c>
      <c r="G58" s="19">
        <v>45912.620833333334</v>
      </c>
      <c r="H58" s="18" t="s">
        <v>236</v>
      </c>
      <c r="I58" s="18" t="s">
        <v>10</v>
      </c>
      <c r="J58" s="18" t="s">
        <v>199</v>
      </c>
      <c r="K58" s="20"/>
    </row>
    <row r="59" spans="1:11" ht="36.75" thickBot="1">
      <c r="A59" s="18" t="s">
        <v>2304</v>
      </c>
      <c r="B59" s="18">
        <v>20022753867</v>
      </c>
      <c r="C59" s="18" t="s">
        <v>2305</v>
      </c>
      <c r="D59" s="19">
        <v>45720.590277777781</v>
      </c>
      <c r="E59" s="18" t="s">
        <v>10</v>
      </c>
      <c r="F59" s="18">
        <v>2</v>
      </c>
      <c r="G59" s="18" t="s">
        <v>10</v>
      </c>
      <c r="H59" s="18" t="s">
        <v>178</v>
      </c>
      <c r="I59" s="18" t="s">
        <v>10</v>
      </c>
      <c r="J59" s="18" t="s">
        <v>199</v>
      </c>
      <c r="K59" s="20"/>
    </row>
    <row r="60" spans="1:11" ht="90.75" thickBot="1">
      <c r="A60" s="18" t="s">
        <v>2315</v>
      </c>
      <c r="B60" s="18">
        <v>20003583620</v>
      </c>
      <c r="C60" s="18" t="s">
        <v>2316</v>
      </c>
      <c r="D60" s="19">
        <v>45729.861805555556</v>
      </c>
      <c r="E60" s="18" t="s">
        <v>10</v>
      </c>
      <c r="F60" s="18">
        <v>20</v>
      </c>
      <c r="G60" s="18" t="s">
        <v>10</v>
      </c>
      <c r="H60" s="18" t="s">
        <v>178</v>
      </c>
      <c r="I60" s="18" t="s">
        <v>10</v>
      </c>
      <c r="J60" s="18" t="s">
        <v>199</v>
      </c>
      <c r="K60" s="20"/>
    </row>
    <row r="61" spans="1:11" ht="36.75" thickBot="1">
      <c r="A61" s="18" t="s">
        <v>2317</v>
      </c>
      <c r="B61" s="18">
        <v>20027966144</v>
      </c>
      <c r="C61" s="18" t="s">
        <v>2318</v>
      </c>
      <c r="D61" s="19">
        <v>45730.631944444445</v>
      </c>
      <c r="E61" s="18" t="s">
        <v>10</v>
      </c>
      <c r="F61" s="18">
        <v>3</v>
      </c>
      <c r="G61" s="18" t="s">
        <v>10</v>
      </c>
      <c r="H61" s="18" t="s">
        <v>178</v>
      </c>
      <c r="I61" s="18" t="s">
        <v>10</v>
      </c>
      <c r="J61" s="18" t="s">
        <v>199</v>
      </c>
      <c r="K61" s="20"/>
    </row>
    <row r="62" spans="1:11" ht="36.75" thickBot="1">
      <c r="A62" s="18" t="s">
        <v>2220</v>
      </c>
      <c r="B62" s="18">
        <v>20021202060</v>
      </c>
      <c r="C62" s="18" t="s">
        <v>2221</v>
      </c>
      <c r="D62" s="19">
        <v>45709.987500000003</v>
      </c>
      <c r="E62" s="19">
        <v>45743.899305555555</v>
      </c>
      <c r="F62" s="18">
        <v>5</v>
      </c>
      <c r="G62" s="19">
        <v>45783.46597222222</v>
      </c>
      <c r="H62" s="18" t="s">
        <v>236</v>
      </c>
      <c r="I62" s="18" t="s">
        <v>10</v>
      </c>
      <c r="J62" s="18" t="s">
        <v>199</v>
      </c>
      <c r="K62" s="20"/>
    </row>
    <row r="63" spans="1:11" ht="36.75" thickBot="1">
      <c r="A63" s="18" t="s">
        <v>2573</v>
      </c>
      <c r="B63" s="18">
        <v>20025475236</v>
      </c>
      <c r="C63" s="18" t="s">
        <v>2574</v>
      </c>
      <c r="D63" s="19">
        <v>45749.446527777778</v>
      </c>
      <c r="E63" s="18" t="s">
        <v>10</v>
      </c>
      <c r="F63" s="18">
        <v>5</v>
      </c>
      <c r="G63" s="19">
        <v>45910.425000000003</v>
      </c>
      <c r="H63" s="18" t="s">
        <v>236</v>
      </c>
      <c r="I63" s="18" t="s">
        <v>10</v>
      </c>
      <c r="J63" s="18" t="s">
        <v>199</v>
      </c>
      <c r="K63" s="20"/>
    </row>
    <row r="64" spans="1:11" ht="36.75" thickBot="1">
      <c r="A64" s="18" t="s">
        <v>2019</v>
      </c>
      <c r="B64" s="18">
        <v>20024517597</v>
      </c>
      <c r="C64" s="18" t="s">
        <v>2020</v>
      </c>
      <c r="D64" s="19">
        <v>45679.755555555559</v>
      </c>
      <c r="E64" s="19">
        <v>45755.574999999997</v>
      </c>
      <c r="F64" s="18">
        <v>10</v>
      </c>
      <c r="G64" s="18" t="s">
        <v>10</v>
      </c>
      <c r="H64" s="18" t="s">
        <v>178</v>
      </c>
      <c r="I64" s="18" t="s">
        <v>10</v>
      </c>
      <c r="J64" s="18" t="s">
        <v>199</v>
      </c>
      <c r="K64" s="20"/>
    </row>
    <row r="65" spans="1:11" ht="36.75" thickBot="1">
      <c r="A65" s="18" t="s">
        <v>2015</v>
      </c>
      <c r="B65" s="18">
        <v>20002971204</v>
      </c>
      <c r="C65" s="18" t="s">
        <v>2016</v>
      </c>
      <c r="D65" s="19">
        <v>45677.659722222219</v>
      </c>
      <c r="E65" s="19">
        <v>45756.643750000003</v>
      </c>
      <c r="F65" s="18">
        <v>3</v>
      </c>
      <c r="G65" s="19">
        <v>45876.368750000001</v>
      </c>
      <c r="H65" s="18" t="s">
        <v>236</v>
      </c>
      <c r="I65" s="18" t="s">
        <v>10</v>
      </c>
      <c r="J65" s="18" t="s">
        <v>199</v>
      </c>
      <c r="K65" s="20"/>
    </row>
    <row r="66" spans="1:11" ht="36.75" thickBot="1">
      <c r="A66" s="18" t="s">
        <v>2729</v>
      </c>
      <c r="B66" s="18">
        <v>20017246540</v>
      </c>
      <c r="C66" s="18" t="s">
        <v>2730</v>
      </c>
      <c r="D66" s="19">
        <v>45785.689583333333</v>
      </c>
      <c r="E66" s="18" t="s">
        <v>10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199</v>
      </c>
      <c r="K66" s="20"/>
    </row>
    <row r="67" spans="1:11" ht="36.75" thickBot="1">
      <c r="A67" s="18" t="s">
        <v>2731</v>
      </c>
      <c r="B67" s="18">
        <v>20026413918</v>
      </c>
      <c r="C67" s="18" t="s">
        <v>2020</v>
      </c>
      <c r="D67" s="19">
        <v>45817.564583333333</v>
      </c>
      <c r="E67" s="18" t="s">
        <v>10</v>
      </c>
      <c r="F67" s="18">
        <v>2</v>
      </c>
      <c r="G67" s="18" t="s">
        <v>10</v>
      </c>
      <c r="H67" s="18" t="s">
        <v>178</v>
      </c>
      <c r="I67" s="18" t="s">
        <v>10</v>
      </c>
      <c r="J67" s="18" t="s">
        <v>199</v>
      </c>
      <c r="K67" s="20"/>
    </row>
    <row r="68" spans="1:11" ht="36.75" thickBot="1">
      <c r="A68" s="18" t="s">
        <v>2732</v>
      </c>
      <c r="B68" s="18">
        <v>20022327198</v>
      </c>
      <c r="C68" s="18" t="s">
        <v>2024</v>
      </c>
      <c r="D68" s="19">
        <v>45817.624305555553</v>
      </c>
      <c r="E68" s="18" t="s">
        <v>10</v>
      </c>
      <c r="F68" s="18">
        <v>2</v>
      </c>
      <c r="G68" s="18" t="s">
        <v>10</v>
      </c>
      <c r="H68" s="18" t="s">
        <v>2652</v>
      </c>
      <c r="I68" s="18" t="s">
        <v>2681</v>
      </c>
      <c r="J68" s="18" t="s">
        <v>199</v>
      </c>
      <c r="K68" s="20"/>
    </row>
    <row r="69" spans="1:11" ht="36.75" thickBot="1">
      <c r="A69" s="18" t="s">
        <v>2033</v>
      </c>
      <c r="B69" s="18">
        <v>20003283899</v>
      </c>
      <c r="C69" s="18" t="s">
        <v>2034</v>
      </c>
      <c r="D69" s="19">
        <v>45687.588888888888</v>
      </c>
      <c r="E69" s="19">
        <v>45820.809027777781</v>
      </c>
      <c r="F69" s="18">
        <v>5</v>
      </c>
      <c r="G69" s="19">
        <v>45891.379861111112</v>
      </c>
      <c r="H69" s="18" t="s">
        <v>236</v>
      </c>
      <c r="I69" s="18" t="s">
        <v>10</v>
      </c>
      <c r="J69" s="18" t="s">
        <v>199</v>
      </c>
      <c r="K69" s="20"/>
    </row>
    <row r="70" spans="1:11" ht="36.75" thickBot="1">
      <c r="A70" s="18" t="s">
        <v>2733</v>
      </c>
      <c r="B70" s="18">
        <v>20022034094</v>
      </c>
      <c r="C70" s="18" t="s">
        <v>2734</v>
      </c>
      <c r="D70" s="19">
        <v>45823.737500000003</v>
      </c>
      <c r="E70" s="18" t="s">
        <v>10</v>
      </c>
      <c r="F70" s="18">
        <v>4.4000000000000004</v>
      </c>
      <c r="G70" s="18" t="s">
        <v>10</v>
      </c>
      <c r="H70" s="23" t="s">
        <v>2656</v>
      </c>
      <c r="I70" s="18" t="s">
        <v>10</v>
      </c>
      <c r="J70" s="18" t="s">
        <v>199</v>
      </c>
      <c r="K70" s="20"/>
    </row>
    <row r="71" spans="1:11" ht="36.75" thickBot="1">
      <c r="A71" s="18" t="s">
        <v>3324</v>
      </c>
      <c r="B71" s="18">
        <v>20024430958</v>
      </c>
      <c r="C71" s="18" t="s">
        <v>3325</v>
      </c>
      <c r="D71" s="19">
        <v>45834.453472222223</v>
      </c>
      <c r="E71" s="18" t="s">
        <v>10</v>
      </c>
      <c r="F71" s="18">
        <v>6</v>
      </c>
      <c r="G71" s="18" t="s">
        <v>10</v>
      </c>
      <c r="H71" s="23" t="s">
        <v>2656</v>
      </c>
      <c r="I71" s="18" t="s">
        <v>10</v>
      </c>
      <c r="J71" s="18" t="s">
        <v>199</v>
      </c>
      <c r="K71" s="20"/>
    </row>
    <row r="72" spans="1:11" ht="36.75" thickBot="1">
      <c r="A72" s="18" t="s">
        <v>3326</v>
      </c>
      <c r="B72" s="18">
        <v>20026583281</v>
      </c>
      <c r="C72" s="18" t="s">
        <v>3327</v>
      </c>
      <c r="D72" s="19">
        <v>45852.701388888891</v>
      </c>
      <c r="E72" s="18" t="s">
        <v>10</v>
      </c>
      <c r="F72" s="18">
        <v>3</v>
      </c>
      <c r="G72" s="18" t="s">
        <v>10</v>
      </c>
      <c r="H72" s="23" t="s">
        <v>2656</v>
      </c>
      <c r="I72" s="18" t="s">
        <v>10</v>
      </c>
      <c r="J72" s="18" t="s">
        <v>199</v>
      </c>
      <c r="K72" s="20"/>
    </row>
    <row r="73" spans="1:11" ht="36.75" thickBot="1">
      <c r="A73" s="18" t="s">
        <v>3328</v>
      </c>
      <c r="B73" s="18">
        <v>20028061266</v>
      </c>
      <c r="C73" s="18" t="s">
        <v>3329</v>
      </c>
      <c r="D73" s="19">
        <v>45867.626388888886</v>
      </c>
      <c r="E73" s="18" t="s">
        <v>10</v>
      </c>
      <c r="F73" s="18">
        <v>5</v>
      </c>
      <c r="G73" s="18" t="s">
        <v>10</v>
      </c>
      <c r="H73" s="23" t="s">
        <v>2656</v>
      </c>
      <c r="I73" s="18" t="s">
        <v>10</v>
      </c>
      <c r="J73" s="18" t="s">
        <v>199</v>
      </c>
      <c r="K73" s="20"/>
    </row>
    <row r="74" spans="1:11" ht="36.75" thickBot="1">
      <c r="A74" s="18" t="s">
        <v>2127</v>
      </c>
      <c r="B74" s="18">
        <v>20022666765</v>
      </c>
      <c r="C74" s="18" t="s">
        <v>2128</v>
      </c>
      <c r="D74" s="19">
        <v>45691.467361111114</v>
      </c>
      <c r="E74" s="19">
        <v>45876.384027777778</v>
      </c>
      <c r="F74" s="18">
        <v>2</v>
      </c>
      <c r="G74" s="19">
        <v>45947.567361111112</v>
      </c>
      <c r="H74" s="18" t="s">
        <v>236</v>
      </c>
      <c r="I74" s="18" t="s">
        <v>10</v>
      </c>
      <c r="J74" s="18" t="s">
        <v>199</v>
      </c>
      <c r="K74" s="20"/>
    </row>
    <row r="75" spans="1:11" ht="36.75" thickBot="1">
      <c r="A75" s="18" t="s">
        <v>3330</v>
      </c>
      <c r="B75" s="18">
        <v>20024222476</v>
      </c>
      <c r="C75" s="18" t="s">
        <v>3331</v>
      </c>
      <c r="D75" s="19">
        <v>45877.848611111112</v>
      </c>
      <c r="E75" s="18" t="s">
        <v>10</v>
      </c>
      <c r="F75" s="18">
        <v>10</v>
      </c>
      <c r="G75" s="18" t="s">
        <v>10</v>
      </c>
      <c r="H75" s="23" t="s">
        <v>2656</v>
      </c>
      <c r="I75" s="18" t="s">
        <v>10</v>
      </c>
      <c r="J75" s="18" t="s">
        <v>199</v>
      </c>
      <c r="K75" s="20"/>
    </row>
    <row r="76" spans="1:11" ht="36.75" thickBot="1">
      <c r="A76" s="18" t="s">
        <v>3332</v>
      </c>
      <c r="B76" s="18">
        <v>20003191331</v>
      </c>
      <c r="C76" s="18" t="s">
        <v>3333</v>
      </c>
      <c r="D76" s="19">
        <v>45894.588194444441</v>
      </c>
      <c r="E76" s="18" t="s">
        <v>10</v>
      </c>
      <c r="F76" s="18">
        <v>10</v>
      </c>
      <c r="G76" s="18" t="s">
        <v>10</v>
      </c>
      <c r="H76" s="23" t="s">
        <v>2656</v>
      </c>
      <c r="I76" s="18" t="s">
        <v>10</v>
      </c>
      <c r="J76" s="18" t="s">
        <v>199</v>
      </c>
      <c r="K76" s="20"/>
    </row>
    <row r="77" spans="1:11" ht="36.75" thickBot="1">
      <c r="A77" s="18" t="s">
        <v>3334</v>
      </c>
      <c r="B77" s="18">
        <v>20023357668</v>
      </c>
      <c r="C77" s="18" t="s">
        <v>3335</v>
      </c>
      <c r="D77" s="19">
        <v>45895.625</v>
      </c>
      <c r="E77" s="18" t="s">
        <v>10</v>
      </c>
      <c r="F77" s="18">
        <v>5</v>
      </c>
      <c r="G77" s="18" t="s">
        <v>10</v>
      </c>
      <c r="H77" s="23" t="s">
        <v>2656</v>
      </c>
      <c r="I77" s="18" t="s">
        <v>10</v>
      </c>
      <c r="J77" s="18" t="s">
        <v>199</v>
      </c>
      <c r="K77" s="20"/>
    </row>
    <row r="78" spans="1:11" ht="36.75" thickBot="1">
      <c r="A78" s="18" t="s">
        <v>3336</v>
      </c>
      <c r="B78" s="18">
        <v>20002901978</v>
      </c>
      <c r="C78" s="18" t="s">
        <v>3337</v>
      </c>
      <c r="D78" s="19">
        <v>45895.665972222225</v>
      </c>
      <c r="E78" s="18" t="s">
        <v>10</v>
      </c>
      <c r="F78" s="18">
        <v>20</v>
      </c>
      <c r="G78" s="18" t="s">
        <v>10</v>
      </c>
      <c r="H78" s="23" t="s">
        <v>2656</v>
      </c>
      <c r="I78" s="18" t="s">
        <v>10</v>
      </c>
      <c r="J78" s="18" t="s">
        <v>199</v>
      </c>
      <c r="K78" s="20"/>
    </row>
    <row r="79" spans="1:11" ht="36.75" thickBot="1">
      <c r="A79" s="18" t="s">
        <v>2132</v>
      </c>
      <c r="B79" s="18">
        <v>20003291946</v>
      </c>
      <c r="C79" s="18" t="s">
        <v>2133</v>
      </c>
      <c r="D79" s="19">
        <v>45701.667361111111</v>
      </c>
      <c r="E79" s="19">
        <v>45896.419444444444</v>
      </c>
      <c r="F79" s="18">
        <v>15</v>
      </c>
      <c r="G79" s="19">
        <v>45924.486805555556</v>
      </c>
      <c r="H79" s="18" t="s">
        <v>236</v>
      </c>
      <c r="I79" s="18" t="s">
        <v>10</v>
      </c>
      <c r="J79" s="18" t="s">
        <v>199</v>
      </c>
      <c r="K79" s="20"/>
    </row>
    <row r="80" spans="1:11" ht="36.75" thickBot="1">
      <c r="A80" s="18" t="s">
        <v>3338</v>
      </c>
      <c r="B80" s="18">
        <v>20017069616</v>
      </c>
      <c r="C80" s="18" t="s">
        <v>3339</v>
      </c>
      <c r="D80" s="19">
        <v>45897.42291666667</v>
      </c>
      <c r="E80" s="18" t="s">
        <v>10</v>
      </c>
      <c r="F80" s="18">
        <v>15</v>
      </c>
      <c r="G80" s="18" t="s">
        <v>10</v>
      </c>
      <c r="H80" s="23" t="s">
        <v>2656</v>
      </c>
      <c r="I80" s="18" t="s">
        <v>10</v>
      </c>
      <c r="J80" s="18" t="s">
        <v>199</v>
      </c>
      <c r="K80" s="20"/>
    </row>
    <row r="81" spans="1:11" ht="54.75" thickBot="1">
      <c r="A81" s="18" t="s">
        <v>3340</v>
      </c>
      <c r="B81" s="18">
        <v>20028105570</v>
      </c>
      <c r="C81" s="18" t="s">
        <v>2130</v>
      </c>
      <c r="D81" s="19">
        <v>45908.618055555555</v>
      </c>
      <c r="E81" s="18" t="s">
        <v>10</v>
      </c>
      <c r="F81" s="18">
        <v>20</v>
      </c>
      <c r="G81" s="18" t="s">
        <v>10</v>
      </c>
      <c r="H81" s="18" t="s">
        <v>178</v>
      </c>
      <c r="I81" s="18" t="s">
        <v>10</v>
      </c>
      <c r="J81" s="18" t="s">
        <v>199</v>
      </c>
      <c r="K81" s="20"/>
    </row>
    <row r="82" spans="1:11" ht="54.75" thickBot="1">
      <c r="A82" s="18" t="s">
        <v>3341</v>
      </c>
      <c r="B82" s="18">
        <v>20028138681</v>
      </c>
      <c r="C82" s="18" t="s">
        <v>2130</v>
      </c>
      <c r="D82" s="19">
        <v>45908.637499999997</v>
      </c>
      <c r="E82" s="18" t="s">
        <v>10</v>
      </c>
      <c r="F82" s="18">
        <v>5</v>
      </c>
      <c r="G82" s="18" t="s">
        <v>10</v>
      </c>
      <c r="H82" s="18" t="s">
        <v>178</v>
      </c>
      <c r="I82" s="18" t="s">
        <v>10</v>
      </c>
      <c r="J82" s="18" t="s">
        <v>199</v>
      </c>
      <c r="K82" s="20"/>
    </row>
    <row r="83" spans="1:11" ht="36.75" thickBot="1">
      <c r="A83" s="18" t="s">
        <v>2312</v>
      </c>
      <c r="B83" s="18">
        <v>20017119140</v>
      </c>
      <c r="C83" s="18" t="s">
        <v>2149</v>
      </c>
      <c r="D83" s="19">
        <v>45723.751388888886</v>
      </c>
      <c r="E83" s="19">
        <v>45909.61041666667</v>
      </c>
      <c r="F83" s="18">
        <v>6</v>
      </c>
      <c r="G83" s="19">
        <v>45926.564583333333</v>
      </c>
      <c r="H83" s="18" t="s">
        <v>236</v>
      </c>
      <c r="I83" s="18" t="s">
        <v>10</v>
      </c>
      <c r="J83" s="18" t="s">
        <v>199</v>
      </c>
      <c r="K83" s="20"/>
    </row>
    <row r="84" spans="1:11" ht="36.75" thickBot="1">
      <c r="A84" s="18" t="s">
        <v>2310</v>
      </c>
      <c r="B84" s="18">
        <v>20025382823</v>
      </c>
      <c r="C84" s="18" t="s">
        <v>2311</v>
      </c>
      <c r="D84" s="19">
        <v>45721.499305555553</v>
      </c>
      <c r="E84" s="19">
        <v>45909.62222222222</v>
      </c>
      <c r="F84" s="18">
        <v>2</v>
      </c>
      <c r="G84" s="19">
        <v>45931.463888888888</v>
      </c>
      <c r="H84" s="18" t="s">
        <v>2657</v>
      </c>
      <c r="I84" s="18" t="s">
        <v>10</v>
      </c>
      <c r="J84" s="18" t="s">
        <v>199</v>
      </c>
      <c r="K84" s="20"/>
    </row>
    <row r="85" spans="1:11" ht="36.75" thickBot="1">
      <c r="A85" s="18" t="s">
        <v>2313</v>
      </c>
      <c r="B85" s="18">
        <v>20026015327</v>
      </c>
      <c r="C85" s="18" t="s">
        <v>2314</v>
      </c>
      <c r="D85" s="19">
        <v>45728.537499999999</v>
      </c>
      <c r="E85" s="19">
        <v>45909.626388888886</v>
      </c>
      <c r="F85" s="18">
        <v>2</v>
      </c>
      <c r="G85" s="19">
        <v>45931.463888888888</v>
      </c>
      <c r="H85" s="18" t="s">
        <v>2657</v>
      </c>
      <c r="I85" s="18" t="s">
        <v>10</v>
      </c>
      <c r="J85" s="18" t="s">
        <v>199</v>
      </c>
      <c r="K85" s="20"/>
    </row>
    <row r="86" spans="1:11" ht="36.75" thickBot="1">
      <c r="A86" s="18" t="s">
        <v>3342</v>
      </c>
      <c r="B86" s="18">
        <v>20022753867</v>
      </c>
      <c r="C86" s="18" t="s">
        <v>2305</v>
      </c>
      <c r="D86" s="19">
        <v>45909.649305555555</v>
      </c>
      <c r="E86" s="18" t="s">
        <v>10</v>
      </c>
      <c r="F86" s="18">
        <v>2</v>
      </c>
      <c r="G86" s="18" t="s">
        <v>10</v>
      </c>
      <c r="H86" s="23" t="s">
        <v>2656</v>
      </c>
      <c r="I86" s="18" t="s">
        <v>10</v>
      </c>
      <c r="J86" s="18" t="s">
        <v>199</v>
      </c>
      <c r="K86" s="20"/>
    </row>
    <row r="87" spans="1:11" ht="36.75" thickBot="1">
      <c r="A87" s="18" t="s">
        <v>3343</v>
      </c>
      <c r="B87" s="18">
        <v>20027966144</v>
      </c>
      <c r="C87" s="18" t="s">
        <v>3344</v>
      </c>
      <c r="D87" s="19">
        <v>45909.698611111111</v>
      </c>
      <c r="E87" s="18" t="s">
        <v>10</v>
      </c>
      <c r="F87" s="18">
        <v>3</v>
      </c>
      <c r="G87" s="18" t="s">
        <v>10</v>
      </c>
      <c r="H87" s="23" t="s">
        <v>2656</v>
      </c>
      <c r="I87" s="18" t="s">
        <v>10</v>
      </c>
      <c r="J87" s="18" t="s">
        <v>199</v>
      </c>
      <c r="K87" s="20"/>
    </row>
    <row r="88" spans="1:11" ht="36.75" thickBot="1">
      <c r="A88" s="18" t="s">
        <v>2306</v>
      </c>
      <c r="B88" s="18">
        <v>20023379699</v>
      </c>
      <c r="C88" s="18" t="s">
        <v>2307</v>
      </c>
      <c r="D88" s="19">
        <v>45720.609722222223</v>
      </c>
      <c r="E88" s="19">
        <v>45916.444444444445</v>
      </c>
      <c r="F88" s="18">
        <v>5</v>
      </c>
      <c r="G88" s="19">
        <v>45945.393750000003</v>
      </c>
      <c r="H88" s="18" t="s">
        <v>236</v>
      </c>
      <c r="I88" s="18" t="s">
        <v>10</v>
      </c>
      <c r="J88" s="18" t="s">
        <v>199</v>
      </c>
      <c r="K88" s="20"/>
    </row>
    <row r="89" spans="1:11" ht="36.75" thickBot="1">
      <c r="A89" s="18" t="s">
        <v>2400</v>
      </c>
      <c r="B89" s="18">
        <v>20026413920</v>
      </c>
      <c r="C89" s="18" t="s">
        <v>2401</v>
      </c>
      <c r="D89" s="19">
        <v>45737.606944444444</v>
      </c>
      <c r="E89" s="19">
        <v>45917.552777777775</v>
      </c>
      <c r="F89" s="18">
        <v>3</v>
      </c>
      <c r="G89" s="19">
        <v>45931.463888888888</v>
      </c>
      <c r="H89" s="18" t="s">
        <v>2657</v>
      </c>
      <c r="I89" s="18" t="s">
        <v>10</v>
      </c>
      <c r="J89" s="18" t="s">
        <v>199</v>
      </c>
      <c r="K89" s="20"/>
    </row>
    <row r="90" spans="1:11" ht="36.75" thickBot="1">
      <c r="A90" s="18" t="s">
        <v>2308</v>
      </c>
      <c r="B90" s="18">
        <v>20024647132</v>
      </c>
      <c r="C90" s="18" t="s">
        <v>2309</v>
      </c>
      <c r="D90" s="19">
        <v>45720.720138888886</v>
      </c>
      <c r="E90" s="19">
        <v>45918.727083333331</v>
      </c>
      <c r="F90" s="18">
        <v>2</v>
      </c>
      <c r="G90" s="19">
        <v>45931.463888888888</v>
      </c>
      <c r="H90" s="18" t="s">
        <v>2657</v>
      </c>
      <c r="I90" s="18" t="s">
        <v>10</v>
      </c>
      <c r="J90" s="18" t="s">
        <v>199</v>
      </c>
      <c r="K90" s="20"/>
    </row>
    <row r="91" spans="1:11" ht="36.75" thickBot="1">
      <c r="A91" s="18" t="s">
        <v>2222</v>
      </c>
      <c r="B91" s="18">
        <v>20022281853</v>
      </c>
      <c r="C91" s="18" t="s">
        <v>2223</v>
      </c>
      <c r="D91" s="19">
        <v>45714.57708333333</v>
      </c>
      <c r="E91" s="19">
        <v>45918.727777777778</v>
      </c>
      <c r="F91" s="18">
        <v>2</v>
      </c>
      <c r="G91" s="19">
        <v>45931.463888888888</v>
      </c>
      <c r="H91" s="18" t="s">
        <v>236</v>
      </c>
      <c r="I91" s="18" t="s">
        <v>10</v>
      </c>
      <c r="J91" s="18" t="s">
        <v>199</v>
      </c>
      <c r="K91" s="20"/>
    </row>
    <row r="92" spans="1:11" ht="36.75" thickBot="1">
      <c r="A92" s="18" t="s">
        <v>3345</v>
      </c>
      <c r="B92" s="18">
        <v>20003525548</v>
      </c>
      <c r="C92" s="18" t="s">
        <v>3346</v>
      </c>
      <c r="D92" s="19">
        <v>45932.663194444445</v>
      </c>
      <c r="E92" s="18" t="s">
        <v>10</v>
      </c>
      <c r="F92" s="18">
        <v>20</v>
      </c>
      <c r="G92" s="18" t="s">
        <v>10</v>
      </c>
      <c r="H92" s="23" t="s">
        <v>2656</v>
      </c>
      <c r="I92" s="18" t="s">
        <v>10</v>
      </c>
      <c r="J92" s="18" t="s">
        <v>199</v>
      </c>
      <c r="K92" s="20"/>
    </row>
    <row r="93" spans="1:11" ht="54.75" thickBot="1">
      <c r="A93" s="18" t="s">
        <v>3347</v>
      </c>
      <c r="B93" s="18">
        <v>20028138681</v>
      </c>
      <c r="C93" s="18" t="s">
        <v>2130</v>
      </c>
      <c r="D93" s="19">
        <v>45933.38958333333</v>
      </c>
      <c r="E93" s="18" t="s">
        <v>10</v>
      </c>
      <c r="F93" s="18">
        <v>5</v>
      </c>
      <c r="G93" s="18" t="s">
        <v>10</v>
      </c>
      <c r="H93" s="18" t="s">
        <v>178</v>
      </c>
      <c r="I93" s="18" t="s">
        <v>10</v>
      </c>
      <c r="J93" s="18" t="s">
        <v>199</v>
      </c>
      <c r="K93" s="20"/>
    </row>
    <row r="94" spans="1:11" ht="36.75" thickBot="1">
      <c r="A94" s="18" t="s">
        <v>3348</v>
      </c>
      <c r="B94" s="18">
        <v>20003159908</v>
      </c>
      <c r="C94" s="18" t="s">
        <v>3349</v>
      </c>
      <c r="D94" s="19">
        <v>45933.705555555556</v>
      </c>
      <c r="E94" s="18" t="s">
        <v>10</v>
      </c>
      <c r="F94" s="18">
        <v>3</v>
      </c>
      <c r="G94" s="18" t="s">
        <v>10</v>
      </c>
      <c r="H94" s="23" t="s">
        <v>2656</v>
      </c>
      <c r="I94" s="18" t="s">
        <v>10</v>
      </c>
      <c r="J94" s="18" t="s">
        <v>199</v>
      </c>
      <c r="K94" s="20"/>
    </row>
    <row r="95" spans="1:11" ht="72.75" thickBot="1">
      <c r="A95" s="18" t="s">
        <v>3350</v>
      </c>
      <c r="B95" s="18">
        <v>20003300572</v>
      </c>
      <c r="C95" s="18" t="s">
        <v>3351</v>
      </c>
      <c r="D95" s="19">
        <v>45934.705555555556</v>
      </c>
      <c r="E95" s="18" t="s">
        <v>10</v>
      </c>
      <c r="F95" s="18">
        <v>15</v>
      </c>
      <c r="G95" s="18" t="s">
        <v>10</v>
      </c>
      <c r="H95" s="23" t="s">
        <v>2656</v>
      </c>
      <c r="I95" s="18" t="s">
        <v>10</v>
      </c>
      <c r="J95" s="18" t="s">
        <v>199</v>
      </c>
      <c r="K95" s="20"/>
    </row>
    <row r="96" spans="1:11" ht="54.75" thickBot="1">
      <c r="A96" s="18" t="s">
        <v>3352</v>
      </c>
      <c r="B96" s="18">
        <v>20028138681</v>
      </c>
      <c r="C96" s="18" t="s">
        <v>2130</v>
      </c>
      <c r="D96" s="19">
        <v>45933.412499999999</v>
      </c>
      <c r="E96" s="19">
        <v>45944.428472222222</v>
      </c>
      <c r="F96" s="18">
        <v>5</v>
      </c>
      <c r="G96" s="18" t="s">
        <v>10</v>
      </c>
      <c r="H96" s="18" t="s">
        <v>2652</v>
      </c>
      <c r="I96" s="18" t="s">
        <v>2681</v>
      </c>
      <c r="J96" s="18" t="s">
        <v>199</v>
      </c>
      <c r="K96" s="20"/>
    </row>
    <row r="97" spans="1:11" ht="54.75" thickBot="1">
      <c r="A97" s="18" t="s">
        <v>3353</v>
      </c>
      <c r="B97" s="18">
        <v>20028105570</v>
      </c>
      <c r="C97" s="18" t="s">
        <v>2130</v>
      </c>
      <c r="D97" s="19">
        <v>45933.406944444447</v>
      </c>
      <c r="E97" s="19">
        <v>45944.45208333333</v>
      </c>
      <c r="F97" s="18">
        <v>20</v>
      </c>
      <c r="G97" s="18" t="s">
        <v>10</v>
      </c>
      <c r="H97" s="18" t="s">
        <v>2652</v>
      </c>
      <c r="I97" s="18" t="s">
        <v>2681</v>
      </c>
      <c r="J97" s="18" t="s">
        <v>199</v>
      </c>
      <c r="K97" s="20"/>
    </row>
    <row r="98" spans="1:11" ht="36.75" thickBot="1">
      <c r="A98" s="18" t="s">
        <v>3354</v>
      </c>
      <c r="B98" s="18">
        <v>20003410258</v>
      </c>
      <c r="C98" s="18" t="s">
        <v>3355</v>
      </c>
      <c r="D98" s="19">
        <v>45952.436111111114</v>
      </c>
      <c r="E98" s="18" t="s">
        <v>10</v>
      </c>
      <c r="F98" s="18">
        <v>5</v>
      </c>
      <c r="G98" s="18" t="s">
        <v>10</v>
      </c>
      <c r="H98" s="23" t="s">
        <v>2656</v>
      </c>
      <c r="I98" s="18" t="s">
        <v>10</v>
      </c>
      <c r="J98" s="18" t="s">
        <v>199</v>
      </c>
      <c r="K98" s="20"/>
    </row>
    <row r="99" spans="1:11" ht="36.75" thickBot="1">
      <c r="A99" s="18" t="s">
        <v>3356</v>
      </c>
      <c r="B99" s="18">
        <v>20022009810</v>
      </c>
      <c r="C99" s="18" t="s">
        <v>3357</v>
      </c>
      <c r="D99" s="19">
        <v>45960.543055555558</v>
      </c>
      <c r="E99" s="18" t="s">
        <v>10</v>
      </c>
      <c r="F99" s="18">
        <v>10</v>
      </c>
      <c r="G99" s="18" t="s">
        <v>10</v>
      </c>
      <c r="H99" s="23" t="s">
        <v>2656</v>
      </c>
      <c r="I99" s="18" t="s">
        <v>10</v>
      </c>
      <c r="J99" s="18" t="s">
        <v>199</v>
      </c>
      <c r="K99" s="20"/>
    </row>
    <row r="100" spans="1:11" ht="36.75" thickBot="1">
      <c r="A100" s="18" t="s">
        <v>7876</v>
      </c>
      <c r="B100" s="18">
        <v>20003451992</v>
      </c>
      <c r="C100" s="18" t="s">
        <v>7877</v>
      </c>
      <c r="D100" s="19">
        <v>45971.526388888888</v>
      </c>
      <c r="E100" s="18" t="s">
        <v>10</v>
      </c>
      <c r="F100" s="18">
        <v>20</v>
      </c>
      <c r="G100" s="18" t="s">
        <v>10</v>
      </c>
      <c r="H100" s="23" t="s">
        <v>2656</v>
      </c>
      <c r="I100" s="18" t="s">
        <v>10</v>
      </c>
      <c r="J100" s="18" t="s">
        <v>199</v>
      </c>
      <c r="K100" s="20"/>
    </row>
    <row r="101" spans="1:11" ht="54.75" thickBot="1">
      <c r="A101" s="18" t="s">
        <v>7878</v>
      </c>
      <c r="B101" s="18">
        <v>20023117311</v>
      </c>
      <c r="C101" s="18" t="s">
        <v>7879</v>
      </c>
      <c r="D101" s="19">
        <v>45971.637499999997</v>
      </c>
      <c r="E101" s="18" t="s">
        <v>10</v>
      </c>
      <c r="F101" s="18">
        <v>12</v>
      </c>
      <c r="G101" s="18" t="s">
        <v>10</v>
      </c>
      <c r="H101" s="23" t="s">
        <v>2656</v>
      </c>
      <c r="I101" s="18" t="s">
        <v>10</v>
      </c>
      <c r="J101" s="18" t="s">
        <v>199</v>
      </c>
      <c r="K101" s="20"/>
    </row>
    <row r="102" spans="1:11" ht="36.75" thickBot="1">
      <c r="A102" s="21" t="s">
        <v>7880</v>
      </c>
      <c r="B102" s="21">
        <v>20028801290</v>
      </c>
      <c r="C102" s="21" t="s">
        <v>7881</v>
      </c>
      <c r="D102" s="22">
        <v>45988.532638888886</v>
      </c>
      <c r="E102" s="21" t="s">
        <v>10</v>
      </c>
      <c r="F102" s="21">
        <v>2</v>
      </c>
      <c r="G102" s="21" t="s">
        <v>10</v>
      </c>
      <c r="H102" s="21" t="s">
        <v>2656</v>
      </c>
      <c r="I102" s="21" t="s">
        <v>10</v>
      </c>
      <c r="J102" s="21" t="s">
        <v>199</v>
      </c>
      <c r="K102" s="1"/>
    </row>
    <row r="103" spans="1:11" ht="54.75" thickBot="1">
      <c r="A103" s="18" t="s">
        <v>7882</v>
      </c>
      <c r="B103" s="18">
        <v>20021830775</v>
      </c>
      <c r="C103" s="18" t="s">
        <v>7883</v>
      </c>
      <c r="D103" s="19">
        <v>45989.581250000003</v>
      </c>
      <c r="E103" s="18" t="s">
        <v>10</v>
      </c>
      <c r="F103" s="18">
        <v>20</v>
      </c>
      <c r="G103" s="18" t="s">
        <v>10</v>
      </c>
      <c r="H103" s="18" t="s">
        <v>2656</v>
      </c>
      <c r="I103" s="18" t="s">
        <v>10</v>
      </c>
      <c r="J103" s="18" t="s">
        <v>199</v>
      </c>
    </row>
    <row r="104" spans="1:11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1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1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1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1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1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1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1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1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2" priority="1"/>
  </conditionalFormatting>
  <hyperlinks>
    <hyperlink ref="K3" r:id="rId1" display="https://ppim-intra.pea.co.th:4434/request/PPIM18500187" xr:uid="{9041CE30-1FD3-41E4-B1DD-5DF1EAB5EEE6}"/>
    <hyperlink ref="K4" r:id="rId2" display="https://ppim-intra.pea.co.th:4434/request/PPIM18500360" xr:uid="{5097F029-A71A-4227-8AD6-6689D4DFC157}"/>
    <hyperlink ref="K5" r:id="rId3" display="https://ppim-intra.pea.co.th:4434/request/PPIM18500364" xr:uid="{FF50776E-958B-4CEE-8960-27BB069A2FC2}"/>
    <hyperlink ref="K6" r:id="rId4" display="https://ppim-intra.pea.co.th:4434/request/PPIM18500814" xr:uid="{52886741-907F-48D7-B660-D9E14F1A7BC8}"/>
    <hyperlink ref="K7" r:id="rId5" display="https://ppim-intra.pea.co.th:4434/request/PPIM185009A4" xr:uid="{E7909798-94E3-4CF4-8CD2-74F2209B8980}"/>
    <hyperlink ref="K8" r:id="rId6" display="https://ppim-intra.pea.co.th:4434/request/PPIM18500BCD" xr:uid="{09400ADA-78A2-4B6B-9813-1233A56D1945}"/>
    <hyperlink ref="K9" r:id="rId7" display="https://ppim-intra.pea.co.th:4434/request/PPIM18500CFF" xr:uid="{EAC0F5B3-7C2D-4757-BF30-CCB5D7BD5033}"/>
    <hyperlink ref="K10" r:id="rId8" display="https://ppim-intra.pea.co.th:4434/request/PPIM18500D08" xr:uid="{6DBE3515-1F49-44EF-8C68-0B2D6D91A12D}"/>
    <hyperlink ref="K11" r:id="rId9" display="https://ppim-intra.pea.co.th:4434/request/PPIM18500FD5" xr:uid="{75DBEFAB-9D0C-4B92-9D14-4F7A9254085E}"/>
    <hyperlink ref="K12" r:id="rId10" display="https://ppim-intra.pea.co.th:4434/request/PPIM1850123E" xr:uid="{0C2DDFE6-9F30-4F92-8001-7166DCD5ACE3}"/>
    <hyperlink ref="K13" r:id="rId11" display="https://ppim-intra.pea.co.th:4434/request/PPIM185012CA" xr:uid="{68DA5DCB-B8D5-4461-BA58-46DA083EFBF1}"/>
    <hyperlink ref="K14" r:id="rId12" display="https://ppim-intra.pea.co.th:4434/request/PPIM18501509" xr:uid="{0708FD13-F7CB-4D2A-8A79-3FD39F59797D}"/>
    <hyperlink ref="K15" r:id="rId13" display="https://ppim-intra.pea.co.th:4434/request/PPIM185015DC" xr:uid="{FAEBDBF2-459E-4DF9-BC55-49ABE7A29ADF}"/>
    <hyperlink ref="K16" r:id="rId14" display="https://ppim-intra.pea.co.th:4434/request/PPIM18501764" xr:uid="{5E83F568-D3B9-4AB5-9DC7-F6CFFD120234}"/>
    <hyperlink ref="K17" r:id="rId15" display="https://ppim-intra.pea.co.th:4434/request/PPIM18501AC0" xr:uid="{F7CEAF0B-2574-43C9-9E50-9F2F68405136}"/>
    <hyperlink ref="K18" r:id="rId16" display="https://ppim-intra.pea.co.th:4434/request/PPIM18501ECF" xr:uid="{A093B3CA-E010-47BE-9819-AE00350B54C3}"/>
    <hyperlink ref="K19" r:id="rId17" display="https://ppim-intra.pea.co.th:4434/request/PPIM185021A1" xr:uid="{017E5CFF-A6BC-4BBB-AA88-D13E6D7EB42B}"/>
    <hyperlink ref="K20" r:id="rId18" display="https://ppim-intra.pea.co.th:4434/request/PPIM1850222C" xr:uid="{6253BAB2-9FB3-46F4-8703-5058A3C099DD}"/>
    <hyperlink ref="K21" r:id="rId19" display="https://ppim-intra.pea.co.th:4434/request/PPIM18500817" xr:uid="{24E4491A-9A6C-45AB-8B06-352FD45B312B}"/>
    <hyperlink ref="K22" r:id="rId20" display="https://ppim-intra.pea.co.th:4434/request/PPIM18500671" xr:uid="{59E3F863-F86B-4853-8183-894761D7E345}"/>
    <hyperlink ref="K23" r:id="rId21" display="https://ppim-intra.pea.co.th:4434/request/PPIM185024A0" xr:uid="{93916499-D75B-43A5-B940-95926D9F9A05}"/>
    <hyperlink ref="K24" r:id="rId22" display="https://ppim-intra.pea.co.th:4434/request/PPIM1850278F" xr:uid="{6D3FA9E9-5A0A-44CC-9B71-1116A36BB161}"/>
    <hyperlink ref="K25" r:id="rId23" display="https://ppim-intra.pea.co.th:4434/request/PPIM18502D6A" xr:uid="{38FCE63F-4797-4903-91E8-19219CC5BA81}"/>
    <hyperlink ref="K26" r:id="rId24" display="https://ppim-intra.pea.co.th:4434/request/PPIM18502DE4" xr:uid="{35216BAA-5933-4273-A5BC-995FDC853EDF}"/>
    <hyperlink ref="K27" r:id="rId25" display="https://ppim-intra.pea.co.th:4434/request/PPIM18501975" xr:uid="{C9AB7121-4676-4109-B5EE-74FB96426BA4}"/>
    <hyperlink ref="K28" r:id="rId26" display="https://ppim-intra.pea.co.th:4434/request/PPIM18501972" xr:uid="{0C12C57A-400E-4AB6-8F1D-183FFD1E8212}"/>
    <hyperlink ref="K29" r:id="rId27" display="https://ppim-intra.pea.co.th:4434/request/PPIM185034AD" xr:uid="{FFA759A8-F3B6-419E-A73C-7D7E140516AF}"/>
    <hyperlink ref="K30" r:id="rId28" display="https://ppim-intra.pea.co.th:4434/request/PPIM18502C77" xr:uid="{D8609015-71A0-41F6-971E-667EF2A0327D}"/>
    <hyperlink ref="K31" r:id="rId29" display="https://ppim-intra.pea.co.th:4434/request/PPIM18502CCC" xr:uid="{E87061E7-3ABD-43F7-AAD5-5A2D38E40255}"/>
    <hyperlink ref="K32" r:id="rId30" display="https://ppim-intra.pea.co.th:4434/request/PPIM18502C64" xr:uid="{7BD8FF0D-C739-4535-AB37-85A16362E240}"/>
    <hyperlink ref="K33" r:id="rId31" display="https://ppim-intra.pea.co.th:4434/request/PPIM18502CE8" xr:uid="{3CC7ADC0-D6E9-476D-841B-48094E06FF2C}"/>
    <hyperlink ref="K34" r:id="rId32" display="https://ppim-intra.pea.co.th:4434/request/PPIM18503EF6" xr:uid="{07401931-61EC-474A-AB19-73933A324811}"/>
    <hyperlink ref="K35" r:id="rId33" display="https://ppim-intra.pea.co.th:4434/request/PPIM185040BF" xr:uid="{189BC047-9D1D-430E-B297-EF712B52F734}"/>
    <hyperlink ref="K36" r:id="rId34" display="https://ppim-intra.pea.co.th:4434/request/PPIM18504307" xr:uid="{678BD463-2002-4A68-BC6D-36B44696A6FD}"/>
    <hyperlink ref="K37" r:id="rId35" display="https://ppim-intra.pea.co.th:4434/request/PPIM18503043" xr:uid="{68523500-5524-4169-8456-51F1A29F71D2}"/>
    <hyperlink ref="K38" r:id="rId36" display="https://ppim-intra.pea.co.th:4434/request/PPIM185044BB" xr:uid="{08F454F9-CE91-46EE-86A7-73E3390916D8}"/>
    <hyperlink ref="K39" r:id="rId37" display="https://ppim-intra.pea.co.th:4434/request/PPIM18504537" xr:uid="{FA0A8468-792C-4312-B339-08040B6E268D}"/>
    <hyperlink ref="K40" r:id="rId38" display="https://ppim-intra.pea.co.th:4434/request/PPIM18503E33" xr:uid="{7675A869-5CF5-40EB-88A0-DAD71424E280}"/>
    <hyperlink ref="K41" r:id="rId39" display="https://ppim-intra.pea.co.th:4434/request/PPIM185043DC" xr:uid="{F4053448-0701-4948-B515-46895F102254}"/>
    <hyperlink ref="K42" r:id="rId40" display="https://ppim-intra.pea.co.th:4434/request/PPIM185047AC" xr:uid="{EB527780-D904-4775-B8B9-2754E0AFE945}"/>
    <hyperlink ref="K43" r:id="rId41" display="https://ppim-intra.pea.co.th:4434/request/PPIM185042EC" xr:uid="{EA9962CC-E4D6-4C26-89A5-91E1DE78EC4F}"/>
    <hyperlink ref="K44" r:id="rId42" display="https://ppim-intra.pea.co.th:4434/request/PPIM1950007A" xr:uid="{7BA6AC30-B74E-45DD-9244-1740D7F21700}"/>
    <hyperlink ref="K45" r:id="rId43" display="https://ppim-intra.pea.co.th:4434/request/PPIM19500222" xr:uid="{E6213296-2ABD-4711-A03F-A4ED7829BCB1}"/>
    <hyperlink ref="K46" r:id="rId44" display="https://ppim-intra.pea.co.th:4434/request/PPIM185049FE" xr:uid="{667CB82D-6162-445F-979B-A05EB437F191}"/>
    <hyperlink ref="K47" r:id="rId45" display="https://ppim-intra.pea.co.th:4434/request/PPIM195004B5" xr:uid="{92ECF3CE-EBF0-4D36-8D29-202854F54E4C}"/>
    <hyperlink ref="K48" r:id="rId46" display="https://ppim-intra.pea.co.th:4434/request/PPIM19500582" xr:uid="{D5F2B671-089D-49B1-A181-EFC9908754FF}"/>
    <hyperlink ref="K49" r:id="rId47" display="https://ppim-intra.pea.co.th:4434/request/PPIM19500597" xr:uid="{620E095C-D38A-4BB3-8D3B-CD352B95289C}"/>
    <hyperlink ref="K50" r:id="rId48" display="https://ppim-intra.pea.co.th:4434/request/PPIM19500598" xr:uid="{EBD82555-3517-433C-AB90-B48EFF119136}"/>
    <hyperlink ref="K51" r:id="rId49" display="https://ppim-intra.pea.co.th:4434/request/PPIM195001D3" xr:uid="{8E63F414-BFD8-4821-825C-9596EC4778E4}"/>
    <hyperlink ref="K52" r:id="rId50" display="https://ppim-intra.pea.co.th:4434/request/PPIM1950056D" xr:uid="{1A3C8ECB-39DA-49C0-8C24-454CC5442F4D}"/>
    <hyperlink ref="K53" r:id="rId51" display="https://ppim-intra.pea.co.th:4434/request/PPIM195006AB" xr:uid="{DBD4E899-6E8E-4723-870A-DFF0F27087E4}"/>
    <hyperlink ref="K54" r:id="rId52" display="https://ppim-intra.pea.co.th:4434/request/PPIM195006C1" xr:uid="{8003E01F-F7E8-43F8-8160-B7E4A5733646}"/>
    <hyperlink ref="K55" r:id="rId53" display="https://ppim-intra.pea.co.th:4434/request/PPIM195007BB" xr:uid="{72C9F78A-3961-41D6-80C4-98549E2D7872}"/>
    <hyperlink ref="K56" r:id="rId54" display="https://ppim-intra.pea.co.th:4434/request/PPIM195007F7" xr:uid="{67B46D17-7DA1-416E-9629-1906CB1B0DE1}"/>
    <hyperlink ref="K57" r:id="rId55" display="https://ppim-intra.pea.co.th:4434/request/PPIM1950094D" xr:uid="{E1B71480-CFC1-4394-BCD5-D8B530F49783}"/>
    <hyperlink ref="K58" r:id="rId56" display="https://ppim-intra.pea.co.th:4434/request/PPIM19500C54" xr:uid="{CB7F9433-A9C5-4D16-A26F-3EB01E670239}"/>
    <hyperlink ref="K59" r:id="rId57" display="https://ppim-intra.pea.co.th:4434/request/PPIM19500FBC" xr:uid="{D3DDC7BC-D110-4D88-8D26-832A86F92E1A}"/>
    <hyperlink ref="K60" r:id="rId58" display="https://ppim-intra.pea.co.th:4434/request/PPIM195012CA" xr:uid="{A212E996-672C-4A90-B92D-FAF496897DAB}"/>
    <hyperlink ref="K61" r:id="rId59" display="https://ppim-intra.pea.co.th:4434/request/PPIM19501304" xr:uid="{DB3B61B1-A8E5-4043-934F-87BAA294553C}"/>
    <hyperlink ref="K62" r:id="rId60" display="https://ppim-intra.pea.co.th:4434/request/PPIM19500CCD" xr:uid="{C286D397-D9F6-4FDB-BDD3-1343D1D7F17A}"/>
    <hyperlink ref="K63" r:id="rId61" display="https://ppim-intra.pea.co.th:4434/request/PPIM19501952" xr:uid="{B90371BA-F0E6-498D-81B8-2C13656D7604}"/>
    <hyperlink ref="K64" r:id="rId62" display="https://ppim-intra.pea.co.th:4434/request/PPIM19500560" xr:uid="{C3097387-D66C-41B8-9987-EB45435A333E}"/>
    <hyperlink ref="K65" r:id="rId63" display="https://ppim-intra.pea.co.th:4434/request/PPIM1950046D" xr:uid="{B65A3B4E-88B6-4AAF-B427-E9CAA49C74B7}"/>
    <hyperlink ref="K66" r:id="rId64" display="https://ppim-intra.pea.co.th:4434/request/PPIM19502225" xr:uid="{2D5E0B39-32F0-412A-B57B-35EE67B1E8EA}"/>
    <hyperlink ref="K67" r:id="rId65" display="https://ppim-intra.pea.co.th:4434/request/PPIM19502B29" xr:uid="{95F8BEB7-09C2-4116-9DC9-44F69980D455}"/>
    <hyperlink ref="K68" r:id="rId66" display="https://ppim-intra.pea.co.th:4434/request/PPIM19502B3C" xr:uid="{BE52B445-F579-493E-AA44-027E40A70125}"/>
    <hyperlink ref="K69" r:id="rId67" display="https://ppim-intra.pea.co.th:4434/request/PPIM1950072D" xr:uid="{074E495B-6E44-48A8-A64F-CA2A6EF00E38}"/>
    <hyperlink ref="K70" r:id="rId68" display="https://ppim-intra.pea.co.th:4434/request/PPIM19502D2B" xr:uid="{F1FB40F0-495E-4783-BE3A-DC6927772BA5}"/>
    <hyperlink ref="K71" r:id="rId69" display="https://ppim-intra.pea.co.th:4434/request/PPIM195030A5" xr:uid="{AFE79511-A5F1-4E3C-BD29-6799CFD6D413}"/>
    <hyperlink ref="K72" r:id="rId70" display="https://ppim-intra.pea.co.th:4434/request/PPIM1950359E" xr:uid="{93E9D6D5-E01B-4952-AB37-1E293171572D}"/>
    <hyperlink ref="K73" r:id="rId71" display="https://ppim-intra.pea.co.th:4434/request/PPIM195039CD" xr:uid="{A8C310F0-34D7-4329-81BB-31814F31A5A1}"/>
    <hyperlink ref="K74" r:id="rId72" display="https://ppim-intra.pea.co.th:4434/request/PPIM195007D3" xr:uid="{39829045-92CC-412C-82D1-DA034D712D5A}"/>
    <hyperlink ref="K75" r:id="rId73" display="https://ppim-intra.pea.co.th:4434/request/PPIM19503CDE" xr:uid="{B797D714-63EE-4541-9707-38E29CB87DE4}"/>
    <hyperlink ref="K76" r:id="rId74" display="https://ppim-intra.pea.co.th:4434/request/PPIM19504151" xr:uid="{4AF17DFF-571C-4371-8476-78BD7AC2CBA0}"/>
    <hyperlink ref="K77" r:id="rId75" display="https://ppim-intra.pea.co.th:4434/request/PPIM195041C8" xr:uid="{513C6529-5E8B-4347-AAA8-4531A0271372}"/>
    <hyperlink ref="K78" r:id="rId76" display="https://ppim-intra.pea.co.th:4434/request/PPIM195041D5" xr:uid="{534A0EEA-455D-4E68-AEA5-9B1C390A6175}"/>
    <hyperlink ref="K79" r:id="rId77" display="https://ppim-intra.pea.co.th:4434/request/PPIM19500AA4" xr:uid="{6BED0FFA-D1DB-4AF3-84DD-1BC647BC016E}"/>
    <hyperlink ref="K80" r:id="rId78" display="https://ppim-intra.pea.co.th:4434/request/PPIM19504237" xr:uid="{8998F5F0-A224-48C0-A93D-1B74881049F2}"/>
    <hyperlink ref="K81" r:id="rId79" display="https://ppim-intra.pea.co.th:4434/request/PPIM19504524" xr:uid="{BC8DA532-C36A-4C60-9260-2EC3CF9E1C95}"/>
    <hyperlink ref="K82" r:id="rId80" display="https://ppim-intra.pea.co.th:4434/request/PPIM19504528" xr:uid="{B8AF66C7-E2E6-4F6D-9B38-F3DEB14CF906}"/>
    <hyperlink ref="K83" r:id="rId81" display="https://ppim-intra.pea.co.th:4434/request/PPIM19501113" xr:uid="{37980F29-F6BA-46EC-A894-D95FB6A4FC94}"/>
    <hyperlink ref="K84" r:id="rId82" display="https://ppim-intra.pea.co.th:4434/request/PPIM1950102A" xr:uid="{1319D4C4-1392-4271-A973-45291BD82E59}"/>
    <hyperlink ref="K85" r:id="rId83" display="https://ppim-intra.pea.co.th:4434/request/PPIM19501225" xr:uid="{C3DACC10-41FE-460E-B76B-33013B914618}"/>
    <hyperlink ref="K86" r:id="rId84" display="https://ppim-intra.pea.co.th:4434/request/PPIM1950457C" xr:uid="{1C322970-716F-4E40-87DB-FBB726515568}"/>
    <hyperlink ref="K87" r:id="rId85" display="https://ppim-intra.pea.co.th:4434/request/PPIM1950458D" xr:uid="{F2D425DB-7666-4D33-A16D-58E47F8CECF8}"/>
    <hyperlink ref="K88" r:id="rId86" display="https://ppim-intra.pea.co.th:4434/request/PPIM19500FC1" xr:uid="{EF1C7A89-A00C-47F8-92EF-B722D6763285}"/>
    <hyperlink ref="K89" r:id="rId87" display="https://ppim-intra.pea.co.th:4434/request/PPIM19501556" xr:uid="{2F4D7D3C-F969-468E-B568-493787EF4E3F}"/>
    <hyperlink ref="K90" r:id="rId88" display="https://ppim-intra.pea.co.th:4434/request/PPIM19500FE2" xr:uid="{2FF12812-9BB8-4145-88B4-E5D866F5B36C}"/>
    <hyperlink ref="K91" r:id="rId89" display="https://ppim-intra.pea.co.th:4434/request/PPIM19500DD7" xr:uid="{C06C53D5-D8A7-4193-AF24-8127237BC578}"/>
    <hyperlink ref="K92" r:id="rId90" display="https://ppim-intra.pea.co.th:4434/request/PPIM19504CAF" xr:uid="{8A73E248-9A28-4853-8A76-4CDCF835752B}"/>
    <hyperlink ref="K93" r:id="rId91" display="https://ppim-intra.pea.co.th:4434/request/PPIM19504CD3" xr:uid="{CE5DF9F7-2A34-4AFA-9148-D3A797DC0818}"/>
    <hyperlink ref="K94" r:id="rId92" display="https://ppim-intra.pea.co.th:4434/request/PPIM19504D2C" xr:uid="{97D3030F-ED4C-4D68-A017-557FF32C1646}"/>
    <hyperlink ref="K95" r:id="rId93" display="https://ppim-intra.pea.co.th:4434/request/PPIM19504D54" xr:uid="{CE451565-4D05-42CA-A2C1-C5B89A418DC3}"/>
    <hyperlink ref="K96" r:id="rId94" display="https://ppim-intra.pea.co.th:4434/request/PPIM19504CD8" xr:uid="{BB61D1D3-27DC-4E02-862D-86BF8915BFF3}"/>
    <hyperlink ref="K97" r:id="rId95" display="https://ppim-intra.pea.co.th:4434/request/PPIM19504CD5" xr:uid="{B806823D-96B1-4DF7-B9B3-5B56460DB117}"/>
    <hyperlink ref="K98" r:id="rId96" display="https://ppim-intra.pea.co.th:4434/request/PPIM19505209" xr:uid="{4BBF0F2F-8C81-4A82-A77A-1ADEA6E0CA9C}"/>
    <hyperlink ref="K99" r:id="rId97" display="https://ppim-intra.pea.co.th:4434/request/PPIM1950543E" xr:uid="{3486FC01-15E5-4930-B421-8C26BAFA2011}"/>
    <hyperlink ref="K100" r:id="rId98" display="https://ppim-intra.pea.co.th:4434/request/PPIM19505736" xr:uid="{991D2190-B560-41A1-AB4C-3AE51AFDDC7A}"/>
    <hyperlink ref="K101" r:id="rId99" display="https://ppim-intra.pea.co.th:4434/request/PPIM19505751" xr:uid="{879C2920-B2A5-4943-90CD-0E29068A04A3}"/>
  </hyperlinks>
  <pageMargins left="0.7" right="0.7" top="0.75" bottom="0.75" header="0.3" footer="0.3"/>
  <drawing r:id="rId100"/>
  <legacyDrawing r:id="rId101"/>
  <controls>
    <mc:AlternateContent xmlns:mc="http://schemas.openxmlformats.org/markup-compatibility/2006">
      <mc:Choice Requires="x14">
        <control shapeId="13313" r:id="rId102" name="Control 1">
          <controlPr defaultSize="0" r:id="rId103">
            <anchor moveWithCells="1">
              <from>
                <xdr:col>0</xdr:col>
                <xdr:colOff>0</xdr:colOff>
                <xdr:row>13</xdr:row>
                <xdr:rowOff>342900</xdr:rowOff>
              </from>
              <to>
                <xdr:col>0</xdr:col>
                <xdr:colOff>161925</xdr:colOff>
                <xdr:row>14</xdr:row>
                <xdr:rowOff>47625</xdr:rowOff>
              </to>
            </anchor>
          </controlPr>
        </control>
      </mc:Choice>
      <mc:Fallback>
        <control shapeId="13313" r:id="rId102" name="Control 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4502-C772-4CB5-BA33-257DDBC54684}">
  <sheetPr codeName="Sheet8">
    <tabColor theme="0" tint="-0.34998626667073579"/>
  </sheetPr>
  <dimension ref="A2:O208"/>
  <sheetViews>
    <sheetView tabSelected="1" zoomScale="70" zoomScaleNormal="70" workbookViewId="0">
      <selection activeCell="A2" sqref="A2:J2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1" max="11" width="9" style="8"/>
    <col min="12" max="12" width="20.140625" style="8" customWidth="1"/>
    <col min="13" max="16384" width="9" style="8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206</v>
      </c>
      <c r="N2" s="13" t="s">
        <v>214</v>
      </c>
    </row>
    <row r="3" spans="1:15" ht="37.5" thickTop="1" thickBot="1">
      <c r="A3" s="18" t="s">
        <v>250</v>
      </c>
      <c r="B3" s="18">
        <v>20022707243</v>
      </c>
      <c r="C3" s="18" t="s">
        <v>251</v>
      </c>
      <c r="D3" s="19">
        <v>45306.495138888888</v>
      </c>
      <c r="E3" s="18" t="s">
        <v>10</v>
      </c>
      <c r="F3" s="18">
        <v>5</v>
      </c>
      <c r="G3" s="19">
        <v>45369.376388888886</v>
      </c>
      <c r="H3" s="18" t="s">
        <v>236</v>
      </c>
      <c r="I3" s="18" t="s">
        <v>10</v>
      </c>
      <c r="J3" s="18" t="s">
        <v>76</v>
      </c>
      <c r="K3" s="20"/>
      <c r="L3" s="7" t="s">
        <v>2656</v>
      </c>
      <c r="M3" s="7">
        <f>COUNTIF(H:H,"รอตรวจสอบคำขอ")</f>
        <v>4</v>
      </c>
      <c r="N3" s="11" t="s">
        <v>214</v>
      </c>
    </row>
    <row r="4" spans="1:15" ht="36.75" thickBot="1">
      <c r="A4" s="18" t="s">
        <v>248</v>
      </c>
      <c r="B4" s="18">
        <v>20002970995</v>
      </c>
      <c r="C4" s="18" t="s">
        <v>249</v>
      </c>
      <c r="D4" s="19">
        <v>45318.759027777778</v>
      </c>
      <c r="E4" s="18" t="s">
        <v>10</v>
      </c>
      <c r="F4" s="18">
        <v>3</v>
      </c>
      <c r="G4" s="18" t="s">
        <v>10</v>
      </c>
      <c r="H4" s="18" t="s">
        <v>178</v>
      </c>
      <c r="I4" s="18" t="s">
        <v>10</v>
      </c>
      <c r="J4" s="18" t="s">
        <v>76</v>
      </c>
      <c r="K4" s="20"/>
      <c r="L4" s="7" t="s">
        <v>178</v>
      </c>
      <c r="M4" s="7">
        <f>COUNTIF(H:H,"ยกเลิก")</f>
        <v>50</v>
      </c>
      <c r="N4" s="11" t="s">
        <v>214</v>
      </c>
    </row>
    <row r="5" spans="1:15" ht="54.75" thickBot="1">
      <c r="A5" s="18" t="s">
        <v>246</v>
      </c>
      <c r="B5" s="18">
        <v>20027037053</v>
      </c>
      <c r="C5" s="18" t="s">
        <v>247</v>
      </c>
      <c r="D5" s="19">
        <v>45320.620138888888</v>
      </c>
      <c r="E5" s="18" t="s">
        <v>10</v>
      </c>
      <c r="F5" s="18">
        <v>5</v>
      </c>
      <c r="G5" s="19">
        <v>45376.556250000001</v>
      </c>
      <c r="H5" s="18" t="s">
        <v>236</v>
      </c>
      <c r="I5" s="18" t="s">
        <v>10</v>
      </c>
      <c r="J5" s="18" t="s">
        <v>76</v>
      </c>
      <c r="K5" s="20"/>
      <c r="L5" s="7" t="s">
        <v>235</v>
      </c>
      <c r="M5" s="7">
        <f>COUNTIF(H:H,"รอผู้ยื่นคำขอส่งเอกสารแก้ไข")</f>
        <v>1</v>
      </c>
      <c r="N5" s="11" t="s">
        <v>214</v>
      </c>
    </row>
    <row r="6" spans="1:15" ht="36.75" thickBot="1">
      <c r="A6" s="18" t="s">
        <v>108</v>
      </c>
      <c r="B6" s="18">
        <v>20023933549</v>
      </c>
      <c r="C6" s="18" t="s">
        <v>109</v>
      </c>
      <c r="D6" s="19">
        <v>45321.974305555559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71</v>
      </c>
      <c r="K6" s="20"/>
      <c r="L6" s="7" t="s">
        <v>189</v>
      </c>
      <c r="M6" s="14">
        <f>COUNTIF(H:H,"รอชำระเงิน")</f>
        <v>12</v>
      </c>
      <c r="N6" s="11" t="s">
        <v>214</v>
      </c>
      <c r="O6" s="7" t="s">
        <v>359</v>
      </c>
    </row>
    <row r="7" spans="1:15" ht="36.75" thickBot="1">
      <c r="A7" s="18" t="s">
        <v>107</v>
      </c>
      <c r="B7" s="18">
        <v>20002864842</v>
      </c>
      <c r="C7" s="18" t="s">
        <v>104</v>
      </c>
      <c r="D7" s="19">
        <v>45323.677777777775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71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3</v>
      </c>
      <c r="N7" s="11" t="s">
        <v>214</v>
      </c>
    </row>
    <row r="8" spans="1:15" ht="36.75" thickBot="1">
      <c r="A8" s="18" t="s">
        <v>105</v>
      </c>
      <c r="B8" s="18">
        <v>20002917449</v>
      </c>
      <c r="C8" s="18" t="s">
        <v>106</v>
      </c>
      <c r="D8" s="19">
        <v>45324.436805555553</v>
      </c>
      <c r="E8" s="18" t="s">
        <v>10</v>
      </c>
      <c r="F8" s="18">
        <v>5</v>
      </c>
      <c r="G8" s="19">
        <v>45565.46597222222</v>
      </c>
      <c r="H8" s="18" t="s">
        <v>236</v>
      </c>
      <c r="I8" s="18" t="s">
        <v>10</v>
      </c>
      <c r="J8" s="18" t="s">
        <v>76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6</v>
      </c>
      <c r="N8" s="11" t="s">
        <v>214</v>
      </c>
    </row>
    <row r="9" spans="1:15" ht="36.75" thickBot="1">
      <c r="A9" s="18" t="s">
        <v>103</v>
      </c>
      <c r="B9" s="18">
        <v>20002864842</v>
      </c>
      <c r="C9" s="18" t="s">
        <v>104</v>
      </c>
      <c r="D9" s="19">
        <v>45326.899305555555</v>
      </c>
      <c r="E9" s="18" t="s">
        <v>10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71</v>
      </c>
      <c r="K9" s="20"/>
      <c r="L9" s="8" t="s">
        <v>2688</v>
      </c>
      <c r="M9" s="8">
        <f>COUNTIF(H:H,"รอแก้ไขเอกสารหลังอนุมัติเชื่อมต่อ / รับพิจารณา")</f>
        <v>4</v>
      </c>
      <c r="N9" s="8" t="s">
        <v>214</v>
      </c>
    </row>
    <row r="10" spans="1:15" ht="36.75" thickBot="1">
      <c r="A10" s="18" t="s">
        <v>101</v>
      </c>
      <c r="B10" s="18">
        <v>20018150265</v>
      </c>
      <c r="C10" s="18" t="s">
        <v>102</v>
      </c>
      <c r="D10" s="19">
        <v>45327.558333333334</v>
      </c>
      <c r="E10" s="18" t="s">
        <v>10</v>
      </c>
      <c r="F10" s="18">
        <v>5</v>
      </c>
      <c r="G10" s="19">
        <v>45889.590277777781</v>
      </c>
      <c r="H10" s="18" t="s">
        <v>2655</v>
      </c>
      <c r="I10" s="18" t="s">
        <v>2699</v>
      </c>
      <c r="J10" s="18" t="s">
        <v>76</v>
      </c>
      <c r="K10" s="20"/>
      <c r="L10" s="8" t="s">
        <v>2687</v>
      </c>
      <c r="M10" s="8">
        <f>COUNTIF(H:H,"รออนุมัติเชื่อมต่อ (200 kW ขึ้นไป)")</f>
        <v>0</v>
      </c>
      <c r="N10" s="8" t="s">
        <v>214</v>
      </c>
    </row>
    <row r="11" spans="1:15" ht="36.75" thickBot="1">
      <c r="A11" s="18" t="s">
        <v>99</v>
      </c>
      <c r="B11" s="18">
        <v>20021838853</v>
      </c>
      <c r="C11" s="18" t="s">
        <v>100</v>
      </c>
      <c r="D11" s="19">
        <v>45327.629166666666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71</v>
      </c>
      <c r="K11" s="20"/>
      <c r="L11" s="8" t="s">
        <v>2654</v>
      </c>
      <c r="M11" s="8">
        <f>COUNTIF(H:H,"รอตรวจสอบระบบผลิต")</f>
        <v>17</v>
      </c>
      <c r="N11" s="8" t="s">
        <v>214</v>
      </c>
    </row>
    <row r="12" spans="1:15" ht="36.75" thickBot="1">
      <c r="A12" s="18" t="s">
        <v>97</v>
      </c>
      <c r="B12" s="18">
        <v>20024816245</v>
      </c>
      <c r="C12" s="18" t="s">
        <v>98</v>
      </c>
      <c r="D12" s="19">
        <v>45329.686805555553</v>
      </c>
      <c r="E12" s="18" t="s">
        <v>10</v>
      </c>
      <c r="F12" s="18">
        <v>10</v>
      </c>
      <c r="G12" s="18" t="s">
        <v>10</v>
      </c>
      <c r="H12" s="18" t="s">
        <v>178</v>
      </c>
      <c r="I12" s="18" t="s">
        <v>10</v>
      </c>
      <c r="J12" s="18" t="s">
        <v>76</v>
      </c>
      <c r="K12" s="20"/>
      <c r="L12" s="8" t="s">
        <v>2651</v>
      </c>
      <c r="M12" s="8">
        <f>COUNTIF(H:H,"รอทดสอบเชื่อมต่อ")</f>
        <v>0</v>
      </c>
      <c r="N12" s="8" t="s">
        <v>214</v>
      </c>
    </row>
    <row r="13" spans="1:15" ht="36.75" thickBot="1">
      <c r="A13" s="18" t="s">
        <v>95</v>
      </c>
      <c r="B13" s="18">
        <v>20021755637</v>
      </c>
      <c r="C13" s="18" t="s">
        <v>96</v>
      </c>
      <c r="D13" s="19">
        <v>45330.845138888886</v>
      </c>
      <c r="E13" s="18" t="s">
        <v>10</v>
      </c>
      <c r="F13" s="18">
        <v>5</v>
      </c>
      <c r="G13" s="19">
        <v>45476.368750000001</v>
      </c>
      <c r="H13" s="18" t="s">
        <v>236</v>
      </c>
      <c r="I13" s="18" t="s">
        <v>10</v>
      </c>
      <c r="J13" s="18" t="s">
        <v>71</v>
      </c>
      <c r="K13" s="20"/>
      <c r="L13" s="8" t="s">
        <v>2655</v>
      </c>
      <c r="M13" s="8">
        <f>COUNTIF(H:H,"รออนุมัติแจ้งวันเริ่มเชื่อมต่อ")</f>
        <v>6</v>
      </c>
      <c r="N13" s="8" t="s">
        <v>214</v>
      </c>
    </row>
    <row r="14" spans="1:15" ht="36.75" thickBot="1">
      <c r="A14" s="18" t="s">
        <v>93</v>
      </c>
      <c r="B14" s="18">
        <v>20022475203</v>
      </c>
      <c r="C14" s="18" t="s">
        <v>94</v>
      </c>
      <c r="D14" s="19">
        <v>45331.636805555558</v>
      </c>
      <c r="E14" s="18" t="s">
        <v>10</v>
      </c>
      <c r="F14" s="18">
        <v>10</v>
      </c>
      <c r="G14" s="18" t="s">
        <v>10</v>
      </c>
      <c r="H14" s="18" t="s">
        <v>178</v>
      </c>
      <c r="I14" s="18" t="s">
        <v>10</v>
      </c>
      <c r="J14" s="18" t="s">
        <v>71</v>
      </c>
      <c r="K14" s="20"/>
      <c r="L14" s="8" t="s">
        <v>236</v>
      </c>
      <c r="M14" s="8">
        <f>COUNTIF(H:H,"เชื่อมต่อเรียบร้อยแล้ว")</f>
        <v>103</v>
      </c>
      <c r="N14" s="8" t="s">
        <v>214</v>
      </c>
    </row>
    <row r="15" spans="1:15" ht="36.75" thickBot="1">
      <c r="A15" s="18" t="s">
        <v>91</v>
      </c>
      <c r="B15" s="18">
        <v>20003039169</v>
      </c>
      <c r="C15" s="18" t="s">
        <v>92</v>
      </c>
      <c r="D15" s="19">
        <v>45332.463194444441</v>
      </c>
      <c r="E15" s="18" t="s">
        <v>10</v>
      </c>
      <c r="F15" s="18">
        <v>5</v>
      </c>
      <c r="G15" s="18" t="s">
        <v>10</v>
      </c>
      <c r="H15" s="18" t="s">
        <v>178</v>
      </c>
      <c r="I15" s="18" t="s">
        <v>10</v>
      </c>
      <c r="J15" s="18" t="s">
        <v>71</v>
      </c>
      <c r="K15" s="20"/>
    </row>
    <row r="16" spans="1:15" ht="36.75" thickBot="1">
      <c r="A16" s="18" t="s">
        <v>87</v>
      </c>
      <c r="B16" s="18">
        <v>20023243679</v>
      </c>
      <c r="C16" s="18" t="s">
        <v>88</v>
      </c>
      <c r="D16" s="19">
        <v>45346.07708333333</v>
      </c>
      <c r="E16" s="18" t="s">
        <v>10</v>
      </c>
      <c r="F16" s="18">
        <v>5</v>
      </c>
      <c r="G16" s="19">
        <v>45509.55</v>
      </c>
      <c r="H16" s="18" t="s">
        <v>236</v>
      </c>
      <c r="I16" s="18" t="s">
        <v>10</v>
      </c>
      <c r="J16" s="18" t="s">
        <v>71</v>
      </c>
      <c r="K16" s="20"/>
    </row>
    <row r="17" spans="1:11" ht="36.75" thickBot="1">
      <c r="A17" s="18" t="s">
        <v>79</v>
      </c>
      <c r="B17" s="18">
        <v>20020742883</v>
      </c>
      <c r="C17" s="18" t="s">
        <v>80</v>
      </c>
      <c r="D17" s="19">
        <v>45372.586805555555</v>
      </c>
      <c r="E17" s="18" t="s">
        <v>10</v>
      </c>
      <c r="F17" s="18">
        <v>5</v>
      </c>
      <c r="G17" s="19">
        <v>45482.524305555555</v>
      </c>
      <c r="H17" s="18" t="s">
        <v>236</v>
      </c>
      <c r="I17" s="18" t="s">
        <v>10</v>
      </c>
      <c r="J17" s="18" t="s">
        <v>71</v>
      </c>
      <c r="K17" s="20"/>
    </row>
    <row r="18" spans="1:11" ht="36.75" thickBot="1">
      <c r="A18" s="18" t="s">
        <v>77</v>
      </c>
      <c r="B18" s="18">
        <v>20027112512</v>
      </c>
      <c r="C18" s="18" t="s">
        <v>78</v>
      </c>
      <c r="D18" s="19">
        <v>45375.724305555559</v>
      </c>
      <c r="E18" s="18" t="s">
        <v>10</v>
      </c>
      <c r="F18" s="18">
        <v>10</v>
      </c>
      <c r="G18" s="19">
        <v>45482.438888888886</v>
      </c>
      <c r="H18" s="18" t="s">
        <v>236</v>
      </c>
      <c r="I18" s="18" t="s">
        <v>10</v>
      </c>
      <c r="J18" s="18" t="s">
        <v>71</v>
      </c>
      <c r="K18" s="20"/>
    </row>
    <row r="19" spans="1:11" ht="54.75" thickBot="1">
      <c r="A19" s="18" t="s">
        <v>74</v>
      </c>
      <c r="B19" s="18">
        <v>20026334924</v>
      </c>
      <c r="C19" s="18" t="s">
        <v>75</v>
      </c>
      <c r="D19" s="19">
        <v>45378.395833333336</v>
      </c>
      <c r="E19" s="18" t="s">
        <v>10</v>
      </c>
      <c r="F19" s="18">
        <v>10</v>
      </c>
      <c r="G19" s="18" t="s">
        <v>10</v>
      </c>
      <c r="H19" s="18" t="s">
        <v>178</v>
      </c>
      <c r="I19" s="18" t="s">
        <v>10</v>
      </c>
      <c r="J19" s="18" t="s">
        <v>76</v>
      </c>
      <c r="K19" s="20"/>
    </row>
    <row r="20" spans="1:11" ht="36.75" thickBot="1">
      <c r="A20" s="18" t="s">
        <v>72</v>
      </c>
      <c r="B20" s="18">
        <v>20027124068</v>
      </c>
      <c r="C20" s="18" t="s">
        <v>73</v>
      </c>
      <c r="D20" s="19">
        <v>45379.734722222223</v>
      </c>
      <c r="E20" s="18" t="s">
        <v>10</v>
      </c>
      <c r="F20" s="18">
        <v>10</v>
      </c>
      <c r="G20" s="19">
        <v>45482.438888888886</v>
      </c>
      <c r="H20" s="18" t="s">
        <v>236</v>
      </c>
      <c r="I20" s="18" t="s">
        <v>10</v>
      </c>
      <c r="J20" s="18" t="s">
        <v>71</v>
      </c>
      <c r="K20" s="20"/>
    </row>
    <row r="21" spans="1:11" ht="36.75" thickBot="1">
      <c r="A21" s="18" t="s">
        <v>69</v>
      </c>
      <c r="B21" s="18">
        <v>20019072525</v>
      </c>
      <c r="C21" s="18" t="s">
        <v>70</v>
      </c>
      <c r="D21" s="19">
        <v>45386.45208333333</v>
      </c>
      <c r="E21" s="18" t="s">
        <v>10</v>
      </c>
      <c r="F21" s="18">
        <v>5</v>
      </c>
      <c r="G21" s="18" t="s">
        <v>10</v>
      </c>
      <c r="H21" s="18" t="s">
        <v>178</v>
      </c>
      <c r="I21" s="18" t="s">
        <v>10</v>
      </c>
      <c r="J21" s="18" t="s">
        <v>71</v>
      </c>
      <c r="K21" s="20"/>
    </row>
    <row r="22" spans="1:11" ht="36.75" thickBot="1">
      <c r="A22" s="18" t="s">
        <v>295</v>
      </c>
      <c r="B22" s="18">
        <v>20022475203</v>
      </c>
      <c r="C22" s="18" t="s">
        <v>94</v>
      </c>
      <c r="D22" s="19">
        <v>45396.44027777778</v>
      </c>
      <c r="E22" s="18" t="s">
        <v>10</v>
      </c>
      <c r="F22" s="18">
        <v>10</v>
      </c>
      <c r="G22" s="18" t="s">
        <v>10</v>
      </c>
      <c r="H22" s="18" t="s">
        <v>178</v>
      </c>
      <c r="I22" s="18" t="s">
        <v>10</v>
      </c>
      <c r="J22" s="18" t="s">
        <v>71</v>
      </c>
      <c r="K22" s="20"/>
    </row>
    <row r="23" spans="1:11" ht="36.75" thickBot="1">
      <c r="A23" s="18" t="s">
        <v>296</v>
      </c>
      <c r="B23" s="18">
        <v>20002865259</v>
      </c>
      <c r="C23" s="18" t="s">
        <v>297</v>
      </c>
      <c r="D23" s="19">
        <v>45399.453472222223</v>
      </c>
      <c r="E23" s="18" t="s">
        <v>10</v>
      </c>
      <c r="F23" s="18">
        <v>5</v>
      </c>
      <c r="G23" s="18" t="s">
        <v>10</v>
      </c>
      <c r="H23" s="18" t="s">
        <v>178</v>
      </c>
      <c r="I23" s="18" t="s">
        <v>10</v>
      </c>
      <c r="J23" s="18" t="s">
        <v>71</v>
      </c>
      <c r="K23" s="20"/>
    </row>
    <row r="24" spans="1:11" ht="36.75" thickBot="1">
      <c r="A24" s="18" t="s">
        <v>298</v>
      </c>
      <c r="B24" s="18">
        <v>20003483398</v>
      </c>
      <c r="C24" s="18" t="s">
        <v>299</v>
      </c>
      <c r="D24" s="19">
        <v>45399.592361111114</v>
      </c>
      <c r="E24" s="18" t="s">
        <v>10</v>
      </c>
      <c r="F24" s="18">
        <v>5</v>
      </c>
      <c r="G24" s="19">
        <v>45489.525694444441</v>
      </c>
      <c r="H24" s="18" t="s">
        <v>236</v>
      </c>
      <c r="I24" s="18" t="s">
        <v>10</v>
      </c>
      <c r="J24" s="18" t="s">
        <v>71</v>
      </c>
      <c r="K24" s="20"/>
    </row>
    <row r="25" spans="1:11" ht="36.75" thickBot="1">
      <c r="A25" s="18" t="s">
        <v>301</v>
      </c>
      <c r="B25" s="18">
        <v>20019072525</v>
      </c>
      <c r="C25" s="18" t="s">
        <v>70</v>
      </c>
      <c r="D25" s="19">
        <v>45405.453472222223</v>
      </c>
      <c r="E25" s="18" t="s">
        <v>10</v>
      </c>
      <c r="F25" s="18">
        <v>5</v>
      </c>
      <c r="G25" s="19">
        <v>45475.606944444444</v>
      </c>
      <c r="H25" s="18" t="s">
        <v>236</v>
      </c>
      <c r="I25" s="18" t="s">
        <v>10</v>
      </c>
      <c r="J25" s="18" t="s">
        <v>71</v>
      </c>
      <c r="K25" s="20"/>
    </row>
    <row r="26" spans="1:11" ht="36.75" thickBot="1">
      <c r="A26" s="18" t="s">
        <v>302</v>
      </c>
      <c r="B26" s="18">
        <v>20026988031</v>
      </c>
      <c r="C26" s="18" t="s">
        <v>303</v>
      </c>
      <c r="D26" s="19">
        <v>45406.559027777781</v>
      </c>
      <c r="E26" s="18" t="s">
        <v>10</v>
      </c>
      <c r="F26" s="18">
        <v>10</v>
      </c>
      <c r="G26" s="19">
        <v>45898.634027777778</v>
      </c>
      <c r="H26" s="18" t="s">
        <v>2654</v>
      </c>
      <c r="I26" s="18" t="s">
        <v>10</v>
      </c>
      <c r="J26" s="18" t="s">
        <v>76</v>
      </c>
      <c r="K26" s="20"/>
    </row>
    <row r="27" spans="1:11" ht="36.75" thickBot="1">
      <c r="A27" s="18" t="s">
        <v>305</v>
      </c>
      <c r="B27" s="18">
        <v>20021461760</v>
      </c>
      <c r="C27" s="18" t="s">
        <v>306</v>
      </c>
      <c r="D27" s="19">
        <v>45409.55972222222</v>
      </c>
      <c r="E27" s="18" t="s">
        <v>10</v>
      </c>
      <c r="F27" s="18">
        <v>2</v>
      </c>
      <c r="G27" s="19">
        <v>45489.525694444441</v>
      </c>
      <c r="H27" s="18" t="s">
        <v>236</v>
      </c>
      <c r="I27" s="18" t="s">
        <v>10</v>
      </c>
      <c r="J27" s="18" t="s">
        <v>71</v>
      </c>
      <c r="K27" s="20"/>
    </row>
    <row r="28" spans="1:11" ht="36.75" thickBot="1">
      <c r="A28" s="18" t="s">
        <v>307</v>
      </c>
      <c r="B28" s="18">
        <v>20026430538</v>
      </c>
      <c r="C28" s="18" t="s">
        <v>308</v>
      </c>
      <c r="D28" s="19">
        <v>45412.702777777777</v>
      </c>
      <c r="E28" s="18" t="s">
        <v>10</v>
      </c>
      <c r="F28" s="18">
        <v>10</v>
      </c>
      <c r="G28" s="18" t="s">
        <v>10</v>
      </c>
      <c r="H28" s="18" t="s">
        <v>178</v>
      </c>
      <c r="I28" s="18" t="s">
        <v>10</v>
      </c>
      <c r="J28" s="18" t="s">
        <v>71</v>
      </c>
      <c r="K28" s="20"/>
    </row>
    <row r="29" spans="1:11" ht="36.75" thickBot="1">
      <c r="A29" s="18" t="s">
        <v>349</v>
      </c>
      <c r="B29" s="18">
        <v>20003498455</v>
      </c>
      <c r="C29" s="18" t="s">
        <v>350</v>
      </c>
      <c r="D29" s="19">
        <v>45420.890277777777</v>
      </c>
      <c r="E29" s="18" t="s">
        <v>10</v>
      </c>
      <c r="F29" s="18">
        <v>10</v>
      </c>
      <c r="G29" s="19">
        <v>45492.409722222219</v>
      </c>
      <c r="H29" s="18" t="s">
        <v>236</v>
      </c>
      <c r="I29" s="18" t="s">
        <v>10</v>
      </c>
      <c r="J29" s="18" t="s">
        <v>71</v>
      </c>
      <c r="K29" s="20"/>
    </row>
    <row r="30" spans="1:11" ht="36.75" thickBot="1">
      <c r="A30" s="18" t="s">
        <v>85</v>
      </c>
      <c r="B30" s="18">
        <v>20020712748</v>
      </c>
      <c r="C30" s="18" t="s">
        <v>86</v>
      </c>
      <c r="D30" s="19">
        <v>45346.37222222222</v>
      </c>
      <c r="E30" s="19">
        <v>45426.336805555555</v>
      </c>
      <c r="F30" s="18">
        <v>5</v>
      </c>
      <c r="G30" s="19">
        <v>45492.364583333336</v>
      </c>
      <c r="H30" s="18" t="s">
        <v>236</v>
      </c>
      <c r="I30" s="18" t="s">
        <v>10</v>
      </c>
      <c r="J30" s="18" t="s">
        <v>71</v>
      </c>
      <c r="K30" s="20"/>
    </row>
    <row r="31" spans="1:11" ht="54.75" thickBot="1">
      <c r="A31" s="18" t="s">
        <v>81</v>
      </c>
      <c r="B31" s="18">
        <v>20023302478</v>
      </c>
      <c r="C31" s="18" t="s">
        <v>82</v>
      </c>
      <c r="D31" s="19">
        <v>45371.56527777778</v>
      </c>
      <c r="E31" s="19">
        <v>45426.488888888889</v>
      </c>
      <c r="F31" s="18">
        <v>10</v>
      </c>
      <c r="G31" s="19">
        <v>45492.574305555558</v>
      </c>
      <c r="H31" s="18" t="s">
        <v>236</v>
      </c>
      <c r="I31" s="18" t="s">
        <v>10</v>
      </c>
      <c r="J31" s="18" t="s">
        <v>71</v>
      </c>
      <c r="K31" s="20"/>
    </row>
    <row r="32" spans="1:11" ht="36.75" thickBot="1">
      <c r="A32" s="18" t="s">
        <v>83</v>
      </c>
      <c r="B32" s="18">
        <v>20002926483</v>
      </c>
      <c r="C32" s="18" t="s">
        <v>84</v>
      </c>
      <c r="D32" s="19">
        <v>45369.065972222219</v>
      </c>
      <c r="E32" s="19">
        <v>45428.594444444447</v>
      </c>
      <c r="F32" s="18">
        <v>5</v>
      </c>
      <c r="G32" s="19">
        <v>45504.380555555559</v>
      </c>
      <c r="H32" s="18" t="s">
        <v>236</v>
      </c>
      <c r="I32" s="18" t="s">
        <v>10</v>
      </c>
      <c r="J32" s="18" t="s">
        <v>71</v>
      </c>
      <c r="K32" s="20"/>
    </row>
    <row r="33" spans="1:11" ht="36.75" thickBot="1">
      <c r="A33" s="18" t="s">
        <v>384</v>
      </c>
      <c r="B33" s="18">
        <v>20023933549</v>
      </c>
      <c r="C33" s="18" t="s">
        <v>109</v>
      </c>
      <c r="D33" s="19">
        <v>45428.692361111112</v>
      </c>
      <c r="E33" s="18" t="s">
        <v>10</v>
      </c>
      <c r="F33" s="18">
        <v>5</v>
      </c>
      <c r="G33" s="18" t="s">
        <v>10</v>
      </c>
      <c r="H33" s="18" t="s">
        <v>178</v>
      </c>
      <c r="I33" s="18" t="s">
        <v>10</v>
      </c>
      <c r="J33" s="18" t="s">
        <v>71</v>
      </c>
      <c r="K33" s="20"/>
    </row>
    <row r="34" spans="1:11" ht="36.75" thickBot="1">
      <c r="A34" s="18" t="s">
        <v>89</v>
      </c>
      <c r="B34" s="18">
        <v>20023793788</v>
      </c>
      <c r="C34" s="18" t="s">
        <v>90</v>
      </c>
      <c r="D34" s="19">
        <v>45337.623611111114</v>
      </c>
      <c r="E34" s="19">
        <v>45435.476388888892</v>
      </c>
      <c r="F34" s="18">
        <v>5</v>
      </c>
      <c r="G34" s="19">
        <v>45503.384722222225</v>
      </c>
      <c r="H34" s="18" t="s">
        <v>236</v>
      </c>
      <c r="I34" s="18" t="s">
        <v>10</v>
      </c>
      <c r="J34" s="18" t="s">
        <v>71</v>
      </c>
      <c r="K34" s="20"/>
    </row>
    <row r="35" spans="1:11" ht="36.75" thickBot="1">
      <c r="A35" s="18" t="s">
        <v>385</v>
      </c>
      <c r="B35" s="18">
        <v>20002865259</v>
      </c>
      <c r="C35" s="18" t="s">
        <v>386</v>
      </c>
      <c r="D35" s="19">
        <v>45436.638888888891</v>
      </c>
      <c r="E35" s="18" t="s">
        <v>10</v>
      </c>
      <c r="F35" s="18">
        <v>5</v>
      </c>
      <c r="G35" s="19">
        <v>45498.57708333333</v>
      </c>
      <c r="H35" s="18" t="s">
        <v>236</v>
      </c>
      <c r="I35" s="18" t="s">
        <v>10</v>
      </c>
      <c r="J35" s="18" t="s">
        <v>71</v>
      </c>
      <c r="K35" s="20"/>
    </row>
    <row r="36" spans="1:11" ht="54.75" thickBot="1">
      <c r="A36" s="18" t="s">
        <v>300</v>
      </c>
      <c r="B36" s="18">
        <v>20026334924</v>
      </c>
      <c r="C36" s="18" t="s">
        <v>75</v>
      </c>
      <c r="D36" s="19">
        <v>45404.42083333333</v>
      </c>
      <c r="E36" s="19">
        <v>45436.676388888889</v>
      </c>
      <c r="F36" s="18">
        <v>10</v>
      </c>
      <c r="G36" s="19">
        <v>45492.574305555558</v>
      </c>
      <c r="H36" s="18" t="s">
        <v>236</v>
      </c>
      <c r="I36" s="18" t="s">
        <v>10</v>
      </c>
      <c r="J36" s="18" t="s">
        <v>71</v>
      </c>
      <c r="K36" s="20"/>
    </row>
    <row r="37" spans="1:11" ht="36.75" thickBot="1">
      <c r="A37" s="18" t="s">
        <v>304</v>
      </c>
      <c r="B37" s="18">
        <v>20023933549</v>
      </c>
      <c r="C37" s="18" t="s">
        <v>109</v>
      </c>
      <c r="D37" s="19">
        <v>45407.638888888891</v>
      </c>
      <c r="E37" s="19">
        <v>45437.624305555553</v>
      </c>
      <c r="F37" s="18">
        <v>5</v>
      </c>
      <c r="G37" s="19">
        <v>45532.481249999997</v>
      </c>
      <c r="H37" s="18" t="s">
        <v>236</v>
      </c>
      <c r="I37" s="18" t="s">
        <v>10</v>
      </c>
      <c r="J37" s="18" t="s">
        <v>71</v>
      </c>
      <c r="K37" s="20"/>
    </row>
    <row r="38" spans="1:11" ht="36.75" thickBot="1">
      <c r="A38" s="18" t="s">
        <v>513</v>
      </c>
      <c r="B38" s="18">
        <v>20003237699</v>
      </c>
      <c r="C38" s="18" t="s">
        <v>514</v>
      </c>
      <c r="D38" s="19">
        <v>45451.88958333333</v>
      </c>
      <c r="E38" s="18" t="s">
        <v>10</v>
      </c>
      <c r="F38" s="18">
        <v>20</v>
      </c>
      <c r="G38" s="19">
        <v>45539.507638888892</v>
      </c>
      <c r="H38" s="18" t="s">
        <v>236</v>
      </c>
      <c r="I38" s="18" t="s">
        <v>10</v>
      </c>
      <c r="J38" s="18" t="s">
        <v>71</v>
      </c>
      <c r="K38" s="20"/>
    </row>
    <row r="39" spans="1:11" ht="36.75" thickBot="1">
      <c r="A39" s="18" t="s">
        <v>515</v>
      </c>
      <c r="B39" s="18">
        <v>20003531859</v>
      </c>
      <c r="C39" s="18" t="s">
        <v>516</v>
      </c>
      <c r="D39" s="19">
        <v>45449.631249999999</v>
      </c>
      <c r="E39" s="19">
        <v>45453.600694444445</v>
      </c>
      <c r="F39" s="18">
        <v>10</v>
      </c>
      <c r="G39" s="19">
        <v>45455.443749999999</v>
      </c>
      <c r="H39" s="18" t="s">
        <v>236</v>
      </c>
      <c r="I39" s="18" t="s">
        <v>10</v>
      </c>
      <c r="J39" s="18" t="s">
        <v>71</v>
      </c>
      <c r="K39" s="20"/>
    </row>
    <row r="40" spans="1:11" ht="36.75" thickBot="1">
      <c r="A40" s="18" t="s">
        <v>348</v>
      </c>
      <c r="B40" s="18">
        <v>20021838853</v>
      </c>
      <c r="C40" s="18" t="s">
        <v>100</v>
      </c>
      <c r="D40" s="19">
        <v>45420.475694444445</v>
      </c>
      <c r="E40" s="19">
        <v>45454.588888888888</v>
      </c>
      <c r="F40" s="18">
        <v>5</v>
      </c>
      <c r="G40" s="18" t="s">
        <v>10</v>
      </c>
      <c r="H40" s="18" t="s">
        <v>189</v>
      </c>
      <c r="I40" s="18" t="s">
        <v>10</v>
      </c>
      <c r="J40" s="18" t="s">
        <v>71</v>
      </c>
      <c r="K40" s="20"/>
    </row>
    <row r="41" spans="1:11" ht="36.75" thickBot="1">
      <c r="A41" s="18" t="s">
        <v>387</v>
      </c>
      <c r="B41" s="18">
        <v>20026547553</v>
      </c>
      <c r="C41" s="18" t="s">
        <v>388</v>
      </c>
      <c r="D41" s="19">
        <v>45440.681250000001</v>
      </c>
      <c r="E41" s="19">
        <v>45455.761805555558</v>
      </c>
      <c r="F41" s="18">
        <v>4</v>
      </c>
      <c r="G41" s="19">
        <v>45532.412499999999</v>
      </c>
      <c r="H41" s="18" t="s">
        <v>236</v>
      </c>
      <c r="I41" s="18" t="s">
        <v>10</v>
      </c>
      <c r="J41" s="18" t="s">
        <v>71</v>
      </c>
      <c r="K41" s="20"/>
    </row>
    <row r="42" spans="1:11" ht="36.75" thickBot="1">
      <c r="A42" s="18" t="s">
        <v>517</v>
      </c>
      <c r="B42" s="18">
        <v>20000938218</v>
      </c>
      <c r="C42" s="18" t="s">
        <v>518</v>
      </c>
      <c r="D42" s="19">
        <v>45457.806250000001</v>
      </c>
      <c r="E42" s="18" t="s">
        <v>10</v>
      </c>
      <c r="F42" s="18">
        <v>5</v>
      </c>
      <c r="G42" s="18" t="s">
        <v>10</v>
      </c>
      <c r="H42" s="18" t="s">
        <v>178</v>
      </c>
      <c r="I42" s="18" t="s">
        <v>10</v>
      </c>
      <c r="J42" s="18" t="s">
        <v>71</v>
      </c>
      <c r="K42" s="20"/>
    </row>
    <row r="43" spans="1:11" ht="36.75" thickBot="1">
      <c r="A43" s="18" t="s">
        <v>519</v>
      </c>
      <c r="B43" s="18">
        <v>20024208421</v>
      </c>
      <c r="C43" s="18" t="s">
        <v>520</v>
      </c>
      <c r="D43" s="19">
        <v>45451.624305555553</v>
      </c>
      <c r="E43" s="19">
        <v>45464.67291666667</v>
      </c>
      <c r="F43" s="18">
        <v>5</v>
      </c>
      <c r="G43" s="19">
        <v>45530.482638888891</v>
      </c>
      <c r="H43" s="18" t="s">
        <v>236</v>
      </c>
      <c r="I43" s="18" t="s">
        <v>10</v>
      </c>
      <c r="J43" s="18" t="s">
        <v>71</v>
      </c>
      <c r="K43" s="20"/>
    </row>
    <row r="44" spans="1:11" ht="36.75" thickBot="1">
      <c r="A44" s="18" t="s">
        <v>521</v>
      </c>
      <c r="B44" s="18">
        <v>20026430538</v>
      </c>
      <c r="C44" s="18" t="s">
        <v>522</v>
      </c>
      <c r="D44" s="19">
        <v>45452.7</v>
      </c>
      <c r="E44" s="19">
        <v>45466.909722222219</v>
      </c>
      <c r="F44" s="18">
        <v>10</v>
      </c>
      <c r="G44" s="19">
        <v>45533.414583333331</v>
      </c>
      <c r="H44" s="18" t="s">
        <v>236</v>
      </c>
      <c r="I44" s="18" t="s">
        <v>10</v>
      </c>
      <c r="J44" s="18" t="s">
        <v>71</v>
      </c>
      <c r="K44" s="20"/>
    </row>
    <row r="45" spans="1:11" ht="36.75" thickBot="1">
      <c r="A45" s="18" t="s">
        <v>525</v>
      </c>
      <c r="B45" s="18">
        <v>20019695826</v>
      </c>
      <c r="C45" s="18" t="s">
        <v>526</v>
      </c>
      <c r="D45" s="19">
        <v>45471.537499999999</v>
      </c>
      <c r="E45" s="18" t="s">
        <v>10</v>
      </c>
      <c r="F45" s="18">
        <v>5</v>
      </c>
      <c r="G45" s="19">
        <v>45526.657638888886</v>
      </c>
      <c r="H45" s="18" t="s">
        <v>236</v>
      </c>
      <c r="I45" s="18" t="s">
        <v>10</v>
      </c>
      <c r="J45" s="18" t="s">
        <v>71</v>
      </c>
      <c r="K45" s="20"/>
    </row>
    <row r="46" spans="1:11" ht="54.75" thickBot="1">
      <c r="A46" s="18" t="s">
        <v>527</v>
      </c>
      <c r="B46" s="18">
        <v>20027253866</v>
      </c>
      <c r="C46" s="18" t="s">
        <v>528</v>
      </c>
      <c r="D46" s="19">
        <v>45471.681250000001</v>
      </c>
      <c r="E46" s="18" t="s">
        <v>10</v>
      </c>
      <c r="F46" s="18">
        <v>20</v>
      </c>
      <c r="G46" s="19">
        <v>45532.4375</v>
      </c>
      <c r="H46" s="18" t="s">
        <v>236</v>
      </c>
      <c r="I46" s="18" t="s">
        <v>10</v>
      </c>
      <c r="J46" s="18" t="s">
        <v>71</v>
      </c>
      <c r="K46" s="20"/>
    </row>
    <row r="47" spans="1:11" ht="36.75" thickBot="1">
      <c r="A47" s="18" t="s">
        <v>642</v>
      </c>
      <c r="B47" s="18">
        <v>20022724780</v>
      </c>
      <c r="C47" s="18" t="s">
        <v>643</v>
      </c>
      <c r="D47" s="19">
        <v>45476.878472222219</v>
      </c>
      <c r="E47" s="18" t="s">
        <v>10</v>
      </c>
      <c r="F47" s="18">
        <v>10</v>
      </c>
      <c r="G47" s="19">
        <v>45831.474999999999</v>
      </c>
      <c r="H47" s="18" t="s">
        <v>2657</v>
      </c>
      <c r="I47" s="18" t="s">
        <v>10</v>
      </c>
      <c r="J47" s="18" t="s">
        <v>71</v>
      </c>
      <c r="K47" s="20"/>
    </row>
    <row r="48" spans="1:11" ht="36.75" thickBot="1">
      <c r="A48" s="18" t="s">
        <v>644</v>
      </c>
      <c r="B48" s="18">
        <v>20019499168</v>
      </c>
      <c r="C48" s="18" t="s">
        <v>645</v>
      </c>
      <c r="D48" s="19">
        <v>45477.6875</v>
      </c>
      <c r="E48" s="18" t="s">
        <v>10</v>
      </c>
      <c r="F48" s="18">
        <v>15</v>
      </c>
      <c r="G48" s="19">
        <v>45537.574999999997</v>
      </c>
      <c r="H48" s="18" t="s">
        <v>236</v>
      </c>
      <c r="I48" s="18" t="s">
        <v>10</v>
      </c>
      <c r="J48" s="18" t="s">
        <v>71</v>
      </c>
      <c r="K48" s="20"/>
    </row>
    <row r="49" spans="1:11" ht="36.75" thickBot="1">
      <c r="A49" s="18" t="s">
        <v>646</v>
      </c>
      <c r="B49" s="18">
        <v>20002864842</v>
      </c>
      <c r="C49" s="18" t="s">
        <v>104</v>
      </c>
      <c r="D49" s="19">
        <v>45477.729861111111</v>
      </c>
      <c r="E49" s="18" t="s">
        <v>10</v>
      </c>
      <c r="F49" s="18">
        <v>5</v>
      </c>
      <c r="G49" s="19">
        <v>45538.488888888889</v>
      </c>
      <c r="H49" s="18" t="s">
        <v>236</v>
      </c>
      <c r="I49" s="18" t="s">
        <v>10</v>
      </c>
      <c r="J49" s="18" t="s">
        <v>71</v>
      </c>
      <c r="K49" s="20"/>
    </row>
    <row r="50" spans="1:11" ht="36.75" thickBot="1">
      <c r="A50" s="18" t="s">
        <v>647</v>
      </c>
      <c r="B50" s="18">
        <v>20027628629</v>
      </c>
      <c r="C50" s="18" t="s">
        <v>648</v>
      </c>
      <c r="D50" s="19">
        <v>45477.779861111114</v>
      </c>
      <c r="E50" s="18" t="s">
        <v>10</v>
      </c>
      <c r="F50" s="18">
        <v>15</v>
      </c>
      <c r="G50" s="19">
        <v>45526.579861111109</v>
      </c>
      <c r="H50" s="18" t="s">
        <v>236</v>
      </c>
      <c r="I50" s="18" t="s">
        <v>10</v>
      </c>
      <c r="J50" s="18" t="s">
        <v>71</v>
      </c>
      <c r="K50" s="20"/>
    </row>
    <row r="51" spans="1:11" ht="36.75" thickBot="1">
      <c r="A51" s="18" t="s">
        <v>649</v>
      </c>
      <c r="B51" s="18">
        <v>20025516863</v>
      </c>
      <c r="C51" s="18" t="s">
        <v>650</v>
      </c>
      <c r="D51" s="19">
        <v>45478.603472222225</v>
      </c>
      <c r="E51" s="18" t="s">
        <v>10</v>
      </c>
      <c r="F51" s="18">
        <v>5</v>
      </c>
      <c r="G51" s="19">
        <v>45526.380555555559</v>
      </c>
      <c r="H51" s="18" t="s">
        <v>236</v>
      </c>
      <c r="I51" s="18" t="s">
        <v>10</v>
      </c>
      <c r="J51" s="18" t="s">
        <v>71</v>
      </c>
      <c r="K51" s="20"/>
    </row>
    <row r="52" spans="1:11" ht="36.75" thickBot="1">
      <c r="A52" s="18" t="s">
        <v>651</v>
      </c>
      <c r="B52" s="18">
        <v>20026848221</v>
      </c>
      <c r="C52" s="18" t="s">
        <v>652</v>
      </c>
      <c r="D52" s="19">
        <v>45478.724305555559</v>
      </c>
      <c r="E52" s="18" t="s">
        <v>10</v>
      </c>
      <c r="F52" s="18">
        <v>5</v>
      </c>
      <c r="G52" s="19">
        <v>45554.433333333334</v>
      </c>
      <c r="H52" s="18" t="s">
        <v>236</v>
      </c>
      <c r="I52" s="18" t="s">
        <v>10</v>
      </c>
      <c r="J52" s="18" t="s">
        <v>71</v>
      </c>
      <c r="K52" s="20"/>
    </row>
    <row r="53" spans="1:11" ht="36.75" thickBot="1">
      <c r="A53" s="18" t="s">
        <v>653</v>
      </c>
      <c r="B53" s="18">
        <v>20026569497</v>
      </c>
      <c r="C53" s="18" t="s">
        <v>652</v>
      </c>
      <c r="D53" s="19">
        <v>45478.734722222223</v>
      </c>
      <c r="E53" s="18" t="s">
        <v>10</v>
      </c>
      <c r="F53" s="18">
        <v>5</v>
      </c>
      <c r="G53" s="19">
        <v>45554.433333333334</v>
      </c>
      <c r="H53" s="18" t="s">
        <v>236</v>
      </c>
      <c r="I53" s="18" t="s">
        <v>10</v>
      </c>
      <c r="J53" s="18" t="s">
        <v>71</v>
      </c>
      <c r="K53" s="20"/>
    </row>
    <row r="54" spans="1:11" ht="36.75" thickBot="1">
      <c r="A54" s="18" t="s">
        <v>654</v>
      </c>
      <c r="B54" s="18">
        <v>20017484016</v>
      </c>
      <c r="C54" s="18" t="s">
        <v>655</v>
      </c>
      <c r="D54" s="19">
        <v>45479.047222222223</v>
      </c>
      <c r="E54" s="18" t="s">
        <v>10</v>
      </c>
      <c r="F54" s="18">
        <v>19.763999999999999</v>
      </c>
      <c r="G54" s="18" t="s">
        <v>10</v>
      </c>
      <c r="H54" s="18" t="s">
        <v>178</v>
      </c>
      <c r="I54" s="18" t="s">
        <v>10</v>
      </c>
      <c r="J54" s="18" t="s">
        <v>71</v>
      </c>
      <c r="K54" s="20"/>
    </row>
    <row r="55" spans="1:11" ht="36.75" thickBot="1">
      <c r="A55" s="18" t="s">
        <v>733</v>
      </c>
      <c r="B55" s="18">
        <v>20027038548</v>
      </c>
      <c r="C55" s="18" t="s">
        <v>734</v>
      </c>
      <c r="D55" s="19">
        <v>45490.492361111108</v>
      </c>
      <c r="E55" s="18" t="s">
        <v>10</v>
      </c>
      <c r="F55" s="18">
        <v>5</v>
      </c>
      <c r="G55" s="19">
        <v>45629.567361111112</v>
      </c>
      <c r="H55" s="18" t="s">
        <v>236</v>
      </c>
      <c r="I55" s="18" t="s">
        <v>10</v>
      </c>
      <c r="J55" s="18" t="s">
        <v>71</v>
      </c>
      <c r="K55" s="20"/>
    </row>
    <row r="56" spans="1:11" ht="36.75" thickBot="1">
      <c r="A56" s="18" t="s">
        <v>735</v>
      </c>
      <c r="B56" s="18">
        <v>20003183817</v>
      </c>
      <c r="C56" s="18" t="s">
        <v>736</v>
      </c>
      <c r="D56" s="19">
        <v>45490.678472222222</v>
      </c>
      <c r="E56" s="18" t="s">
        <v>10</v>
      </c>
      <c r="F56" s="18">
        <v>5</v>
      </c>
      <c r="G56" s="18" t="s">
        <v>10</v>
      </c>
      <c r="H56" s="18" t="s">
        <v>178</v>
      </c>
      <c r="I56" s="18" t="s">
        <v>10</v>
      </c>
      <c r="J56" s="18" t="s">
        <v>71</v>
      </c>
      <c r="K56" s="20"/>
    </row>
    <row r="57" spans="1:11" ht="36.75" thickBot="1">
      <c r="A57" s="18" t="s">
        <v>737</v>
      </c>
      <c r="B57" s="18">
        <v>20022710413</v>
      </c>
      <c r="C57" s="18" t="s">
        <v>738</v>
      </c>
      <c r="D57" s="19">
        <v>45490.697222222225</v>
      </c>
      <c r="E57" s="18" t="s">
        <v>10</v>
      </c>
      <c r="F57" s="18">
        <v>10</v>
      </c>
      <c r="G57" s="19">
        <v>45539.479166666664</v>
      </c>
      <c r="H57" s="18" t="s">
        <v>236</v>
      </c>
      <c r="I57" s="18" t="s">
        <v>10</v>
      </c>
      <c r="J57" s="18" t="s">
        <v>71</v>
      </c>
      <c r="K57" s="20"/>
    </row>
    <row r="58" spans="1:11" ht="36.75" thickBot="1">
      <c r="A58" s="18" t="s">
        <v>739</v>
      </c>
      <c r="B58" s="18">
        <v>20003652841</v>
      </c>
      <c r="C58" s="18" t="s">
        <v>740</v>
      </c>
      <c r="D58" s="19">
        <v>45490.882638888892</v>
      </c>
      <c r="E58" s="18" t="s">
        <v>10</v>
      </c>
      <c r="F58" s="18">
        <v>5</v>
      </c>
      <c r="G58" s="18" t="s">
        <v>10</v>
      </c>
      <c r="H58" s="18" t="s">
        <v>178</v>
      </c>
      <c r="I58" s="18" t="s">
        <v>10</v>
      </c>
      <c r="J58" s="18" t="s">
        <v>71</v>
      </c>
      <c r="K58" s="20"/>
    </row>
    <row r="59" spans="1:11" ht="72.75" thickBot="1">
      <c r="A59" s="18" t="s">
        <v>523</v>
      </c>
      <c r="B59" s="18">
        <v>20026838915</v>
      </c>
      <c r="C59" s="18" t="s">
        <v>524</v>
      </c>
      <c r="D59" s="19">
        <v>45468.632638888892</v>
      </c>
      <c r="E59" s="19">
        <v>45491.450694444444</v>
      </c>
      <c r="F59" s="18">
        <v>1.5</v>
      </c>
      <c r="G59" s="18" t="s">
        <v>10</v>
      </c>
      <c r="H59" s="18" t="s">
        <v>178</v>
      </c>
      <c r="I59" s="18" t="s">
        <v>10</v>
      </c>
      <c r="J59" s="18" t="s">
        <v>71</v>
      </c>
      <c r="K59" s="20"/>
    </row>
    <row r="60" spans="1:11" ht="36.75" thickBot="1">
      <c r="A60" s="18" t="s">
        <v>743</v>
      </c>
      <c r="B60" s="18">
        <v>20026899236</v>
      </c>
      <c r="C60" s="18" t="s">
        <v>744</v>
      </c>
      <c r="D60" s="19">
        <v>45498.961111111108</v>
      </c>
      <c r="E60" s="18" t="s">
        <v>10</v>
      </c>
      <c r="F60" s="18">
        <v>20</v>
      </c>
      <c r="G60" s="19">
        <v>45532.563888888886</v>
      </c>
      <c r="H60" s="18" t="s">
        <v>236</v>
      </c>
      <c r="I60" s="18" t="s">
        <v>10</v>
      </c>
      <c r="J60" s="18" t="s">
        <v>71</v>
      </c>
      <c r="K60" s="20"/>
    </row>
    <row r="61" spans="1:11" ht="36.75" thickBot="1">
      <c r="A61" s="18" t="s">
        <v>878</v>
      </c>
      <c r="B61" s="18">
        <v>20003368100</v>
      </c>
      <c r="C61" s="18" t="s">
        <v>879</v>
      </c>
      <c r="D61" s="19">
        <v>45512.867361111108</v>
      </c>
      <c r="E61" s="18" t="s">
        <v>10</v>
      </c>
      <c r="F61" s="18">
        <v>15</v>
      </c>
      <c r="G61" s="18" t="s">
        <v>10</v>
      </c>
      <c r="H61" s="18" t="s">
        <v>178</v>
      </c>
      <c r="I61" s="18" t="s">
        <v>10</v>
      </c>
      <c r="J61" s="18" t="s">
        <v>71</v>
      </c>
      <c r="K61" s="20"/>
    </row>
    <row r="62" spans="1:11" ht="54.75" thickBot="1">
      <c r="A62" s="18" t="s">
        <v>880</v>
      </c>
      <c r="B62" s="18">
        <v>20018709763</v>
      </c>
      <c r="C62" s="18" t="s">
        <v>881</v>
      </c>
      <c r="D62" s="19">
        <v>45518.043749999997</v>
      </c>
      <c r="E62" s="18" t="s">
        <v>10</v>
      </c>
      <c r="F62" s="18">
        <v>20</v>
      </c>
      <c r="G62" s="19">
        <v>45553.470833333333</v>
      </c>
      <c r="H62" s="18" t="s">
        <v>236</v>
      </c>
      <c r="I62" s="18" t="s">
        <v>10</v>
      </c>
      <c r="J62" s="18" t="s">
        <v>76</v>
      </c>
      <c r="K62" s="20"/>
    </row>
    <row r="63" spans="1:11" ht="36.75" thickBot="1">
      <c r="A63" s="18" t="s">
        <v>882</v>
      </c>
      <c r="B63" s="18">
        <v>20010763191</v>
      </c>
      <c r="C63" s="18" t="s">
        <v>883</v>
      </c>
      <c r="D63" s="19">
        <v>45518.428472222222</v>
      </c>
      <c r="E63" s="18" t="s">
        <v>10</v>
      </c>
      <c r="F63" s="18">
        <v>5</v>
      </c>
      <c r="G63" s="19">
        <v>45554.383333333331</v>
      </c>
      <c r="H63" s="18" t="s">
        <v>236</v>
      </c>
      <c r="I63" s="18" t="s">
        <v>10</v>
      </c>
      <c r="J63" s="18" t="s">
        <v>76</v>
      </c>
      <c r="K63" s="20"/>
    </row>
    <row r="64" spans="1:11" ht="36.75" thickBot="1">
      <c r="A64" s="18" t="s">
        <v>886</v>
      </c>
      <c r="B64" s="18">
        <v>20027370131</v>
      </c>
      <c r="C64" s="18" t="s">
        <v>887</v>
      </c>
      <c r="D64" s="19">
        <v>45519.743055555555</v>
      </c>
      <c r="E64" s="18" t="s">
        <v>10</v>
      </c>
      <c r="F64" s="18">
        <v>10</v>
      </c>
      <c r="G64" s="18" t="s">
        <v>10</v>
      </c>
      <c r="H64" s="18" t="s">
        <v>178</v>
      </c>
      <c r="I64" s="18" t="s">
        <v>10</v>
      </c>
      <c r="J64" s="18" t="s">
        <v>71</v>
      </c>
      <c r="K64" s="20"/>
    </row>
    <row r="65" spans="1:11" ht="36.75" thickBot="1">
      <c r="A65" s="18" t="s">
        <v>889</v>
      </c>
      <c r="B65" s="18">
        <v>20024816245</v>
      </c>
      <c r="C65" s="18" t="s">
        <v>890</v>
      </c>
      <c r="D65" s="19">
        <v>45525.620138888888</v>
      </c>
      <c r="E65" s="18" t="s">
        <v>10</v>
      </c>
      <c r="F65" s="18">
        <v>10</v>
      </c>
      <c r="G65" s="18" t="s">
        <v>10</v>
      </c>
      <c r="H65" s="18" t="s">
        <v>178</v>
      </c>
      <c r="I65" s="18" t="s">
        <v>10</v>
      </c>
      <c r="J65" s="18" t="s">
        <v>76</v>
      </c>
      <c r="K65" s="20"/>
    </row>
    <row r="66" spans="1:11" ht="36.75" thickBot="1">
      <c r="A66" s="18" t="s">
        <v>741</v>
      </c>
      <c r="B66" s="18">
        <v>20003460422</v>
      </c>
      <c r="C66" s="18" t="s">
        <v>742</v>
      </c>
      <c r="D66" s="19">
        <v>45497.46597222222</v>
      </c>
      <c r="E66" s="19">
        <v>45530.499305555553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71</v>
      </c>
      <c r="K66" s="20"/>
    </row>
    <row r="67" spans="1:11" ht="36.75" thickBot="1">
      <c r="A67" s="18" t="s">
        <v>891</v>
      </c>
      <c r="B67" s="18">
        <v>20016947817</v>
      </c>
      <c r="C67" s="18" t="s">
        <v>892</v>
      </c>
      <c r="D67" s="19">
        <v>45530.588888888888</v>
      </c>
      <c r="E67" s="18" t="s">
        <v>10</v>
      </c>
      <c r="F67" s="18">
        <v>10</v>
      </c>
      <c r="G67" s="18" t="s">
        <v>10</v>
      </c>
      <c r="H67" s="18" t="s">
        <v>178</v>
      </c>
      <c r="I67" s="18" t="s">
        <v>10</v>
      </c>
      <c r="J67" s="18" t="s">
        <v>76</v>
      </c>
      <c r="K67" s="20"/>
    </row>
    <row r="68" spans="1:11" ht="54.75" thickBot="1">
      <c r="A68" s="18" t="s">
        <v>745</v>
      </c>
      <c r="B68" s="18">
        <v>20020970104</v>
      </c>
      <c r="C68" s="18" t="s">
        <v>217</v>
      </c>
      <c r="D68" s="19">
        <v>45502.823611111111</v>
      </c>
      <c r="E68" s="19">
        <v>45530.798611111109</v>
      </c>
      <c r="F68" s="18">
        <v>12</v>
      </c>
      <c r="G68" s="19">
        <v>45554.359027777777</v>
      </c>
      <c r="H68" s="18" t="s">
        <v>236</v>
      </c>
      <c r="I68" s="18" t="s">
        <v>10</v>
      </c>
      <c r="J68" s="18" t="s">
        <v>76</v>
      </c>
      <c r="K68" s="20"/>
    </row>
    <row r="69" spans="1:11" ht="36.75" thickBot="1">
      <c r="A69" s="18" t="s">
        <v>893</v>
      </c>
      <c r="B69" s="18">
        <v>20022283334</v>
      </c>
      <c r="C69" s="18" t="s">
        <v>894</v>
      </c>
      <c r="D69" s="19">
        <v>45532.371527777781</v>
      </c>
      <c r="E69" s="18" t="s">
        <v>10</v>
      </c>
      <c r="F69" s="18">
        <v>5</v>
      </c>
      <c r="G69" s="19">
        <v>45566.386805555558</v>
      </c>
      <c r="H69" s="18" t="s">
        <v>236</v>
      </c>
      <c r="I69" s="18" t="s">
        <v>10</v>
      </c>
      <c r="J69" s="18" t="s">
        <v>71</v>
      </c>
      <c r="K69" s="20"/>
    </row>
    <row r="70" spans="1:11" ht="36.75" thickBot="1">
      <c r="A70" s="18" t="s">
        <v>895</v>
      </c>
      <c r="B70" s="18">
        <v>20000938218</v>
      </c>
      <c r="C70" s="18" t="s">
        <v>518</v>
      </c>
      <c r="D70" s="19">
        <v>45532.550694444442</v>
      </c>
      <c r="E70" s="18" t="s">
        <v>10</v>
      </c>
      <c r="F70" s="18">
        <v>5</v>
      </c>
      <c r="G70" s="18" t="s">
        <v>10</v>
      </c>
      <c r="H70" s="18" t="s">
        <v>178</v>
      </c>
      <c r="I70" s="18" t="s">
        <v>10</v>
      </c>
      <c r="J70" s="18" t="s">
        <v>71</v>
      </c>
      <c r="K70" s="20"/>
    </row>
    <row r="71" spans="1:11" ht="54.75" thickBot="1">
      <c r="A71" s="18" t="s">
        <v>1077</v>
      </c>
      <c r="B71" s="18">
        <v>20003215412</v>
      </c>
      <c r="C71" s="18" t="s">
        <v>1078</v>
      </c>
      <c r="D71" s="19">
        <v>45538.472916666666</v>
      </c>
      <c r="E71" s="18" t="s">
        <v>10</v>
      </c>
      <c r="F71" s="18">
        <v>20</v>
      </c>
      <c r="G71" s="18" t="s">
        <v>10</v>
      </c>
      <c r="H71" s="18" t="s">
        <v>178</v>
      </c>
      <c r="I71" s="18" t="s">
        <v>10</v>
      </c>
      <c r="J71" s="18" t="s">
        <v>71</v>
      </c>
      <c r="K71" s="20"/>
    </row>
    <row r="72" spans="1:11" ht="36.75" thickBot="1">
      <c r="A72" s="18" t="s">
        <v>1079</v>
      </c>
      <c r="B72" s="18">
        <v>20003406192</v>
      </c>
      <c r="C72" s="18" t="s">
        <v>1080</v>
      </c>
      <c r="D72" s="19">
        <v>45539.47152777778</v>
      </c>
      <c r="E72" s="18" t="s">
        <v>10</v>
      </c>
      <c r="F72" s="18">
        <v>5</v>
      </c>
      <c r="G72" s="19">
        <v>45565.640972222223</v>
      </c>
      <c r="H72" s="18" t="s">
        <v>236</v>
      </c>
      <c r="I72" s="18" t="s">
        <v>10</v>
      </c>
      <c r="J72" s="18" t="s">
        <v>71</v>
      </c>
      <c r="K72" s="20"/>
    </row>
    <row r="73" spans="1:11" ht="36.75" thickBot="1">
      <c r="A73" s="18" t="s">
        <v>1081</v>
      </c>
      <c r="B73" s="18">
        <v>20027818278</v>
      </c>
      <c r="C73" s="18" t="s">
        <v>1082</v>
      </c>
      <c r="D73" s="19">
        <v>45546.418055555558</v>
      </c>
      <c r="E73" s="18" t="s">
        <v>10</v>
      </c>
      <c r="F73" s="18">
        <v>2</v>
      </c>
      <c r="G73" s="18" t="s">
        <v>10</v>
      </c>
      <c r="H73" s="18" t="s">
        <v>178</v>
      </c>
      <c r="I73" s="18" t="s">
        <v>10</v>
      </c>
      <c r="J73" s="18" t="s">
        <v>71</v>
      </c>
      <c r="K73" s="20"/>
    </row>
    <row r="74" spans="1:11" ht="54.75" thickBot="1">
      <c r="A74" s="18" t="s">
        <v>1083</v>
      </c>
      <c r="B74" s="18">
        <v>20016947817</v>
      </c>
      <c r="C74" s="18" t="s">
        <v>1084</v>
      </c>
      <c r="D74" s="19">
        <v>45547.663194444445</v>
      </c>
      <c r="E74" s="18" t="s">
        <v>10</v>
      </c>
      <c r="F74" s="18">
        <v>10</v>
      </c>
      <c r="G74" s="19">
        <v>45768.62222222222</v>
      </c>
      <c r="H74" s="18" t="s">
        <v>236</v>
      </c>
      <c r="I74" s="18" t="s">
        <v>10</v>
      </c>
      <c r="J74" s="18" t="s">
        <v>76</v>
      </c>
      <c r="K74" s="20"/>
    </row>
    <row r="75" spans="1:11" ht="36.75" thickBot="1">
      <c r="A75" s="18" t="s">
        <v>1085</v>
      </c>
      <c r="B75" s="18">
        <v>20024816245</v>
      </c>
      <c r="C75" s="18" t="s">
        <v>98</v>
      </c>
      <c r="D75" s="19">
        <v>45547.67291666667</v>
      </c>
      <c r="E75" s="18" t="s">
        <v>10</v>
      </c>
      <c r="F75" s="18">
        <v>10</v>
      </c>
      <c r="G75" s="19">
        <v>45566.634722222225</v>
      </c>
      <c r="H75" s="18" t="s">
        <v>236</v>
      </c>
      <c r="I75" s="18" t="s">
        <v>10</v>
      </c>
      <c r="J75" s="18" t="s">
        <v>71</v>
      </c>
      <c r="K75" s="20"/>
    </row>
    <row r="76" spans="1:11" ht="72.75" thickBot="1">
      <c r="A76" s="18" t="s">
        <v>888</v>
      </c>
      <c r="B76" s="18">
        <v>20027537188</v>
      </c>
      <c r="C76" s="18" t="s">
        <v>524</v>
      </c>
      <c r="D76" s="19">
        <v>45523.667361111111</v>
      </c>
      <c r="E76" s="19">
        <v>45551.4</v>
      </c>
      <c r="F76" s="18">
        <v>1.5</v>
      </c>
      <c r="G76" s="19">
        <v>45569.568055555559</v>
      </c>
      <c r="H76" s="18" t="s">
        <v>236</v>
      </c>
      <c r="I76" s="18" t="s">
        <v>10</v>
      </c>
      <c r="J76" s="18" t="s">
        <v>71</v>
      </c>
      <c r="K76" s="20"/>
    </row>
    <row r="77" spans="1:11" ht="36.75" thickBot="1">
      <c r="A77" s="18" t="s">
        <v>1092</v>
      </c>
      <c r="B77" s="18">
        <v>20002921060</v>
      </c>
      <c r="C77" s="18" t="s">
        <v>1093</v>
      </c>
      <c r="D77" s="19">
        <v>45553.429861111108</v>
      </c>
      <c r="E77" s="18" t="s">
        <v>10</v>
      </c>
      <c r="F77" s="18">
        <v>5</v>
      </c>
      <c r="G77" s="19">
        <v>45566.607638888891</v>
      </c>
      <c r="H77" s="18" t="s">
        <v>236</v>
      </c>
      <c r="I77" s="18" t="s">
        <v>10</v>
      </c>
      <c r="J77" s="18" t="s">
        <v>71</v>
      </c>
      <c r="K77" s="20"/>
    </row>
    <row r="78" spans="1:11" ht="36.75" thickBot="1">
      <c r="A78" s="18" t="s">
        <v>1215</v>
      </c>
      <c r="B78" s="18">
        <v>20025949590</v>
      </c>
      <c r="C78" s="18" t="s">
        <v>1216</v>
      </c>
      <c r="D78" s="19">
        <v>45558.436805555553</v>
      </c>
      <c r="E78" s="18" t="s">
        <v>10</v>
      </c>
      <c r="F78" s="18">
        <v>5</v>
      </c>
      <c r="G78" s="18" t="s">
        <v>10</v>
      </c>
      <c r="H78" s="18" t="s">
        <v>178</v>
      </c>
      <c r="I78" s="18" t="s">
        <v>10</v>
      </c>
      <c r="J78" s="18" t="s">
        <v>71</v>
      </c>
      <c r="K78" s="20"/>
    </row>
    <row r="79" spans="1:11" ht="54.75" thickBot="1">
      <c r="A79" s="18" t="s">
        <v>1217</v>
      </c>
      <c r="B79" s="18">
        <v>20003449915</v>
      </c>
      <c r="C79" s="18" t="s">
        <v>1078</v>
      </c>
      <c r="D79" s="19">
        <v>45558.663888888892</v>
      </c>
      <c r="E79" s="18" t="s">
        <v>10</v>
      </c>
      <c r="F79" s="18">
        <v>20</v>
      </c>
      <c r="G79" s="19">
        <v>45575.425694444442</v>
      </c>
      <c r="H79" s="18" t="s">
        <v>236</v>
      </c>
      <c r="I79" s="18" t="s">
        <v>10</v>
      </c>
      <c r="J79" s="18" t="s">
        <v>71</v>
      </c>
      <c r="K79" s="20"/>
    </row>
    <row r="80" spans="1:11" ht="36.75" thickBot="1">
      <c r="A80" s="18" t="s">
        <v>1218</v>
      </c>
      <c r="B80" s="18">
        <v>20027818278</v>
      </c>
      <c r="C80" s="18" t="s">
        <v>1082</v>
      </c>
      <c r="D80" s="19">
        <v>45559.720138888886</v>
      </c>
      <c r="E80" s="18" t="s">
        <v>10</v>
      </c>
      <c r="F80" s="18">
        <v>2</v>
      </c>
      <c r="G80" s="19">
        <v>45573.459722222222</v>
      </c>
      <c r="H80" s="18" t="s">
        <v>236</v>
      </c>
      <c r="I80" s="18" t="s">
        <v>10</v>
      </c>
      <c r="J80" s="18" t="s">
        <v>71</v>
      </c>
      <c r="K80" s="20"/>
    </row>
    <row r="81" spans="1:11" ht="36.75" thickBot="1">
      <c r="A81" s="18" t="s">
        <v>1219</v>
      </c>
      <c r="B81" s="18">
        <v>20022475203</v>
      </c>
      <c r="C81" s="18" t="s">
        <v>1220</v>
      </c>
      <c r="D81" s="19">
        <v>45559.774305555555</v>
      </c>
      <c r="E81" s="18" t="s">
        <v>10</v>
      </c>
      <c r="F81" s="18">
        <v>10</v>
      </c>
      <c r="G81" s="19">
        <v>45664.658333333333</v>
      </c>
      <c r="H81" s="18" t="s">
        <v>236</v>
      </c>
      <c r="I81" s="18" t="s">
        <v>10</v>
      </c>
      <c r="J81" s="18" t="s">
        <v>71</v>
      </c>
      <c r="K81" s="20"/>
    </row>
    <row r="82" spans="1:11" ht="36.75" thickBot="1">
      <c r="A82" s="18" t="s">
        <v>1088</v>
      </c>
      <c r="B82" s="18">
        <v>20024478918</v>
      </c>
      <c r="C82" s="18" t="s">
        <v>1089</v>
      </c>
      <c r="D82" s="19">
        <v>45548.689583333333</v>
      </c>
      <c r="E82" s="19">
        <v>45560.572222222225</v>
      </c>
      <c r="F82" s="18">
        <v>20</v>
      </c>
      <c r="G82" s="19">
        <v>45567.602083333331</v>
      </c>
      <c r="H82" s="18" t="s">
        <v>236</v>
      </c>
      <c r="I82" s="18" t="s">
        <v>10</v>
      </c>
      <c r="J82" s="18" t="s">
        <v>71</v>
      </c>
      <c r="K82" s="20"/>
    </row>
    <row r="83" spans="1:11" ht="36.75" thickBot="1">
      <c r="A83" s="18" t="s">
        <v>1090</v>
      </c>
      <c r="B83" s="18">
        <v>20020712743</v>
      </c>
      <c r="C83" s="18" t="s">
        <v>1091</v>
      </c>
      <c r="D83" s="19">
        <v>45551.727083333331</v>
      </c>
      <c r="E83" s="19">
        <v>45560.598611111112</v>
      </c>
      <c r="F83" s="18">
        <v>10</v>
      </c>
      <c r="G83" s="19">
        <v>45603.547222222223</v>
      </c>
      <c r="H83" s="18" t="s">
        <v>236</v>
      </c>
      <c r="I83" s="18" t="s">
        <v>10</v>
      </c>
      <c r="J83" s="18" t="s">
        <v>71</v>
      </c>
      <c r="K83" s="20"/>
    </row>
    <row r="84" spans="1:11" ht="36.75" thickBot="1">
      <c r="A84" s="18" t="s">
        <v>1221</v>
      </c>
      <c r="B84" s="18">
        <v>20027488644</v>
      </c>
      <c r="C84" s="18" t="s">
        <v>1222</v>
      </c>
      <c r="D84" s="19">
        <v>45563.501388888886</v>
      </c>
      <c r="E84" s="18" t="s">
        <v>10</v>
      </c>
      <c r="F84" s="18">
        <v>5</v>
      </c>
      <c r="G84" s="18" t="s">
        <v>10</v>
      </c>
      <c r="H84" s="18" t="s">
        <v>178</v>
      </c>
      <c r="I84" s="18" t="s">
        <v>10</v>
      </c>
      <c r="J84" s="18" t="s">
        <v>71</v>
      </c>
      <c r="K84" s="20"/>
    </row>
    <row r="85" spans="1:11" ht="36.75" thickBot="1">
      <c r="A85" s="18" t="s">
        <v>1223</v>
      </c>
      <c r="B85" s="18">
        <v>20003411262</v>
      </c>
      <c r="C85" s="18" t="s">
        <v>1224</v>
      </c>
      <c r="D85" s="19">
        <v>45565.595833333333</v>
      </c>
      <c r="E85" s="18" t="s">
        <v>10</v>
      </c>
      <c r="F85" s="18">
        <v>5</v>
      </c>
      <c r="G85" s="19">
        <v>45624.591666666667</v>
      </c>
      <c r="H85" s="18" t="s">
        <v>236</v>
      </c>
      <c r="I85" s="18" t="s">
        <v>10</v>
      </c>
      <c r="J85" s="18" t="s">
        <v>71</v>
      </c>
      <c r="K85" s="20"/>
    </row>
    <row r="86" spans="1:11" ht="36.75" thickBot="1">
      <c r="A86" s="18" t="s">
        <v>1227</v>
      </c>
      <c r="B86" s="18">
        <v>20028034563</v>
      </c>
      <c r="C86" s="18" t="s">
        <v>1224</v>
      </c>
      <c r="D86" s="19">
        <v>45566.436111111114</v>
      </c>
      <c r="E86" s="18" t="s">
        <v>10</v>
      </c>
      <c r="F86" s="18">
        <v>5</v>
      </c>
      <c r="G86" s="19">
        <v>45624.591666666667</v>
      </c>
      <c r="H86" s="18" t="s">
        <v>236</v>
      </c>
      <c r="I86" s="18" t="s">
        <v>10</v>
      </c>
      <c r="J86" s="18" t="s">
        <v>71</v>
      </c>
      <c r="K86" s="20"/>
    </row>
    <row r="87" spans="1:11" ht="72.75" thickBot="1">
      <c r="A87" s="18" t="s">
        <v>1301</v>
      </c>
      <c r="B87" s="18">
        <v>20026652040</v>
      </c>
      <c r="C87" s="18" t="s">
        <v>825</v>
      </c>
      <c r="D87" s="19">
        <v>45566.492361111108</v>
      </c>
      <c r="E87" s="18" t="s">
        <v>10</v>
      </c>
      <c r="F87" s="18">
        <v>12</v>
      </c>
      <c r="G87" s="19">
        <v>45609.537499999999</v>
      </c>
      <c r="H87" s="18" t="s">
        <v>236</v>
      </c>
      <c r="I87" s="18" t="s">
        <v>10</v>
      </c>
      <c r="J87" s="18" t="s">
        <v>71</v>
      </c>
      <c r="K87" s="20"/>
    </row>
    <row r="88" spans="1:11" ht="36.75" thickBot="1">
      <c r="A88" s="18" t="s">
        <v>884</v>
      </c>
      <c r="B88" s="18">
        <v>20003016907</v>
      </c>
      <c r="C88" s="18" t="s">
        <v>885</v>
      </c>
      <c r="D88" s="19">
        <v>45518.75</v>
      </c>
      <c r="E88" s="19">
        <v>45567.52847222222</v>
      </c>
      <c r="F88" s="18">
        <v>5</v>
      </c>
      <c r="G88" s="19">
        <v>45637.611805555556</v>
      </c>
      <c r="H88" s="18" t="s">
        <v>236</v>
      </c>
      <c r="I88" s="18" t="s">
        <v>10</v>
      </c>
      <c r="J88" s="18" t="s">
        <v>71</v>
      </c>
      <c r="K88" s="20"/>
    </row>
    <row r="89" spans="1:11" ht="36.75" thickBot="1">
      <c r="A89" s="18" t="s">
        <v>1086</v>
      </c>
      <c r="B89" s="18">
        <v>20027554252</v>
      </c>
      <c r="C89" s="18" t="s">
        <v>1087</v>
      </c>
      <c r="D89" s="19">
        <v>45548.495138888888</v>
      </c>
      <c r="E89" s="19">
        <v>45569.447222222225</v>
      </c>
      <c r="F89" s="18">
        <v>3</v>
      </c>
      <c r="G89" s="19">
        <v>45876.491666666669</v>
      </c>
      <c r="H89" s="18" t="s">
        <v>2655</v>
      </c>
      <c r="I89" s="18" t="s">
        <v>2699</v>
      </c>
      <c r="J89" s="18" t="s">
        <v>76</v>
      </c>
      <c r="K89" s="20"/>
    </row>
    <row r="90" spans="1:11" ht="36.75" thickBot="1">
      <c r="A90" s="18" t="s">
        <v>1304</v>
      </c>
      <c r="B90" s="18">
        <v>347990012489</v>
      </c>
      <c r="C90" s="18" t="s">
        <v>887</v>
      </c>
      <c r="D90" s="19">
        <v>45573.753472222219</v>
      </c>
      <c r="E90" s="18" t="s">
        <v>10</v>
      </c>
      <c r="F90" s="18">
        <v>10</v>
      </c>
      <c r="G90" s="18" t="s">
        <v>10</v>
      </c>
      <c r="H90" s="18" t="s">
        <v>178</v>
      </c>
      <c r="I90" s="18" t="s">
        <v>10</v>
      </c>
      <c r="J90" s="18" t="s">
        <v>71</v>
      </c>
      <c r="K90" s="20"/>
    </row>
    <row r="91" spans="1:11" ht="54.75" thickBot="1">
      <c r="A91" s="18" t="s">
        <v>1225</v>
      </c>
      <c r="B91" s="18">
        <v>20003501262</v>
      </c>
      <c r="C91" s="18" t="s">
        <v>1226</v>
      </c>
      <c r="D91" s="19">
        <v>45565.70416666667</v>
      </c>
      <c r="E91" s="19">
        <v>45575.643750000003</v>
      </c>
      <c r="F91" s="18">
        <v>10</v>
      </c>
      <c r="G91" s="19">
        <v>45876.550694444442</v>
      </c>
      <c r="H91" s="18" t="s">
        <v>2655</v>
      </c>
      <c r="I91" s="18" t="s">
        <v>2699</v>
      </c>
      <c r="J91" s="18" t="s">
        <v>76</v>
      </c>
      <c r="K91" s="20"/>
    </row>
    <row r="92" spans="1:11" ht="36.75" thickBot="1">
      <c r="A92" s="18" t="s">
        <v>1305</v>
      </c>
      <c r="B92" s="18">
        <v>20018656406</v>
      </c>
      <c r="C92" s="18" t="s">
        <v>1306</v>
      </c>
      <c r="D92" s="19">
        <v>45575.691666666666</v>
      </c>
      <c r="E92" s="18" t="s">
        <v>10</v>
      </c>
      <c r="F92" s="18">
        <v>10</v>
      </c>
      <c r="G92" s="18" t="s">
        <v>10</v>
      </c>
      <c r="H92" s="18" t="s">
        <v>178</v>
      </c>
      <c r="I92" s="18" t="s">
        <v>10</v>
      </c>
      <c r="J92" s="18" t="s">
        <v>71</v>
      </c>
      <c r="K92" s="20"/>
    </row>
    <row r="93" spans="1:11" ht="36.75" thickBot="1">
      <c r="A93" s="18" t="s">
        <v>1213</v>
      </c>
      <c r="B93" s="18">
        <v>20025985290</v>
      </c>
      <c r="C93" s="18" t="s">
        <v>1214</v>
      </c>
      <c r="D93" s="19">
        <v>45555.614583333336</v>
      </c>
      <c r="E93" s="19">
        <v>45575.722222222219</v>
      </c>
      <c r="F93" s="18">
        <v>3.8</v>
      </c>
      <c r="G93" s="19">
        <v>45623.470138888886</v>
      </c>
      <c r="H93" s="18" t="s">
        <v>236</v>
      </c>
      <c r="I93" s="18" t="s">
        <v>10</v>
      </c>
      <c r="J93" s="18" t="s">
        <v>76</v>
      </c>
      <c r="K93" s="20"/>
    </row>
    <row r="94" spans="1:11" ht="36.75" thickBot="1">
      <c r="A94" s="18" t="s">
        <v>1418</v>
      </c>
      <c r="B94" s="18">
        <v>20002979453</v>
      </c>
      <c r="C94" s="18" t="s">
        <v>1419</v>
      </c>
      <c r="D94" s="19">
        <v>45587.592361111114</v>
      </c>
      <c r="E94" s="18" t="s">
        <v>10</v>
      </c>
      <c r="F94" s="18">
        <v>6.5880000000000001</v>
      </c>
      <c r="G94" s="18" t="s">
        <v>10</v>
      </c>
      <c r="H94" s="18" t="s">
        <v>178</v>
      </c>
      <c r="I94" s="18" t="s">
        <v>10</v>
      </c>
      <c r="J94" s="18" t="s">
        <v>71</v>
      </c>
      <c r="K94" s="20"/>
    </row>
    <row r="95" spans="1:11" ht="36.75" thickBot="1">
      <c r="A95" s="18" t="s">
        <v>1420</v>
      </c>
      <c r="B95" s="18">
        <v>20025420841</v>
      </c>
      <c r="C95" s="18" t="s">
        <v>1421</v>
      </c>
      <c r="D95" s="19">
        <v>45595.388194444444</v>
      </c>
      <c r="E95" s="18" t="s">
        <v>10</v>
      </c>
      <c r="F95" s="18">
        <v>6</v>
      </c>
      <c r="G95" s="19">
        <v>45645.390277777777</v>
      </c>
      <c r="H95" s="18" t="s">
        <v>236</v>
      </c>
      <c r="I95" s="18" t="s">
        <v>10</v>
      </c>
      <c r="J95" s="18" t="s">
        <v>76</v>
      </c>
      <c r="K95" s="20"/>
    </row>
    <row r="96" spans="1:11" ht="36.75" thickBot="1">
      <c r="A96" s="18" t="s">
        <v>1603</v>
      </c>
      <c r="B96" s="18">
        <v>20022224067</v>
      </c>
      <c r="C96" s="18" t="s">
        <v>1604</v>
      </c>
      <c r="D96" s="19">
        <v>45602.992361111108</v>
      </c>
      <c r="E96" s="18" t="s">
        <v>10</v>
      </c>
      <c r="F96" s="18">
        <v>5</v>
      </c>
      <c r="G96" s="18" t="s">
        <v>10</v>
      </c>
      <c r="H96" s="18" t="s">
        <v>178</v>
      </c>
      <c r="I96" s="18" t="s">
        <v>10</v>
      </c>
      <c r="J96" s="18" t="s">
        <v>71</v>
      </c>
      <c r="K96" s="20"/>
    </row>
    <row r="97" spans="1:11" ht="36.75" thickBot="1">
      <c r="A97" s="18" t="s">
        <v>1605</v>
      </c>
      <c r="B97" s="18">
        <v>20021656442</v>
      </c>
      <c r="C97" s="18" t="s">
        <v>1606</v>
      </c>
      <c r="D97" s="19">
        <v>45604.378472222219</v>
      </c>
      <c r="E97" s="18" t="s">
        <v>10</v>
      </c>
      <c r="F97" s="18">
        <v>5</v>
      </c>
      <c r="G97" s="19">
        <v>45706.493055555555</v>
      </c>
      <c r="H97" s="18" t="s">
        <v>236</v>
      </c>
      <c r="I97" s="18" t="s">
        <v>10</v>
      </c>
      <c r="J97" s="18" t="s">
        <v>76</v>
      </c>
      <c r="K97" s="20"/>
    </row>
    <row r="98" spans="1:11" ht="36.75" thickBot="1">
      <c r="A98" s="18" t="s">
        <v>1607</v>
      </c>
      <c r="B98" s="18">
        <v>20021908182</v>
      </c>
      <c r="C98" s="18" t="s">
        <v>1608</v>
      </c>
      <c r="D98" s="19">
        <v>45605.39166666667</v>
      </c>
      <c r="E98" s="18" t="s">
        <v>10</v>
      </c>
      <c r="F98" s="18">
        <v>5</v>
      </c>
      <c r="G98" s="19">
        <v>45707.606944444444</v>
      </c>
      <c r="H98" s="18" t="s">
        <v>236</v>
      </c>
      <c r="I98" s="18" t="s">
        <v>10</v>
      </c>
      <c r="J98" s="18" t="s">
        <v>76</v>
      </c>
      <c r="K98" s="20"/>
    </row>
    <row r="99" spans="1:11" ht="36.75" thickBot="1">
      <c r="A99" s="18" t="s">
        <v>1302</v>
      </c>
      <c r="B99" s="18">
        <v>20003262069</v>
      </c>
      <c r="C99" s="18" t="s">
        <v>1303</v>
      </c>
      <c r="D99" s="19">
        <v>45569.65</v>
      </c>
      <c r="E99" s="19">
        <v>45607.658333333333</v>
      </c>
      <c r="F99" s="18">
        <v>5</v>
      </c>
      <c r="G99" s="19">
        <v>45685.564583333333</v>
      </c>
      <c r="H99" s="18" t="s">
        <v>236</v>
      </c>
      <c r="I99" s="18" t="s">
        <v>10</v>
      </c>
      <c r="J99" s="18" t="s">
        <v>71</v>
      </c>
      <c r="K99" s="20"/>
    </row>
    <row r="100" spans="1:11" ht="36.75" thickBot="1">
      <c r="A100" s="18" t="s">
        <v>1609</v>
      </c>
      <c r="B100" s="18">
        <v>20027370131</v>
      </c>
      <c r="C100" s="18" t="s">
        <v>1610</v>
      </c>
      <c r="D100" s="19">
        <v>45610.444444444445</v>
      </c>
      <c r="E100" s="19">
        <v>45611.568055555559</v>
      </c>
      <c r="F100" s="18">
        <v>10</v>
      </c>
      <c r="G100" s="19">
        <v>45644.442361111112</v>
      </c>
      <c r="H100" s="18" t="s">
        <v>236</v>
      </c>
      <c r="I100" s="18" t="s">
        <v>10</v>
      </c>
      <c r="J100" s="18" t="s">
        <v>71</v>
      </c>
      <c r="K100" s="20"/>
    </row>
    <row r="101" spans="1:11" ht="72.75" thickBot="1">
      <c r="A101" s="18" t="s">
        <v>1611</v>
      </c>
      <c r="B101" s="18">
        <v>20026652050</v>
      </c>
      <c r="C101" s="18" t="s">
        <v>825</v>
      </c>
      <c r="D101" s="19">
        <v>45614.48333333333</v>
      </c>
      <c r="E101" s="18" t="s">
        <v>10</v>
      </c>
      <c r="F101" s="18">
        <v>12</v>
      </c>
      <c r="G101" s="19">
        <v>45660.618750000001</v>
      </c>
      <c r="H101" s="18" t="s">
        <v>236</v>
      </c>
      <c r="I101" s="18" t="s">
        <v>10</v>
      </c>
      <c r="J101" s="18" t="s">
        <v>71</v>
      </c>
      <c r="K101" s="20"/>
    </row>
    <row r="102" spans="1:11" ht="36.75" thickBot="1">
      <c r="A102" s="21" t="s">
        <v>1612</v>
      </c>
      <c r="B102" s="21">
        <v>20025949590</v>
      </c>
      <c r="C102" s="21" t="s">
        <v>1216</v>
      </c>
      <c r="D102" s="22">
        <v>45616.568749999999</v>
      </c>
      <c r="E102" s="21" t="s">
        <v>10</v>
      </c>
      <c r="F102" s="21">
        <v>5</v>
      </c>
      <c r="G102" s="22">
        <v>45672.580555555556</v>
      </c>
      <c r="H102" s="21" t="s">
        <v>236</v>
      </c>
      <c r="I102" s="21" t="s">
        <v>10</v>
      </c>
      <c r="J102" s="21" t="s">
        <v>7884</v>
      </c>
      <c r="K102" s="1"/>
    </row>
    <row r="103" spans="1:11" ht="36.75" thickBot="1">
      <c r="A103" s="21" t="s">
        <v>1615</v>
      </c>
      <c r="B103" s="21">
        <v>20027078194</v>
      </c>
      <c r="C103" s="21" t="s">
        <v>1616</v>
      </c>
      <c r="D103" s="22">
        <v>45618.756249999999</v>
      </c>
      <c r="E103" s="21" t="s">
        <v>10</v>
      </c>
      <c r="F103" s="21">
        <v>10</v>
      </c>
      <c r="G103" s="22">
        <v>45663.561111111114</v>
      </c>
      <c r="H103" s="21" t="s">
        <v>236</v>
      </c>
      <c r="I103" s="21" t="s">
        <v>10</v>
      </c>
      <c r="J103" s="21" t="s">
        <v>71</v>
      </c>
      <c r="K103" s="20"/>
    </row>
    <row r="104" spans="1:11" ht="36.75" thickBot="1">
      <c r="A104" s="18" t="s">
        <v>1617</v>
      </c>
      <c r="B104" s="18">
        <v>20003052593</v>
      </c>
      <c r="C104" s="18" t="s">
        <v>1618</v>
      </c>
      <c r="D104" s="19">
        <v>45621.724999999999</v>
      </c>
      <c r="E104" s="18" t="s">
        <v>10</v>
      </c>
      <c r="F104" s="18">
        <v>10</v>
      </c>
      <c r="G104" s="18" t="s">
        <v>10</v>
      </c>
      <c r="H104" s="18" t="s">
        <v>178</v>
      </c>
      <c r="I104" s="18" t="s">
        <v>10</v>
      </c>
      <c r="J104" s="18" t="s">
        <v>71</v>
      </c>
      <c r="K104" s="20"/>
    </row>
    <row r="105" spans="1:11" ht="36.75" thickBot="1">
      <c r="A105" s="18" t="s">
        <v>1821</v>
      </c>
      <c r="B105" s="18">
        <v>20022325414</v>
      </c>
      <c r="C105" s="18" t="s">
        <v>1822</v>
      </c>
      <c r="D105" s="19">
        <v>45634.554166666669</v>
      </c>
      <c r="E105" s="18" t="s">
        <v>10</v>
      </c>
      <c r="F105" s="18">
        <v>15</v>
      </c>
      <c r="G105" s="19">
        <v>45716.390277777777</v>
      </c>
      <c r="H105" s="18" t="s">
        <v>236</v>
      </c>
      <c r="I105" s="18" t="s">
        <v>10</v>
      </c>
      <c r="J105" s="18" t="s">
        <v>71</v>
      </c>
      <c r="K105" s="20"/>
    </row>
    <row r="106" spans="1:11" ht="36.75" thickBot="1">
      <c r="A106" s="18" t="s">
        <v>1823</v>
      </c>
      <c r="B106" s="18">
        <v>20027986894</v>
      </c>
      <c r="C106" s="18" t="s">
        <v>1824</v>
      </c>
      <c r="D106" s="19">
        <v>45641.752083333333</v>
      </c>
      <c r="E106" s="18" t="s">
        <v>10</v>
      </c>
      <c r="F106" s="18">
        <v>5</v>
      </c>
      <c r="G106" s="19">
        <v>45698.573611111111</v>
      </c>
      <c r="H106" s="18" t="s">
        <v>236</v>
      </c>
      <c r="I106" s="18" t="s">
        <v>10</v>
      </c>
      <c r="J106" s="18" t="s">
        <v>71</v>
      </c>
      <c r="K106" s="20"/>
    </row>
    <row r="107" spans="1:11" ht="36.75" thickBot="1">
      <c r="A107" s="18" t="s">
        <v>1903</v>
      </c>
      <c r="B107" s="18">
        <v>20024814933</v>
      </c>
      <c r="C107" s="18" t="s">
        <v>1904</v>
      </c>
      <c r="D107" s="19">
        <v>45647.55</v>
      </c>
      <c r="E107" s="18" t="s">
        <v>10</v>
      </c>
      <c r="F107" s="18">
        <v>15</v>
      </c>
      <c r="G107" s="18" t="s">
        <v>10</v>
      </c>
      <c r="H107" s="18" t="s">
        <v>178</v>
      </c>
      <c r="I107" s="18" t="s">
        <v>10</v>
      </c>
      <c r="J107" s="18" t="s">
        <v>71</v>
      </c>
      <c r="K107" s="20"/>
    </row>
    <row r="108" spans="1:11" ht="36.75" thickBot="1">
      <c r="A108" s="18" t="s">
        <v>1613</v>
      </c>
      <c r="B108" s="18">
        <v>20019230874</v>
      </c>
      <c r="C108" s="18" t="s">
        <v>1614</v>
      </c>
      <c r="D108" s="19">
        <v>45618.565972222219</v>
      </c>
      <c r="E108" s="19">
        <v>45649.633333333331</v>
      </c>
      <c r="F108" s="18">
        <v>10</v>
      </c>
      <c r="G108" s="18" t="s">
        <v>10</v>
      </c>
      <c r="H108" s="18" t="s">
        <v>178</v>
      </c>
      <c r="I108" s="18" t="s">
        <v>10</v>
      </c>
      <c r="J108" s="18" t="s">
        <v>71</v>
      </c>
      <c r="K108" s="20"/>
    </row>
    <row r="109" spans="1:11" ht="36.75" thickBot="1">
      <c r="A109" s="18" t="s">
        <v>1819</v>
      </c>
      <c r="B109" s="18">
        <v>20021115576</v>
      </c>
      <c r="C109" s="18" t="s">
        <v>1820</v>
      </c>
      <c r="D109" s="19">
        <v>45629.636111111111</v>
      </c>
      <c r="E109" s="19">
        <v>45666.62222222222</v>
      </c>
      <c r="F109" s="18">
        <v>20</v>
      </c>
      <c r="G109" s="19">
        <v>45716.390277777777</v>
      </c>
      <c r="H109" s="18" t="s">
        <v>236</v>
      </c>
      <c r="I109" s="18" t="s">
        <v>10</v>
      </c>
      <c r="J109" s="18" t="s">
        <v>71</v>
      </c>
      <c r="K109" s="20"/>
    </row>
    <row r="110" spans="1:11" ht="36.75" thickBot="1">
      <c r="A110" s="18" t="s">
        <v>1905</v>
      </c>
      <c r="B110" s="18">
        <v>20021070545</v>
      </c>
      <c r="C110" s="18" t="s">
        <v>1906</v>
      </c>
      <c r="D110" s="19">
        <v>45652.64166666667</v>
      </c>
      <c r="E110" s="19">
        <v>45672.470138888886</v>
      </c>
      <c r="F110" s="18">
        <v>5</v>
      </c>
      <c r="G110" s="19">
        <v>45841.611111111109</v>
      </c>
      <c r="H110" s="18" t="s">
        <v>236</v>
      </c>
      <c r="I110" s="18" t="s">
        <v>10</v>
      </c>
      <c r="J110" s="18" t="s">
        <v>76</v>
      </c>
      <c r="K110" s="20"/>
    </row>
    <row r="111" spans="1:11" ht="36.75" thickBot="1">
      <c r="A111" s="18" t="s">
        <v>2035</v>
      </c>
      <c r="B111" s="18">
        <v>20023778221</v>
      </c>
      <c r="C111" s="18" t="s">
        <v>2036</v>
      </c>
      <c r="D111" s="19">
        <v>45677.618055555555</v>
      </c>
      <c r="E111" s="18" t="s">
        <v>10</v>
      </c>
      <c r="F111" s="18">
        <v>10</v>
      </c>
      <c r="G111" s="19">
        <v>45812.65625</v>
      </c>
      <c r="H111" s="18" t="s">
        <v>236</v>
      </c>
      <c r="I111" s="18" t="s">
        <v>10</v>
      </c>
      <c r="J111" s="18" t="s">
        <v>71</v>
      </c>
      <c r="K111" s="20"/>
    </row>
    <row r="112" spans="1:11" ht="36.75" thickBot="1">
      <c r="A112" s="18" t="s">
        <v>2037</v>
      </c>
      <c r="B112" s="18">
        <v>20003052593</v>
      </c>
      <c r="C112" s="18">
        <v>3749900060898</v>
      </c>
      <c r="D112" s="19">
        <v>45678.467361111114</v>
      </c>
      <c r="E112" s="18" t="s">
        <v>10</v>
      </c>
      <c r="F112" s="18">
        <v>10</v>
      </c>
      <c r="G112" s="18" t="s">
        <v>10</v>
      </c>
      <c r="H112" s="18" t="s">
        <v>178</v>
      </c>
      <c r="I112" s="18" t="s">
        <v>10</v>
      </c>
      <c r="J112" s="18" t="s">
        <v>71</v>
      </c>
      <c r="K112" s="20"/>
    </row>
    <row r="113" spans="1:11" ht="36.75" thickBot="1">
      <c r="A113" s="18" t="s">
        <v>1953</v>
      </c>
      <c r="B113" s="18">
        <v>20003250392</v>
      </c>
      <c r="C113" s="18" t="s">
        <v>1954</v>
      </c>
      <c r="D113" s="19">
        <v>45664.498611111114</v>
      </c>
      <c r="E113" s="19">
        <v>45688.620138888888</v>
      </c>
      <c r="F113" s="18">
        <v>12</v>
      </c>
      <c r="G113" s="19">
        <v>45721.54583333333</v>
      </c>
      <c r="H113" s="18" t="s">
        <v>236</v>
      </c>
      <c r="I113" s="18" t="s">
        <v>10</v>
      </c>
      <c r="J113" s="18" t="s">
        <v>71</v>
      </c>
      <c r="K113" s="20"/>
    </row>
    <row r="114" spans="1:11" ht="36.75" thickBot="1">
      <c r="A114" s="18" t="s">
        <v>2224</v>
      </c>
      <c r="B114" s="18">
        <v>20003335564</v>
      </c>
      <c r="C114" s="18" t="s">
        <v>1664</v>
      </c>
      <c r="D114" s="19">
        <v>45705.787499999999</v>
      </c>
      <c r="E114" s="18" t="s">
        <v>10</v>
      </c>
      <c r="F114" s="18">
        <v>10</v>
      </c>
      <c r="G114" s="19">
        <v>45728.594444444447</v>
      </c>
      <c r="H114" s="18" t="s">
        <v>236</v>
      </c>
      <c r="I114" s="18" t="s">
        <v>10</v>
      </c>
      <c r="J114" s="18" t="s">
        <v>71</v>
      </c>
      <c r="K114" s="20"/>
    </row>
    <row r="115" spans="1:11" ht="36.75" thickBot="1">
      <c r="A115" s="18" t="s">
        <v>2225</v>
      </c>
      <c r="B115" s="18">
        <v>20021250136</v>
      </c>
      <c r="C115" s="18" t="s">
        <v>2226</v>
      </c>
      <c r="D115" s="19">
        <v>45707.897222222222</v>
      </c>
      <c r="E115" s="18" t="s">
        <v>10</v>
      </c>
      <c r="F115" s="18">
        <v>10</v>
      </c>
      <c r="G115" s="19">
        <v>45792.648611111108</v>
      </c>
      <c r="H115" s="18" t="s">
        <v>236</v>
      </c>
      <c r="I115" s="18" t="s">
        <v>10</v>
      </c>
      <c r="J115" s="18" t="s">
        <v>71</v>
      </c>
      <c r="K115" s="20"/>
    </row>
    <row r="116" spans="1:11" ht="36.75" thickBot="1">
      <c r="A116" s="18" t="s">
        <v>2227</v>
      </c>
      <c r="B116" s="18">
        <v>20002923074</v>
      </c>
      <c r="C116" s="18" t="s">
        <v>2228</v>
      </c>
      <c r="D116" s="19">
        <v>45719.457638888889</v>
      </c>
      <c r="E116" s="18" t="s">
        <v>10</v>
      </c>
      <c r="F116" s="18">
        <v>10</v>
      </c>
      <c r="G116" s="19">
        <v>45799.379861111112</v>
      </c>
      <c r="H116" s="18" t="s">
        <v>236</v>
      </c>
      <c r="I116" s="18" t="s">
        <v>10</v>
      </c>
      <c r="J116" s="18" t="s">
        <v>71</v>
      </c>
      <c r="K116" s="20"/>
    </row>
    <row r="117" spans="1:11" ht="36.75" thickBot="1">
      <c r="A117" s="18" t="s">
        <v>2038</v>
      </c>
      <c r="B117" s="18">
        <v>20026729666</v>
      </c>
      <c r="C117" s="18" t="s">
        <v>2039</v>
      </c>
      <c r="D117" s="19">
        <v>45679.586111111108</v>
      </c>
      <c r="E117" s="19">
        <v>45720.421527777777</v>
      </c>
      <c r="F117" s="18">
        <v>10</v>
      </c>
      <c r="G117" s="19">
        <v>45797.481944444444</v>
      </c>
      <c r="H117" s="18" t="s">
        <v>236</v>
      </c>
      <c r="I117" s="18" t="s">
        <v>10</v>
      </c>
      <c r="J117" s="18" t="s">
        <v>71</v>
      </c>
      <c r="K117" s="20"/>
    </row>
    <row r="118" spans="1:11" ht="36.75" thickBot="1">
      <c r="A118" s="18" t="s">
        <v>2319</v>
      </c>
      <c r="B118" s="18">
        <v>20022543442</v>
      </c>
      <c r="C118" s="18" t="s">
        <v>2320</v>
      </c>
      <c r="D118" s="19">
        <v>45720.673611111109</v>
      </c>
      <c r="E118" s="18" t="s">
        <v>10</v>
      </c>
      <c r="F118" s="18">
        <v>2</v>
      </c>
      <c r="G118" s="18" t="s">
        <v>10</v>
      </c>
      <c r="H118" s="18" t="s">
        <v>189</v>
      </c>
      <c r="I118" s="18" t="s">
        <v>10</v>
      </c>
      <c r="J118" s="18" t="s">
        <v>71</v>
      </c>
      <c r="K118" s="20"/>
    </row>
    <row r="119" spans="1:11" ht="36.75" thickBot="1">
      <c r="A119" s="18" t="s">
        <v>2040</v>
      </c>
      <c r="B119" s="18">
        <v>20021951158</v>
      </c>
      <c r="C119" s="18" t="s">
        <v>2041</v>
      </c>
      <c r="D119" s="19">
        <v>45687.59097222222</v>
      </c>
      <c r="E119" s="19">
        <v>45725.413888888892</v>
      </c>
      <c r="F119" s="18">
        <v>20</v>
      </c>
      <c r="G119" s="18" t="s">
        <v>10</v>
      </c>
      <c r="H119" s="18" t="s">
        <v>178</v>
      </c>
      <c r="I119" s="18" t="s">
        <v>10</v>
      </c>
      <c r="J119" s="18" t="s">
        <v>76</v>
      </c>
      <c r="K119" s="20"/>
    </row>
    <row r="120" spans="1:11" ht="54.75" thickBot="1">
      <c r="A120" s="18" t="s">
        <v>2321</v>
      </c>
      <c r="B120" s="18">
        <v>20026137256</v>
      </c>
      <c r="C120" s="18" t="s">
        <v>2322</v>
      </c>
      <c r="D120" s="19">
        <v>45728.459722222222</v>
      </c>
      <c r="E120" s="18" t="s">
        <v>10</v>
      </c>
      <c r="F120" s="18">
        <v>5</v>
      </c>
      <c r="G120" s="19">
        <v>45791.652777777781</v>
      </c>
      <c r="H120" s="18" t="s">
        <v>236</v>
      </c>
      <c r="I120" s="18" t="s">
        <v>10</v>
      </c>
      <c r="J120" s="18" t="s">
        <v>71</v>
      </c>
      <c r="K120" s="20"/>
    </row>
    <row r="121" spans="1:11" ht="36.75" thickBot="1">
      <c r="A121" s="18" t="s">
        <v>2402</v>
      </c>
      <c r="B121" s="18">
        <v>20003335564</v>
      </c>
      <c r="C121" s="18" t="s">
        <v>1664</v>
      </c>
      <c r="D121" s="19">
        <v>45739.9</v>
      </c>
      <c r="E121" s="18" t="s">
        <v>10</v>
      </c>
      <c r="F121" s="18">
        <v>10</v>
      </c>
      <c r="G121" s="19">
        <v>45792.631249999999</v>
      </c>
      <c r="H121" s="18" t="s">
        <v>236</v>
      </c>
      <c r="I121" s="18" t="s">
        <v>10</v>
      </c>
      <c r="J121" s="18" t="s">
        <v>71</v>
      </c>
      <c r="K121" s="20"/>
    </row>
    <row r="122" spans="1:11" ht="54.75" thickBot="1">
      <c r="A122" s="18" t="s">
        <v>2403</v>
      </c>
      <c r="B122" s="18">
        <v>20002869441</v>
      </c>
      <c r="C122" s="18" t="s">
        <v>2404</v>
      </c>
      <c r="D122" s="19">
        <v>45743.465277777781</v>
      </c>
      <c r="E122" s="18" t="s">
        <v>10</v>
      </c>
      <c r="F122" s="18">
        <v>12.35</v>
      </c>
      <c r="G122" s="18" t="s">
        <v>10</v>
      </c>
      <c r="H122" s="18" t="s">
        <v>189</v>
      </c>
      <c r="I122" s="18" t="s">
        <v>10</v>
      </c>
      <c r="J122" s="18" t="s">
        <v>76</v>
      </c>
      <c r="K122" s="20"/>
    </row>
    <row r="123" spans="1:11" ht="36.75" thickBot="1">
      <c r="A123" s="18" t="s">
        <v>2405</v>
      </c>
      <c r="B123" s="18">
        <v>20018137449</v>
      </c>
      <c r="C123" s="18" t="s">
        <v>2406</v>
      </c>
      <c r="D123" s="19">
        <v>45745.787499999999</v>
      </c>
      <c r="E123" s="18" t="s">
        <v>10</v>
      </c>
      <c r="F123" s="18">
        <v>10</v>
      </c>
      <c r="G123" s="19">
        <v>45825.538194444445</v>
      </c>
      <c r="H123" s="18" t="s">
        <v>236</v>
      </c>
      <c r="I123" s="18" t="s">
        <v>10</v>
      </c>
      <c r="J123" s="18" t="s">
        <v>71</v>
      </c>
      <c r="K123" s="20"/>
    </row>
    <row r="124" spans="1:11" ht="36.75" thickBot="1">
      <c r="A124" s="18" t="s">
        <v>2575</v>
      </c>
      <c r="B124" s="18">
        <v>20003183817</v>
      </c>
      <c r="C124" s="18" t="s">
        <v>2576</v>
      </c>
      <c r="D124" s="19">
        <v>45747.631944444445</v>
      </c>
      <c r="E124" s="18" t="s">
        <v>10</v>
      </c>
      <c r="F124" s="18">
        <v>5</v>
      </c>
      <c r="G124" s="19">
        <v>45791.652777777781</v>
      </c>
      <c r="H124" s="18" t="s">
        <v>236</v>
      </c>
      <c r="I124" s="18" t="s">
        <v>10</v>
      </c>
      <c r="J124" s="18" t="s">
        <v>71</v>
      </c>
      <c r="K124" s="20"/>
    </row>
    <row r="125" spans="1:11" ht="36.75" thickBot="1">
      <c r="A125" s="18" t="s">
        <v>2577</v>
      </c>
      <c r="B125" s="18">
        <v>20022224067</v>
      </c>
      <c r="C125" s="18" t="s">
        <v>2578</v>
      </c>
      <c r="D125" s="19">
        <v>45747.768750000003</v>
      </c>
      <c r="E125" s="18" t="s">
        <v>10</v>
      </c>
      <c r="F125" s="18">
        <v>5</v>
      </c>
      <c r="G125" s="19">
        <v>45784.613888888889</v>
      </c>
      <c r="H125" s="18" t="s">
        <v>236</v>
      </c>
      <c r="I125" s="18" t="s">
        <v>10</v>
      </c>
      <c r="J125" s="18" t="s">
        <v>71</v>
      </c>
      <c r="K125" s="20"/>
    </row>
    <row r="126" spans="1:11" ht="36.75" thickBot="1">
      <c r="A126" s="18" t="s">
        <v>2323</v>
      </c>
      <c r="B126" s="18">
        <v>20021951158</v>
      </c>
      <c r="C126" s="18" t="s">
        <v>2324</v>
      </c>
      <c r="D126" s="19">
        <v>45731.563888888886</v>
      </c>
      <c r="E126" s="19">
        <v>45748.612500000003</v>
      </c>
      <c r="F126" s="18">
        <v>20</v>
      </c>
      <c r="G126" s="19">
        <v>45888.575694444444</v>
      </c>
      <c r="H126" s="18" t="s">
        <v>2655</v>
      </c>
      <c r="I126" s="18" t="s">
        <v>2699</v>
      </c>
      <c r="J126" s="18" t="s">
        <v>76</v>
      </c>
      <c r="K126" s="20"/>
    </row>
    <row r="127" spans="1:11" ht="36.75" thickBot="1">
      <c r="A127" s="18" t="s">
        <v>2579</v>
      </c>
      <c r="B127" s="18">
        <v>20003073044</v>
      </c>
      <c r="C127" s="18" t="s">
        <v>2580</v>
      </c>
      <c r="D127" s="19">
        <v>45751.602777777778</v>
      </c>
      <c r="E127" s="18" t="s">
        <v>10</v>
      </c>
      <c r="F127" s="18">
        <v>4</v>
      </c>
      <c r="G127" s="18" t="s">
        <v>10</v>
      </c>
      <c r="H127" s="18" t="s">
        <v>178</v>
      </c>
      <c r="I127" s="18" t="s">
        <v>10</v>
      </c>
      <c r="J127" s="18" t="s">
        <v>76</v>
      </c>
      <c r="K127" s="20"/>
    </row>
    <row r="128" spans="1:11" ht="36.75" thickBot="1">
      <c r="A128" s="18" t="s">
        <v>2581</v>
      </c>
      <c r="B128" s="18">
        <v>20027123940</v>
      </c>
      <c r="C128" s="18" t="s">
        <v>2582</v>
      </c>
      <c r="D128" s="19">
        <v>45766.490277777775</v>
      </c>
      <c r="E128" s="18" t="s">
        <v>10</v>
      </c>
      <c r="F128" s="18">
        <v>10</v>
      </c>
      <c r="G128" s="19">
        <v>45784.404166666667</v>
      </c>
      <c r="H128" s="18" t="s">
        <v>236</v>
      </c>
      <c r="I128" s="18" t="s">
        <v>10</v>
      </c>
      <c r="J128" s="18" t="s">
        <v>71</v>
      </c>
      <c r="K128" s="20"/>
    </row>
    <row r="129" spans="1:11" ht="36.75" thickBot="1">
      <c r="A129" s="18" t="s">
        <v>2735</v>
      </c>
      <c r="B129" s="18">
        <v>20003115774</v>
      </c>
      <c r="C129" s="18" t="s">
        <v>2736</v>
      </c>
      <c r="D129" s="19">
        <v>45777.673611111109</v>
      </c>
      <c r="E129" s="18" t="s">
        <v>10</v>
      </c>
      <c r="F129" s="18">
        <v>8</v>
      </c>
      <c r="G129" s="19">
        <v>45803.488888888889</v>
      </c>
      <c r="H129" s="18" t="s">
        <v>236</v>
      </c>
      <c r="I129" s="18" t="s">
        <v>10</v>
      </c>
      <c r="J129" s="18" t="s">
        <v>71</v>
      </c>
      <c r="K129" s="20"/>
    </row>
    <row r="130" spans="1:11" ht="36.75" thickBot="1">
      <c r="A130" s="18" t="s">
        <v>2737</v>
      </c>
      <c r="B130" s="18">
        <v>900102000335</v>
      </c>
      <c r="C130" s="18" t="s">
        <v>1664</v>
      </c>
      <c r="D130" s="19">
        <v>45779.508333333331</v>
      </c>
      <c r="E130" s="18" t="s">
        <v>10</v>
      </c>
      <c r="F130" s="18">
        <v>10</v>
      </c>
      <c r="G130" s="18" t="s">
        <v>10</v>
      </c>
      <c r="H130" s="18" t="s">
        <v>178</v>
      </c>
      <c r="I130" s="18" t="s">
        <v>10</v>
      </c>
      <c r="J130" s="18" t="s">
        <v>71</v>
      </c>
      <c r="K130" s="20"/>
    </row>
    <row r="131" spans="1:11" ht="36.75" thickBot="1">
      <c r="A131" s="18" t="s">
        <v>2738</v>
      </c>
      <c r="B131" s="18">
        <v>20003359092</v>
      </c>
      <c r="C131" s="18" t="s">
        <v>1664</v>
      </c>
      <c r="D131" s="19">
        <v>45783.546527777777</v>
      </c>
      <c r="E131" s="18" t="s">
        <v>10</v>
      </c>
      <c r="F131" s="18">
        <v>10</v>
      </c>
      <c r="G131" s="18" t="s">
        <v>10</v>
      </c>
      <c r="H131" s="18" t="s">
        <v>178</v>
      </c>
      <c r="I131" s="18" t="s">
        <v>10</v>
      </c>
      <c r="J131" s="18" t="s">
        <v>71</v>
      </c>
      <c r="K131" s="20"/>
    </row>
    <row r="132" spans="1:11" ht="36.75" thickBot="1">
      <c r="A132" s="18" t="s">
        <v>2739</v>
      </c>
      <c r="B132" s="18">
        <v>20003283412</v>
      </c>
      <c r="C132" s="18" t="s">
        <v>2740</v>
      </c>
      <c r="D132" s="19">
        <v>45783.613194444442</v>
      </c>
      <c r="E132" s="19">
        <v>45784.438194444447</v>
      </c>
      <c r="F132" s="18">
        <v>5</v>
      </c>
      <c r="G132" s="19">
        <v>45805.469444444447</v>
      </c>
      <c r="H132" s="18" t="s">
        <v>2657</v>
      </c>
      <c r="I132" s="18" t="s">
        <v>10</v>
      </c>
      <c r="J132" s="18" t="s">
        <v>71</v>
      </c>
      <c r="K132" s="20"/>
    </row>
    <row r="133" spans="1:11" ht="36.75" thickBot="1">
      <c r="A133" s="18" t="s">
        <v>2741</v>
      </c>
      <c r="B133" s="18">
        <v>20027938507</v>
      </c>
      <c r="C133" s="18" t="s">
        <v>2742</v>
      </c>
      <c r="D133" s="19">
        <v>45780.523611111108</v>
      </c>
      <c r="E133" s="19">
        <v>45784.927777777775</v>
      </c>
      <c r="F133" s="18">
        <v>10</v>
      </c>
      <c r="G133" s="19">
        <v>45792.648611111108</v>
      </c>
      <c r="H133" s="18" t="s">
        <v>236</v>
      </c>
      <c r="I133" s="18" t="s">
        <v>10</v>
      </c>
      <c r="J133" s="18" t="s">
        <v>71</v>
      </c>
      <c r="K133" s="20"/>
    </row>
    <row r="134" spans="1:11" ht="36.75" thickBot="1">
      <c r="A134" s="18" t="s">
        <v>2743</v>
      </c>
      <c r="B134" s="18">
        <v>20003419724</v>
      </c>
      <c r="C134" s="18" t="s">
        <v>2744</v>
      </c>
      <c r="D134" s="19">
        <v>45800.402777777781</v>
      </c>
      <c r="E134" s="18" t="s">
        <v>10</v>
      </c>
      <c r="F134" s="18">
        <v>5</v>
      </c>
      <c r="G134" s="18" t="s">
        <v>10</v>
      </c>
      <c r="H134" s="18" t="s">
        <v>189</v>
      </c>
      <c r="I134" s="18" t="s">
        <v>10</v>
      </c>
      <c r="J134" s="18" t="s">
        <v>71</v>
      </c>
      <c r="K134" s="20"/>
    </row>
    <row r="135" spans="1:11" ht="36.75" thickBot="1">
      <c r="A135" s="18" t="s">
        <v>2745</v>
      </c>
      <c r="B135" s="18">
        <v>20003358854</v>
      </c>
      <c r="C135" s="18" t="s">
        <v>2746</v>
      </c>
      <c r="D135" s="19">
        <v>45800.421527777777</v>
      </c>
      <c r="E135" s="18" t="s">
        <v>10</v>
      </c>
      <c r="F135" s="18">
        <v>3</v>
      </c>
      <c r="G135" s="18" t="s">
        <v>10</v>
      </c>
      <c r="H135" s="18" t="s">
        <v>189</v>
      </c>
      <c r="I135" s="18" t="s">
        <v>10</v>
      </c>
      <c r="J135" s="18" t="s">
        <v>71</v>
      </c>
      <c r="K135" s="20"/>
    </row>
    <row r="136" spans="1:11" ht="36.75" thickBot="1">
      <c r="A136" s="18" t="s">
        <v>2749</v>
      </c>
      <c r="B136" s="18">
        <v>20003155547</v>
      </c>
      <c r="C136" s="18" t="s">
        <v>2750</v>
      </c>
      <c r="D136" s="19">
        <v>45800.453472222223</v>
      </c>
      <c r="E136" s="18" t="s">
        <v>10</v>
      </c>
      <c r="F136" s="18">
        <v>15</v>
      </c>
      <c r="G136" s="19">
        <v>45891.543749999997</v>
      </c>
      <c r="H136" s="18" t="s">
        <v>2654</v>
      </c>
      <c r="I136" s="18" t="s">
        <v>10</v>
      </c>
      <c r="J136" s="18" t="s">
        <v>71</v>
      </c>
      <c r="K136" s="20"/>
    </row>
    <row r="137" spans="1:11" ht="36.75" thickBot="1">
      <c r="A137" s="18" t="s">
        <v>2751</v>
      </c>
      <c r="B137" s="18">
        <v>20018917995</v>
      </c>
      <c r="C137" s="18" t="s">
        <v>2752</v>
      </c>
      <c r="D137" s="19">
        <v>45800.466666666667</v>
      </c>
      <c r="E137" s="18" t="s">
        <v>10</v>
      </c>
      <c r="F137" s="18">
        <v>10</v>
      </c>
      <c r="G137" s="19">
        <v>45870.402083333334</v>
      </c>
      <c r="H137" s="18" t="s">
        <v>236</v>
      </c>
      <c r="I137" s="18" t="s">
        <v>10</v>
      </c>
      <c r="J137" s="18" t="s">
        <v>71</v>
      </c>
      <c r="K137" s="20"/>
    </row>
    <row r="138" spans="1:11" ht="36.75" thickBot="1">
      <c r="A138" s="18" t="s">
        <v>2753</v>
      </c>
      <c r="B138" s="18">
        <v>20027063687</v>
      </c>
      <c r="C138" s="18" t="s">
        <v>2754</v>
      </c>
      <c r="D138" s="19">
        <v>45800.475694444445</v>
      </c>
      <c r="E138" s="18" t="s">
        <v>10</v>
      </c>
      <c r="F138" s="18">
        <v>5</v>
      </c>
      <c r="G138" s="18" t="s">
        <v>10</v>
      </c>
      <c r="H138" s="18" t="s">
        <v>189</v>
      </c>
      <c r="I138" s="18" t="s">
        <v>10</v>
      </c>
      <c r="J138" s="18" t="s">
        <v>71</v>
      </c>
      <c r="K138" s="20"/>
    </row>
    <row r="139" spans="1:11" ht="36.75" thickBot="1">
      <c r="A139" s="18" t="s">
        <v>2759</v>
      </c>
      <c r="B139" s="18">
        <v>20025681569</v>
      </c>
      <c r="C139" s="18" t="s">
        <v>2760</v>
      </c>
      <c r="D139" s="19">
        <v>45814.648611111108</v>
      </c>
      <c r="E139" s="18" t="s">
        <v>10</v>
      </c>
      <c r="F139" s="18">
        <v>6</v>
      </c>
      <c r="G139" s="19">
        <v>45944.576388888891</v>
      </c>
      <c r="H139" s="18" t="s">
        <v>2654</v>
      </c>
      <c r="I139" s="18" t="s">
        <v>10</v>
      </c>
      <c r="J139" s="18" t="s">
        <v>71</v>
      </c>
      <c r="K139" s="20"/>
    </row>
    <row r="140" spans="1:11" ht="36.75" thickBot="1">
      <c r="A140" s="18" t="s">
        <v>2761</v>
      </c>
      <c r="B140" s="18">
        <v>20003279838</v>
      </c>
      <c r="C140" s="18" t="s">
        <v>2762</v>
      </c>
      <c r="D140" s="19">
        <v>45819.540972222225</v>
      </c>
      <c r="E140" s="18" t="s">
        <v>10</v>
      </c>
      <c r="F140" s="18">
        <v>5</v>
      </c>
      <c r="G140" s="18" t="s">
        <v>10</v>
      </c>
      <c r="H140" s="18" t="s">
        <v>189</v>
      </c>
      <c r="I140" s="18" t="s">
        <v>10</v>
      </c>
      <c r="J140" s="18" t="s">
        <v>71</v>
      </c>
      <c r="K140" s="20"/>
    </row>
    <row r="141" spans="1:11" ht="36.75" thickBot="1">
      <c r="A141" s="18" t="s">
        <v>3358</v>
      </c>
      <c r="B141" s="18">
        <v>20003073044</v>
      </c>
      <c r="C141" s="18" t="s">
        <v>2580</v>
      </c>
      <c r="D141" s="19">
        <v>45826.585416666669</v>
      </c>
      <c r="E141" s="18" t="s">
        <v>10</v>
      </c>
      <c r="F141" s="18">
        <v>4</v>
      </c>
      <c r="G141" s="18" t="s">
        <v>10</v>
      </c>
      <c r="H141" s="18" t="s">
        <v>178</v>
      </c>
      <c r="I141" s="18" t="s">
        <v>10</v>
      </c>
      <c r="J141" s="18" t="s">
        <v>76</v>
      </c>
      <c r="K141" s="20"/>
    </row>
    <row r="142" spans="1:11" ht="36.75" thickBot="1">
      <c r="A142" s="18" t="s">
        <v>3359</v>
      </c>
      <c r="B142" s="18">
        <v>20025397187</v>
      </c>
      <c r="C142" s="18" t="s">
        <v>3360</v>
      </c>
      <c r="D142" s="19">
        <v>45831.375</v>
      </c>
      <c r="E142" s="18" t="s">
        <v>10</v>
      </c>
      <c r="F142" s="18">
        <v>2</v>
      </c>
      <c r="G142" s="19">
        <v>45923.572222222225</v>
      </c>
      <c r="H142" s="18" t="s">
        <v>236</v>
      </c>
      <c r="I142" s="18" t="s">
        <v>10</v>
      </c>
      <c r="J142" s="18" t="s">
        <v>71</v>
      </c>
      <c r="K142" s="20"/>
    </row>
    <row r="143" spans="1:11" ht="36.75" thickBot="1">
      <c r="A143" s="18" t="s">
        <v>3361</v>
      </c>
      <c r="B143" s="18">
        <v>20018796178</v>
      </c>
      <c r="C143" s="18" t="s">
        <v>3362</v>
      </c>
      <c r="D143" s="19">
        <v>45833.443749999999</v>
      </c>
      <c r="E143" s="18" t="s">
        <v>10</v>
      </c>
      <c r="F143" s="18">
        <v>5</v>
      </c>
      <c r="G143" s="19">
        <v>45877.620138888888</v>
      </c>
      <c r="H143" s="18" t="s">
        <v>2688</v>
      </c>
      <c r="I143" s="18" t="s">
        <v>10</v>
      </c>
      <c r="J143" s="18" t="s">
        <v>71</v>
      </c>
      <c r="K143" s="20"/>
    </row>
    <row r="144" spans="1:11" ht="36.75" thickBot="1">
      <c r="A144" s="18" t="s">
        <v>3363</v>
      </c>
      <c r="B144" s="18">
        <v>20026127680</v>
      </c>
      <c r="C144" s="18" t="s">
        <v>3364</v>
      </c>
      <c r="D144" s="19">
        <v>45834.547222222223</v>
      </c>
      <c r="E144" s="18" t="s">
        <v>10</v>
      </c>
      <c r="F144" s="18">
        <v>18</v>
      </c>
      <c r="G144" s="19">
        <v>45975.425694444442</v>
      </c>
      <c r="H144" s="18" t="s">
        <v>2654</v>
      </c>
      <c r="I144" s="18" t="s">
        <v>10</v>
      </c>
      <c r="J144" s="18" t="s">
        <v>71</v>
      </c>
      <c r="K144" s="20"/>
    </row>
    <row r="145" spans="1:11" ht="36.75" thickBot="1">
      <c r="A145" s="18" t="s">
        <v>2747</v>
      </c>
      <c r="B145" s="18">
        <v>20026874521</v>
      </c>
      <c r="C145" s="18" t="s">
        <v>2748</v>
      </c>
      <c r="D145" s="19">
        <v>45800.427777777775</v>
      </c>
      <c r="E145" s="19">
        <v>45839.615972222222</v>
      </c>
      <c r="F145" s="18">
        <v>10</v>
      </c>
      <c r="G145" s="19">
        <v>45873.410416666666</v>
      </c>
      <c r="H145" s="18" t="s">
        <v>236</v>
      </c>
      <c r="I145" s="18" t="s">
        <v>10</v>
      </c>
      <c r="J145" s="18" t="s">
        <v>71</v>
      </c>
      <c r="K145" s="20"/>
    </row>
    <row r="146" spans="1:11" ht="36.75" thickBot="1">
      <c r="A146" s="18" t="s">
        <v>2755</v>
      </c>
      <c r="B146" s="18">
        <v>20027733785</v>
      </c>
      <c r="C146" s="18" t="s">
        <v>2756</v>
      </c>
      <c r="D146" s="19">
        <v>45808.469444444447</v>
      </c>
      <c r="E146" s="19">
        <v>45839.621527777781</v>
      </c>
      <c r="F146" s="18">
        <v>10</v>
      </c>
      <c r="G146" s="19">
        <v>45890.395138888889</v>
      </c>
      <c r="H146" s="18" t="s">
        <v>236</v>
      </c>
      <c r="I146" s="18" t="s">
        <v>10</v>
      </c>
      <c r="J146" s="18" t="s">
        <v>71</v>
      </c>
      <c r="K146" s="20"/>
    </row>
    <row r="147" spans="1:11" ht="36.75" thickBot="1">
      <c r="A147" s="18" t="s">
        <v>3365</v>
      </c>
      <c r="B147" s="18">
        <v>20024728263</v>
      </c>
      <c r="C147" s="18" t="s">
        <v>3366</v>
      </c>
      <c r="D147" s="19">
        <v>45845.634027777778</v>
      </c>
      <c r="E147" s="18" t="s">
        <v>10</v>
      </c>
      <c r="F147" s="18">
        <v>5</v>
      </c>
      <c r="G147" s="19">
        <v>45877.620138888888</v>
      </c>
      <c r="H147" s="18" t="s">
        <v>2688</v>
      </c>
      <c r="I147" s="18" t="s">
        <v>10</v>
      </c>
      <c r="J147" s="18" t="s">
        <v>71</v>
      </c>
      <c r="K147" s="20"/>
    </row>
    <row r="148" spans="1:11" ht="36.75" thickBot="1">
      <c r="A148" s="18" t="s">
        <v>3367</v>
      </c>
      <c r="B148" s="18">
        <v>20023202503</v>
      </c>
      <c r="C148" s="18" t="s">
        <v>3368</v>
      </c>
      <c r="D148" s="19">
        <v>45848.581250000003</v>
      </c>
      <c r="E148" s="18" t="s">
        <v>10</v>
      </c>
      <c r="F148" s="18">
        <v>5</v>
      </c>
      <c r="G148" s="19">
        <v>45973.604861111111</v>
      </c>
      <c r="H148" s="18" t="s">
        <v>2657</v>
      </c>
      <c r="I148" s="18" t="s">
        <v>10</v>
      </c>
      <c r="J148" s="18" t="s">
        <v>71</v>
      </c>
      <c r="K148" s="20"/>
    </row>
    <row r="149" spans="1:11" ht="54.75" thickBot="1">
      <c r="A149" s="18" t="s">
        <v>2763</v>
      </c>
      <c r="B149" s="18">
        <v>20023762482</v>
      </c>
      <c r="C149" s="18" t="s">
        <v>2764</v>
      </c>
      <c r="D149" s="19">
        <v>45820.671527777777</v>
      </c>
      <c r="E149" s="19">
        <v>45855.617361111108</v>
      </c>
      <c r="F149" s="18">
        <v>10</v>
      </c>
      <c r="G149" s="19">
        <v>45917.477777777778</v>
      </c>
      <c r="H149" s="18" t="s">
        <v>2688</v>
      </c>
      <c r="I149" s="18" t="s">
        <v>10</v>
      </c>
      <c r="J149" s="18" t="s">
        <v>76</v>
      </c>
      <c r="K149" s="20"/>
    </row>
    <row r="150" spans="1:11" ht="36.75" thickBot="1">
      <c r="A150" s="18" t="s">
        <v>3369</v>
      </c>
      <c r="B150" s="18">
        <v>20003441776</v>
      </c>
      <c r="C150" s="18" t="s">
        <v>3370</v>
      </c>
      <c r="D150" s="19">
        <v>45860.476388888892</v>
      </c>
      <c r="E150" s="18" t="s">
        <v>10</v>
      </c>
      <c r="F150" s="18">
        <v>3.8</v>
      </c>
      <c r="G150" s="19">
        <v>45873.396527777775</v>
      </c>
      <c r="H150" s="18" t="s">
        <v>236</v>
      </c>
      <c r="I150" s="18" t="s">
        <v>10</v>
      </c>
      <c r="J150" s="18" t="s">
        <v>71</v>
      </c>
      <c r="K150" s="20"/>
    </row>
    <row r="151" spans="1:11" ht="36.75" thickBot="1">
      <c r="A151" s="18" t="s">
        <v>3371</v>
      </c>
      <c r="B151" s="18">
        <v>20027266230</v>
      </c>
      <c r="C151" s="18" t="s">
        <v>3372</v>
      </c>
      <c r="D151" s="19">
        <v>45861.576388888891</v>
      </c>
      <c r="E151" s="18" t="s">
        <v>10</v>
      </c>
      <c r="F151" s="18">
        <v>10</v>
      </c>
      <c r="G151" s="18" t="s">
        <v>10</v>
      </c>
      <c r="H151" s="18" t="s">
        <v>178</v>
      </c>
      <c r="I151" s="18" t="s">
        <v>10</v>
      </c>
      <c r="J151" s="18" t="s">
        <v>71</v>
      </c>
      <c r="K151" s="20"/>
    </row>
    <row r="152" spans="1:11" ht="36.75" thickBot="1">
      <c r="A152" s="18" t="s">
        <v>3373</v>
      </c>
      <c r="B152" s="18">
        <v>20017606676</v>
      </c>
      <c r="C152" s="18" t="s">
        <v>1453</v>
      </c>
      <c r="D152" s="19">
        <v>45867.684027777781</v>
      </c>
      <c r="E152" s="18" t="s">
        <v>10</v>
      </c>
      <c r="F152" s="18">
        <v>10</v>
      </c>
      <c r="G152" s="19">
        <v>45887.423611111109</v>
      </c>
      <c r="H152" s="18" t="s">
        <v>236</v>
      </c>
      <c r="I152" s="18" t="s">
        <v>10</v>
      </c>
      <c r="J152" s="18" t="s">
        <v>71</v>
      </c>
      <c r="K152" s="20"/>
    </row>
    <row r="153" spans="1:11" ht="36.75" thickBot="1">
      <c r="A153" s="18" t="s">
        <v>2765</v>
      </c>
      <c r="B153" s="18">
        <v>20025068232</v>
      </c>
      <c r="C153" s="18" t="s">
        <v>2766</v>
      </c>
      <c r="D153" s="19">
        <v>45822.459027777775</v>
      </c>
      <c r="E153" s="19">
        <v>45869.393055555556</v>
      </c>
      <c r="F153" s="18">
        <v>6</v>
      </c>
      <c r="G153" s="19">
        <v>45874.379861111112</v>
      </c>
      <c r="H153" s="18" t="s">
        <v>236</v>
      </c>
      <c r="I153" s="18" t="s">
        <v>10</v>
      </c>
      <c r="J153" s="18" t="s">
        <v>71</v>
      </c>
      <c r="K153" s="20"/>
    </row>
    <row r="154" spans="1:11" ht="36.75" thickBot="1">
      <c r="A154" s="18" t="s">
        <v>3374</v>
      </c>
      <c r="B154" s="18">
        <v>20025873272</v>
      </c>
      <c r="C154" s="18" t="s">
        <v>3375</v>
      </c>
      <c r="D154" s="19">
        <v>45838.622916666667</v>
      </c>
      <c r="E154" s="19">
        <v>45869.438194444447</v>
      </c>
      <c r="F154" s="18">
        <v>4.2750000000000004</v>
      </c>
      <c r="G154" s="19">
        <v>45889.420138888891</v>
      </c>
      <c r="H154" s="18" t="s">
        <v>236</v>
      </c>
      <c r="I154" s="18" t="s">
        <v>10</v>
      </c>
      <c r="J154" s="18" t="s">
        <v>71</v>
      </c>
      <c r="K154" s="20"/>
    </row>
    <row r="155" spans="1:11" ht="36.75" thickBot="1">
      <c r="A155" s="18" t="s">
        <v>2757</v>
      </c>
      <c r="B155" s="18">
        <v>20025138417</v>
      </c>
      <c r="C155" s="18" t="s">
        <v>2758</v>
      </c>
      <c r="D155" s="19">
        <v>45813.952777777777</v>
      </c>
      <c r="E155" s="19">
        <v>45870.598611111112</v>
      </c>
      <c r="F155" s="18">
        <v>10</v>
      </c>
      <c r="G155" s="19">
        <v>45888.425000000003</v>
      </c>
      <c r="H155" s="18" t="s">
        <v>2657</v>
      </c>
      <c r="I155" s="18" t="s">
        <v>10</v>
      </c>
      <c r="J155" s="18" t="s">
        <v>71</v>
      </c>
      <c r="K155" s="20"/>
    </row>
    <row r="156" spans="1:11" ht="36.75" thickBot="1">
      <c r="A156" s="18" t="s">
        <v>3376</v>
      </c>
      <c r="B156" s="18">
        <v>20022518488</v>
      </c>
      <c r="C156" s="18" t="s">
        <v>3377</v>
      </c>
      <c r="D156" s="19">
        <v>45867.393055555556</v>
      </c>
      <c r="E156" s="19">
        <v>45871.401388888888</v>
      </c>
      <c r="F156" s="18">
        <v>6.65</v>
      </c>
      <c r="G156" s="19">
        <v>45909.582638888889</v>
      </c>
      <c r="H156" s="18" t="s">
        <v>236</v>
      </c>
      <c r="I156" s="18" t="s">
        <v>10</v>
      </c>
      <c r="J156" s="18" t="s">
        <v>71</v>
      </c>
      <c r="K156" s="20"/>
    </row>
    <row r="157" spans="1:11" ht="36.75" thickBot="1">
      <c r="A157" s="18" t="s">
        <v>3378</v>
      </c>
      <c r="B157" s="18">
        <v>20003052593</v>
      </c>
      <c r="C157" s="18" t="s">
        <v>3379</v>
      </c>
      <c r="D157" s="19">
        <v>45871.4375</v>
      </c>
      <c r="E157" s="18" t="s">
        <v>10</v>
      </c>
      <c r="F157" s="18">
        <v>10</v>
      </c>
      <c r="G157" s="19">
        <v>45910.481944444444</v>
      </c>
      <c r="H157" s="18" t="s">
        <v>236</v>
      </c>
      <c r="I157" s="18" t="s">
        <v>10</v>
      </c>
      <c r="J157" s="18" t="s">
        <v>71</v>
      </c>
      <c r="K157" s="20"/>
    </row>
    <row r="158" spans="1:11" ht="36.75" thickBot="1">
      <c r="A158" s="18" t="s">
        <v>3380</v>
      </c>
      <c r="B158" s="18">
        <v>20026844039</v>
      </c>
      <c r="C158" s="18" t="s">
        <v>3381</v>
      </c>
      <c r="D158" s="19">
        <v>45850.573611111111</v>
      </c>
      <c r="E158" s="19">
        <v>45874.363888888889</v>
      </c>
      <c r="F158" s="18">
        <v>6</v>
      </c>
      <c r="G158" s="19">
        <v>45895.418749999997</v>
      </c>
      <c r="H158" s="18" t="s">
        <v>236</v>
      </c>
      <c r="I158" s="18" t="s">
        <v>10</v>
      </c>
      <c r="J158" s="18" t="s">
        <v>71</v>
      </c>
      <c r="K158" s="20"/>
    </row>
    <row r="159" spans="1:11" ht="36.75" thickBot="1">
      <c r="A159" s="18" t="s">
        <v>3382</v>
      </c>
      <c r="B159" s="18">
        <v>20023331751</v>
      </c>
      <c r="C159" s="18" t="s">
        <v>3383</v>
      </c>
      <c r="D159" s="19">
        <v>45827.59652777778</v>
      </c>
      <c r="E159" s="19">
        <v>45874.670138888891</v>
      </c>
      <c r="F159" s="18">
        <v>3.8</v>
      </c>
      <c r="G159" s="19">
        <v>45912.385416666664</v>
      </c>
      <c r="H159" s="18" t="s">
        <v>2655</v>
      </c>
      <c r="I159" s="18" t="s">
        <v>2699</v>
      </c>
      <c r="J159" s="18" t="s">
        <v>76</v>
      </c>
      <c r="K159" s="20"/>
    </row>
    <row r="160" spans="1:11" ht="36.75" thickBot="1">
      <c r="A160" s="18" t="s">
        <v>3384</v>
      </c>
      <c r="B160" s="18">
        <v>20003073044</v>
      </c>
      <c r="C160" s="18" t="s">
        <v>2580</v>
      </c>
      <c r="D160" s="19">
        <v>45875.651388888888</v>
      </c>
      <c r="E160" s="18" t="s">
        <v>10</v>
      </c>
      <c r="F160" s="18">
        <v>4</v>
      </c>
      <c r="G160" s="19">
        <v>45894.593055555553</v>
      </c>
      <c r="H160" s="18" t="s">
        <v>2654</v>
      </c>
      <c r="I160" s="18" t="s">
        <v>10</v>
      </c>
      <c r="J160" s="18" t="s">
        <v>76</v>
      </c>
      <c r="K160" s="20"/>
    </row>
    <row r="161" spans="1:11" ht="36.75" thickBot="1">
      <c r="A161" s="18" t="s">
        <v>3385</v>
      </c>
      <c r="B161" s="18">
        <v>20028722552</v>
      </c>
      <c r="C161" s="18" t="s">
        <v>3386</v>
      </c>
      <c r="D161" s="19">
        <v>45882.693055555559</v>
      </c>
      <c r="E161" s="18" t="s">
        <v>10</v>
      </c>
      <c r="F161" s="18">
        <v>5</v>
      </c>
      <c r="G161" s="18" t="s">
        <v>10</v>
      </c>
      <c r="H161" s="18" t="s">
        <v>178</v>
      </c>
      <c r="I161" s="18" t="s">
        <v>10</v>
      </c>
      <c r="J161" s="18" t="s">
        <v>76</v>
      </c>
      <c r="K161" s="20"/>
    </row>
    <row r="162" spans="1:11" ht="54.75" thickBot="1">
      <c r="A162" s="18" t="s">
        <v>3387</v>
      </c>
      <c r="B162" s="18">
        <v>20027328052</v>
      </c>
      <c r="C162" s="18" t="s">
        <v>3189</v>
      </c>
      <c r="D162" s="19">
        <v>45883.42291666667</v>
      </c>
      <c r="E162" s="18" t="s">
        <v>10</v>
      </c>
      <c r="F162" s="18">
        <v>10</v>
      </c>
      <c r="G162" s="19">
        <v>45903.57708333333</v>
      </c>
      <c r="H162" s="18" t="s">
        <v>236</v>
      </c>
      <c r="I162" s="18" t="s">
        <v>10</v>
      </c>
      <c r="J162" s="18" t="s">
        <v>71</v>
      </c>
      <c r="K162" s="20"/>
    </row>
    <row r="163" spans="1:11" ht="36.75" thickBot="1">
      <c r="A163" s="18" t="s">
        <v>3388</v>
      </c>
      <c r="B163" s="18">
        <v>20024675620</v>
      </c>
      <c r="C163" s="18" t="s">
        <v>3389</v>
      </c>
      <c r="D163" s="19">
        <v>45884.571527777778</v>
      </c>
      <c r="E163" s="18" t="s">
        <v>10</v>
      </c>
      <c r="F163" s="18">
        <v>15</v>
      </c>
      <c r="G163" s="18" t="s">
        <v>10</v>
      </c>
      <c r="H163" s="18" t="s">
        <v>189</v>
      </c>
      <c r="I163" s="18" t="s">
        <v>10</v>
      </c>
      <c r="J163" s="18" t="s">
        <v>71</v>
      </c>
      <c r="K163" s="20"/>
    </row>
    <row r="164" spans="1:11" ht="72.75" thickBot="1">
      <c r="A164" s="18" t="s">
        <v>3390</v>
      </c>
      <c r="B164" s="18">
        <v>20019382686</v>
      </c>
      <c r="C164" s="18" t="s">
        <v>951</v>
      </c>
      <c r="D164" s="19">
        <v>45887.947916666664</v>
      </c>
      <c r="E164" s="18" t="s">
        <v>10</v>
      </c>
      <c r="F164" s="18">
        <v>6</v>
      </c>
      <c r="G164" s="18" t="s">
        <v>10</v>
      </c>
      <c r="H164" s="18" t="s">
        <v>178</v>
      </c>
      <c r="I164" s="18" t="s">
        <v>10</v>
      </c>
      <c r="J164" s="18" t="s">
        <v>76</v>
      </c>
      <c r="K164" s="20"/>
    </row>
    <row r="165" spans="1:11" ht="54.75" thickBot="1">
      <c r="A165" s="18" t="s">
        <v>3391</v>
      </c>
      <c r="B165" s="18">
        <v>20027325856</v>
      </c>
      <c r="C165" s="18" t="s">
        <v>3189</v>
      </c>
      <c r="D165" s="19">
        <v>45888.597222222219</v>
      </c>
      <c r="E165" s="18" t="s">
        <v>10</v>
      </c>
      <c r="F165" s="18">
        <v>10</v>
      </c>
      <c r="G165" s="19">
        <v>45895.59652777778</v>
      </c>
      <c r="H165" s="18" t="s">
        <v>2654</v>
      </c>
      <c r="I165" s="18" t="s">
        <v>10</v>
      </c>
      <c r="J165" s="18" t="s">
        <v>71</v>
      </c>
      <c r="K165" s="20"/>
    </row>
    <row r="166" spans="1:11" ht="36.75" thickBot="1">
      <c r="A166" s="18" t="s">
        <v>3392</v>
      </c>
      <c r="B166" s="18">
        <v>20018013179</v>
      </c>
      <c r="C166" s="18" t="s">
        <v>3393</v>
      </c>
      <c r="D166" s="19">
        <v>45890.630555555559</v>
      </c>
      <c r="E166" s="18" t="s">
        <v>10</v>
      </c>
      <c r="F166" s="18">
        <v>5</v>
      </c>
      <c r="G166" s="18" t="s">
        <v>10</v>
      </c>
      <c r="H166" s="18" t="s">
        <v>178</v>
      </c>
      <c r="I166" s="18" t="s">
        <v>10</v>
      </c>
      <c r="J166" s="18" t="s">
        <v>76</v>
      </c>
      <c r="K166" s="20"/>
    </row>
    <row r="167" spans="1:11" ht="36.75" thickBot="1">
      <c r="A167" s="18" t="s">
        <v>3394</v>
      </c>
      <c r="B167" s="18">
        <v>20003466427</v>
      </c>
      <c r="C167" s="18" t="s">
        <v>3395</v>
      </c>
      <c r="D167" s="19">
        <v>45883.445138888892</v>
      </c>
      <c r="E167" s="19">
        <v>45891.448611111111</v>
      </c>
      <c r="F167" s="18">
        <v>8</v>
      </c>
      <c r="G167" s="19">
        <v>45895.413888888892</v>
      </c>
      <c r="H167" s="18" t="s">
        <v>236</v>
      </c>
      <c r="I167" s="18" t="s">
        <v>10</v>
      </c>
      <c r="J167" s="18" t="s">
        <v>71</v>
      </c>
      <c r="K167" s="20"/>
    </row>
    <row r="168" spans="1:11" ht="36.75" thickBot="1">
      <c r="A168" s="18" t="s">
        <v>3396</v>
      </c>
      <c r="B168" s="18">
        <v>20018636098</v>
      </c>
      <c r="C168" s="18" t="s">
        <v>3397</v>
      </c>
      <c r="D168" s="19">
        <v>45877.569444444445</v>
      </c>
      <c r="E168" s="19">
        <v>45891.674305555556</v>
      </c>
      <c r="F168" s="18">
        <v>5</v>
      </c>
      <c r="G168" s="19">
        <v>45905.592361111114</v>
      </c>
      <c r="H168" s="18" t="s">
        <v>236</v>
      </c>
      <c r="I168" s="18" t="s">
        <v>10</v>
      </c>
      <c r="J168" s="18" t="s">
        <v>71</v>
      </c>
      <c r="K168" s="20"/>
    </row>
    <row r="169" spans="1:11" ht="36.75" thickBot="1">
      <c r="A169" s="18" t="s">
        <v>3398</v>
      </c>
      <c r="B169" s="18">
        <v>20003275912</v>
      </c>
      <c r="C169" s="18" t="s">
        <v>3399</v>
      </c>
      <c r="D169" s="19">
        <v>45889.636111111111</v>
      </c>
      <c r="E169" s="19">
        <v>45894.517361111109</v>
      </c>
      <c r="F169" s="18">
        <v>5</v>
      </c>
      <c r="G169" s="19">
        <v>45926.643750000003</v>
      </c>
      <c r="H169" s="18" t="s">
        <v>236</v>
      </c>
      <c r="I169" s="18" t="s">
        <v>10</v>
      </c>
      <c r="J169" s="18" t="s">
        <v>71</v>
      </c>
      <c r="K169" s="20"/>
    </row>
    <row r="170" spans="1:11" ht="36.75" thickBot="1">
      <c r="A170" s="18" t="s">
        <v>3400</v>
      </c>
      <c r="B170" s="18">
        <v>20024675620</v>
      </c>
      <c r="C170" s="18" t="s">
        <v>3389</v>
      </c>
      <c r="D170" s="19">
        <v>45895.48541666667</v>
      </c>
      <c r="E170" s="18" t="s">
        <v>10</v>
      </c>
      <c r="F170" s="18">
        <v>15</v>
      </c>
      <c r="G170" s="19">
        <v>45937.50277777778</v>
      </c>
      <c r="H170" s="18" t="s">
        <v>236</v>
      </c>
      <c r="I170" s="18" t="s">
        <v>10</v>
      </c>
      <c r="J170" s="18" t="s">
        <v>71</v>
      </c>
      <c r="K170" s="20"/>
    </row>
    <row r="171" spans="1:11" ht="36.75" thickBot="1">
      <c r="A171" s="18" t="s">
        <v>3401</v>
      </c>
      <c r="B171" s="18">
        <v>20018070018</v>
      </c>
      <c r="C171" s="18" t="s">
        <v>3402</v>
      </c>
      <c r="D171" s="19">
        <v>45905.427083333336</v>
      </c>
      <c r="E171" s="18" t="s">
        <v>10</v>
      </c>
      <c r="F171" s="18">
        <v>3</v>
      </c>
      <c r="G171" s="18" t="s">
        <v>10</v>
      </c>
      <c r="H171" s="18" t="s">
        <v>178</v>
      </c>
      <c r="I171" s="18" t="s">
        <v>10</v>
      </c>
      <c r="J171" s="18" t="s">
        <v>71</v>
      </c>
      <c r="K171" s="20"/>
    </row>
    <row r="172" spans="1:11" ht="36.75" thickBot="1">
      <c r="A172" s="18" t="s">
        <v>3403</v>
      </c>
      <c r="B172" s="18">
        <v>20018013179</v>
      </c>
      <c r="C172" s="18" t="s">
        <v>3404</v>
      </c>
      <c r="D172" s="19">
        <v>45903.45416666667</v>
      </c>
      <c r="E172" s="19">
        <v>45905.439583333333</v>
      </c>
      <c r="F172" s="18">
        <v>5</v>
      </c>
      <c r="G172" s="18" t="s">
        <v>10</v>
      </c>
      <c r="H172" s="18" t="s">
        <v>189</v>
      </c>
      <c r="I172" s="18" t="s">
        <v>10</v>
      </c>
      <c r="J172" s="18" t="s">
        <v>76</v>
      </c>
      <c r="K172" s="20"/>
    </row>
    <row r="173" spans="1:11" ht="36.75" thickBot="1">
      <c r="A173" s="18" t="s">
        <v>3405</v>
      </c>
      <c r="B173" s="18">
        <v>20003298835</v>
      </c>
      <c r="C173" s="18" t="s">
        <v>3406</v>
      </c>
      <c r="D173" s="19">
        <v>45905.640277777777</v>
      </c>
      <c r="E173" s="18" t="s">
        <v>10</v>
      </c>
      <c r="F173" s="18">
        <v>15</v>
      </c>
      <c r="G173" s="19">
        <v>45944.576388888891</v>
      </c>
      <c r="H173" s="18" t="s">
        <v>2657</v>
      </c>
      <c r="I173" s="18" t="s">
        <v>10</v>
      </c>
      <c r="J173" s="18" t="s">
        <v>71</v>
      </c>
      <c r="K173" s="20"/>
    </row>
    <row r="174" spans="1:11" ht="36.75" thickBot="1">
      <c r="A174" s="18" t="s">
        <v>3407</v>
      </c>
      <c r="B174" s="18">
        <v>20022061686</v>
      </c>
      <c r="C174" s="18" t="s">
        <v>3408</v>
      </c>
      <c r="D174" s="19">
        <v>45908.803472222222</v>
      </c>
      <c r="E174" s="18" t="s">
        <v>10</v>
      </c>
      <c r="F174" s="18">
        <v>5</v>
      </c>
      <c r="G174" s="19">
        <v>45938.416666666664</v>
      </c>
      <c r="H174" s="18" t="s">
        <v>236</v>
      </c>
      <c r="I174" s="18" t="s">
        <v>10</v>
      </c>
      <c r="J174" s="18" t="s">
        <v>71</v>
      </c>
      <c r="K174" s="20"/>
    </row>
    <row r="175" spans="1:11" ht="36.75" thickBot="1">
      <c r="A175" s="18" t="s">
        <v>3409</v>
      </c>
      <c r="B175" s="18">
        <v>20025701772</v>
      </c>
      <c r="C175" s="18" t="s">
        <v>3410</v>
      </c>
      <c r="D175" s="19">
        <v>45911.626388888886</v>
      </c>
      <c r="E175" s="18" t="s">
        <v>10</v>
      </c>
      <c r="F175" s="18">
        <v>4</v>
      </c>
      <c r="G175" s="19">
        <v>45957.515277777777</v>
      </c>
      <c r="H175" s="18" t="s">
        <v>2654</v>
      </c>
      <c r="I175" s="18" t="s">
        <v>10</v>
      </c>
      <c r="J175" s="18" t="s">
        <v>71</v>
      </c>
      <c r="K175" s="20"/>
    </row>
    <row r="176" spans="1:11" ht="36.75" thickBot="1">
      <c r="A176" s="18" t="s">
        <v>3411</v>
      </c>
      <c r="B176" s="18">
        <v>20018687550</v>
      </c>
      <c r="C176" s="18" t="s">
        <v>3412</v>
      </c>
      <c r="D176" s="19">
        <v>45915.683333333334</v>
      </c>
      <c r="E176" s="18" t="s">
        <v>10</v>
      </c>
      <c r="F176" s="18">
        <v>8</v>
      </c>
      <c r="G176" s="19">
        <v>45946.493750000001</v>
      </c>
      <c r="H176" s="18" t="s">
        <v>2654</v>
      </c>
      <c r="I176" s="18" t="s">
        <v>10</v>
      </c>
      <c r="J176" s="18" t="s">
        <v>71</v>
      </c>
      <c r="K176" s="20"/>
    </row>
    <row r="177" spans="1:11" ht="36.75" thickBot="1">
      <c r="A177" s="18" t="s">
        <v>3413</v>
      </c>
      <c r="B177" s="18">
        <v>20003510408</v>
      </c>
      <c r="C177" s="18" t="s">
        <v>3414</v>
      </c>
      <c r="D177" s="19">
        <v>45917.476388888892</v>
      </c>
      <c r="E177" s="18" t="s">
        <v>10</v>
      </c>
      <c r="F177" s="18">
        <v>10</v>
      </c>
      <c r="G177" s="19">
        <v>45972.649305555555</v>
      </c>
      <c r="H177" s="18" t="s">
        <v>2654</v>
      </c>
      <c r="I177" s="18" t="s">
        <v>10</v>
      </c>
      <c r="J177" s="18" t="s">
        <v>71</v>
      </c>
      <c r="K177" s="20"/>
    </row>
    <row r="178" spans="1:11" ht="36.75" thickBot="1">
      <c r="A178" s="18" t="s">
        <v>3415</v>
      </c>
      <c r="B178" s="18">
        <v>20028833258</v>
      </c>
      <c r="C178" s="18" t="s">
        <v>3416</v>
      </c>
      <c r="D178" s="19">
        <v>45898.643750000003</v>
      </c>
      <c r="E178" s="19">
        <v>45918.619444444441</v>
      </c>
      <c r="F178" s="18">
        <v>10</v>
      </c>
      <c r="G178" s="19">
        <v>45950.469444444447</v>
      </c>
      <c r="H178" s="18" t="s">
        <v>2688</v>
      </c>
      <c r="I178" s="18" t="s">
        <v>10</v>
      </c>
      <c r="J178" s="18" t="s">
        <v>76</v>
      </c>
      <c r="K178" s="20"/>
    </row>
    <row r="179" spans="1:11" ht="36.75" thickBot="1">
      <c r="A179" s="18" t="s">
        <v>3417</v>
      </c>
      <c r="B179" s="18">
        <v>20022577125</v>
      </c>
      <c r="C179" s="18" t="s">
        <v>3418</v>
      </c>
      <c r="D179" s="19">
        <v>45918.696527777778</v>
      </c>
      <c r="E179" s="18" t="s">
        <v>10</v>
      </c>
      <c r="F179" s="18">
        <v>5</v>
      </c>
      <c r="G179" s="19">
        <v>45932.552777777775</v>
      </c>
      <c r="H179" s="18" t="s">
        <v>236</v>
      </c>
      <c r="I179" s="18" t="s">
        <v>10</v>
      </c>
      <c r="J179" s="18" t="s">
        <v>71</v>
      </c>
      <c r="K179" s="20"/>
    </row>
    <row r="180" spans="1:11" ht="36.75" thickBot="1">
      <c r="A180" s="18" t="s">
        <v>3419</v>
      </c>
      <c r="B180" s="18">
        <v>20028850661</v>
      </c>
      <c r="C180" s="18" t="s">
        <v>3420</v>
      </c>
      <c r="D180" s="19">
        <v>45918.833333333336</v>
      </c>
      <c r="E180" s="18" t="s">
        <v>10</v>
      </c>
      <c r="F180" s="18">
        <v>5</v>
      </c>
      <c r="G180" s="19">
        <v>45926.645138888889</v>
      </c>
      <c r="H180" s="18" t="s">
        <v>236</v>
      </c>
      <c r="I180" s="18" t="s">
        <v>10</v>
      </c>
      <c r="J180" s="18" t="s">
        <v>71</v>
      </c>
      <c r="K180" s="20"/>
    </row>
    <row r="181" spans="1:11" ht="36.75" thickBot="1">
      <c r="A181" s="18" t="s">
        <v>3421</v>
      </c>
      <c r="B181" s="18">
        <v>20003359092</v>
      </c>
      <c r="C181" s="18" t="s">
        <v>1664</v>
      </c>
      <c r="D181" s="19">
        <v>45922.461111111108</v>
      </c>
      <c r="E181" s="18" t="s">
        <v>10</v>
      </c>
      <c r="F181" s="18">
        <v>10</v>
      </c>
      <c r="G181" s="19">
        <v>45954.498611111114</v>
      </c>
      <c r="H181" s="18" t="s">
        <v>236</v>
      </c>
      <c r="I181" s="18" t="s">
        <v>10</v>
      </c>
      <c r="J181" s="18" t="s">
        <v>71</v>
      </c>
      <c r="K181" s="20"/>
    </row>
    <row r="182" spans="1:11" ht="36.75" thickBot="1">
      <c r="A182" s="18" t="s">
        <v>3422</v>
      </c>
      <c r="B182" s="18">
        <v>20018933523</v>
      </c>
      <c r="C182" s="18" t="s">
        <v>3408</v>
      </c>
      <c r="D182" s="19">
        <v>45922.925000000003</v>
      </c>
      <c r="E182" s="18" t="s">
        <v>10</v>
      </c>
      <c r="F182" s="18">
        <v>5</v>
      </c>
      <c r="G182" s="19">
        <v>45992.351388888892</v>
      </c>
      <c r="H182" s="18" t="s">
        <v>2657</v>
      </c>
      <c r="I182" s="18" t="s">
        <v>10</v>
      </c>
      <c r="J182" s="18" t="s">
        <v>71</v>
      </c>
      <c r="K182" s="20"/>
    </row>
    <row r="183" spans="1:11" ht="36.75" thickBot="1">
      <c r="A183" s="18" t="s">
        <v>3423</v>
      </c>
      <c r="B183" s="18">
        <v>20028261234</v>
      </c>
      <c r="C183" s="18" t="s">
        <v>3424</v>
      </c>
      <c r="D183" s="19">
        <v>45925.677083333336</v>
      </c>
      <c r="E183" s="18" t="s">
        <v>10</v>
      </c>
      <c r="F183" s="18">
        <v>5</v>
      </c>
      <c r="G183" s="18" t="s">
        <v>10</v>
      </c>
      <c r="H183" s="18" t="s">
        <v>189</v>
      </c>
      <c r="I183" s="18" t="s">
        <v>10</v>
      </c>
      <c r="J183" s="18" t="s">
        <v>71</v>
      </c>
      <c r="K183" s="20"/>
    </row>
    <row r="184" spans="1:11" ht="36.75" thickBot="1">
      <c r="A184" s="18" t="s">
        <v>3425</v>
      </c>
      <c r="B184" s="18">
        <v>20028887639</v>
      </c>
      <c r="C184" s="18" t="s">
        <v>3402</v>
      </c>
      <c r="D184" s="19">
        <v>45926.593055555553</v>
      </c>
      <c r="E184" s="18" t="s">
        <v>10</v>
      </c>
      <c r="F184" s="18">
        <v>3</v>
      </c>
      <c r="G184" s="19">
        <v>45929.397222222222</v>
      </c>
      <c r="H184" s="18" t="s">
        <v>236</v>
      </c>
      <c r="I184" s="18" t="s">
        <v>10</v>
      </c>
      <c r="J184" s="18" t="s">
        <v>71</v>
      </c>
      <c r="K184" s="20"/>
    </row>
    <row r="185" spans="1:11" ht="36.75" thickBot="1">
      <c r="A185" s="18" t="s">
        <v>3426</v>
      </c>
      <c r="B185" s="18">
        <v>20002870093</v>
      </c>
      <c r="C185" s="18" t="s">
        <v>3427</v>
      </c>
      <c r="D185" s="19">
        <v>45929.638194444444</v>
      </c>
      <c r="E185" s="18" t="s">
        <v>10</v>
      </c>
      <c r="F185" s="18">
        <v>10</v>
      </c>
      <c r="G185" s="19">
        <v>45954.645833333336</v>
      </c>
      <c r="H185" s="18" t="s">
        <v>2654</v>
      </c>
      <c r="I185" s="18" t="s">
        <v>10</v>
      </c>
      <c r="J185" s="18" t="s">
        <v>71</v>
      </c>
      <c r="K185" s="20"/>
    </row>
    <row r="186" spans="1:11" ht="36.75" thickBot="1">
      <c r="A186" s="18" t="s">
        <v>3428</v>
      </c>
      <c r="B186" s="18">
        <v>20028476713</v>
      </c>
      <c r="C186" s="18" t="s">
        <v>3429</v>
      </c>
      <c r="D186" s="19">
        <v>45924.587500000001</v>
      </c>
      <c r="E186" s="19">
        <v>45932.445833333331</v>
      </c>
      <c r="F186" s="18">
        <v>20</v>
      </c>
      <c r="G186" s="19">
        <v>45940.536111111112</v>
      </c>
      <c r="H186" s="18" t="s">
        <v>2654</v>
      </c>
      <c r="I186" s="18" t="s">
        <v>10</v>
      </c>
      <c r="J186" s="18" t="s">
        <v>71</v>
      </c>
      <c r="K186" s="20"/>
    </row>
    <row r="187" spans="1:11" ht="36.75" thickBot="1">
      <c r="A187" s="18" t="s">
        <v>3430</v>
      </c>
      <c r="B187" s="18">
        <v>20003645786</v>
      </c>
      <c r="C187" s="18" t="s">
        <v>3431</v>
      </c>
      <c r="D187" s="19">
        <v>45933.570138888892</v>
      </c>
      <c r="E187" s="18" t="s">
        <v>10</v>
      </c>
      <c r="F187" s="18">
        <v>5</v>
      </c>
      <c r="G187" s="19">
        <v>45938.340277777781</v>
      </c>
      <c r="H187" s="18" t="s">
        <v>189</v>
      </c>
      <c r="I187" s="18" t="s">
        <v>10</v>
      </c>
      <c r="J187" s="18" t="s">
        <v>71</v>
      </c>
      <c r="K187" s="20"/>
    </row>
    <row r="188" spans="1:11" ht="36.75" thickBot="1">
      <c r="A188" s="18" t="s">
        <v>3432</v>
      </c>
      <c r="B188" s="18">
        <v>20016725256</v>
      </c>
      <c r="C188" s="18" t="s">
        <v>3433</v>
      </c>
      <c r="D188" s="19">
        <v>45939.631944444445</v>
      </c>
      <c r="E188" s="18" t="s">
        <v>10</v>
      </c>
      <c r="F188" s="18">
        <v>10</v>
      </c>
      <c r="G188" s="19">
        <v>45952.666666666664</v>
      </c>
      <c r="H188" s="18" t="s">
        <v>236</v>
      </c>
      <c r="I188" s="18" t="s">
        <v>10</v>
      </c>
      <c r="J188" s="18" t="s">
        <v>71</v>
      </c>
      <c r="K188" s="20"/>
    </row>
    <row r="189" spans="1:11" ht="36.75" thickBot="1">
      <c r="A189" s="18" t="s">
        <v>3434</v>
      </c>
      <c r="B189" s="18">
        <v>20002922727</v>
      </c>
      <c r="C189" s="18" t="s">
        <v>3435</v>
      </c>
      <c r="D189" s="19">
        <v>45940.53125</v>
      </c>
      <c r="E189" s="18" t="s">
        <v>10</v>
      </c>
      <c r="F189" s="18">
        <v>10</v>
      </c>
      <c r="G189" s="19">
        <v>45951.542361111111</v>
      </c>
      <c r="H189" s="18" t="s">
        <v>2654</v>
      </c>
      <c r="I189" s="18" t="s">
        <v>10</v>
      </c>
      <c r="J189" s="18" t="s">
        <v>71</v>
      </c>
      <c r="K189" s="20"/>
    </row>
    <row r="190" spans="1:11" ht="36.75" thickBot="1">
      <c r="A190" s="18" t="s">
        <v>3436</v>
      </c>
      <c r="B190" s="18">
        <v>20001413918</v>
      </c>
      <c r="C190" s="18" t="s">
        <v>3437</v>
      </c>
      <c r="D190" s="19">
        <v>45940.62222222222</v>
      </c>
      <c r="E190" s="18" t="s">
        <v>10</v>
      </c>
      <c r="F190" s="18">
        <v>10</v>
      </c>
      <c r="G190" s="19">
        <v>45989.577777777777</v>
      </c>
      <c r="H190" s="18" t="s">
        <v>2654</v>
      </c>
      <c r="I190" s="18" t="s">
        <v>10</v>
      </c>
      <c r="J190" s="18" t="s">
        <v>76</v>
      </c>
      <c r="K190" s="20"/>
    </row>
    <row r="191" spans="1:11" ht="36.75" thickBot="1">
      <c r="A191" s="18" t="s">
        <v>3438</v>
      </c>
      <c r="B191" s="18">
        <v>20001413898</v>
      </c>
      <c r="C191" s="18" t="s">
        <v>3439</v>
      </c>
      <c r="D191" s="19">
        <v>45943.444444444445</v>
      </c>
      <c r="E191" s="18" t="s">
        <v>10</v>
      </c>
      <c r="F191" s="18">
        <v>10</v>
      </c>
      <c r="G191" s="19">
        <v>45989.57708333333</v>
      </c>
      <c r="H191" s="18" t="s">
        <v>2654</v>
      </c>
      <c r="I191" s="18" t="s">
        <v>10</v>
      </c>
      <c r="J191" s="18" t="s">
        <v>76</v>
      </c>
      <c r="K191" s="20"/>
    </row>
    <row r="192" spans="1:11" ht="36.75" thickBot="1">
      <c r="A192" s="18" t="s">
        <v>3440</v>
      </c>
      <c r="B192" s="18">
        <v>20028253381</v>
      </c>
      <c r="C192" s="18" t="s">
        <v>3441</v>
      </c>
      <c r="D192" s="19">
        <v>45944.32708333333</v>
      </c>
      <c r="E192" s="18" t="s">
        <v>10</v>
      </c>
      <c r="F192" s="18">
        <v>3.8</v>
      </c>
      <c r="G192" s="19">
        <v>45951.511805555558</v>
      </c>
      <c r="H192" s="18" t="s">
        <v>2654</v>
      </c>
      <c r="I192" s="18" t="s">
        <v>10</v>
      </c>
      <c r="J192" s="18" t="s">
        <v>71</v>
      </c>
      <c r="K192" s="20"/>
    </row>
    <row r="193" spans="1:11" ht="36.75" thickBot="1">
      <c r="A193" s="18" t="s">
        <v>3442</v>
      </c>
      <c r="B193" s="18">
        <v>20016776609</v>
      </c>
      <c r="C193" s="18" t="s">
        <v>3443</v>
      </c>
      <c r="D193" s="19">
        <v>45944.714583333334</v>
      </c>
      <c r="E193" s="18" t="s">
        <v>10</v>
      </c>
      <c r="F193" s="18">
        <v>5</v>
      </c>
      <c r="G193" s="18" t="s">
        <v>10</v>
      </c>
      <c r="H193" s="18" t="s">
        <v>178</v>
      </c>
      <c r="I193" s="18" t="s">
        <v>10</v>
      </c>
      <c r="J193" s="18" t="s">
        <v>71</v>
      </c>
      <c r="K193" s="20"/>
    </row>
    <row r="194" spans="1:11" ht="36.75" thickBot="1">
      <c r="A194" s="18" t="s">
        <v>3444</v>
      </c>
      <c r="B194" s="18">
        <v>20026965592</v>
      </c>
      <c r="C194" s="18" t="s">
        <v>3445</v>
      </c>
      <c r="D194" s="19">
        <v>45945.447916666664</v>
      </c>
      <c r="E194" s="18" t="s">
        <v>10</v>
      </c>
      <c r="F194" s="18">
        <v>2.375</v>
      </c>
      <c r="G194" s="18" t="s">
        <v>10</v>
      </c>
      <c r="H194" s="18" t="s">
        <v>189</v>
      </c>
      <c r="I194" s="18" t="s">
        <v>10</v>
      </c>
      <c r="J194" s="18" t="s">
        <v>71</v>
      </c>
      <c r="K194" s="20"/>
    </row>
    <row r="195" spans="1:11" ht="36.75" thickBot="1">
      <c r="A195" s="18" t="s">
        <v>3446</v>
      </c>
      <c r="B195" s="18">
        <v>20027593519</v>
      </c>
      <c r="C195" s="18" t="s">
        <v>3447</v>
      </c>
      <c r="D195" s="19">
        <v>45931.493055555555</v>
      </c>
      <c r="E195" s="19">
        <v>45945.559027777781</v>
      </c>
      <c r="F195" s="18">
        <v>10</v>
      </c>
      <c r="G195" s="19">
        <v>45954.413194444445</v>
      </c>
      <c r="H195" s="18" t="s">
        <v>2654</v>
      </c>
      <c r="I195" s="18" t="s">
        <v>10</v>
      </c>
      <c r="J195" s="18" t="s">
        <v>71</v>
      </c>
      <c r="K195" s="20"/>
    </row>
    <row r="196" spans="1:11" ht="36.75" thickBot="1">
      <c r="A196" s="18" t="s">
        <v>3448</v>
      </c>
      <c r="B196" s="18">
        <v>20027663779</v>
      </c>
      <c r="C196" s="18" t="s">
        <v>3449</v>
      </c>
      <c r="D196" s="19">
        <v>45947.477083333331</v>
      </c>
      <c r="E196" s="18" t="s">
        <v>10</v>
      </c>
      <c r="F196" s="18">
        <v>20</v>
      </c>
      <c r="G196" s="19">
        <v>45978.506249999999</v>
      </c>
      <c r="H196" s="18" t="s">
        <v>2655</v>
      </c>
      <c r="I196" s="18" t="s">
        <v>2699</v>
      </c>
      <c r="J196" s="18" t="s">
        <v>76</v>
      </c>
      <c r="K196" s="20"/>
    </row>
    <row r="197" spans="1:11" ht="36.75" thickBot="1">
      <c r="A197" s="18" t="s">
        <v>3450</v>
      </c>
      <c r="B197" s="18">
        <v>20027266230</v>
      </c>
      <c r="C197" s="18" t="s">
        <v>3372</v>
      </c>
      <c r="D197" s="19">
        <v>45952.438194444447</v>
      </c>
      <c r="E197" s="18" t="s">
        <v>10</v>
      </c>
      <c r="F197" s="18">
        <v>10</v>
      </c>
      <c r="G197" s="18" t="s">
        <v>10</v>
      </c>
      <c r="H197" s="18" t="s">
        <v>178</v>
      </c>
      <c r="I197" s="18" t="s">
        <v>10</v>
      </c>
      <c r="J197" s="18" t="s">
        <v>71</v>
      </c>
      <c r="K197" s="20"/>
    </row>
    <row r="198" spans="1:11" ht="36.75" thickBot="1">
      <c r="A198" s="18" t="s">
        <v>3451</v>
      </c>
      <c r="B198" s="18">
        <v>20018729338</v>
      </c>
      <c r="C198" s="18" t="s">
        <v>3452</v>
      </c>
      <c r="D198" s="19">
        <v>45954.416666666664</v>
      </c>
      <c r="E198" s="18" t="s">
        <v>10</v>
      </c>
      <c r="F198" s="18">
        <v>5</v>
      </c>
      <c r="G198" s="18" t="s">
        <v>10</v>
      </c>
      <c r="H198" s="18" t="s">
        <v>2652</v>
      </c>
      <c r="I198" s="18" t="s">
        <v>2699</v>
      </c>
      <c r="J198" s="18" t="s">
        <v>71</v>
      </c>
      <c r="K198" s="20"/>
    </row>
    <row r="199" spans="1:11" ht="36.75" thickBot="1">
      <c r="A199" s="18" t="s">
        <v>3455</v>
      </c>
      <c r="B199" s="18">
        <v>20027266230</v>
      </c>
      <c r="C199" s="18" t="s">
        <v>3372</v>
      </c>
      <c r="D199" s="19">
        <v>45959.384722222225</v>
      </c>
      <c r="E199" s="18" t="s">
        <v>10</v>
      </c>
      <c r="F199" s="18">
        <v>10</v>
      </c>
      <c r="G199" s="18" t="s">
        <v>10</v>
      </c>
      <c r="H199" s="18" t="s">
        <v>2652</v>
      </c>
      <c r="I199" s="18" t="s">
        <v>2699</v>
      </c>
      <c r="J199" s="18" t="s">
        <v>71</v>
      </c>
      <c r="K199" s="20"/>
    </row>
    <row r="200" spans="1:11" ht="36.75" thickBot="1">
      <c r="A200" s="18" t="s">
        <v>3456</v>
      </c>
      <c r="B200" s="18">
        <v>20017484016</v>
      </c>
      <c r="C200" s="18" t="s">
        <v>655</v>
      </c>
      <c r="D200" s="19">
        <v>45964.92291666667</v>
      </c>
      <c r="E200" s="18" t="s">
        <v>10</v>
      </c>
      <c r="F200" s="18">
        <v>19.763999999999999</v>
      </c>
      <c r="G200" s="18" t="s">
        <v>10</v>
      </c>
      <c r="H200" s="18" t="s">
        <v>178</v>
      </c>
      <c r="I200" s="18" t="s">
        <v>10</v>
      </c>
      <c r="J200" s="18" t="s">
        <v>76</v>
      </c>
      <c r="K200" s="20"/>
    </row>
    <row r="201" spans="1:11" ht="36.75" thickBot="1">
      <c r="A201" s="18" t="s">
        <v>3457</v>
      </c>
      <c r="B201" s="18">
        <v>20028261221</v>
      </c>
      <c r="C201" s="18" t="s">
        <v>3458</v>
      </c>
      <c r="D201" s="19">
        <v>45965.654166666667</v>
      </c>
      <c r="E201" s="18" t="s">
        <v>10</v>
      </c>
      <c r="F201" s="18">
        <v>3.3250000000000002</v>
      </c>
      <c r="G201" s="18" t="s">
        <v>10</v>
      </c>
      <c r="H201" s="23" t="s">
        <v>2656</v>
      </c>
      <c r="I201" s="18" t="s">
        <v>10</v>
      </c>
      <c r="J201" s="18" t="s">
        <v>71</v>
      </c>
      <c r="K201" s="20"/>
    </row>
    <row r="202" spans="1:11" ht="36.75" thickBot="1">
      <c r="A202" s="18" t="s">
        <v>7885</v>
      </c>
      <c r="B202" s="18">
        <v>20016534124</v>
      </c>
      <c r="C202" s="18" t="s">
        <v>7886</v>
      </c>
      <c r="D202" s="19">
        <v>45967.678472222222</v>
      </c>
      <c r="E202" s="18" t="s">
        <v>10</v>
      </c>
      <c r="F202" s="18">
        <v>3.8</v>
      </c>
      <c r="G202" s="18" t="s">
        <v>10</v>
      </c>
      <c r="H202" s="23" t="s">
        <v>2656</v>
      </c>
      <c r="I202" s="18" t="s">
        <v>10</v>
      </c>
      <c r="J202" s="18" t="s">
        <v>71</v>
      </c>
      <c r="K202" s="1"/>
    </row>
    <row r="203" spans="1:11" ht="72.75" thickBot="1">
      <c r="A203" s="21" t="s">
        <v>7887</v>
      </c>
      <c r="B203" s="21">
        <v>20019382686</v>
      </c>
      <c r="C203" s="21" t="s">
        <v>951</v>
      </c>
      <c r="D203" s="22">
        <v>45972.410416666666</v>
      </c>
      <c r="E203" s="21" t="s">
        <v>10</v>
      </c>
      <c r="F203" s="21">
        <v>5</v>
      </c>
      <c r="G203" s="22">
        <v>45975.357638888891</v>
      </c>
      <c r="H203" s="21" t="s">
        <v>2654</v>
      </c>
      <c r="I203" s="21" t="s">
        <v>10</v>
      </c>
      <c r="J203" s="21" t="s">
        <v>76</v>
      </c>
      <c r="K203" s="20"/>
    </row>
    <row r="204" spans="1:11" ht="36.75" thickBot="1">
      <c r="A204" s="18" t="s">
        <v>7888</v>
      </c>
      <c r="B204" s="18">
        <v>20003645786</v>
      </c>
      <c r="C204" s="18" t="s">
        <v>3431</v>
      </c>
      <c r="D204" s="19">
        <v>45973.411111111112</v>
      </c>
      <c r="E204" s="18" t="s">
        <v>10</v>
      </c>
      <c r="F204" s="18">
        <v>5</v>
      </c>
      <c r="G204" s="19">
        <v>45974.612500000003</v>
      </c>
      <c r="H204" s="18" t="s">
        <v>236</v>
      </c>
      <c r="I204" s="18" t="s">
        <v>10</v>
      </c>
      <c r="J204" s="18" t="s">
        <v>71</v>
      </c>
      <c r="K204" s="20"/>
    </row>
    <row r="205" spans="1:11" ht="36.75" thickBot="1">
      <c r="A205" s="18" t="s">
        <v>7889</v>
      </c>
      <c r="B205" s="18">
        <v>20016776609</v>
      </c>
      <c r="C205" s="18" t="s">
        <v>3443</v>
      </c>
      <c r="D205" s="19">
        <v>45973.713888888888</v>
      </c>
      <c r="E205" s="18" t="s">
        <v>10</v>
      </c>
      <c r="F205" s="18">
        <v>5</v>
      </c>
      <c r="G205" s="18" t="s">
        <v>10</v>
      </c>
      <c r="H205" s="23" t="s">
        <v>2656</v>
      </c>
      <c r="I205" s="18" t="s">
        <v>10</v>
      </c>
      <c r="J205" s="18" t="s">
        <v>71</v>
      </c>
      <c r="K205" s="20"/>
    </row>
    <row r="206" spans="1:11" ht="54.75" thickBot="1">
      <c r="A206" s="18" t="s">
        <v>7890</v>
      </c>
      <c r="B206" s="18">
        <v>20003027972</v>
      </c>
      <c r="C206" s="18" t="s">
        <v>7891</v>
      </c>
      <c r="D206" s="19">
        <v>45974.650694444441</v>
      </c>
      <c r="E206" s="18" t="s">
        <v>10</v>
      </c>
      <c r="F206" s="18">
        <v>10</v>
      </c>
      <c r="G206" s="18" t="s">
        <v>10</v>
      </c>
      <c r="H206" s="18" t="s">
        <v>235</v>
      </c>
      <c r="I206" s="18" t="s">
        <v>10</v>
      </c>
      <c r="J206" s="18" t="s">
        <v>76</v>
      </c>
      <c r="K206" s="20"/>
    </row>
    <row r="207" spans="1:11" ht="36.75" thickBot="1">
      <c r="A207" s="18" t="s">
        <v>3453</v>
      </c>
      <c r="B207" s="18">
        <v>20024177167</v>
      </c>
      <c r="C207" s="18" t="s">
        <v>3454</v>
      </c>
      <c r="D207" s="19">
        <v>45957.45208333333</v>
      </c>
      <c r="E207" s="19">
        <v>45980.68472222222</v>
      </c>
      <c r="F207" s="18">
        <v>2.85</v>
      </c>
      <c r="G207" s="18" t="s">
        <v>10</v>
      </c>
      <c r="H207" s="18" t="s">
        <v>2652</v>
      </c>
      <c r="I207" s="18" t="s">
        <v>2699</v>
      </c>
      <c r="J207" s="18" t="s">
        <v>76</v>
      </c>
      <c r="K207" s="20"/>
    </row>
    <row r="208" spans="1:11" ht="54.75" thickBot="1">
      <c r="A208" s="18" t="s">
        <v>7892</v>
      </c>
      <c r="B208" s="18">
        <v>20027618811</v>
      </c>
      <c r="C208" s="18" t="s">
        <v>7893</v>
      </c>
      <c r="D208" s="19">
        <v>45981.707638888889</v>
      </c>
      <c r="E208" s="18" t="s">
        <v>10</v>
      </c>
      <c r="F208" s="18">
        <v>20</v>
      </c>
      <c r="G208" s="18" t="s">
        <v>10</v>
      </c>
      <c r="H208" s="25" t="s">
        <v>2656</v>
      </c>
      <c r="I208" s="18" t="s">
        <v>10</v>
      </c>
      <c r="J208" s="18" t="s">
        <v>71</v>
      </c>
      <c r="K208" s="1"/>
    </row>
  </sheetData>
  <conditionalFormatting sqref="B2">
    <cfRule type="duplicateValues" dxfId="3" priority="1"/>
  </conditionalFormatting>
  <hyperlinks>
    <hyperlink ref="K3" r:id="rId1" display="https://ppim-intra.pea.co.th:4434/request/PPIM18500003" xr:uid="{A7566B1F-CCA9-4CA9-BCD5-5A1873289BB7}"/>
    <hyperlink ref="K4" r:id="rId2" display="https://ppim-intra.pea.co.th:4434/request/PPIM185001BD" xr:uid="{479B3FA1-4792-4102-9DAF-ABFEDD7672AD}"/>
    <hyperlink ref="K5" r:id="rId3" display="https://ppim-intra.pea.co.th:4434/request/PPIM185001ED" xr:uid="{5F9F2B8F-EBA5-498B-AFF3-C50A73DD9355}"/>
    <hyperlink ref="K6" r:id="rId4" display="https://ppim-intra.pea.co.th:4434/request/PPIM1850022E" xr:uid="{275FA179-5DEA-4D3C-931E-FD9F6567C983}"/>
    <hyperlink ref="K7" r:id="rId5" display="https://ppim-intra.pea.co.th:4434/request/PPIM18500271" xr:uid="{C15BF62C-27EC-4269-AC10-B7350C44550D}"/>
    <hyperlink ref="K8" r:id="rId6" display="https://ppim-intra.pea.co.th:4434/request/PPIM18500289" xr:uid="{6BF059EC-8217-441B-8099-27BCAC89795D}"/>
    <hyperlink ref="K9" r:id="rId7" display="https://ppim-intra.pea.co.th:4434/request/PPIM185002D0" xr:uid="{95F4AB78-5135-4D2A-8C49-DFF7386974F0}"/>
    <hyperlink ref="K10" r:id="rId8" display="https://ppim-intra.pea.co.th:4434/request/PPIM185002E6" xr:uid="{93308F87-5B0F-4144-89B5-844B7C02086A}"/>
    <hyperlink ref="K11" r:id="rId9" display="https://ppim-intra.pea.co.th:4434/request/PPIM185002F3" xr:uid="{8390513B-DF4D-4DCD-9B97-DDD60DAE9597}"/>
    <hyperlink ref="K12" r:id="rId10" display="https://ppim-intra.pea.co.th:4434/request/PPIM185003A0" xr:uid="{8D4B12A5-A9A5-4D44-A57E-283E9EDCEBCE}"/>
    <hyperlink ref="K13" r:id="rId11" display="https://ppim-intra.pea.co.th:4434/request/PPIM185003E0" xr:uid="{586BF7BC-CD6F-4D99-A4A3-34B72AC708FE}"/>
    <hyperlink ref="K14" r:id="rId12" display="https://ppim-intra.pea.co.th:4434/request/PPIM185003FA" xr:uid="{12CCABEA-FCD2-43FB-933C-7F7300A4E6EC}"/>
    <hyperlink ref="K15" r:id="rId13" display="https://ppim-intra.pea.co.th:4434/request/PPIM1850040A" xr:uid="{0A1DC328-DEB6-47A6-8C76-AACE79D0EC62}"/>
    <hyperlink ref="K16" r:id="rId14" display="https://ppim-intra.pea.co.th:4434/request/PPIM1850063B" xr:uid="{E5F10AE3-8AF9-4D82-B7A7-30146E91156B}"/>
    <hyperlink ref="K17" r:id="rId15" display="https://ppim-intra.pea.co.th:4434/request/PPIM18500A02" xr:uid="{143B72F9-CE4E-4C9B-B180-F68659786556}"/>
    <hyperlink ref="K18" r:id="rId16" display="https://ppim-intra.pea.co.th:4434/request/PPIM18500A96" xr:uid="{597E001D-5796-4BDC-B8F0-574EF90DF9E1}"/>
    <hyperlink ref="K19" r:id="rId17" display="https://ppim-intra.pea.co.th:4434/request/PPIM18500AF0" xr:uid="{A37F8176-8C05-4B9F-9558-390231503128}"/>
    <hyperlink ref="K20" r:id="rId18" display="https://ppim-intra.pea.co.th:4434/request/PPIM18500B42" xr:uid="{C5FE009D-2A31-4485-A023-8B1BBEBEEDD5}"/>
    <hyperlink ref="K21" r:id="rId19" display="https://ppim-intra.pea.co.th:4434/request/PPIM18500C22" xr:uid="{607011FF-47C3-4FB7-A5F8-C5473606C40F}"/>
    <hyperlink ref="K22" r:id="rId20" display="https://ppim-intra.pea.co.th:4434/request/PPIM18500D73" xr:uid="{B1D707D2-5445-426A-B907-808FDA8DC4EB}"/>
    <hyperlink ref="K23" r:id="rId21" display="https://ppim-intra.pea.co.th:4434/request/PPIM18500D87" xr:uid="{31023FE6-7C5A-4344-A117-A47BF98CD3DC}"/>
    <hyperlink ref="K24" r:id="rId22" display="https://ppim-intra.pea.co.th:4434/request/PPIM18500D8D" xr:uid="{0CC05847-2751-450C-AD12-1C9D2506B911}"/>
    <hyperlink ref="K25" r:id="rId23" display="https://ppim-intra.pea.co.th:4434/request/PPIM18500E2A" xr:uid="{03C8D081-B98B-488F-8606-8C3E63178159}"/>
    <hyperlink ref="K26" r:id="rId24" display="https://ppim-intra.pea.co.th:4434/request/PPIM18500E64" xr:uid="{3D45CC6F-ADC5-432E-B077-2FD3C0CBCB8E}"/>
    <hyperlink ref="K27" r:id="rId25" display="https://ppim-intra.pea.co.th:4434/request/PPIM18500EEA" xr:uid="{6E47BFEF-370B-4380-BDEF-060D00173871}"/>
    <hyperlink ref="K28" r:id="rId26" display="https://ppim-intra.pea.co.th:4434/request/PPIM18500F60" xr:uid="{8BF2D2A4-DE2F-489B-93FE-665AB697963B}"/>
    <hyperlink ref="K29" r:id="rId27" display="https://ppim-intra.pea.co.th:4434/request/PPIM185010AD" xr:uid="{01CE8783-80D7-4E98-A08C-235426B28FF5}"/>
    <hyperlink ref="K30" r:id="rId28" display="https://ppim-intra.pea.co.th:4434/request/PPIM1850063C" xr:uid="{09B2BFCC-06E3-47F6-A213-7809B1FF4792}"/>
    <hyperlink ref="K31" r:id="rId29" display="https://ppim-intra.pea.co.th:4434/request/PPIM185009D8" xr:uid="{DC9F4D05-A7AF-4B53-938D-9C58D8A4B638}"/>
    <hyperlink ref="K32" r:id="rId30" display="https://ppim-intra.pea.co.th:4434/request/PPIM18500980" xr:uid="{37C5BDC4-7C21-442E-B158-DBDF6D67AE9A}"/>
    <hyperlink ref="K33" r:id="rId31" display="https://ppim-intra.pea.co.th:4434/request/PPIM18501203" xr:uid="{1DA8C33D-0C62-4C9C-9936-3C84F077BB57}"/>
    <hyperlink ref="K34" r:id="rId32" display="https://ppim-intra.pea.co.th:4434/request/PPIM185004C3" xr:uid="{9BB25D43-7FAE-4E05-9063-668B1DFCBE97}"/>
    <hyperlink ref="K35" r:id="rId33" display="https://ppim-intra.pea.co.th:4434/request/PPIM185013A3" xr:uid="{7DFDDE3D-198F-420E-8E4F-0C05B405D1A2}"/>
    <hyperlink ref="K36" r:id="rId34" display="https://ppim-intra.pea.co.th:4434/request/PPIM18500DFE" xr:uid="{8B958ED0-AF5F-4627-A5F7-2D68D9B57BC3}"/>
    <hyperlink ref="K37" r:id="rId35" display="https://ppim-intra.pea.co.th:4434/request/PPIM18500EA5" xr:uid="{854FFC82-FD93-4752-A2B2-A634D4A0F37C}"/>
    <hyperlink ref="K38" r:id="rId36" display="https://ppim-intra.pea.co.th:4434/request/PPIM185016A2" xr:uid="{EFFE929E-465D-4497-9E7F-50897954BB84}"/>
    <hyperlink ref="K39" r:id="rId37" display="https://ppim-intra.pea.co.th:4434/request/PPIM18501630" xr:uid="{C9F7DABD-037C-4CF9-9EFD-7BEC986C4EFA}"/>
    <hyperlink ref="K40" r:id="rId38" display="https://ppim-intra.pea.co.th:4434/request/PPIM1850108F" xr:uid="{973B43E6-CBA7-45D1-8889-D701D866D789}"/>
    <hyperlink ref="K41" r:id="rId39" display="https://ppim-intra.pea.co.th:4434/request/PPIM1850145D" xr:uid="{83CD3C8C-BAD4-4774-B9CC-0E38B593EE1F}"/>
    <hyperlink ref="K42" r:id="rId40" display="https://ppim-intra.pea.co.th:4434/request/PPIM18501808" xr:uid="{72489EEB-7049-455D-B48B-A810C998D7D7}"/>
    <hyperlink ref="K43" r:id="rId41" display="https://ppim-intra.pea.co.th:4434/request/PPIM18501697" xr:uid="{38DC3A28-766F-4409-9D25-46D75393DD4F}"/>
    <hyperlink ref="K44" r:id="rId42" display="https://ppim-intra.pea.co.th:4434/request/PPIM185016B3" xr:uid="{2EA19CBA-7FB9-48C9-96B3-95314B8CAC10}"/>
    <hyperlink ref="K45" r:id="rId43" display="https://ppim-intra.pea.co.th:4434/request/PPIM18501AFE" xr:uid="{117789C3-B611-46DC-9FBF-E1996ED81752}"/>
    <hyperlink ref="K46" r:id="rId44" display="https://ppim-intra.pea.co.th:4434/request/PPIM18501B11" xr:uid="{3D200B48-49C8-45F2-A8C4-93D75ABF6594}"/>
    <hyperlink ref="K47" r:id="rId45" display="https://ppim-intra.pea.co.th:4434/request/PPIM18501C06" xr:uid="{994C08CD-B819-4FAD-BEB7-C10BDF7A83C8}"/>
    <hyperlink ref="K48" r:id="rId46" display="https://ppim-intra.pea.co.th:4434/request/PPIM18501C3C" xr:uid="{9E205B97-5494-4043-BF9B-6D339FD5B453}"/>
    <hyperlink ref="K49" r:id="rId47" display="https://ppim-intra.pea.co.th:4434/request/PPIM18501C43" xr:uid="{4147C7DE-8DB6-4746-BCBF-0DFC69C48E7E}"/>
    <hyperlink ref="K50" r:id="rId48" display="https://ppim-intra.pea.co.th:4434/request/PPIM18501C4B" xr:uid="{56A80068-36CA-4EAF-AF9E-0FDB5AFB5394}"/>
    <hyperlink ref="K51" r:id="rId49" display="https://ppim-intra.pea.co.th:4434/request/PPIM18501C7B" xr:uid="{AA0DA330-2284-4DD7-B1A6-B840E2FEFCC1}"/>
    <hyperlink ref="K52" r:id="rId50" display="https://ppim-intra.pea.co.th:4434/request/PPIM18501C8F" xr:uid="{E8FBF2BF-E6BF-4C2E-A39E-2DCF9556AC41}"/>
    <hyperlink ref="K53" r:id="rId51" display="https://ppim-intra.pea.co.th:4434/request/PPIM18501C92" xr:uid="{8F56DEDC-D1E8-4E05-BCBD-BFB45C1296C2}"/>
    <hyperlink ref="K54" r:id="rId52" display="https://ppim-intra.pea.co.th:4434/request/PPIM18501CA1" xr:uid="{412DDDE9-1F82-43D7-90F1-6EAE7D418083}"/>
    <hyperlink ref="K55" r:id="rId53" display="https://ppim-intra.pea.co.th:4434/request/PPIM18501F96" xr:uid="{CD2E7C23-82B1-447C-9E5A-84B16C32D632}"/>
    <hyperlink ref="K56" r:id="rId54" display="https://ppim-intra.pea.co.th:4434/request/PPIM18501FB6" xr:uid="{5A3D51BC-2A76-488C-8CDB-A3F7C414C506}"/>
    <hyperlink ref="K57" r:id="rId55" display="https://ppim-intra.pea.co.th:4434/request/PPIM18501FBC" xr:uid="{BCD0FEB5-9C63-4F83-9B9B-55953C472C25}"/>
    <hyperlink ref="K58" r:id="rId56" display="https://ppim-intra.pea.co.th:4434/request/PPIM18501FCB" xr:uid="{2C21EC4F-D08B-4F10-9D6E-0B0912C55363}"/>
    <hyperlink ref="K59" r:id="rId57" display="https://ppim-intra.pea.co.th:4434/request/PPIM18501A2D" xr:uid="{B6A6845E-9B3C-48F6-8848-EB9A4AB2A013}"/>
    <hyperlink ref="K60" r:id="rId58" display="https://ppim-intra.pea.co.th:4434/request/PPIM185021F9" xr:uid="{5365E84C-8329-4549-AEAA-3B7FB9EEC129}"/>
    <hyperlink ref="K61" r:id="rId59" display="https://ppim-intra.pea.co.th:4434/request/PPIM18502486" xr:uid="{9326B8BD-F8E9-49F0-B2A4-6FF988693014}"/>
    <hyperlink ref="K62" r:id="rId60" display="https://ppim-intra.pea.co.th:4434/request/PPIM185025B6" xr:uid="{827D19E4-A578-4C16-811A-5E208DB9DBD5}"/>
    <hyperlink ref="K63" r:id="rId61" display="https://ppim-intra.pea.co.th:4434/request/PPIM185025C2" xr:uid="{5BE8ACB9-50F1-45BF-AC5F-FB080C5D82F5}"/>
    <hyperlink ref="K64" r:id="rId62" display="https://ppim-intra.pea.co.th:4434/request/PPIM18502662" xr:uid="{F872F45B-838C-4ECF-9DF3-5284B6C23EF1}"/>
    <hyperlink ref="K65" r:id="rId63" display="https://ppim-intra.pea.co.th:4434/request/PPIM185027FA" xr:uid="{DBB354A9-A718-4142-BB24-F0F3BE1936C2}"/>
    <hyperlink ref="K66" r:id="rId64" display="https://ppim-intra.pea.co.th:4434/request/PPIM18502144" xr:uid="{E8E02E2A-59B2-471C-8131-ECAF70873AAA}"/>
    <hyperlink ref="K67" r:id="rId65" display="https://ppim-intra.pea.co.th:4434/request/PPIM18502931" xr:uid="{B884BBA1-872B-445A-B9D8-F040307C3531}"/>
    <hyperlink ref="K68" r:id="rId66" display="https://ppim-intra.pea.co.th:4434/request/PPIM18502299" xr:uid="{3A63A3AC-E7CB-4D8F-A067-3B514532379E}"/>
    <hyperlink ref="K69" r:id="rId67" display="https://ppim-intra.pea.co.th:4434/request/PPIM185029D1" xr:uid="{A38C0667-2418-41D7-91FA-F6FCD1EB5D83}"/>
    <hyperlink ref="K70" r:id="rId68" display="https://ppim-intra.pea.co.th:4434/request/PPIM185029EA" xr:uid="{07634927-BCE5-48D7-9F19-FD8FB39FFA6C}"/>
    <hyperlink ref="K71" r:id="rId69" display="https://ppim-intra.pea.co.th:4434/request/PPIM18502B9D" xr:uid="{3D359552-44CF-431A-B022-74FD92722B9F}"/>
    <hyperlink ref="K72" r:id="rId70" display="https://ppim-intra.pea.co.th:4434/request/PPIM18502BF9" xr:uid="{7167D087-3F27-4035-AD1E-FF090F446CD1}"/>
    <hyperlink ref="K73" r:id="rId71" display="https://ppim-intra.pea.co.th:4434/request/PPIM18502DC0" xr:uid="{9B4A987B-609A-46CE-AEFF-EBDEBC88C6FA}"/>
    <hyperlink ref="K74" r:id="rId72" display="https://ppim-intra.pea.co.th:4434/request/PPIM18502E56" xr:uid="{1D0BFB6B-9D25-4C0C-95D7-1ECBF50A4BBA}"/>
    <hyperlink ref="K75" r:id="rId73" display="https://ppim-intra.pea.co.th:4434/request/PPIM18502E58" xr:uid="{898D280A-A882-44B3-A05F-DDE62FF210CE}"/>
    <hyperlink ref="K76" r:id="rId74" display="https://ppim-intra.pea.co.th:4434/request/PPIM18502752" xr:uid="{C932E0B1-AE54-4A4A-83B0-4DE06C00A42B}"/>
    <hyperlink ref="K77" r:id="rId75" display="https://ppim-intra.pea.co.th:4434/request/PPIM18502FCC" xr:uid="{C100CA0B-D5E3-41E2-B7B7-084A2F59A26A}"/>
    <hyperlink ref="K78" r:id="rId76" display="https://ppim-intra.pea.co.th:4434/request/PPIM18503145" xr:uid="{8F3FDE20-41A3-4498-B7BE-77310D0F22BD}"/>
    <hyperlink ref="K79" r:id="rId77" display="https://ppim-intra.pea.co.th:4434/request/PPIM18503184" xr:uid="{5B0BE2C7-6CE5-4AE4-9A3E-24468FD0C518}"/>
    <hyperlink ref="K80" r:id="rId78" display="https://ppim-intra.pea.co.th:4434/request/PPIM185031F3" xr:uid="{787CE38C-A262-4BD2-89E1-25641FF73919}"/>
    <hyperlink ref="K81" r:id="rId79" display="https://ppim-intra.pea.co.th:4434/request/PPIM185031FD" xr:uid="{016D2B5E-0CEE-434F-A5C1-258C5ED5448A}"/>
    <hyperlink ref="K82" r:id="rId80" display="https://ppim-intra.pea.co.th:4434/request/PPIM18502EC9" xr:uid="{981B2849-A006-4693-B9EA-AFB949E849CA}"/>
    <hyperlink ref="K83" r:id="rId81" display="https://ppim-intra.pea.co.th:4434/request/PPIM18502F5F" xr:uid="{6A395D5F-9864-48C7-A8D0-E92BDD544AA1}"/>
    <hyperlink ref="K84" r:id="rId82" display="https://ppim-intra.pea.co.th:4434/request/PPIM18503311" xr:uid="{D4FD8DCA-07AF-4354-96CD-1999B533F12E}"/>
    <hyperlink ref="K85" r:id="rId83" display="https://ppim-intra.pea.co.th:4434/request/PPIM18503375" xr:uid="{CB0316DC-A024-419A-82CD-163767EA2C0D}"/>
    <hyperlink ref="K86" r:id="rId84" display="https://ppim-intra.pea.co.th:4434/request/PPIM185033C2" xr:uid="{97BAA0A1-A118-4418-8494-FC1DB90BF191}"/>
    <hyperlink ref="K87" r:id="rId85" display="https://ppim-intra.pea.co.th:4434/request/PPIM185033CD" xr:uid="{D48A1E9A-BC2D-4D1A-AA4A-59944E5071FA}"/>
    <hyperlink ref="K88" r:id="rId86" display="https://ppim-intra.pea.co.th:4434/request/PPIM18502603" xr:uid="{B60DE2E3-6841-4978-9E7A-5EE6673937A2}"/>
    <hyperlink ref="K89" r:id="rId87" display="https://ppim-intra.pea.co.th:4434/request/PPIM18502E95" xr:uid="{C7357CDF-4D2C-47EA-80D6-19A53297DF1A}"/>
    <hyperlink ref="K90" r:id="rId88" display="https://ppim-intra.pea.co.th:4434/request/PPIM1850363B" xr:uid="{42CC11C3-D8DD-4567-9513-5431791E17B3}"/>
    <hyperlink ref="K91" r:id="rId89" display="https://ppim-intra.pea.co.th:4434/request/PPIM185033A1" xr:uid="{65F33A23-916C-410A-9DC8-EC1E9A778FE7}"/>
    <hyperlink ref="K92" r:id="rId90" display="https://ppim-intra.pea.co.th:4434/request/PPIM185036FD" xr:uid="{5724697F-768C-4CEA-9407-F05555531EEC}"/>
    <hyperlink ref="K93" r:id="rId91" display="https://ppim-intra.pea.co.th:4434/request/PPIM185030CC" xr:uid="{73F6BAE8-5AD8-4F1C-800D-966202F1AAA6}"/>
    <hyperlink ref="K94" r:id="rId92" display="https://ppim-intra.pea.co.th:4434/request/PPIM18503A0C" xr:uid="{BC7B67F4-B062-4867-9CC4-FB30955646C1}"/>
    <hyperlink ref="K95" r:id="rId93" display="https://ppim-intra.pea.co.th:4434/request/PPIM18503BDD" xr:uid="{368D8CF6-6815-4C67-84BF-BC5E52D91AB8}"/>
    <hyperlink ref="K96" r:id="rId94" display="https://ppim-intra.pea.co.th:4434/request/PPIM18503DFE" xr:uid="{2F112866-9E7A-45E1-8EF5-1621DBC95FB2}"/>
    <hyperlink ref="K97" r:id="rId95" display="https://ppim-intra.pea.co.th:4434/request/PPIM18503E6B" xr:uid="{76CC40CE-3065-4009-9FA5-DE3AEBFE4750}"/>
    <hyperlink ref="K98" r:id="rId96" display="https://ppim-intra.pea.co.th:4434/request/PPIM18503EBA" xr:uid="{30F2F6A9-29DA-4FE7-A7B4-915140E7B4EA}"/>
    <hyperlink ref="K99" r:id="rId97" display="https://ppim-intra.pea.co.th:4434/request/PPIM1850350B" xr:uid="{89D1D875-18F6-4958-9133-BE44E59F1739}"/>
    <hyperlink ref="K100" r:id="rId98" display="https://ppim-intra.pea.co.th:4434/request/PPIM18504024" xr:uid="{0DC7502C-B453-47E7-AEA5-D229C3F4D513}"/>
    <hyperlink ref="K101" r:id="rId99" display="https://ppim-intra.pea.co.th:4434/request/PPIM18504134" xr:uid="{316D5DD4-5141-49A1-998A-AE529959FCC5}"/>
    <hyperlink ref="K103" r:id="rId100" display="https://ppim-intra.pea.co.th:4434/request/PPIM185042CA" xr:uid="{06DC0449-5348-46D9-8AE6-71745AC4D40D}"/>
    <hyperlink ref="K104" r:id="rId101" display="https://ppim-intra.pea.co.th:4434/request/PPIM18504336" xr:uid="{5E007205-0BF1-4A78-9F9B-162C16D70BE1}"/>
    <hyperlink ref="K105" r:id="rId102" display="https://ppim-intra.pea.co.th:4434/request/PPIM185045FA" xr:uid="{A832BFA6-5FA7-45FD-BABC-EF6365927E41}"/>
    <hyperlink ref="K106" r:id="rId103" display="https://ppim-intra.pea.co.th:4434/request/PPIM185047A0" xr:uid="{9B5AA88E-8CE5-46CC-A1F9-F715526868AA}"/>
    <hyperlink ref="K107" r:id="rId104" display="https://ppim-intra.pea.co.th:4434/request/PPIM18504926" xr:uid="{9E1FEE8B-7914-4D7D-B0FA-C171B10E8A58}"/>
    <hyperlink ref="K108" r:id="rId105" display="https://ppim-intra.pea.co.th:4434/request/PPIM18504298" xr:uid="{97A75DA1-10FA-48A5-AB56-A16A9687B2BF}"/>
    <hyperlink ref="K109" r:id="rId106" display="https://ppim-intra.pea.co.th:4434/request/PPIM1850452A" xr:uid="{73B6FFB4-E5BF-4EC8-AA48-6597FA371589}"/>
    <hyperlink ref="K110" r:id="rId107" display="https://ppim-intra.pea.co.th:4434/request/PPIM18504A0B" xr:uid="{14F2F5C3-24BF-4642-A0B4-886E543F34B7}"/>
    <hyperlink ref="K111" r:id="rId108" display="https://ppim-intra.pea.co.th:4434/request/PPIM1950045D" xr:uid="{3CB69CA7-B7E9-4BB0-9E82-B6F435F05B24}"/>
    <hyperlink ref="K112" r:id="rId109" display="https://ppim-intra.pea.co.th:4434/request/PPIM195004C5" xr:uid="{59EDC9FE-8997-487B-A803-E1D8BA2564EA}"/>
    <hyperlink ref="K113" r:id="rId110" display="https://ppim-intra.pea.co.th:4434/request/PPIM19500109" xr:uid="{79A1412C-5ACD-4E70-B78B-13829645AAC8}"/>
    <hyperlink ref="K114" r:id="rId111" display="https://ppim-intra.pea.co.th:4434/request/PPIM19500B96" xr:uid="{9F5342E3-FC4F-47B9-AA62-B38638C0CB8D}"/>
    <hyperlink ref="K115" r:id="rId112" display="https://ppim-intra.pea.co.th:4434/request/PPIM19500C1C" xr:uid="{6F9F1D22-E5A4-4926-98A9-557CF09E57F6}"/>
    <hyperlink ref="K116" r:id="rId113" display="https://ppim-intra.pea.co.th:4434/request/PPIM19500F21" xr:uid="{A3720F77-3325-49FE-B002-E83159CEF698}"/>
    <hyperlink ref="K117" r:id="rId114" display="https://ppim-intra.pea.co.th:4434/request/PPIM1950053C" xr:uid="{6ABC02E9-5B5E-4F2A-BE8A-BF08CD2494D6}"/>
    <hyperlink ref="K118" r:id="rId115" display="https://ppim-intra.pea.co.th:4434/request/PPIM19500FD9" xr:uid="{0C186E06-6971-4B8F-A619-088760F43C61}"/>
    <hyperlink ref="K119" r:id="rId116" display="https://ppim-intra.pea.co.th:4434/request/PPIM1950072F" xr:uid="{404A8A85-A706-42BB-8906-297804DF4046}"/>
    <hyperlink ref="K120" r:id="rId117" display="https://ppim-intra.pea.co.th:4434/request/PPIM1950121B" xr:uid="{8A0AC80E-011F-41BF-B2EF-1162008CA53D}"/>
    <hyperlink ref="K121" r:id="rId118" display="https://ppim-intra.pea.co.th:4434/request/PPIM195015D0" xr:uid="{BFFD733C-C00C-4C41-9710-D96056FDA485}"/>
    <hyperlink ref="K122" r:id="rId119" display="https://ppim-intra.pea.co.th:4434/request/PPIM19501786" xr:uid="{F60290A0-3E8A-43B2-8402-5F38BC1475AD}"/>
    <hyperlink ref="K123" r:id="rId120" display="https://ppim-intra.pea.co.th:4434/request/PPIM1950187C" xr:uid="{75BA82B4-F3E2-455C-91BB-77AEF096C5D9}"/>
    <hyperlink ref="K124" r:id="rId121" display="https://ppim-intra.pea.co.th:4434/request/PPIM195018D7" xr:uid="{30D8DC71-6E06-48A1-AFA8-912353687402}"/>
    <hyperlink ref="K125" r:id="rId122" display="https://ppim-intra.pea.co.th:4434/request/PPIM195018F2" xr:uid="{2930A292-8EB9-4FA5-ABF4-38A20830CB6C}"/>
    <hyperlink ref="K126" r:id="rId123" display="https://ppim-intra.pea.co.th:4434/request/PPIM19501338" xr:uid="{BFB7A002-DC4D-487E-B0DB-11E7187CEEE7}"/>
    <hyperlink ref="K127" r:id="rId124" display="https://ppim-intra.pea.co.th:4434/request/PPIM19501A04" xr:uid="{B01841BE-75A1-4A0C-A958-80B34BF27A78}"/>
    <hyperlink ref="K128" r:id="rId125" display="https://ppim-intra.pea.co.th:4434/request/PPIM19501CF0" xr:uid="{81C059B2-F771-4123-BC0F-CE86DBD9B10E}"/>
    <hyperlink ref="K129" r:id="rId126" display="https://ppim-intra.pea.co.th:4434/request/PPIM19502023" xr:uid="{79B86ECF-E4D4-4462-81D4-E3A36C2B0FE1}"/>
    <hyperlink ref="K130" r:id="rId127" display="https://ppim-intra.pea.co.th:4434/request/PPIM19502065" xr:uid="{1E43DD0C-5A16-4E2A-A0CF-D99477E68379}"/>
    <hyperlink ref="K131" r:id="rId128" display="https://ppim-intra.pea.co.th:4434/request/PPIM19502128" xr:uid="{9BEF3B0D-A71A-4A23-9F25-D7289DD0AD13}"/>
    <hyperlink ref="K132" r:id="rId129" display="https://ppim-intra.pea.co.th:4434/request/PPIM19502135" xr:uid="{FEFEB4EB-383B-480A-858A-F91922F3D0B4}"/>
    <hyperlink ref="K133" r:id="rId130" display="https://ppim-intra.pea.co.th:4434/request/PPIM19502097" xr:uid="{673333CB-EF15-4B1D-8787-584D8D295D58}"/>
    <hyperlink ref="K134" r:id="rId131" display="https://ppim-intra.pea.co.th:4434/request/PPIM19502604" xr:uid="{EED707E7-7878-4092-BBD6-327AD9B57710}"/>
    <hyperlink ref="K135" r:id="rId132" display="https://ppim-intra.pea.co.th:4434/request/PPIM1950260C" xr:uid="{685D21F5-71EE-49A6-87DB-1AB58E6B2BF9}"/>
    <hyperlink ref="K136" r:id="rId133" display="https://ppim-intra.pea.co.th:4434/request/PPIM19502618" xr:uid="{F46B6E1B-E89C-4713-9669-6B38C315AAB6}"/>
    <hyperlink ref="K137" r:id="rId134" display="https://ppim-intra.pea.co.th:4434/request/PPIM1950261B" xr:uid="{5D86F4A1-4613-4203-907D-7104EE6CF021}"/>
    <hyperlink ref="K138" r:id="rId135" display="https://ppim-intra.pea.co.th:4434/request/PPIM19502620" xr:uid="{2C1660FE-B77A-4742-8648-FC7C94AEEAB5}"/>
    <hyperlink ref="K139" r:id="rId136" display="https://ppim-intra.pea.co.th:4434/request/PPIM19502A9D" xr:uid="{9D7D24F9-2487-4CD0-9F3C-E48593EEA902}"/>
    <hyperlink ref="K140" r:id="rId137" display="https://ppim-intra.pea.co.th:4434/request/PPIM19502BE9" xr:uid="{95C71E19-97BA-4C8A-A02B-121B5427E382}"/>
    <hyperlink ref="K141" r:id="rId138" display="https://ppim-intra.pea.co.th:4434/request/PPIM19502E1E" xr:uid="{235C26A2-C09D-4572-A527-FABCA250F6F2}"/>
    <hyperlink ref="K142" r:id="rId139" display="https://ppim-intra.pea.co.th:4434/request/PPIM19502F2E" xr:uid="{FEAE9066-81B5-42E2-993B-6EAEEB10590B}"/>
    <hyperlink ref="K143" r:id="rId140" display="https://ppim-intra.pea.co.th:4434/request/PPIM1950304D" xr:uid="{07F44DEC-9F22-4D66-8065-1E47259DE518}"/>
    <hyperlink ref="K144" r:id="rId141" display="https://ppim-intra.pea.co.th:4434/request/PPIM195030B4" xr:uid="{79F25E17-8921-4001-88B1-BAF5073F0E02}"/>
    <hyperlink ref="K145" r:id="rId142" display="https://ppim-intra.pea.co.th:4434/request/PPIM1950260D" xr:uid="{02CA4FD7-9E3F-4FA4-A0F1-816984FECE27}"/>
    <hyperlink ref="K146" r:id="rId143" display="https://ppim-intra.pea.co.th:4434/request/PPIM195028FB" xr:uid="{7E6B8EE4-29DB-4694-98A1-FFDC1CD43392}"/>
    <hyperlink ref="K147" r:id="rId144" display="https://ppim-intra.pea.co.th:4434/request/PPIM195033CF" xr:uid="{FC32C34E-C81D-4D7E-ADA4-6F2D11AF10FF}"/>
    <hyperlink ref="K148" r:id="rId145" display="https://ppim-intra.pea.co.th:4434/request/PPIM195034AA" xr:uid="{90AFB0D8-5F21-4381-8CFB-AE8C390B8E44}"/>
    <hyperlink ref="K149" r:id="rId146" display="https://ppim-intra.pea.co.th:4434/request/PPIM19502C74" xr:uid="{E7A56E6C-14A6-4EA9-8787-25091084F041}"/>
    <hyperlink ref="K150" r:id="rId147" display="https://ppim-intra.pea.co.th:4434/request/PPIM19503802" xr:uid="{9304755F-CBCB-4615-A7A3-227F261F623C}"/>
    <hyperlink ref="K151" r:id="rId148" display="https://ppim-intra.pea.co.th:4434/request/PPIM1950388F" xr:uid="{92FE1FE5-2DB9-4C37-BD3A-E84E3E412FB9}"/>
    <hyperlink ref="K152" r:id="rId149" display="https://ppim-intra.pea.co.th:4434/request/PPIM195039DB" xr:uid="{700DC3D3-9D42-45DE-8CD5-39887EB0C7DF}"/>
    <hyperlink ref="K153" r:id="rId150" display="https://ppim-intra.pea.co.th:4434/request/PPIM19502D0F" xr:uid="{67404076-7E24-4131-9CDE-3BD50EEA8D25}"/>
    <hyperlink ref="K154" r:id="rId151" display="https://ppim-intra.pea.co.th:4434/request/PPIM195031AF" xr:uid="{EC813775-032B-400E-9E35-BC846FCF456D}"/>
    <hyperlink ref="K155" r:id="rId152" display="https://ppim-intra.pea.co.th:4434/request/PPIM19502A69" xr:uid="{CAEAAE76-20CF-45D5-8883-9073720AAB88}"/>
    <hyperlink ref="K156" r:id="rId153" display="https://ppim-intra.pea.co.th:4434/request/PPIM195039A6" xr:uid="{09B95BED-153D-48EC-8BFE-46BCBB138E48}"/>
    <hyperlink ref="K157" r:id="rId154" display="https://ppim-intra.pea.co.th:4434/request/PPIM19503AF3" xr:uid="{0C958E53-8A0E-490B-9D32-646072AA7CAE}"/>
    <hyperlink ref="K158" r:id="rId155" display="https://ppim-intra.pea.co.th:4434/request/PPIM1950351B" xr:uid="{8B3764E1-EB65-4B11-82CE-16E826729615}"/>
    <hyperlink ref="K159" r:id="rId156" display="https://ppim-intra.pea.co.th:4434/request/PPIM19502E6F" xr:uid="{6BD87403-51B6-421B-B552-4B5DC913D6AA}"/>
    <hyperlink ref="K160" r:id="rId157" display="https://ppim-intra.pea.co.th:4434/request/PPIM19503C1A" xr:uid="{21897D8E-4487-4B93-AC35-DF9D64952FDA}"/>
    <hyperlink ref="K161" r:id="rId158" display="https://ppim-intra.pea.co.th:4434/request/PPIM19503D8F" xr:uid="{95C34784-128B-4D02-927F-E8D640F1A6C6}"/>
    <hyperlink ref="K162" r:id="rId159" display="https://ppim-intra.pea.co.th:4434/request/PPIM19503DAD" xr:uid="{55DB4BCA-31F3-49D5-A4FE-A1B59D5FA0FA}"/>
    <hyperlink ref="K163" r:id="rId160" display="https://ppim-intra.pea.co.th:4434/request/PPIM19503E29" xr:uid="{1D52DF0A-61B0-412B-BAC3-62294396D6C0}"/>
    <hyperlink ref="K164" r:id="rId161" display="https://ppim-intra.pea.co.th:4434/request/PPIM19503F39" xr:uid="{E6026A07-FF79-4210-B7A2-59A8836E3CA7}"/>
    <hyperlink ref="K165" r:id="rId162" display="https://ppim-intra.pea.co.th:4434/request/PPIM19503F83" xr:uid="{A2173F49-2799-4068-A92B-D455FD0A40CD}"/>
    <hyperlink ref="K166" r:id="rId163" display="https://ppim-intra.pea.co.th:4434/request/PPIM1950404A" xr:uid="{D566F6E3-7115-4949-878F-1C64D33CA125}"/>
    <hyperlink ref="K167" r:id="rId164" display="https://ppim-intra.pea.co.th:4434/request/PPIM19503DB2" xr:uid="{E3C0DA73-B263-4FE2-84E6-2644CD3AE8B6}"/>
    <hyperlink ref="K168" r:id="rId165" display="https://ppim-intra.pea.co.th:4434/request/PPIM19503CB9" xr:uid="{0C3606E8-C018-4802-BE50-F49D04FC5DA7}"/>
    <hyperlink ref="K169" r:id="rId166" display="https://ppim-intra.pea.co.th:4434/request/PPIM19503FEC" xr:uid="{E426ED3D-9797-460B-A856-1855E581CA63}"/>
    <hyperlink ref="K170" r:id="rId167" display="https://ppim-intra.pea.co.th:4434/request/PPIM195041B0" xr:uid="{63EF1F04-FBC9-4BBA-A999-7785103EC89B}"/>
    <hyperlink ref="K171" r:id="rId168" display="https://ppim-intra.pea.co.th:4434/request/PPIM19504475" xr:uid="{94B10D60-3CF9-4D6E-828A-F5A2E5A4A516}"/>
    <hyperlink ref="K172" r:id="rId169" display="https://ppim-intra.pea.co.th:4434/request/PPIM195043C9" xr:uid="{39FD3DF9-EE76-4D1B-8322-61370FAA14E8}"/>
    <hyperlink ref="K173" r:id="rId170" display="https://ppim-intra.pea.co.th:4434/request/PPIM1950449A" xr:uid="{7C9CE558-F8FB-4CFB-818F-161989BFB41C}"/>
    <hyperlink ref="K174" r:id="rId171" display="https://ppim-intra.pea.co.th:4434/request/PPIM19504541" xr:uid="{57EC497E-36DD-4898-9A64-A8D362A81453}"/>
    <hyperlink ref="K175" r:id="rId172" display="https://ppim-intra.pea.co.th:4434/request/PPIM19504650" xr:uid="{73EC1FCB-95F3-49EE-A104-D8AC15054C30}"/>
    <hyperlink ref="K176" r:id="rId173" display="https://ppim-intra.pea.co.th:4434/request/PPIM19504781" xr:uid="{F6229BCB-055C-4F19-8B5D-5D2A3448DB27}"/>
    <hyperlink ref="K177" r:id="rId174" display="https://ppim-intra.pea.co.th:4434/request/PPIM19504814" xr:uid="{B40190FB-8B7B-4156-8850-10CA40F5A807}"/>
    <hyperlink ref="K178" r:id="rId175" display="https://ppim-intra.pea.co.th:4434/request/PPIM195042D6" xr:uid="{D7CFD8D9-1B6F-4532-84A8-56048B46A19D}"/>
    <hyperlink ref="K179" r:id="rId176" display="https://ppim-intra.pea.co.th:4434/request/PPIM1950488A" xr:uid="{E74EE01E-BFEC-422E-81AA-4178ECE53064}"/>
    <hyperlink ref="K180" r:id="rId177" display="https://ppim-intra.pea.co.th:4434/request/PPIM19504894" xr:uid="{23019259-20AE-411B-B23F-B4419A039C2A}"/>
    <hyperlink ref="K181" r:id="rId178" display="https://ppim-intra.pea.co.th:4434/request/PPIM19504959" xr:uid="{6BD2E8D4-11CB-4DBC-BA8E-9B8A4A836A4B}"/>
    <hyperlink ref="K182" r:id="rId179" display="https://ppim-intra.pea.co.th:4434/request/PPIM195049BE" xr:uid="{ED57FED4-55F2-491F-9441-918621CDB101}"/>
    <hyperlink ref="K183" r:id="rId180" display="https://ppim-intra.pea.co.th:4434/request/PPIM19504AD5" xr:uid="{768B7989-7F62-4B72-9A0A-267C015D8B5A}"/>
    <hyperlink ref="K184" r:id="rId181" display="https://ppim-intra.pea.co.th:4434/request/PPIM19504B0F" xr:uid="{A2195F0A-5E90-436F-A69D-D6686CCF7DA7}"/>
    <hyperlink ref="K185" r:id="rId182" display="https://ppim-intra.pea.co.th:4434/request/PPIM19504B9D" xr:uid="{9BCC96E2-91D0-42C1-895A-341320D92A10}"/>
    <hyperlink ref="K186" r:id="rId183" display="https://ppim-intra.pea.co.th:4434/request/PPIM19504A5D" xr:uid="{B2476C60-82BF-44FA-8A71-592BEE9CD60C}"/>
    <hyperlink ref="K187" r:id="rId184" display="https://ppim-intra.pea.co.th:4434/request/PPIM19504D03" xr:uid="{A2C828FC-0201-42BD-A839-429011D0A6DE}"/>
    <hyperlink ref="K188" r:id="rId185" display="https://ppim-intra.pea.co.th:4434/request/PPIM19504EE8" xr:uid="{58E7B70F-AC0C-47B5-8ED9-A88732DD79BD}"/>
    <hyperlink ref="K189" r:id="rId186" display="https://ppim-intra.pea.co.th:4434/request/PPIM19504F3F" xr:uid="{6CC9AD1E-7E9F-4E7D-98E3-D63FF26F9BD9}"/>
    <hyperlink ref="K190" r:id="rId187" display="https://ppim-intra.pea.co.th:4434/request/PPIM19504F4F" xr:uid="{D16F1721-D350-4B66-8F34-E788C142EC2C}"/>
    <hyperlink ref="K191" r:id="rId188" display="https://ppim-intra.pea.co.th:4434/request/PPIM19504FAB" xr:uid="{D7EF4069-8D54-454C-AF42-7323605B4A58}"/>
    <hyperlink ref="K192" r:id="rId189" display="https://ppim-intra.pea.co.th:4434/request/PPIM19504FBD" xr:uid="{6B7D258B-1049-4455-89BA-A60C18746E21}"/>
    <hyperlink ref="K193" r:id="rId190" display="https://ppim-intra.pea.co.th:4434/request/PPIM19505009" xr:uid="{381FC3BD-828B-4221-9F36-2E1C4F8D7EDC}"/>
    <hyperlink ref="K194" r:id="rId191" display="https://ppim-intra.pea.co.th:4434/request/PPIM19505020" xr:uid="{EE13ACE2-83CB-4A0B-878C-9C5556CA21B0}"/>
    <hyperlink ref="K195" r:id="rId192" display="https://ppim-intra.pea.co.th:4434/request/PPIM19504C45" xr:uid="{896DC483-A98D-432A-A7AF-5FB103F02AA9}"/>
    <hyperlink ref="K196" r:id="rId193" display="https://ppim-intra.pea.co.th:4434/request/PPIM195050D6" xr:uid="{BAE57E20-FD1E-4085-B88A-59AB6C067607}"/>
    <hyperlink ref="K197" r:id="rId194" display="https://ppim-intra.pea.co.th:4434/request/PPIM1950520A" xr:uid="{32AF6060-16D3-453E-A49E-5B2AAFE81E79}"/>
    <hyperlink ref="K198" r:id="rId195" display="https://ppim-intra.pea.co.th:4434/request/PPIM19505287" xr:uid="{2DD2697D-9197-4C90-AAA4-E74C44DA8057}"/>
    <hyperlink ref="K199" r:id="rId196" display="https://ppim-intra.pea.co.th:4434/request/PPIM195053C2" xr:uid="{A99CAD0B-B576-4901-B71B-A67ACB035EA3}"/>
    <hyperlink ref="K200" r:id="rId197" display="https://ppim-intra.pea.co.th:4434/request/PPIM1950556D" xr:uid="{337E27B4-8C07-4A73-A945-786E06708055}"/>
    <hyperlink ref="K201" r:id="rId198" display="https://ppim-intra.pea.co.th:4434/request/PPIM195055B2" xr:uid="{A7EEB65E-71AB-4869-866C-11138F8046B8}"/>
    <hyperlink ref="K203" r:id="rId199" display="https://ppim-intra.pea.co.th:4434/request/PPIM1950577F" xr:uid="{C5EF7A97-42CE-43EC-AA91-A0443B306396}"/>
    <hyperlink ref="K204" r:id="rId200" display="https://ppim-intra.pea.co.th:4434/request/PPIM195057DA" xr:uid="{9DF00963-5897-411C-9A55-1CF296814453}"/>
    <hyperlink ref="K205" r:id="rId201" display="https://ppim-intra.pea.co.th:4434/request/PPIM19505820" xr:uid="{8CF87A32-A3DC-4A41-84FB-C4D1075FB117}"/>
    <hyperlink ref="K206" r:id="rId202" display="https://ppim-intra.pea.co.th:4434/request/PPIM1950586C" xr:uid="{B364BDF5-E478-4E69-AD46-C6ED1EA019A3}"/>
    <hyperlink ref="K207" r:id="rId203" display="https://ppim-intra.pea.co.th:4434/request/PPIM19505315" xr:uid="{69160C67-334E-4978-A2D3-E4F305295B3D}"/>
  </hyperlinks>
  <pageMargins left="0.7" right="0.7" top="0.75" bottom="0.75" header="0.3" footer="0.3"/>
  <drawing r:id="rId204"/>
  <legacyDrawing r:id="rId205"/>
  <controls>
    <mc:AlternateContent xmlns:mc="http://schemas.openxmlformats.org/markup-compatibility/2006">
      <mc:Choice Requires="x14">
        <control shapeId="14337" r:id="rId206" name="Control 1">
          <controlPr defaultSize="0" autoPict="0" r:id="rId207">
            <anchor moveWithCells="1">
              <from>
                <xdr:col>0</xdr:col>
                <xdr:colOff>0</xdr:colOff>
                <xdr:row>36</xdr:row>
                <xdr:rowOff>438150</xdr:rowOff>
              </from>
              <to>
                <xdr:col>0</xdr:col>
                <xdr:colOff>228600</xdr:colOff>
                <xdr:row>37</xdr:row>
                <xdr:rowOff>200025</xdr:rowOff>
              </to>
            </anchor>
          </controlPr>
        </control>
      </mc:Choice>
      <mc:Fallback>
        <control shapeId="14337" r:id="rId206" name="Control 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F904-463F-41D3-B458-ED1BF596018A}">
  <sheetPr codeName="Sheet9">
    <tabColor theme="0" tint="-0.34998626667073579"/>
  </sheetPr>
  <dimension ref="A2:O330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9.7109375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328</v>
      </c>
      <c r="N2" s="13" t="s">
        <v>214</v>
      </c>
    </row>
    <row r="3" spans="1:15" ht="37.5" thickTop="1" thickBot="1">
      <c r="A3" s="18" t="s">
        <v>157</v>
      </c>
      <c r="B3" s="18">
        <v>20023750508</v>
      </c>
      <c r="C3" s="18" t="s">
        <v>158</v>
      </c>
      <c r="D3" s="19">
        <v>45318.665972222225</v>
      </c>
      <c r="E3" s="18" t="s">
        <v>10</v>
      </c>
      <c r="F3" s="18">
        <v>5</v>
      </c>
      <c r="G3" s="19">
        <v>45373.499305555553</v>
      </c>
      <c r="H3" s="18" t="s">
        <v>236</v>
      </c>
      <c r="I3" s="18" t="s">
        <v>10</v>
      </c>
      <c r="J3" s="18" t="s">
        <v>146</v>
      </c>
      <c r="K3" s="20"/>
      <c r="L3" s="7" t="s">
        <v>2656</v>
      </c>
      <c r="M3" s="7">
        <f>COUNTIF(H:H,"รอตรวจสอบคำขอ")</f>
        <v>8</v>
      </c>
      <c r="N3" s="11" t="s">
        <v>214</v>
      </c>
    </row>
    <row r="4" spans="1:15" ht="36.75" thickBot="1">
      <c r="A4" s="18" t="s">
        <v>153</v>
      </c>
      <c r="B4" s="18">
        <v>20026176726</v>
      </c>
      <c r="C4" s="18" t="s">
        <v>154</v>
      </c>
      <c r="D4" s="19">
        <v>45324.433333333334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146</v>
      </c>
      <c r="K4" s="20"/>
      <c r="L4" s="7" t="s">
        <v>178</v>
      </c>
      <c r="M4" s="7">
        <f>COUNTIF(H:H,"ยกเลิก")</f>
        <v>284</v>
      </c>
      <c r="N4" s="11" t="s">
        <v>214</v>
      </c>
    </row>
    <row r="5" spans="1:15" ht="36.75" thickBot="1">
      <c r="A5" s="18" t="s">
        <v>151</v>
      </c>
      <c r="B5" s="18">
        <v>20016799869</v>
      </c>
      <c r="C5" s="18" t="s">
        <v>152</v>
      </c>
      <c r="D5" s="19">
        <v>45346.682638888888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146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149</v>
      </c>
      <c r="B6" s="18">
        <v>20003302185</v>
      </c>
      <c r="C6" s="18" t="s">
        <v>150</v>
      </c>
      <c r="D6" s="19">
        <v>45380.053472222222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146</v>
      </c>
      <c r="K6" s="20"/>
      <c r="L6" s="7" t="s">
        <v>189</v>
      </c>
      <c r="M6" s="14">
        <f>COUNTIF(H:H,"รอชำระเงิน")</f>
        <v>3</v>
      </c>
      <c r="N6" s="11" t="s">
        <v>214</v>
      </c>
      <c r="O6" s="7" t="s">
        <v>359</v>
      </c>
    </row>
    <row r="7" spans="1:15" ht="108.75" thickBot="1">
      <c r="A7" s="18" t="s">
        <v>147</v>
      </c>
      <c r="B7" s="18">
        <v>20026042334</v>
      </c>
      <c r="C7" s="18" t="s">
        <v>148</v>
      </c>
      <c r="D7" s="19">
        <v>45385.622916666667</v>
      </c>
      <c r="E7" s="18" t="s">
        <v>10</v>
      </c>
      <c r="F7" s="18">
        <v>20</v>
      </c>
      <c r="G7" s="18" t="s">
        <v>10</v>
      </c>
      <c r="H7" s="18" t="s">
        <v>178</v>
      </c>
      <c r="I7" s="18" t="s">
        <v>10</v>
      </c>
      <c r="J7" s="18" t="s">
        <v>146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5" ht="72.75" thickBot="1">
      <c r="A8" s="18" t="s">
        <v>144</v>
      </c>
      <c r="B8" s="18">
        <v>20017366306</v>
      </c>
      <c r="C8" s="18" t="s">
        <v>145</v>
      </c>
      <c r="D8" s="19">
        <v>45386.622916666667</v>
      </c>
      <c r="E8" s="18" t="s">
        <v>10</v>
      </c>
      <c r="F8" s="18">
        <v>20</v>
      </c>
      <c r="G8" s="18" t="s">
        <v>10</v>
      </c>
      <c r="H8" s="18" t="s">
        <v>178</v>
      </c>
      <c r="I8" s="18" t="s">
        <v>10</v>
      </c>
      <c r="J8" s="18" t="s">
        <v>146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5</v>
      </c>
      <c r="N8" s="11" t="s">
        <v>214</v>
      </c>
    </row>
    <row r="9" spans="1:15" ht="72.75" thickBot="1">
      <c r="A9" s="18" t="s">
        <v>309</v>
      </c>
      <c r="B9" s="18">
        <v>20017366306</v>
      </c>
      <c r="C9" s="18" t="s">
        <v>310</v>
      </c>
      <c r="D9" s="19">
        <v>45401.685416666667</v>
      </c>
      <c r="E9" s="18" t="s">
        <v>10</v>
      </c>
      <c r="F9" s="18">
        <v>20</v>
      </c>
      <c r="G9" s="18" t="s">
        <v>10</v>
      </c>
      <c r="H9" s="18" t="s">
        <v>178</v>
      </c>
      <c r="I9" s="18" t="s">
        <v>10</v>
      </c>
      <c r="J9" s="18" t="s">
        <v>146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3</v>
      </c>
      <c r="N9" t="s">
        <v>214</v>
      </c>
    </row>
    <row r="10" spans="1:15" ht="36.75" thickBot="1">
      <c r="A10" s="18" t="s">
        <v>311</v>
      </c>
      <c r="B10" s="18">
        <v>20027426099</v>
      </c>
      <c r="C10" s="18" t="s">
        <v>312</v>
      </c>
      <c r="D10" s="19">
        <v>45408.396527777775</v>
      </c>
      <c r="E10" s="18" t="s">
        <v>10</v>
      </c>
      <c r="F10" s="18">
        <v>5</v>
      </c>
      <c r="G10" s="18" t="s">
        <v>10</v>
      </c>
      <c r="H10" s="18" t="s">
        <v>178</v>
      </c>
      <c r="I10" s="18" t="s">
        <v>10</v>
      </c>
      <c r="J10" s="18" t="s">
        <v>146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315</v>
      </c>
      <c r="B11" s="18">
        <v>20017755869</v>
      </c>
      <c r="C11" s="18" t="s">
        <v>316</v>
      </c>
      <c r="D11" s="19">
        <v>45414.425694444442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146</v>
      </c>
      <c r="K11" s="20"/>
      <c r="L11" t="s">
        <v>2654</v>
      </c>
      <c r="M11">
        <f>COUNTIF(H:H,"รอตรวจสอบระบบผลิต")</f>
        <v>1</v>
      </c>
      <c r="N11" t="s">
        <v>214</v>
      </c>
    </row>
    <row r="12" spans="1:15" ht="36.75" thickBot="1">
      <c r="A12" s="18" t="s">
        <v>389</v>
      </c>
      <c r="B12" s="18">
        <v>20027275649</v>
      </c>
      <c r="C12" s="18" t="s">
        <v>390</v>
      </c>
      <c r="D12" s="19">
        <v>45433.429166666669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146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391</v>
      </c>
      <c r="B13" s="18">
        <v>20019298839</v>
      </c>
      <c r="C13" s="18" t="s">
        <v>392</v>
      </c>
      <c r="D13" s="19">
        <v>45433.674305555556</v>
      </c>
      <c r="E13" s="18" t="s">
        <v>10</v>
      </c>
      <c r="F13" s="18">
        <v>5</v>
      </c>
      <c r="G13" s="18" t="s">
        <v>10</v>
      </c>
      <c r="H13" s="18" t="s">
        <v>178</v>
      </c>
      <c r="I13" s="18" t="s">
        <v>10</v>
      </c>
      <c r="J13" s="18" t="s">
        <v>146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72.75" thickBot="1">
      <c r="A14" s="18" t="s">
        <v>393</v>
      </c>
      <c r="B14" s="18">
        <v>20017366306</v>
      </c>
      <c r="C14" s="18" t="s">
        <v>394</v>
      </c>
      <c r="D14" s="19">
        <v>45435.46875</v>
      </c>
      <c r="E14" s="18" t="s">
        <v>10</v>
      </c>
      <c r="F14" s="18">
        <v>20</v>
      </c>
      <c r="G14" s="18" t="s">
        <v>10</v>
      </c>
      <c r="H14" s="18" t="s">
        <v>178</v>
      </c>
      <c r="I14" s="18" t="s">
        <v>10</v>
      </c>
      <c r="J14" s="18" t="s">
        <v>146</v>
      </c>
      <c r="K14" s="20"/>
      <c r="L14" t="s">
        <v>236</v>
      </c>
      <c r="M14">
        <f>COUNTIF(H:H,"เชื่อมต่อเรียบร้อยแล้ว")</f>
        <v>24</v>
      </c>
      <c r="N14" t="s">
        <v>214</v>
      </c>
    </row>
    <row r="15" spans="1:15" ht="36.75" thickBot="1">
      <c r="A15" s="18" t="s">
        <v>395</v>
      </c>
      <c r="B15" s="18">
        <v>20027426099</v>
      </c>
      <c r="C15" s="18" t="s">
        <v>312</v>
      </c>
      <c r="D15" s="19">
        <v>45436.461805555555</v>
      </c>
      <c r="E15" s="18" t="s">
        <v>10</v>
      </c>
      <c r="F15" s="18">
        <v>5</v>
      </c>
      <c r="G15" s="18" t="s">
        <v>10</v>
      </c>
      <c r="H15" s="18" t="s">
        <v>178</v>
      </c>
      <c r="I15" s="18" t="s">
        <v>10</v>
      </c>
      <c r="J15" s="18" t="s">
        <v>146</v>
      </c>
      <c r="K15" s="20"/>
    </row>
    <row r="16" spans="1:15" ht="36.75" thickBot="1">
      <c r="A16" s="18" t="s">
        <v>396</v>
      </c>
      <c r="B16" s="18">
        <v>20003313204</v>
      </c>
      <c r="C16" s="18" t="s">
        <v>397</v>
      </c>
      <c r="D16" s="19">
        <v>45440.675000000003</v>
      </c>
      <c r="E16" s="18" t="s">
        <v>10</v>
      </c>
      <c r="F16" s="18">
        <v>20</v>
      </c>
      <c r="G16" s="18" t="s">
        <v>10</v>
      </c>
      <c r="H16" s="18" t="s">
        <v>178</v>
      </c>
      <c r="I16" s="18" t="s">
        <v>10</v>
      </c>
      <c r="J16" s="18" t="s">
        <v>146</v>
      </c>
      <c r="K16" s="20"/>
    </row>
    <row r="17" spans="1:11" ht="36.75" thickBot="1">
      <c r="A17" s="18" t="s">
        <v>398</v>
      </c>
      <c r="B17" s="18">
        <v>20003313204</v>
      </c>
      <c r="C17" s="18" t="s">
        <v>397</v>
      </c>
      <c r="D17" s="19">
        <v>45441.499305555553</v>
      </c>
      <c r="E17" s="18" t="s">
        <v>10</v>
      </c>
      <c r="F17" s="18">
        <v>20</v>
      </c>
      <c r="G17" s="18" t="s">
        <v>10</v>
      </c>
      <c r="H17" s="18" t="s">
        <v>236</v>
      </c>
      <c r="I17" s="18" t="s">
        <v>10</v>
      </c>
      <c r="J17" s="18" t="s">
        <v>146</v>
      </c>
      <c r="K17" s="20"/>
    </row>
    <row r="18" spans="1:11" ht="36.75" thickBot="1">
      <c r="A18" s="18" t="s">
        <v>529</v>
      </c>
      <c r="B18" s="18">
        <v>20020334276</v>
      </c>
      <c r="C18" s="18" t="s">
        <v>530</v>
      </c>
      <c r="D18" s="19">
        <v>45447.71875</v>
      </c>
      <c r="E18" s="18" t="s">
        <v>10</v>
      </c>
      <c r="F18" s="18">
        <v>2</v>
      </c>
      <c r="G18" s="18" t="s">
        <v>10</v>
      </c>
      <c r="H18" s="18" t="s">
        <v>178</v>
      </c>
      <c r="I18" s="18" t="s">
        <v>10</v>
      </c>
      <c r="J18" s="18" t="s">
        <v>146</v>
      </c>
      <c r="K18" s="20"/>
    </row>
    <row r="19" spans="1:11" ht="36.75" thickBot="1">
      <c r="A19" s="18" t="s">
        <v>531</v>
      </c>
      <c r="B19" s="18">
        <v>20020494398</v>
      </c>
      <c r="C19" s="18" t="s">
        <v>532</v>
      </c>
      <c r="D19" s="19">
        <v>45453.704861111109</v>
      </c>
      <c r="E19" s="18" t="s">
        <v>10</v>
      </c>
      <c r="F19" s="18">
        <v>2</v>
      </c>
      <c r="G19" s="18" t="s">
        <v>10</v>
      </c>
      <c r="H19" s="18" t="s">
        <v>178</v>
      </c>
      <c r="I19" s="18" t="s">
        <v>10</v>
      </c>
      <c r="J19" s="18" t="s">
        <v>146</v>
      </c>
      <c r="K19" s="20"/>
    </row>
    <row r="20" spans="1:11" ht="54.75" thickBot="1">
      <c r="A20" s="18" t="s">
        <v>533</v>
      </c>
      <c r="B20" s="18">
        <v>20027071690</v>
      </c>
      <c r="C20" s="18" t="s">
        <v>534</v>
      </c>
      <c r="D20" s="19">
        <v>45454.772222222222</v>
      </c>
      <c r="E20" s="18" t="s">
        <v>10</v>
      </c>
      <c r="F20" s="18">
        <v>5</v>
      </c>
      <c r="G20" s="18" t="s">
        <v>10</v>
      </c>
      <c r="H20" s="18" t="s">
        <v>178</v>
      </c>
      <c r="I20" s="18" t="s">
        <v>10</v>
      </c>
      <c r="J20" s="18" t="s">
        <v>146</v>
      </c>
      <c r="K20" s="20"/>
    </row>
    <row r="21" spans="1:11" ht="36.75" thickBot="1">
      <c r="A21" s="18" t="s">
        <v>313</v>
      </c>
      <c r="B21" s="18">
        <v>20021736916</v>
      </c>
      <c r="C21" s="18" t="s">
        <v>314</v>
      </c>
      <c r="D21" s="19">
        <v>45410.763194444444</v>
      </c>
      <c r="E21" s="19">
        <v>45457.461111111108</v>
      </c>
      <c r="F21" s="18">
        <v>4</v>
      </c>
      <c r="G21" s="19">
        <v>45471.592361111114</v>
      </c>
      <c r="H21" s="18" t="s">
        <v>236</v>
      </c>
      <c r="I21" s="18" t="s">
        <v>10</v>
      </c>
      <c r="J21" s="18" t="s">
        <v>146</v>
      </c>
      <c r="K21" s="20"/>
    </row>
    <row r="22" spans="1:11" ht="36.75" thickBot="1">
      <c r="A22" s="18" t="s">
        <v>155</v>
      </c>
      <c r="B22" s="18">
        <v>20022250793</v>
      </c>
      <c r="C22" s="18" t="s">
        <v>156</v>
      </c>
      <c r="D22" s="19">
        <v>45318.758333333331</v>
      </c>
      <c r="E22" s="19">
        <v>45457.51666666667</v>
      </c>
      <c r="F22" s="18">
        <v>10</v>
      </c>
      <c r="G22" s="19">
        <v>45503.459722222222</v>
      </c>
      <c r="H22" s="18" t="s">
        <v>236</v>
      </c>
      <c r="I22" s="18" t="s">
        <v>10</v>
      </c>
      <c r="J22" s="18" t="s">
        <v>146</v>
      </c>
      <c r="K22" s="20"/>
    </row>
    <row r="23" spans="1:11" ht="36.75" thickBot="1">
      <c r="A23" s="18" t="s">
        <v>535</v>
      </c>
      <c r="B23" s="18">
        <v>20027275649</v>
      </c>
      <c r="C23" s="18" t="s">
        <v>390</v>
      </c>
      <c r="D23" s="19">
        <v>45457.593055555553</v>
      </c>
      <c r="E23" s="18" t="s">
        <v>10</v>
      </c>
      <c r="F23" s="18">
        <v>5</v>
      </c>
      <c r="G23" s="18" t="s">
        <v>10</v>
      </c>
      <c r="H23" s="18" t="s">
        <v>178</v>
      </c>
      <c r="I23" s="18" t="s">
        <v>10</v>
      </c>
      <c r="J23" s="18" t="s">
        <v>146</v>
      </c>
      <c r="K23" s="20"/>
    </row>
    <row r="24" spans="1:11" ht="36.75" thickBot="1">
      <c r="A24" s="18" t="s">
        <v>536</v>
      </c>
      <c r="B24" s="18">
        <v>20016799869</v>
      </c>
      <c r="C24" s="18" t="s">
        <v>152</v>
      </c>
      <c r="D24" s="19">
        <v>45461.554861111108</v>
      </c>
      <c r="E24" s="18" t="s">
        <v>10</v>
      </c>
      <c r="F24" s="18">
        <v>10</v>
      </c>
      <c r="G24" s="18" t="s">
        <v>10</v>
      </c>
      <c r="H24" s="18" t="s">
        <v>178</v>
      </c>
      <c r="I24" s="18" t="s">
        <v>10</v>
      </c>
      <c r="J24" s="18" t="s">
        <v>146</v>
      </c>
      <c r="K24" s="20"/>
    </row>
    <row r="25" spans="1:11" ht="72.75" thickBot="1">
      <c r="A25" s="18" t="s">
        <v>537</v>
      </c>
      <c r="B25" s="18">
        <v>20022056496</v>
      </c>
      <c r="C25" s="18" t="s">
        <v>257</v>
      </c>
      <c r="D25" s="19">
        <v>45464.46875</v>
      </c>
      <c r="E25" s="18" t="s">
        <v>10</v>
      </c>
      <c r="F25" s="18">
        <v>20</v>
      </c>
      <c r="G25" s="18" t="s">
        <v>10</v>
      </c>
      <c r="H25" s="18" t="s">
        <v>178</v>
      </c>
      <c r="I25" s="18" t="s">
        <v>10</v>
      </c>
      <c r="J25" s="18" t="s">
        <v>146</v>
      </c>
      <c r="K25" s="20"/>
    </row>
    <row r="26" spans="1:11" ht="36.75" thickBot="1">
      <c r="A26" s="18" t="s">
        <v>538</v>
      </c>
      <c r="B26" s="18">
        <v>20017788869</v>
      </c>
      <c r="C26" s="18" t="s">
        <v>539</v>
      </c>
      <c r="D26" s="19">
        <v>45467.478472222225</v>
      </c>
      <c r="E26" s="18" t="s">
        <v>10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146</v>
      </c>
      <c r="K26" s="20"/>
    </row>
    <row r="27" spans="1:11" ht="36.75" thickBot="1">
      <c r="A27" s="18" t="s">
        <v>656</v>
      </c>
      <c r="B27" s="18">
        <v>20023452204</v>
      </c>
      <c r="C27" s="18" t="s">
        <v>657</v>
      </c>
      <c r="D27" s="19">
        <v>45475.365972222222</v>
      </c>
      <c r="E27" s="18" t="s">
        <v>10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146</v>
      </c>
      <c r="K27" s="20"/>
    </row>
    <row r="28" spans="1:11" ht="36.75" thickBot="1">
      <c r="A28" s="18" t="s">
        <v>658</v>
      </c>
      <c r="B28" s="18">
        <v>20019791128</v>
      </c>
      <c r="C28" s="18" t="s">
        <v>659</v>
      </c>
      <c r="D28" s="19">
        <v>45477.604861111111</v>
      </c>
      <c r="E28" s="18" t="s">
        <v>10</v>
      </c>
      <c r="F28" s="18">
        <v>3</v>
      </c>
      <c r="G28" s="18" t="s">
        <v>10</v>
      </c>
      <c r="H28" s="18" t="s">
        <v>178</v>
      </c>
      <c r="I28" s="18" t="s">
        <v>10</v>
      </c>
      <c r="J28" s="18" t="s">
        <v>146</v>
      </c>
      <c r="K28" s="20"/>
    </row>
    <row r="29" spans="1:11" ht="54.75" thickBot="1">
      <c r="A29" s="18" t="s">
        <v>660</v>
      </c>
      <c r="B29" s="18">
        <v>20027219195</v>
      </c>
      <c r="C29" s="18" t="s">
        <v>661</v>
      </c>
      <c r="D29" s="19">
        <v>45478.386805555558</v>
      </c>
      <c r="E29" s="18" t="s">
        <v>10</v>
      </c>
      <c r="F29" s="18">
        <v>10</v>
      </c>
      <c r="G29" s="18" t="s">
        <v>10</v>
      </c>
      <c r="H29" s="18" t="s">
        <v>178</v>
      </c>
      <c r="I29" s="18" t="s">
        <v>10</v>
      </c>
      <c r="J29" s="18" t="s">
        <v>146</v>
      </c>
      <c r="K29" s="20"/>
    </row>
    <row r="30" spans="1:11" ht="36.75" thickBot="1">
      <c r="A30" s="18" t="s">
        <v>662</v>
      </c>
      <c r="B30" s="18">
        <v>20027275649</v>
      </c>
      <c r="C30" s="18" t="s">
        <v>390</v>
      </c>
      <c r="D30" s="19">
        <v>45478.570138888892</v>
      </c>
      <c r="E30" s="18" t="s">
        <v>10</v>
      </c>
      <c r="F30" s="18">
        <v>5</v>
      </c>
      <c r="G30" s="18" t="s">
        <v>10</v>
      </c>
      <c r="H30" s="18" t="s">
        <v>178</v>
      </c>
      <c r="I30" s="18" t="s">
        <v>10</v>
      </c>
      <c r="J30" s="18" t="s">
        <v>146</v>
      </c>
      <c r="K30" s="20"/>
    </row>
    <row r="31" spans="1:11" ht="36.75" thickBot="1">
      <c r="A31" s="18" t="s">
        <v>664</v>
      </c>
      <c r="B31" s="18">
        <v>20017755869</v>
      </c>
      <c r="C31" s="18" t="s">
        <v>539</v>
      </c>
      <c r="D31" s="19">
        <v>45481.412499999999</v>
      </c>
      <c r="E31" s="18" t="s">
        <v>10</v>
      </c>
      <c r="F31" s="18">
        <v>5</v>
      </c>
      <c r="G31" s="18" t="s">
        <v>10</v>
      </c>
      <c r="H31" s="18" t="s">
        <v>178</v>
      </c>
      <c r="I31" s="18" t="s">
        <v>10</v>
      </c>
      <c r="J31" s="18" t="s">
        <v>146</v>
      </c>
      <c r="K31" s="20"/>
    </row>
    <row r="32" spans="1:11" ht="36.75" thickBot="1">
      <c r="A32" s="18" t="s">
        <v>666</v>
      </c>
      <c r="B32" s="18">
        <v>20025524855</v>
      </c>
      <c r="C32" s="18" t="s">
        <v>667</v>
      </c>
      <c r="D32" s="19">
        <v>45481.573611111111</v>
      </c>
      <c r="E32" s="18" t="s">
        <v>10</v>
      </c>
      <c r="F32" s="18">
        <v>15</v>
      </c>
      <c r="G32" s="18" t="s">
        <v>10</v>
      </c>
      <c r="H32" s="18" t="s">
        <v>178</v>
      </c>
      <c r="I32" s="18" t="s">
        <v>10</v>
      </c>
      <c r="J32" s="18" t="s">
        <v>146</v>
      </c>
      <c r="K32" s="20"/>
    </row>
    <row r="33" spans="1:11" ht="72.75" thickBot="1">
      <c r="A33" s="18" t="s">
        <v>668</v>
      </c>
      <c r="B33" s="18">
        <v>20022056496</v>
      </c>
      <c r="C33" s="18" t="s">
        <v>257</v>
      </c>
      <c r="D33" s="19">
        <v>45486.522916666669</v>
      </c>
      <c r="E33" s="18" t="s">
        <v>10</v>
      </c>
      <c r="F33" s="18">
        <v>20</v>
      </c>
      <c r="G33" s="18" t="s">
        <v>10</v>
      </c>
      <c r="H33" s="18" t="s">
        <v>178</v>
      </c>
      <c r="I33" s="18" t="s">
        <v>10</v>
      </c>
      <c r="J33" s="18" t="s">
        <v>146</v>
      </c>
      <c r="K33" s="20"/>
    </row>
    <row r="34" spans="1:11" ht="54.75" thickBot="1">
      <c r="A34" s="18" t="s">
        <v>669</v>
      </c>
      <c r="B34" s="18">
        <v>20027219195</v>
      </c>
      <c r="C34" s="18" t="s">
        <v>661</v>
      </c>
      <c r="D34" s="19">
        <v>45488.622916666667</v>
      </c>
      <c r="E34" s="18" t="s">
        <v>10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146</v>
      </c>
      <c r="K34" s="20"/>
    </row>
    <row r="35" spans="1:11" ht="36.75" thickBot="1">
      <c r="A35" s="18" t="s">
        <v>663</v>
      </c>
      <c r="B35" s="18">
        <v>20016799869</v>
      </c>
      <c r="C35" s="18" t="s">
        <v>152</v>
      </c>
      <c r="D35" s="19">
        <v>45476.491666666669</v>
      </c>
      <c r="E35" s="19">
        <v>45488.709027777775</v>
      </c>
      <c r="F35" s="18">
        <v>10</v>
      </c>
      <c r="G35" s="19">
        <v>45517.588194444441</v>
      </c>
      <c r="H35" s="18" t="s">
        <v>236</v>
      </c>
      <c r="I35" s="18" t="s">
        <v>10</v>
      </c>
      <c r="J35" s="18" t="s">
        <v>146</v>
      </c>
      <c r="K35" s="20"/>
    </row>
    <row r="36" spans="1:11" ht="36.75" thickBot="1">
      <c r="A36" s="18" t="s">
        <v>751</v>
      </c>
      <c r="B36" s="18">
        <v>20020494398</v>
      </c>
      <c r="C36" s="18" t="s">
        <v>532</v>
      </c>
      <c r="D36" s="19">
        <v>45491.539583333331</v>
      </c>
      <c r="E36" s="18" t="s">
        <v>10</v>
      </c>
      <c r="F36" s="18">
        <v>2</v>
      </c>
      <c r="G36" s="18" t="s">
        <v>10</v>
      </c>
      <c r="H36" s="18" t="s">
        <v>178</v>
      </c>
      <c r="I36" s="18" t="s">
        <v>10</v>
      </c>
      <c r="J36" s="18" t="s">
        <v>146</v>
      </c>
      <c r="K36" s="20"/>
    </row>
    <row r="37" spans="1:11" ht="36.75" thickBot="1">
      <c r="A37" s="18" t="s">
        <v>757</v>
      </c>
      <c r="B37" s="18">
        <v>20020334276</v>
      </c>
      <c r="C37" s="18" t="s">
        <v>530</v>
      </c>
      <c r="D37" s="19">
        <v>45491.706944444442</v>
      </c>
      <c r="E37" s="18" t="s">
        <v>10</v>
      </c>
      <c r="F37" s="18">
        <v>2</v>
      </c>
      <c r="G37" s="18" t="s">
        <v>10</v>
      </c>
      <c r="H37" s="18" t="s">
        <v>178</v>
      </c>
      <c r="I37" s="18" t="s">
        <v>10</v>
      </c>
      <c r="J37" s="18" t="s">
        <v>146</v>
      </c>
      <c r="K37" s="20"/>
    </row>
    <row r="38" spans="1:11" ht="36.75" thickBot="1">
      <c r="A38" s="18" t="s">
        <v>746</v>
      </c>
      <c r="B38" s="18">
        <v>20025524855</v>
      </c>
      <c r="C38" s="18" t="s">
        <v>747</v>
      </c>
      <c r="D38" s="19">
        <v>45492.597222222219</v>
      </c>
      <c r="E38" s="18" t="s">
        <v>10</v>
      </c>
      <c r="F38" s="18">
        <v>15</v>
      </c>
      <c r="G38" s="18" t="s">
        <v>10</v>
      </c>
      <c r="H38" s="18" t="s">
        <v>178</v>
      </c>
      <c r="I38" s="18" t="s">
        <v>10</v>
      </c>
      <c r="J38" s="18" t="s">
        <v>146</v>
      </c>
      <c r="K38" s="20"/>
    </row>
    <row r="39" spans="1:11" ht="36.75" thickBot="1">
      <c r="A39" s="18" t="s">
        <v>752</v>
      </c>
      <c r="B39" s="18">
        <v>20023452204</v>
      </c>
      <c r="C39" s="18" t="s">
        <v>657</v>
      </c>
      <c r="D39" s="19">
        <v>45493.46875</v>
      </c>
      <c r="E39" s="18" t="s">
        <v>10</v>
      </c>
      <c r="F39" s="18">
        <v>5</v>
      </c>
      <c r="G39" s="18" t="s">
        <v>10</v>
      </c>
      <c r="H39" s="18" t="s">
        <v>178</v>
      </c>
      <c r="I39" s="18" t="s">
        <v>10</v>
      </c>
      <c r="J39" s="18" t="s">
        <v>146</v>
      </c>
      <c r="K39" s="20"/>
    </row>
    <row r="40" spans="1:11" ht="36.75" thickBot="1">
      <c r="A40" s="18" t="s">
        <v>753</v>
      </c>
      <c r="B40" s="18">
        <v>20022934696</v>
      </c>
      <c r="C40" s="18" t="s">
        <v>215</v>
      </c>
      <c r="D40" s="19">
        <v>45495.494444444441</v>
      </c>
      <c r="E40" s="18" t="s">
        <v>10</v>
      </c>
      <c r="F40" s="18">
        <v>20</v>
      </c>
      <c r="G40" s="18" t="s">
        <v>10</v>
      </c>
      <c r="H40" s="18" t="s">
        <v>178</v>
      </c>
      <c r="I40" s="18" t="s">
        <v>10</v>
      </c>
      <c r="J40" s="18" t="s">
        <v>146</v>
      </c>
      <c r="K40" s="20"/>
    </row>
    <row r="41" spans="1:11" ht="36.75" thickBot="1">
      <c r="A41" s="18" t="s">
        <v>748</v>
      </c>
      <c r="B41" s="18">
        <v>20001979112</v>
      </c>
      <c r="C41" s="18" t="s">
        <v>749</v>
      </c>
      <c r="D41" s="19">
        <v>45497.409722222219</v>
      </c>
      <c r="E41" s="18" t="s">
        <v>10</v>
      </c>
      <c r="F41" s="18">
        <v>3</v>
      </c>
      <c r="G41" s="18" t="s">
        <v>10</v>
      </c>
      <c r="H41" s="18" t="s">
        <v>178</v>
      </c>
      <c r="I41" s="18" t="s">
        <v>10</v>
      </c>
      <c r="J41" s="18" t="s">
        <v>146</v>
      </c>
      <c r="K41" s="20"/>
    </row>
    <row r="42" spans="1:11" ht="36.75" thickBot="1">
      <c r="A42" s="18" t="s">
        <v>754</v>
      </c>
      <c r="B42" s="18">
        <v>20025659210</v>
      </c>
      <c r="C42" s="18" t="s">
        <v>755</v>
      </c>
      <c r="D42" s="19">
        <v>45498.629166666666</v>
      </c>
      <c r="E42" s="18" t="s">
        <v>10</v>
      </c>
      <c r="F42" s="18">
        <v>2</v>
      </c>
      <c r="G42" s="18" t="s">
        <v>10</v>
      </c>
      <c r="H42" s="18" t="s">
        <v>178</v>
      </c>
      <c r="I42" s="18" t="s">
        <v>10</v>
      </c>
      <c r="J42" s="18" t="s">
        <v>146</v>
      </c>
      <c r="K42" s="20"/>
    </row>
    <row r="43" spans="1:11" ht="36.75" thickBot="1">
      <c r="A43" s="18" t="s">
        <v>756</v>
      </c>
      <c r="B43" s="18">
        <v>20025524855</v>
      </c>
      <c r="C43" s="18" t="s">
        <v>667</v>
      </c>
      <c r="D43" s="19">
        <v>45499.634027777778</v>
      </c>
      <c r="E43" s="18" t="s">
        <v>10</v>
      </c>
      <c r="F43" s="18">
        <v>15</v>
      </c>
      <c r="G43" s="18" t="s">
        <v>10</v>
      </c>
      <c r="H43" s="18" t="s">
        <v>178</v>
      </c>
      <c r="I43" s="18" t="s">
        <v>10</v>
      </c>
      <c r="J43" s="18" t="s">
        <v>146</v>
      </c>
      <c r="K43" s="20"/>
    </row>
    <row r="44" spans="1:11" ht="90.75" thickBot="1">
      <c r="A44" s="18" t="s">
        <v>896</v>
      </c>
      <c r="B44" s="18">
        <v>20026972652</v>
      </c>
      <c r="C44" s="18" t="s">
        <v>897</v>
      </c>
      <c r="D44" s="19">
        <v>45505.388888888891</v>
      </c>
      <c r="E44" s="18" t="s">
        <v>10</v>
      </c>
      <c r="F44" s="18">
        <v>5</v>
      </c>
      <c r="G44" s="18" t="s">
        <v>10</v>
      </c>
      <c r="H44" s="18" t="s">
        <v>178</v>
      </c>
      <c r="I44" s="18" t="s">
        <v>10</v>
      </c>
      <c r="J44" s="18" t="s">
        <v>146</v>
      </c>
      <c r="K44" s="20"/>
    </row>
    <row r="45" spans="1:11" ht="36.75" thickBot="1">
      <c r="A45" s="18" t="s">
        <v>898</v>
      </c>
      <c r="B45" s="18">
        <v>20026134298</v>
      </c>
      <c r="C45" s="18" t="s">
        <v>899</v>
      </c>
      <c r="D45" s="19">
        <v>45508.675694444442</v>
      </c>
      <c r="E45" s="18" t="s">
        <v>10</v>
      </c>
      <c r="F45" s="18">
        <v>5</v>
      </c>
      <c r="G45" s="18" t="s">
        <v>10</v>
      </c>
      <c r="H45" s="18" t="s">
        <v>178</v>
      </c>
      <c r="I45" s="18" t="s">
        <v>10</v>
      </c>
      <c r="J45" s="18" t="s">
        <v>146</v>
      </c>
      <c r="K45" s="20"/>
    </row>
    <row r="46" spans="1:11" ht="36.75" thickBot="1">
      <c r="A46" s="18" t="s">
        <v>665</v>
      </c>
      <c r="B46" s="18">
        <v>20027426099</v>
      </c>
      <c r="C46" s="18" t="s">
        <v>312</v>
      </c>
      <c r="D46" s="19">
        <v>45481.478472222225</v>
      </c>
      <c r="E46" s="19">
        <v>45509.405555555553</v>
      </c>
      <c r="F46" s="18">
        <v>5</v>
      </c>
      <c r="G46" s="19">
        <v>45547.36041666667</v>
      </c>
      <c r="H46" s="18" t="s">
        <v>236</v>
      </c>
      <c r="I46" s="18" t="s">
        <v>10</v>
      </c>
      <c r="J46" s="18" t="s">
        <v>146</v>
      </c>
      <c r="K46" s="20"/>
    </row>
    <row r="47" spans="1:11" ht="36.75" thickBot="1">
      <c r="A47" s="18" t="s">
        <v>750</v>
      </c>
      <c r="B47" s="18">
        <v>20017755869</v>
      </c>
      <c r="C47" s="18" t="s">
        <v>539</v>
      </c>
      <c r="D47" s="19">
        <v>45488.654166666667</v>
      </c>
      <c r="E47" s="19">
        <v>45510.605555555558</v>
      </c>
      <c r="F47" s="18">
        <v>5</v>
      </c>
      <c r="G47" s="19">
        <v>45560.375</v>
      </c>
      <c r="H47" s="18" t="s">
        <v>236</v>
      </c>
      <c r="I47" s="18" t="s">
        <v>10</v>
      </c>
      <c r="J47" s="18" t="s">
        <v>146</v>
      </c>
      <c r="K47" s="20"/>
    </row>
    <row r="48" spans="1:11" ht="72.75" thickBot="1">
      <c r="A48" s="18" t="s">
        <v>900</v>
      </c>
      <c r="B48" s="18">
        <v>20022056496</v>
      </c>
      <c r="C48" s="18" t="s">
        <v>257</v>
      </c>
      <c r="D48" s="19">
        <v>45512.379166666666</v>
      </c>
      <c r="E48" s="18" t="s">
        <v>10</v>
      </c>
      <c r="F48" s="18">
        <v>20</v>
      </c>
      <c r="G48" s="18" t="s">
        <v>10</v>
      </c>
      <c r="H48" s="18" t="s">
        <v>178</v>
      </c>
      <c r="I48" s="18" t="s">
        <v>10</v>
      </c>
      <c r="J48" s="18" t="s">
        <v>146</v>
      </c>
      <c r="K48" s="20"/>
    </row>
    <row r="49" spans="1:11" ht="36.75" thickBot="1">
      <c r="A49" s="18" t="s">
        <v>901</v>
      </c>
      <c r="B49" s="18">
        <v>20021751153</v>
      </c>
      <c r="C49" s="18" t="s">
        <v>902</v>
      </c>
      <c r="D49" s="19">
        <v>45518.44027777778</v>
      </c>
      <c r="E49" s="18" t="s">
        <v>10</v>
      </c>
      <c r="F49" s="18">
        <v>10</v>
      </c>
      <c r="G49" s="18" t="s">
        <v>10</v>
      </c>
      <c r="H49" s="18" t="s">
        <v>178</v>
      </c>
      <c r="I49" s="18" t="s">
        <v>10</v>
      </c>
      <c r="J49" s="18" t="s">
        <v>146</v>
      </c>
      <c r="K49" s="20"/>
    </row>
    <row r="50" spans="1:11" ht="36.75" thickBot="1">
      <c r="A50" s="18" t="s">
        <v>903</v>
      </c>
      <c r="B50" s="18">
        <v>20023452204</v>
      </c>
      <c r="C50" s="18" t="s">
        <v>904</v>
      </c>
      <c r="D50" s="19">
        <v>45521.431250000001</v>
      </c>
      <c r="E50" s="18" t="s">
        <v>10</v>
      </c>
      <c r="F50" s="18">
        <v>5</v>
      </c>
      <c r="G50" s="18" t="s">
        <v>10</v>
      </c>
      <c r="H50" s="18" t="s">
        <v>178</v>
      </c>
      <c r="I50" s="18" t="s">
        <v>10</v>
      </c>
      <c r="J50" s="18" t="s">
        <v>146</v>
      </c>
      <c r="K50" s="20"/>
    </row>
    <row r="51" spans="1:11" ht="36.75" thickBot="1">
      <c r="A51" s="18" t="s">
        <v>905</v>
      </c>
      <c r="B51" s="18">
        <v>20025524855</v>
      </c>
      <c r="C51" s="18" t="s">
        <v>667</v>
      </c>
      <c r="D51" s="19">
        <v>45523.479166666664</v>
      </c>
      <c r="E51" s="18" t="s">
        <v>10</v>
      </c>
      <c r="F51" s="18">
        <v>15</v>
      </c>
      <c r="G51" s="18" t="s">
        <v>10</v>
      </c>
      <c r="H51" s="18" t="s">
        <v>178</v>
      </c>
      <c r="I51" s="18" t="s">
        <v>10</v>
      </c>
      <c r="J51" s="18" t="s">
        <v>146</v>
      </c>
      <c r="K51" s="20"/>
    </row>
    <row r="52" spans="1:11" ht="36.75" thickBot="1">
      <c r="A52" s="18" t="s">
        <v>907</v>
      </c>
      <c r="B52" s="18">
        <v>20020334276</v>
      </c>
      <c r="C52" s="18" t="s">
        <v>530</v>
      </c>
      <c r="D52" s="19">
        <v>45526.718055555553</v>
      </c>
      <c r="E52" s="18" t="s">
        <v>10</v>
      </c>
      <c r="F52" s="18">
        <v>2</v>
      </c>
      <c r="G52" s="18" t="s">
        <v>10</v>
      </c>
      <c r="H52" s="18" t="s">
        <v>178</v>
      </c>
      <c r="I52" s="18" t="s">
        <v>10</v>
      </c>
      <c r="J52" s="18" t="s">
        <v>146</v>
      </c>
      <c r="K52" s="20"/>
    </row>
    <row r="53" spans="1:11" ht="36.75" thickBot="1">
      <c r="A53" s="18" t="s">
        <v>908</v>
      </c>
      <c r="B53" s="18">
        <v>20019791128</v>
      </c>
      <c r="C53" s="18" t="s">
        <v>749</v>
      </c>
      <c r="D53" s="19">
        <v>45527.617361111108</v>
      </c>
      <c r="E53" s="18" t="s">
        <v>10</v>
      </c>
      <c r="F53" s="18">
        <v>3</v>
      </c>
      <c r="G53" s="18" t="s">
        <v>10</v>
      </c>
      <c r="H53" s="18" t="s">
        <v>178</v>
      </c>
      <c r="I53" s="18" t="s">
        <v>10</v>
      </c>
      <c r="J53" s="18" t="s">
        <v>146</v>
      </c>
      <c r="K53" s="20"/>
    </row>
    <row r="54" spans="1:11" ht="36.75" thickBot="1">
      <c r="A54" s="18" t="s">
        <v>909</v>
      </c>
      <c r="B54" s="18">
        <v>20027691252</v>
      </c>
      <c r="C54" s="18" t="s">
        <v>910</v>
      </c>
      <c r="D54" s="19">
        <v>45531.706944444442</v>
      </c>
      <c r="E54" s="18" t="s">
        <v>10</v>
      </c>
      <c r="F54" s="18">
        <v>10</v>
      </c>
      <c r="G54" s="18" t="s">
        <v>10</v>
      </c>
      <c r="H54" s="18" t="s">
        <v>178</v>
      </c>
      <c r="I54" s="18" t="s">
        <v>10</v>
      </c>
      <c r="J54" s="18" t="s">
        <v>146</v>
      </c>
      <c r="K54" s="20"/>
    </row>
    <row r="55" spans="1:11" ht="36.75" thickBot="1">
      <c r="A55" s="18" t="s">
        <v>911</v>
      </c>
      <c r="B55" s="18">
        <v>20025524855</v>
      </c>
      <c r="C55" s="18" t="s">
        <v>667</v>
      </c>
      <c r="D55" s="19">
        <v>45532.671527777777</v>
      </c>
      <c r="E55" s="18" t="s">
        <v>10</v>
      </c>
      <c r="F55" s="18">
        <v>15</v>
      </c>
      <c r="G55" s="18" t="s">
        <v>10</v>
      </c>
      <c r="H55" s="18" t="s">
        <v>178</v>
      </c>
      <c r="I55" s="18" t="s">
        <v>10</v>
      </c>
      <c r="J55" s="18" t="s">
        <v>146</v>
      </c>
      <c r="K55" s="20"/>
    </row>
    <row r="56" spans="1:11" ht="36.75" thickBot="1">
      <c r="A56" s="18" t="s">
        <v>912</v>
      </c>
      <c r="B56" s="18">
        <v>20003475444</v>
      </c>
      <c r="C56" s="18" t="s">
        <v>218</v>
      </c>
      <c r="D56" s="19">
        <v>45532.744444444441</v>
      </c>
      <c r="E56" s="18" t="s">
        <v>10</v>
      </c>
      <c r="F56" s="18">
        <v>20</v>
      </c>
      <c r="G56" s="18" t="s">
        <v>10</v>
      </c>
      <c r="H56" s="18" t="s">
        <v>178</v>
      </c>
      <c r="I56" s="18" t="s">
        <v>10</v>
      </c>
      <c r="J56" s="18" t="s">
        <v>146</v>
      </c>
      <c r="K56" s="20"/>
    </row>
    <row r="57" spans="1:11" ht="54.75" thickBot="1">
      <c r="A57" s="18" t="s">
        <v>913</v>
      </c>
      <c r="B57" s="18">
        <v>20026417447</v>
      </c>
      <c r="C57" s="18" t="s">
        <v>914</v>
      </c>
      <c r="D57" s="19">
        <v>45533.679166666669</v>
      </c>
      <c r="E57" s="18" t="s">
        <v>10</v>
      </c>
      <c r="F57" s="18">
        <v>10</v>
      </c>
      <c r="G57" s="18" t="s">
        <v>10</v>
      </c>
      <c r="H57" s="18" t="s">
        <v>178</v>
      </c>
      <c r="I57" s="18" t="s">
        <v>10</v>
      </c>
      <c r="J57" s="18" t="s">
        <v>146</v>
      </c>
      <c r="K57" s="20"/>
    </row>
    <row r="58" spans="1:11" ht="90.75" thickBot="1">
      <c r="A58" s="18" t="s">
        <v>1094</v>
      </c>
      <c r="B58" s="18">
        <v>20022056496</v>
      </c>
      <c r="C58" s="18" t="s">
        <v>1095</v>
      </c>
      <c r="D58" s="19">
        <v>45537.425000000003</v>
      </c>
      <c r="E58" s="18" t="s">
        <v>10</v>
      </c>
      <c r="F58" s="18">
        <v>20</v>
      </c>
      <c r="G58" s="18" t="s">
        <v>10</v>
      </c>
      <c r="H58" s="18" t="s">
        <v>178</v>
      </c>
      <c r="I58" s="18" t="s">
        <v>10</v>
      </c>
      <c r="J58" s="18" t="s">
        <v>146</v>
      </c>
      <c r="K58" s="20"/>
    </row>
    <row r="59" spans="1:11" ht="36.75" thickBot="1">
      <c r="A59" s="18" t="s">
        <v>1096</v>
      </c>
      <c r="B59" s="18">
        <v>20002930790</v>
      </c>
      <c r="C59" s="18" t="s">
        <v>1097</v>
      </c>
      <c r="D59" s="19">
        <v>45541.616666666669</v>
      </c>
      <c r="E59" s="18" t="s">
        <v>10</v>
      </c>
      <c r="F59" s="18">
        <v>3</v>
      </c>
      <c r="G59" s="18" t="s">
        <v>10</v>
      </c>
      <c r="H59" s="18" t="s">
        <v>178</v>
      </c>
      <c r="I59" s="18" t="s">
        <v>10</v>
      </c>
      <c r="J59" s="18" t="s">
        <v>146</v>
      </c>
      <c r="K59" s="20"/>
    </row>
    <row r="60" spans="1:11" ht="36.75" thickBot="1">
      <c r="A60" s="18" t="s">
        <v>1098</v>
      </c>
      <c r="B60" s="18">
        <v>20022934696</v>
      </c>
      <c r="C60" s="18" t="s">
        <v>215</v>
      </c>
      <c r="D60" s="19">
        <v>45546.615972222222</v>
      </c>
      <c r="E60" s="18" t="s">
        <v>10</v>
      </c>
      <c r="F60" s="18">
        <v>20</v>
      </c>
      <c r="G60" s="18" t="s">
        <v>10</v>
      </c>
      <c r="H60" s="18" t="s">
        <v>178</v>
      </c>
      <c r="I60" s="18" t="s">
        <v>10</v>
      </c>
      <c r="J60" s="18" t="s">
        <v>146</v>
      </c>
      <c r="K60" s="20"/>
    </row>
    <row r="61" spans="1:11" ht="36.75" thickBot="1">
      <c r="A61" s="18" t="s">
        <v>1099</v>
      </c>
      <c r="B61" s="18">
        <v>20023452204</v>
      </c>
      <c r="C61" s="18" t="s">
        <v>657</v>
      </c>
      <c r="D61" s="19">
        <v>45547.126388888886</v>
      </c>
      <c r="E61" s="18" t="s">
        <v>10</v>
      </c>
      <c r="F61" s="18">
        <v>5</v>
      </c>
      <c r="G61" s="18" t="s">
        <v>10</v>
      </c>
      <c r="H61" s="18" t="s">
        <v>178</v>
      </c>
      <c r="I61" s="18" t="s">
        <v>10</v>
      </c>
      <c r="J61" s="18" t="s">
        <v>146</v>
      </c>
      <c r="K61" s="20"/>
    </row>
    <row r="62" spans="1:11" ht="36.75" thickBot="1">
      <c r="A62" s="18" t="s">
        <v>1229</v>
      </c>
      <c r="B62" s="18">
        <v>20020662389</v>
      </c>
      <c r="C62" s="18" t="s">
        <v>1230</v>
      </c>
      <c r="D62" s="19">
        <v>45554.479166666664</v>
      </c>
      <c r="E62" s="18" t="s">
        <v>10</v>
      </c>
      <c r="F62" s="18">
        <v>6</v>
      </c>
      <c r="G62" s="18" t="s">
        <v>10</v>
      </c>
      <c r="H62" s="18" t="s">
        <v>178</v>
      </c>
      <c r="I62" s="18" t="s">
        <v>10</v>
      </c>
      <c r="J62" s="18" t="s">
        <v>146</v>
      </c>
      <c r="K62" s="20"/>
    </row>
    <row r="63" spans="1:11" ht="72.75" thickBot="1">
      <c r="A63" s="18" t="s">
        <v>1231</v>
      </c>
      <c r="B63" s="18">
        <v>20023975157</v>
      </c>
      <c r="C63" s="18" t="s">
        <v>1232</v>
      </c>
      <c r="D63" s="19">
        <v>45558.711111111108</v>
      </c>
      <c r="E63" s="18" t="s">
        <v>10</v>
      </c>
      <c r="F63" s="18">
        <v>10</v>
      </c>
      <c r="G63" s="18" t="s">
        <v>10</v>
      </c>
      <c r="H63" s="18" t="s">
        <v>178</v>
      </c>
      <c r="I63" s="18" t="s">
        <v>10</v>
      </c>
      <c r="J63" s="18" t="s">
        <v>146</v>
      </c>
      <c r="K63" s="20"/>
    </row>
    <row r="64" spans="1:11" ht="36.75" thickBot="1">
      <c r="A64" s="18" t="s">
        <v>1233</v>
      </c>
      <c r="B64" s="18">
        <v>20016783499</v>
      </c>
      <c r="C64" s="18" t="s">
        <v>1234</v>
      </c>
      <c r="D64" s="19">
        <v>45559.612500000003</v>
      </c>
      <c r="E64" s="18" t="s">
        <v>10</v>
      </c>
      <c r="F64" s="18">
        <v>5</v>
      </c>
      <c r="G64" s="18" t="s">
        <v>10</v>
      </c>
      <c r="H64" s="18" t="s">
        <v>178</v>
      </c>
      <c r="I64" s="18" t="s">
        <v>10</v>
      </c>
      <c r="J64" s="18" t="s">
        <v>146</v>
      </c>
      <c r="K64" s="20"/>
    </row>
    <row r="65" spans="1:11" ht="36.75" thickBot="1">
      <c r="A65" s="18" t="s">
        <v>1235</v>
      </c>
      <c r="B65" s="18">
        <v>20025524857</v>
      </c>
      <c r="C65" s="18" t="s">
        <v>1236</v>
      </c>
      <c r="D65" s="19">
        <v>45559.65</v>
      </c>
      <c r="E65" s="18" t="s">
        <v>10</v>
      </c>
      <c r="F65" s="18">
        <v>3.8</v>
      </c>
      <c r="G65" s="18" t="s">
        <v>10</v>
      </c>
      <c r="H65" s="18" t="s">
        <v>178</v>
      </c>
      <c r="I65" s="18" t="s">
        <v>10</v>
      </c>
      <c r="J65" s="18" t="s">
        <v>146</v>
      </c>
      <c r="K65" s="20"/>
    </row>
    <row r="66" spans="1:11" ht="72.75" thickBot="1">
      <c r="A66" s="18" t="s">
        <v>1237</v>
      </c>
      <c r="B66" s="18">
        <v>20023032458</v>
      </c>
      <c r="C66" s="18" t="s">
        <v>257</v>
      </c>
      <c r="D66" s="19">
        <v>45563.628472222219</v>
      </c>
      <c r="E66" s="18" t="s">
        <v>10</v>
      </c>
      <c r="F66" s="18">
        <v>20</v>
      </c>
      <c r="G66" s="18" t="s">
        <v>10</v>
      </c>
      <c r="H66" s="18" t="s">
        <v>178</v>
      </c>
      <c r="I66" s="18" t="s">
        <v>10</v>
      </c>
      <c r="J66" s="18" t="s">
        <v>146</v>
      </c>
      <c r="K66" s="20"/>
    </row>
    <row r="67" spans="1:11" ht="36.75" thickBot="1">
      <c r="A67" s="18" t="s">
        <v>1238</v>
      </c>
      <c r="B67" s="18">
        <v>20027275649</v>
      </c>
      <c r="C67" s="18" t="s">
        <v>1239</v>
      </c>
      <c r="D67" s="19">
        <v>45565.42083333333</v>
      </c>
      <c r="E67" s="18" t="s">
        <v>10</v>
      </c>
      <c r="F67" s="18">
        <v>5</v>
      </c>
      <c r="G67" s="18" t="s">
        <v>10</v>
      </c>
      <c r="H67" s="18" t="s">
        <v>178</v>
      </c>
      <c r="I67" s="18" t="s">
        <v>10</v>
      </c>
      <c r="J67" s="18" t="s">
        <v>146</v>
      </c>
      <c r="K67" s="20"/>
    </row>
    <row r="68" spans="1:11" ht="72.75" thickBot="1">
      <c r="A68" s="18" t="s">
        <v>1307</v>
      </c>
      <c r="B68" s="18">
        <v>20026652126</v>
      </c>
      <c r="C68" s="18" t="s">
        <v>825</v>
      </c>
      <c r="D68" s="19">
        <v>45566.524305555555</v>
      </c>
      <c r="E68" s="18" t="s">
        <v>10</v>
      </c>
      <c r="F68" s="18">
        <v>12</v>
      </c>
      <c r="G68" s="18" t="s">
        <v>10</v>
      </c>
      <c r="H68" s="18" t="s">
        <v>178</v>
      </c>
      <c r="I68" s="18" t="s">
        <v>10</v>
      </c>
      <c r="J68" s="18" t="s">
        <v>146</v>
      </c>
      <c r="K68" s="20"/>
    </row>
    <row r="69" spans="1:11" ht="36.75" thickBot="1">
      <c r="A69" s="18" t="s">
        <v>915</v>
      </c>
      <c r="B69" s="18">
        <v>20027275649</v>
      </c>
      <c r="C69" s="18" t="s">
        <v>390</v>
      </c>
      <c r="D69" s="19">
        <v>45517.365972222222</v>
      </c>
      <c r="E69" s="19">
        <v>45567.377083333333</v>
      </c>
      <c r="F69" s="18">
        <v>5</v>
      </c>
      <c r="G69" s="18" t="s">
        <v>10</v>
      </c>
      <c r="H69" s="18" t="s">
        <v>178</v>
      </c>
      <c r="I69" s="18" t="s">
        <v>10</v>
      </c>
      <c r="J69" s="18" t="s">
        <v>146</v>
      </c>
      <c r="K69" s="20"/>
    </row>
    <row r="70" spans="1:11" ht="36.75" thickBot="1">
      <c r="A70" s="18" t="s">
        <v>1308</v>
      </c>
      <c r="B70" s="18">
        <v>20020658263</v>
      </c>
      <c r="C70" s="18" t="s">
        <v>1309</v>
      </c>
      <c r="D70" s="19">
        <v>45568.438194444447</v>
      </c>
      <c r="E70" s="18" t="s">
        <v>10</v>
      </c>
      <c r="F70" s="18">
        <v>5</v>
      </c>
      <c r="G70" s="18" t="s">
        <v>10</v>
      </c>
      <c r="H70" s="18" t="s">
        <v>178</v>
      </c>
      <c r="I70" s="18" t="s">
        <v>10</v>
      </c>
      <c r="J70" s="18" t="s">
        <v>146</v>
      </c>
      <c r="K70" s="20"/>
    </row>
    <row r="71" spans="1:11" ht="36.75" thickBot="1">
      <c r="A71" s="18" t="s">
        <v>1310</v>
      </c>
      <c r="B71" s="18">
        <v>20002930790</v>
      </c>
      <c r="C71" s="18" t="s">
        <v>1097</v>
      </c>
      <c r="D71" s="19">
        <v>45568.718055555553</v>
      </c>
      <c r="E71" s="18" t="s">
        <v>10</v>
      </c>
      <c r="F71" s="18">
        <v>3</v>
      </c>
      <c r="G71" s="18" t="s">
        <v>10</v>
      </c>
      <c r="H71" s="18" t="s">
        <v>178</v>
      </c>
      <c r="I71" s="18" t="s">
        <v>10</v>
      </c>
      <c r="J71" s="18" t="s">
        <v>146</v>
      </c>
      <c r="K71" s="20"/>
    </row>
    <row r="72" spans="1:11" ht="36.75" thickBot="1">
      <c r="A72" s="18" t="s">
        <v>1311</v>
      </c>
      <c r="B72" s="18">
        <v>20022366682</v>
      </c>
      <c r="C72" s="18" t="s">
        <v>1312</v>
      </c>
      <c r="D72" s="19">
        <v>45572.426388888889</v>
      </c>
      <c r="E72" s="18" t="s">
        <v>10</v>
      </c>
      <c r="F72" s="18">
        <v>20</v>
      </c>
      <c r="G72" s="18" t="s">
        <v>10</v>
      </c>
      <c r="H72" s="18" t="s">
        <v>178</v>
      </c>
      <c r="I72" s="18" t="s">
        <v>10</v>
      </c>
      <c r="J72" s="18" t="s">
        <v>146</v>
      </c>
      <c r="K72" s="20"/>
    </row>
    <row r="73" spans="1:11" ht="72.75" thickBot="1">
      <c r="A73" s="18" t="s">
        <v>1313</v>
      </c>
      <c r="B73" s="18">
        <v>20023975157</v>
      </c>
      <c r="C73" s="18" t="s">
        <v>1232</v>
      </c>
      <c r="D73" s="19">
        <v>45572.474999999999</v>
      </c>
      <c r="E73" s="18" t="s">
        <v>10</v>
      </c>
      <c r="F73" s="18">
        <v>10</v>
      </c>
      <c r="G73" s="18" t="s">
        <v>10</v>
      </c>
      <c r="H73" s="18" t="s">
        <v>178</v>
      </c>
      <c r="I73" s="18" t="s">
        <v>10</v>
      </c>
      <c r="J73" s="18" t="s">
        <v>146</v>
      </c>
      <c r="K73" s="20"/>
    </row>
    <row r="74" spans="1:11" ht="72.75" thickBot="1">
      <c r="A74" s="18" t="s">
        <v>1314</v>
      </c>
      <c r="B74" s="18">
        <v>20023032458</v>
      </c>
      <c r="C74" s="18" t="s">
        <v>257</v>
      </c>
      <c r="D74" s="19">
        <v>45572.656944444447</v>
      </c>
      <c r="E74" s="18" t="s">
        <v>10</v>
      </c>
      <c r="F74" s="18">
        <v>20</v>
      </c>
      <c r="G74" s="18" t="s">
        <v>10</v>
      </c>
      <c r="H74" s="18" t="s">
        <v>178</v>
      </c>
      <c r="I74" s="18" t="s">
        <v>10</v>
      </c>
      <c r="J74" s="18" t="s">
        <v>146</v>
      </c>
      <c r="K74" s="20"/>
    </row>
    <row r="75" spans="1:11" ht="36.75" thickBot="1">
      <c r="A75" s="18" t="s">
        <v>1228</v>
      </c>
      <c r="B75" s="18">
        <v>20020334276</v>
      </c>
      <c r="C75" s="18" t="s">
        <v>530</v>
      </c>
      <c r="D75" s="19">
        <v>45554.410416666666</v>
      </c>
      <c r="E75" s="19">
        <v>45573.468055555553</v>
      </c>
      <c r="F75" s="18">
        <v>2</v>
      </c>
      <c r="G75" s="19">
        <v>45603.395138888889</v>
      </c>
      <c r="H75" s="18" t="s">
        <v>2657</v>
      </c>
      <c r="I75" s="18" t="s">
        <v>10</v>
      </c>
      <c r="J75" s="18" t="s">
        <v>146</v>
      </c>
      <c r="K75" s="20"/>
    </row>
    <row r="76" spans="1:11" ht="36.75" thickBot="1">
      <c r="A76" s="18" t="s">
        <v>906</v>
      </c>
      <c r="B76" s="18">
        <v>20020494398</v>
      </c>
      <c r="C76" s="18" t="s">
        <v>532</v>
      </c>
      <c r="D76" s="19">
        <v>45526.701388888891</v>
      </c>
      <c r="E76" s="19">
        <v>45573.65902777778</v>
      </c>
      <c r="F76" s="18">
        <v>2</v>
      </c>
      <c r="G76" s="19">
        <v>45603.395138888889</v>
      </c>
      <c r="H76" s="18" t="s">
        <v>2657</v>
      </c>
      <c r="I76" s="18" t="s">
        <v>10</v>
      </c>
      <c r="J76" s="18" t="s">
        <v>146</v>
      </c>
      <c r="K76" s="20"/>
    </row>
    <row r="77" spans="1:11" ht="36.75" thickBot="1">
      <c r="A77" s="18" t="s">
        <v>1316</v>
      </c>
      <c r="B77" s="18">
        <v>20027691252</v>
      </c>
      <c r="C77" s="18" t="s">
        <v>910</v>
      </c>
      <c r="D77" s="19">
        <v>45573.714583333334</v>
      </c>
      <c r="E77" s="18" t="s">
        <v>10</v>
      </c>
      <c r="F77" s="18">
        <v>10</v>
      </c>
      <c r="G77" s="18" t="s">
        <v>10</v>
      </c>
      <c r="H77" s="18" t="s">
        <v>178</v>
      </c>
      <c r="I77" s="18" t="s">
        <v>10</v>
      </c>
      <c r="J77" s="18" t="s">
        <v>146</v>
      </c>
      <c r="K77" s="20"/>
    </row>
    <row r="78" spans="1:11" ht="36.75" thickBot="1">
      <c r="A78" s="18" t="s">
        <v>1318</v>
      </c>
      <c r="B78" s="18">
        <v>20020662389</v>
      </c>
      <c r="C78" s="18" t="s">
        <v>1230</v>
      </c>
      <c r="D78" s="19">
        <v>45574.397222222222</v>
      </c>
      <c r="E78" s="18" t="s">
        <v>10</v>
      </c>
      <c r="F78" s="18">
        <v>6</v>
      </c>
      <c r="G78" s="18" t="s">
        <v>10</v>
      </c>
      <c r="H78" s="18" t="s">
        <v>178</v>
      </c>
      <c r="I78" s="18" t="s">
        <v>10</v>
      </c>
      <c r="J78" s="18" t="s">
        <v>146</v>
      </c>
      <c r="K78" s="20"/>
    </row>
    <row r="79" spans="1:11" ht="36.75" thickBot="1">
      <c r="A79" s="18" t="s">
        <v>1319</v>
      </c>
      <c r="B79" s="18">
        <v>20019791128</v>
      </c>
      <c r="C79" s="18" t="s">
        <v>749</v>
      </c>
      <c r="D79" s="19">
        <v>45576.491666666669</v>
      </c>
      <c r="E79" s="18" t="s">
        <v>10</v>
      </c>
      <c r="F79" s="18">
        <v>3</v>
      </c>
      <c r="G79" s="18" t="s">
        <v>10</v>
      </c>
      <c r="H79" s="18" t="s">
        <v>178</v>
      </c>
      <c r="I79" s="18" t="s">
        <v>10</v>
      </c>
      <c r="J79" s="18" t="s">
        <v>146</v>
      </c>
      <c r="K79" s="20"/>
    </row>
    <row r="80" spans="1:11" ht="36.75" thickBot="1">
      <c r="A80" s="18" t="s">
        <v>1324</v>
      </c>
      <c r="B80" s="18">
        <v>20025217686</v>
      </c>
      <c r="C80" s="18" t="s">
        <v>1325</v>
      </c>
      <c r="D80" s="19">
        <v>45581.525000000001</v>
      </c>
      <c r="E80" s="18" t="s">
        <v>10</v>
      </c>
      <c r="F80" s="18">
        <v>4</v>
      </c>
      <c r="G80" s="18" t="s">
        <v>10</v>
      </c>
      <c r="H80" s="18" t="s">
        <v>178</v>
      </c>
      <c r="I80" s="18" t="s">
        <v>10</v>
      </c>
      <c r="J80" s="18" t="s">
        <v>146</v>
      </c>
      <c r="K80" s="20"/>
    </row>
    <row r="81" spans="1:11" ht="36.75" thickBot="1">
      <c r="A81" s="18" t="s">
        <v>1326</v>
      </c>
      <c r="B81" s="18">
        <v>20027691252</v>
      </c>
      <c r="C81" s="18" t="s">
        <v>910</v>
      </c>
      <c r="D81" s="19">
        <v>45581.738194444442</v>
      </c>
      <c r="E81" s="18" t="s">
        <v>10</v>
      </c>
      <c r="F81" s="18">
        <v>10</v>
      </c>
      <c r="G81" s="18" t="s">
        <v>10</v>
      </c>
      <c r="H81" s="18" t="s">
        <v>178</v>
      </c>
      <c r="I81" s="18" t="s">
        <v>10</v>
      </c>
      <c r="J81" s="18" t="s">
        <v>146</v>
      </c>
      <c r="K81" s="20"/>
    </row>
    <row r="82" spans="1:11" ht="54.75" thickBot="1">
      <c r="A82" s="18" t="s">
        <v>1422</v>
      </c>
      <c r="B82" s="18">
        <v>20023975157</v>
      </c>
      <c r="C82" s="18" t="s">
        <v>1423</v>
      </c>
      <c r="D82" s="19">
        <v>45582.686111111114</v>
      </c>
      <c r="E82" s="18" t="s">
        <v>10</v>
      </c>
      <c r="F82" s="18">
        <v>10</v>
      </c>
      <c r="G82" s="18" t="s">
        <v>10</v>
      </c>
      <c r="H82" s="18" t="s">
        <v>178</v>
      </c>
      <c r="I82" s="18" t="s">
        <v>10</v>
      </c>
      <c r="J82" s="18" t="s">
        <v>146</v>
      </c>
      <c r="K82" s="20"/>
    </row>
    <row r="83" spans="1:11" ht="36.75" thickBot="1">
      <c r="A83" s="18" t="s">
        <v>1100</v>
      </c>
      <c r="B83" s="18">
        <v>20025524855</v>
      </c>
      <c r="C83" s="18" t="s">
        <v>667</v>
      </c>
      <c r="D83" s="19">
        <v>45553.666666666664</v>
      </c>
      <c r="E83" s="19">
        <v>45582.7</v>
      </c>
      <c r="F83" s="18">
        <v>15</v>
      </c>
      <c r="G83" s="19">
        <v>45623.586111111108</v>
      </c>
      <c r="H83" s="18" t="s">
        <v>178</v>
      </c>
      <c r="I83" s="18" t="s">
        <v>10</v>
      </c>
      <c r="J83" s="18" t="s">
        <v>146</v>
      </c>
      <c r="K83" s="20"/>
    </row>
    <row r="84" spans="1:11" ht="36.75" thickBot="1">
      <c r="A84" s="18" t="s">
        <v>1317</v>
      </c>
      <c r="B84" s="18">
        <v>20002930790</v>
      </c>
      <c r="C84" s="18" t="s">
        <v>1097</v>
      </c>
      <c r="D84" s="19">
        <v>45573.724305555559</v>
      </c>
      <c r="E84" s="19">
        <v>45583.652083333334</v>
      </c>
      <c r="F84" s="18">
        <v>3</v>
      </c>
      <c r="G84" s="18" t="s">
        <v>10</v>
      </c>
      <c r="H84" s="18" t="s">
        <v>178</v>
      </c>
      <c r="I84" s="18" t="s">
        <v>10</v>
      </c>
      <c r="J84" s="18" t="s">
        <v>146</v>
      </c>
      <c r="K84" s="20"/>
    </row>
    <row r="85" spans="1:11" ht="36.75" thickBot="1">
      <c r="A85" s="18" t="s">
        <v>1424</v>
      </c>
      <c r="B85" s="18">
        <v>20027598412</v>
      </c>
      <c r="C85" s="18" t="s">
        <v>1425</v>
      </c>
      <c r="D85" s="19">
        <v>45584.429166666669</v>
      </c>
      <c r="E85" s="18" t="s">
        <v>10</v>
      </c>
      <c r="F85" s="18">
        <v>4</v>
      </c>
      <c r="G85" s="18" t="s">
        <v>10</v>
      </c>
      <c r="H85" s="18" t="s">
        <v>178</v>
      </c>
      <c r="I85" s="18" t="s">
        <v>10</v>
      </c>
      <c r="J85" s="18" t="s">
        <v>146</v>
      </c>
      <c r="K85" s="20"/>
    </row>
    <row r="86" spans="1:11" ht="36.75" thickBot="1">
      <c r="A86" s="18" t="s">
        <v>1426</v>
      </c>
      <c r="B86" s="18">
        <v>20020658263</v>
      </c>
      <c r="C86" s="18" t="s">
        <v>1309</v>
      </c>
      <c r="D86" s="19">
        <v>45586.554166666669</v>
      </c>
      <c r="E86" s="18" t="s">
        <v>10</v>
      </c>
      <c r="F86" s="18">
        <v>5</v>
      </c>
      <c r="G86" s="18" t="s">
        <v>10</v>
      </c>
      <c r="H86" s="18" t="s">
        <v>178</v>
      </c>
      <c r="I86" s="18" t="s">
        <v>10</v>
      </c>
      <c r="J86" s="18" t="s">
        <v>146</v>
      </c>
      <c r="K86" s="20"/>
    </row>
    <row r="87" spans="1:11" ht="36.75" thickBot="1">
      <c r="A87" s="18" t="s">
        <v>1427</v>
      </c>
      <c r="B87" s="18">
        <v>20003404044</v>
      </c>
      <c r="C87" s="18" t="s">
        <v>1428</v>
      </c>
      <c r="D87" s="19">
        <v>45586.654166666667</v>
      </c>
      <c r="E87" s="19">
        <v>45586.660416666666</v>
      </c>
      <c r="F87" s="18">
        <v>2.375</v>
      </c>
      <c r="G87" s="18" t="s">
        <v>10</v>
      </c>
      <c r="H87" s="18" t="s">
        <v>236</v>
      </c>
      <c r="I87" s="18" t="s">
        <v>10</v>
      </c>
      <c r="J87" s="18" t="s">
        <v>146</v>
      </c>
      <c r="K87" s="20"/>
    </row>
    <row r="88" spans="1:11" ht="36.75" thickBot="1">
      <c r="A88" s="18" t="s">
        <v>1429</v>
      </c>
      <c r="B88" s="18">
        <v>20027219195</v>
      </c>
      <c r="C88" s="18" t="s">
        <v>1430</v>
      </c>
      <c r="D88" s="19">
        <v>45587.402777777781</v>
      </c>
      <c r="E88" s="18" t="s">
        <v>10</v>
      </c>
      <c r="F88" s="18">
        <v>10</v>
      </c>
      <c r="G88" s="18" t="s">
        <v>10</v>
      </c>
      <c r="H88" s="18" t="s">
        <v>178</v>
      </c>
      <c r="I88" s="18" t="s">
        <v>10</v>
      </c>
      <c r="J88" s="18" t="s">
        <v>146</v>
      </c>
      <c r="K88" s="20"/>
    </row>
    <row r="89" spans="1:11" ht="36.75" thickBot="1">
      <c r="A89" s="18" t="s">
        <v>1431</v>
      </c>
      <c r="B89" s="18">
        <v>20020658263</v>
      </c>
      <c r="C89" s="18" t="s">
        <v>1309</v>
      </c>
      <c r="D89" s="19">
        <v>45587.459722222222</v>
      </c>
      <c r="E89" s="18" t="s">
        <v>10</v>
      </c>
      <c r="F89" s="18">
        <v>5</v>
      </c>
      <c r="G89" s="18" t="s">
        <v>10</v>
      </c>
      <c r="H89" s="18" t="s">
        <v>178</v>
      </c>
      <c r="I89" s="18" t="s">
        <v>10</v>
      </c>
      <c r="J89" s="18" t="s">
        <v>146</v>
      </c>
      <c r="K89" s="20"/>
    </row>
    <row r="90" spans="1:11" ht="36.75" thickBot="1">
      <c r="A90" s="18" t="s">
        <v>1432</v>
      </c>
      <c r="B90" s="18">
        <v>20003475444</v>
      </c>
      <c r="C90" s="18" t="s">
        <v>218</v>
      </c>
      <c r="D90" s="19">
        <v>45588.615277777775</v>
      </c>
      <c r="E90" s="18" t="s">
        <v>10</v>
      </c>
      <c r="F90" s="18">
        <v>20</v>
      </c>
      <c r="G90" s="18" t="s">
        <v>10</v>
      </c>
      <c r="H90" s="18" t="s">
        <v>178</v>
      </c>
      <c r="I90" s="18" t="s">
        <v>10</v>
      </c>
      <c r="J90" s="18" t="s">
        <v>146</v>
      </c>
      <c r="K90" s="20"/>
    </row>
    <row r="91" spans="1:11" ht="36.75" thickBot="1">
      <c r="A91" s="18" t="s">
        <v>1433</v>
      </c>
      <c r="B91" s="18">
        <v>20023452204</v>
      </c>
      <c r="C91" s="18" t="s">
        <v>904</v>
      </c>
      <c r="D91" s="19">
        <v>45588.884722222225</v>
      </c>
      <c r="E91" s="18" t="s">
        <v>10</v>
      </c>
      <c r="F91" s="18">
        <v>5</v>
      </c>
      <c r="G91" s="18" t="s">
        <v>10</v>
      </c>
      <c r="H91" s="18" t="s">
        <v>178</v>
      </c>
      <c r="I91" s="18" t="s">
        <v>10</v>
      </c>
      <c r="J91" s="18" t="s">
        <v>146</v>
      </c>
      <c r="K91" s="20"/>
    </row>
    <row r="92" spans="1:11" ht="36.75" thickBot="1">
      <c r="A92" s="18" t="s">
        <v>1436</v>
      </c>
      <c r="B92" s="18">
        <v>20024513575</v>
      </c>
      <c r="C92" s="18" t="s">
        <v>1437</v>
      </c>
      <c r="D92" s="19">
        <v>45590.0625</v>
      </c>
      <c r="E92" s="18" t="s">
        <v>10</v>
      </c>
      <c r="F92" s="18">
        <v>5</v>
      </c>
      <c r="G92" s="18" t="s">
        <v>10</v>
      </c>
      <c r="H92" s="18" t="s">
        <v>178</v>
      </c>
      <c r="I92" s="18" t="s">
        <v>10</v>
      </c>
      <c r="J92" s="18" t="s">
        <v>146</v>
      </c>
      <c r="K92" s="20"/>
    </row>
    <row r="93" spans="1:11" ht="54.75" thickBot="1">
      <c r="A93" s="18" t="s">
        <v>1438</v>
      </c>
      <c r="B93" s="18">
        <v>20023975157</v>
      </c>
      <c r="C93" s="18" t="s">
        <v>1423</v>
      </c>
      <c r="D93" s="19">
        <v>45590.589583333334</v>
      </c>
      <c r="E93" s="18" t="s">
        <v>10</v>
      </c>
      <c r="F93" s="18">
        <v>10</v>
      </c>
      <c r="G93" s="18" t="s">
        <v>10</v>
      </c>
      <c r="H93" s="18" t="s">
        <v>178</v>
      </c>
      <c r="I93" s="18" t="s">
        <v>10</v>
      </c>
      <c r="J93" s="18" t="s">
        <v>146</v>
      </c>
      <c r="K93" s="20"/>
    </row>
    <row r="94" spans="1:11" ht="36.75" thickBot="1">
      <c r="A94" s="18" t="s">
        <v>1315</v>
      </c>
      <c r="B94" s="18">
        <v>20022934696</v>
      </c>
      <c r="C94" s="18" t="s">
        <v>215</v>
      </c>
      <c r="D94" s="19">
        <v>45573.412499999999</v>
      </c>
      <c r="E94" s="19">
        <v>45593.441666666666</v>
      </c>
      <c r="F94" s="18">
        <v>20</v>
      </c>
      <c r="G94" s="18" t="s">
        <v>10</v>
      </c>
      <c r="H94" s="18" t="s">
        <v>178</v>
      </c>
      <c r="I94" s="18" t="s">
        <v>10</v>
      </c>
      <c r="J94" s="18" t="s">
        <v>146</v>
      </c>
      <c r="K94" s="20"/>
    </row>
    <row r="95" spans="1:11" ht="36.75" thickBot="1">
      <c r="A95" s="18" t="s">
        <v>1439</v>
      </c>
      <c r="B95" s="18">
        <v>20020662389</v>
      </c>
      <c r="C95" s="18" t="s">
        <v>1230</v>
      </c>
      <c r="D95" s="19">
        <v>45593.515277777777</v>
      </c>
      <c r="E95" s="18" t="s">
        <v>10</v>
      </c>
      <c r="F95" s="18">
        <v>6</v>
      </c>
      <c r="G95" s="18" t="s">
        <v>10</v>
      </c>
      <c r="H95" s="18" t="s">
        <v>178</v>
      </c>
      <c r="I95" s="18" t="s">
        <v>10</v>
      </c>
      <c r="J95" s="18" t="s">
        <v>146</v>
      </c>
      <c r="K95" s="20"/>
    </row>
    <row r="96" spans="1:11" ht="54.75" thickBot="1">
      <c r="A96" s="18" t="s">
        <v>1440</v>
      </c>
      <c r="B96" s="18">
        <v>20027219195</v>
      </c>
      <c r="C96" s="18" t="s">
        <v>661</v>
      </c>
      <c r="D96" s="19">
        <v>45593.693055555559</v>
      </c>
      <c r="E96" s="18" t="s">
        <v>10</v>
      </c>
      <c r="F96" s="18">
        <v>10</v>
      </c>
      <c r="G96" s="18" t="s">
        <v>10</v>
      </c>
      <c r="H96" s="18" t="s">
        <v>178</v>
      </c>
      <c r="I96" s="18" t="s">
        <v>10</v>
      </c>
      <c r="J96" s="18" t="s">
        <v>146</v>
      </c>
      <c r="K96" s="20"/>
    </row>
    <row r="97" spans="1:11" ht="36.75" thickBot="1">
      <c r="A97" s="18" t="s">
        <v>1321</v>
      </c>
      <c r="B97" s="18">
        <v>20003185893</v>
      </c>
      <c r="C97" s="18" t="s">
        <v>1322</v>
      </c>
      <c r="D97" s="19">
        <v>45579.775000000001</v>
      </c>
      <c r="E97" s="19">
        <v>45594.365972222222</v>
      </c>
      <c r="F97" s="18">
        <v>2</v>
      </c>
      <c r="G97" s="18" t="s">
        <v>10</v>
      </c>
      <c r="H97" s="18" t="s">
        <v>178</v>
      </c>
      <c r="I97" s="18" t="s">
        <v>10</v>
      </c>
      <c r="J97" s="18" t="s">
        <v>146</v>
      </c>
      <c r="K97" s="20"/>
    </row>
    <row r="98" spans="1:11" ht="36.75" thickBot="1">
      <c r="A98" s="18" t="s">
        <v>1441</v>
      </c>
      <c r="B98" s="18">
        <v>20027598412</v>
      </c>
      <c r="C98" s="18" t="s">
        <v>1442</v>
      </c>
      <c r="D98" s="19">
        <v>45594.620833333334</v>
      </c>
      <c r="E98" s="18" t="s">
        <v>10</v>
      </c>
      <c r="F98" s="18">
        <v>4</v>
      </c>
      <c r="G98" s="18" t="s">
        <v>10</v>
      </c>
      <c r="H98" s="18" t="s">
        <v>178</v>
      </c>
      <c r="I98" s="18" t="s">
        <v>10</v>
      </c>
      <c r="J98" s="18" t="s">
        <v>146</v>
      </c>
      <c r="K98" s="20"/>
    </row>
    <row r="99" spans="1:11" ht="36.75" thickBot="1">
      <c r="A99" s="18" t="s">
        <v>1320</v>
      </c>
      <c r="B99" s="18">
        <v>20016783499</v>
      </c>
      <c r="C99" s="18" t="s">
        <v>1234</v>
      </c>
      <c r="D99" s="19">
        <v>45576.69027777778</v>
      </c>
      <c r="E99" s="19">
        <v>45595.373611111114</v>
      </c>
      <c r="F99" s="18">
        <v>5</v>
      </c>
      <c r="G99" s="18" t="s">
        <v>10</v>
      </c>
      <c r="H99" s="18" t="s">
        <v>178</v>
      </c>
      <c r="I99" s="18" t="s">
        <v>10</v>
      </c>
      <c r="J99" s="18" t="s">
        <v>146</v>
      </c>
      <c r="K99" s="20"/>
    </row>
    <row r="100" spans="1:11" ht="36.75" thickBot="1">
      <c r="A100" s="18" t="s">
        <v>1443</v>
      </c>
      <c r="B100" s="18">
        <v>20020658263</v>
      </c>
      <c r="C100" s="18" t="s">
        <v>1309</v>
      </c>
      <c r="D100" s="19">
        <v>45595.772916666669</v>
      </c>
      <c r="E100" s="18" t="s">
        <v>10</v>
      </c>
      <c r="F100" s="18">
        <v>5</v>
      </c>
      <c r="G100" s="18" t="s">
        <v>10</v>
      </c>
      <c r="H100" s="18" t="s">
        <v>178</v>
      </c>
      <c r="I100" s="18" t="s">
        <v>10</v>
      </c>
      <c r="J100" s="18" t="s">
        <v>146</v>
      </c>
      <c r="K100" s="20"/>
    </row>
    <row r="101" spans="1:11" ht="36.75" thickBot="1">
      <c r="A101" s="18" t="s">
        <v>1619</v>
      </c>
      <c r="B101" s="18">
        <v>20003475444</v>
      </c>
      <c r="C101" s="18" t="s">
        <v>218</v>
      </c>
      <c r="D101" s="19">
        <v>45596.499305555553</v>
      </c>
      <c r="E101" s="18" t="s">
        <v>10</v>
      </c>
      <c r="F101" s="18">
        <v>20</v>
      </c>
      <c r="G101" s="18" t="s">
        <v>10</v>
      </c>
      <c r="H101" s="18" t="s">
        <v>178</v>
      </c>
      <c r="I101" s="18" t="s">
        <v>10</v>
      </c>
      <c r="J101" s="18" t="s">
        <v>146</v>
      </c>
      <c r="K101" s="20"/>
    </row>
    <row r="102" spans="1:11" ht="90.75" thickBot="1">
      <c r="A102" s="21" t="s">
        <v>1620</v>
      </c>
      <c r="B102" s="21">
        <v>20026972652</v>
      </c>
      <c r="C102" s="21" t="s">
        <v>897</v>
      </c>
      <c r="D102" s="22">
        <v>45596.759027777778</v>
      </c>
      <c r="E102" s="21" t="s">
        <v>10</v>
      </c>
      <c r="F102" s="21">
        <v>5</v>
      </c>
      <c r="G102" s="21" t="s">
        <v>10</v>
      </c>
      <c r="H102" s="21" t="s">
        <v>178</v>
      </c>
      <c r="I102" s="21" t="s">
        <v>10</v>
      </c>
      <c r="J102" s="21" t="s">
        <v>3565</v>
      </c>
      <c r="K102" s="1"/>
    </row>
    <row r="103" spans="1:11" ht="36.75" thickBot="1">
      <c r="A103" s="18" t="s">
        <v>1621</v>
      </c>
      <c r="B103" s="18">
        <v>20017769968</v>
      </c>
      <c r="C103" s="18" t="s">
        <v>1622</v>
      </c>
      <c r="D103" s="19">
        <v>45601.095833333333</v>
      </c>
      <c r="E103" s="18" t="s">
        <v>10</v>
      </c>
      <c r="F103" s="18">
        <v>5</v>
      </c>
      <c r="G103" s="18" t="s">
        <v>10</v>
      </c>
      <c r="H103" s="18" t="s">
        <v>178</v>
      </c>
      <c r="I103" s="18" t="s">
        <v>10</v>
      </c>
      <c r="J103" s="18" t="s">
        <v>146</v>
      </c>
      <c r="K103" s="20"/>
    </row>
    <row r="104" spans="1:11" ht="36.75" thickBot="1">
      <c r="A104" s="18" t="s">
        <v>1623</v>
      </c>
      <c r="B104" s="18">
        <v>20027219195</v>
      </c>
      <c r="C104" s="18" t="s">
        <v>1430</v>
      </c>
      <c r="D104" s="19">
        <v>45601.56527777778</v>
      </c>
      <c r="E104" s="18" t="s">
        <v>10</v>
      </c>
      <c r="F104" s="18">
        <v>10</v>
      </c>
      <c r="G104" s="18" t="s">
        <v>10</v>
      </c>
      <c r="H104" s="18" t="s">
        <v>178</v>
      </c>
      <c r="I104" s="18" t="s">
        <v>10</v>
      </c>
      <c r="J104" s="18" t="s">
        <v>146</v>
      </c>
      <c r="K104" s="20"/>
    </row>
    <row r="105" spans="1:11" ht="36.75" thickBot="1">
      <c r="A105" s="18" t="s">
        <v>1624</v>
      </c>
      <c r="B105" s="18">
        <v>20027050115</v>
      </c>
      <c r="C105" s="18" t="s">
        <v>1625</v>
      </c>
      <c r="D105" s="19">
        <v>45602.613194444442</v>
      </c>
      <c r="E105" s="18" t="s">
        <v>10</v>
      </c>
      <c r="F105" s="18">
        <v>6</v>
      </c>
      <c r="G105" s="18" t="s">
        <v>10</v>
      </c>
      <c r="H105" s="18" t="s">
        <v>178</v>
      </c>
      <c r="I105" s="18" t="s">
        <v>10</v>
      </c>
      <c r="J105" s="18" t="s">
        <v>146</v>
      </c>
      <c r="K105" s="20"/>
    </row>
    <row r="106" spans="1:11" ht="36.75" thickBot="1">
      <c r="A106" s="18" t="s">
        <v>1627</v>
      </c>
      <c r="B106" s="18">
        <v>20020658263</v>
      </c>
      <c r="C106" s="18" t="s">
        <v>1309</v>
      </c>
      <c r="D106" s="19">
        <v>45603.425694444442</v>
      </c>
      <c r="E106" s="18" t="s">
        <v>10</v>
      </c>
      <c r="F106" s="18">
        <v>5</v>
      </c>
      <c r="G106" s="18" t="s">
        <v>10</v>
      </c>
      <c r="H106" s="18" t="s">
        <v>178</v>
      </c>
      <c r="I106" s="18" t="s">
        <v>10</v>
      </c>
      <c r="J106" s="18" t="s">
        <v>146</v>
      </c>
      <c r="K106" s="20"/>
    </row>
    <row r="107" spans="1:11" ht="72.75" thickBot="1">
      <c r="A107" s="18" t="s">
        <v>1628</v>
      </c>
      <c r="B107" s="18">
        <v>20026652126</v>
      </c>
      <c r="C107" s="18" t="s">
        <v>825</v>
      </c>
      <c r="D107" s="19">
        <v>45604.447916666664</v>
      </c>
      <c r="E107" s="18" t="s">
        <v>10</v>
      </c>
      <c r="F107" s="18">
        <v>12</v>
      </c>
      <c r="G107" s="18" t="s">
        <v>10</v>
      </c>
      <c r="H107" s="18" t="s">
        <v>178</v>
      </c>
      <c r="I107" s="18" t="s">
        <v>10</v>
      </c>
      <c r="J107" s="18" t="s">
        <v>146</v>
      </c>
      <c r="K107" s="20"/>
    </row>
    <row r="108" spans="1:11" ht="72.75" thickBot="1">
      <c r="A108" s="18" t="s">
        <v>1629</v>
      </c>
      <c r="B108" s="18">
        <v>20026651945</v>
      </c>
      <c r="C108" s="18" t="s">
        <v>825</v>
      </c>
      <c r="D108" s="19">
        <v>45604.625694444447</v>
      </c>
      <c r="E108" s="18" t="s">
        <v>10</v>
      </c>
      <c r="F108" s="18">
        <v>6</v>
      </c>
      <c r="G108" s="18" t="s">
        <v>10</v>
      </c>
      <c r="H108" s="18" t="s">
        <v>178</v>
      </c>
      <c r="I108" s="18" t="s">
        <v>10</v>
      </c>
      <c r="J108" s="18" t="s">
        <v>146</v>
      </c>
      <c r="K108" s="20"/>
    </row>
    <row r="109" spans="1:11" ht="36.75" thickBot="1">
      <c r="A109" s="18" t="s">
        <v>1630</v>
      </c>
      <c r="B109" s="18">
        <v>20020662389</v>
      </c>
      <c r="C109" s="18" t="s">
        <v>1230</v>
      </c>
      <c r="D109" s="19">
        <v>45607.406944444447</v>
      </c>
      <c r="E109" s="18" t="s">
        <v>10</v>
      </c>
      <c r="F109" s="18">
        <v>6</v>
      </c>
      <c r="G109" s="18" t="s">
        <v>10</v>
      </c>
      <c r="H109" s="18" t="s">
        <v>178</v>
      </c>
      <c r="I109" s="18" t="s">
        <v>10</v>
      </c>
      <c r="J109" s="18" t="s">
        <v>146</v>
      </c>
      <c r="K109" s="20"/>
    </row>
    <row r="110" spans="1:11" ht="36.75" thickBot="1">
      <c r="A110" s="18" t="s">
        <v>1631</v>
      </c>
      <c r="B110" s="18">
        <v>20022934696</v>
      </c>
      <c r="C110" s="18" t="s">
        <v>215</v>
      </c>
      <c r="D110" s="19">
        <v>45607.618750000001</v>
      </c>
      <c r="E110" s="18" t="s">
        <v>10</v>
      </c>
      <c r="F110" s="18">
        <v>20</v>
      </c>
      <c r="G110" s="18" t="s">
        <v>10</v>
      </c>
      <c r="H110" s="18" t="s">
        <v>178</v>
      </c>
      <c r="I110" s="18" t="s">
        <v>10</v>
      </c>
      <c r="J110" s="18" t="s">
        <v>146</v>
      </c>
      <c r="K110" s="20"/>
    </row>
    <row r="111" spans="1:11" ht="36.75" thickBot="1">
      <c r="A111" s="18" t="s">
        <v>1632</v>
      </c>
      <c r="B111" s="18">
        <v>20020658263</v>
      </c>
      <c r="C111" s="18" t="s">
        <v>1309</v>
      </c>
      <c r="D111" s="19">
        <v>45607.722222222219</v>
      </c>
      <c r="E111" s="18" t="s">
        <v>10</v>
      </c>
      <c r="F111" s="18">
        <v>5</v>
      </c>
      <c r="G111" s="19">
        <v>45651.522222222222</v>
      </c>
      <c r="H111" s="18" t="s">
        <v>236</v>
      </c>
      <c r="I111" s="18" t="s">
        <v>10</v>
      </c>
      <c r="J111" s="18" t="s">
        <v>146</v>
      </c>
      <c r="K111" s="20"/>
    </row>
    <row r="112" spans="1:11" ht="36.75" thickBot="1">
      <c r="A112" s="18" t="s">
        <v>1633</v>
      </c>
      <c r="B112" s="18">
        <v>20027598412</v>
      </c>
      <c r="C112" s="18" t="s">
        <v>1634</v>
      </c>
      <c r="D112" s="19">
        <v>45608.388194444444</v>
      </c>
      <c r="E112" s="18" t="s">
        <v>10</v>
      </c>
      <c r="F112" s="18">
        <v>4</v>
      </c>
      <c r="G112" s="18" t="s">
        <v>10</v>
      </c>
      <c r="H112" s="18" t="s">
        <v>178</v>
      </c>
      <c r="I112" s="18" t="s">
        <v>10</v>
      </c>
      <c r="J112" s="18" t="s">
        <v>146</v>
      </c>
      <c r="K112" s="20"/>
    </row>
    <row r="113" spans="1:11" ht="36.75" thickBot="1">
      <c r="A113" s="18" t="s">
        <v>1635</v>
      </c>
      <c r="B113" s="18">
        <v>20003185893</v>
      </c>
      <c r="C113" s="18" t="s">
        <v>1322</v>
      </c>
      <c r="D113" s="19">
        <v>45608.393055555556</v>
      </c>
      <c r="E113" s="18" t="s">
        <v>10</v>
      </c>
      <c r="F113" s="18">
        <v>2</v>
      </c>
      <c r="G113" s="18" t="s">
        <v>10</v>
      </c>
      <c r="H113" s="18" t="s">
        <v>178</v>
      </c>
      <c r="I113" s="18" t="s">
        <v>10</v>
      </c>
      <c r="J113" s="18" t="s">
        <v>146</v>
      </c>
      <c r="K113" s="20"/>
    </row>
    <row r="114" spans="1:11" ht="36.75" thickBot="1">
      <c r="A114" s="18" t="s">
        <v>1637</v>
      </c>
      <c r="B114" s="18">
        <v>20026134298</v>
      </c>
      <c r="C114" s="18" t="s">
        <v>899</v>
      </c>
      <c r="D114" s="19">
        <v>45609.918055555558</v>
      </c>
      <c r="E114" s="18" t="s">
        <v>10</v>
      </c>
      <c r="F114" s="18">
        <v>5</v>
      </c>
      <c r="G114" s="18" t="s">
        <v>10</v>
      </c>
      <c r="H114" s="18" t="s">
        <v>178</v>
      </c>
      <c r="I114" s="18" t="s">
        <v>10</v>
      </c>
      <c r="J114" s="18" t="s">
        <v>146</v>
      </c>
      <c r="K114" s="20"/>
    </row>
    <row r="115" spans="1:11" ht="36.75" thickBot="1">
      <c r="A115" s="18" t="s">
        <v>1638</v>
      </c>
      <c r="B115" s="18">
        <v>20026176726</v>
      </c>
      <c r="C115" s="18" t="s">
        <v>154</v>
      </c>
      <c r="D115" s="19">
        <v>45619.481249999997</v>
      </c>
      <c r="E115" s="18" t="s">
        <v>10</v>
      </c>
      <c r="F115" s="18">
        <v>5</v>
      </c>
      <c r="G115" s="18" t="s">
        <v>10</v>
      </c>
      <c r="H115" s="18" t="s">
        <v>178</v>
      </c>
      <c r="I115" s="18" t="s">
        <v>10</v>
      </c>
      <c r="J115" s="18" t="s">
        <v>146</v>
      </c>
      <c r="K115" s="20"/>
    </row>
    <row r="116" spans="1:11" ht="36.75" thickBot="1">
      <c r="A116" s="18" t="s">
        <v>1639</v>
      </c>
      <c r="B116" s="18">
        <v>20027219195</v>
      </c>
      <c r="C116" s="18" t="s">
        <v>1430</v>
      </c>
      <c r="D116" s="19">
        <v>45621.489583333336</v>
      </c>
      <c r="E116" s="18" t="s">
        <v>10</v>
      </c>
      <c r="F116" s="18">
        <v>10</v>
      </c>
      <c r="G116" s="18" t="s">
        <v>10</v>
      </c>
      <c r="H116" s="18" t="s">
        <v>178</v>
      </c>
      <c r="I116" s="18" t="s">
        <v>10</v>
      </c>
      <c r="J116" s="18" t="s">
        <v>146</v>
      </c>
      <c r="K116" s="20"/>
    </row>
    <row r="117" spans="1:11" ht="36.75" thickBot="1">
      <c r="A117" s="18" t="s">
        <v>1640</v>
      </c>
      <c r="B117" s="18">
        <v>20003401139</v>
      </c>
      <c r="C117" s="18" t="s">
        <v>1641</v>
      </c>
      <c r="D117" s="19">
        <v>45621.612500000003</v>
      </c>
      <c r="E117" s="18" t="s">
        <v>10</v>
      </c>
      <c r="F117" s="18">
        <v>10</v>
      </c>
      <c r="G117" s="18" t="s">
        <v>10</v>
      </c>
      <c r="H117" s="18" t="s">
        <v>178</v>
      </c>
      <c r="I117" s="18" t="s">
        <v>10</v>
      </c>
      <c r="J117" s="18" t="s">
        <v>146</v>
      </c>
      <c r="K117" s="20"/>
    </row>
    <row r="118" spans="1:11" ht="36.75" thickBot="1">
      <c r="A118" s="18" t="s">
        <v>1642</v>
      </c>
      <c r="B118" s="18">
        <v>20020662389</v>
      </c>
      <c r="C118" s="18" t="s">
        <v>1230</v>
      </c>
      <c r="D118" s="19">
        <v>45624.579861111109</v>
      </c>
      <c r="E118" s="18" t="s">
        <v>10</v>
      </c>
      <c r="F118" s="18">
        <v>6</v>
      </c>
      <c r="G118" s="18" t="s">
        <v>10</v>
      </c>
      <c r="H118" s="18" t="s">
        <v>178</v>
      </c>
      <c r="I118" s="18" t="s">
        <v>10</v>
      </c>
      <c r="J118" s="18" t="s">
        <v>146</v>
      </c>
      <c r="K118" s="20"/>
    </row>
    <row r="119" spans="1:11" ht="72.75" thickBot="1">
      <c r="A119" s="18" t="s">
        <v>1643</v>
      </c>
      <c r="B119" s="18">
        <v>20026651945</v>
      </c>
      <c r="C119" s="18" t="s">
        <v>825</v>
      </c>
      <c r="D119" s="19">
        <v>45625.393750000003</v>
      </c>
      <c r="E119" s="18" t="s">
        <v>10</v>
      </c>
      <c r="F119" s="18">
        <v>6</v>
      </c>
      <c r="G119" s="18" t="s">
        <v>10</v>
      </c>
      <c r="H119" s="18" t="s">
        <v>178</v>
      </c>
      <c r="I119" s="18" t="s">
        <v>10</v>
      </c>
      <c r="J119" s="18" t="s">
        <v>146</v>
      </c>
      <c r="K119" s="20"/>
    </row>
    <row r="120" spans="1:11" ht="72.75" thickBot="1">
      <c r="A120" s="18" t="s">
        <v>1644</v>
      </c>
      <c r="B120" s="18">
        <v>20016749843</v>
      </c>
      <c r="C120" s="18" t="s">
        <v>1645</v>
      </c>
      <c r="D120" s="19">
        <v>45625.425694444442</v>
      </c>
      <c r="E120" s="18" t="s">
        <v>10</v>
      </c>
      <c r="F120" s="18">
        <v>5</v>
      </c>
      <c r="G120" s="18" t="s">
        <v>10</v>
      </c>
      <c r="H120" s="18" t="s">
        <v>178</v>
      </c>
      <c r="I120" s="18" t="s">
        <v>10</v>
      </c>
      <c r="J120" s="18" t="s">
        <v>146</v>
      </c>
      <c r="K120" s="20"/>
    </row>
    <row r="121" spans="1:11" ht="36.75" thickBot="1">
      <c r="A121" s="18" t="s">
        <v>1646</v>
      </c>
      <c r="B121" s="18">
        <v>20003185893</v>
      </c>
      <c r="C121" s="18" t="s">
        <v>1322</v>
      </c>
      <c r="D121" s="19">
        <v>45625.539583333331</v>
      </c>
      <c r="E121" s="18" t="s">
        <v>10</v>
      </c>
      <c r="F121" s="18">
        <v>2</v>
      </c>
      <c r="G121" s="18" t="s">
        <v>10</v>
      </c>
      <c r="H121" s="18" t="s">
        <v>178</v>
      </c>
      <c r="I121" s="18" t="s">
        <v>10</v>
      </c>
      <c r="J121" s="18" t="s">
        <v>146</v>
      </c>
      <c r="K121" s="20"/>
    </row>
    <row r="122" spans="1:11" ht="36.75" thickBot="1">
      <c r="A122" s="18" t="s">
        <v>1647</v>
      </c>
      <c r="B122" s="18">
        <v>20027598412</v>
      </c>
      <c r="C122" s="18" t="s">
        <v>1648</v>
      </c>
      <c r="D122" s="19">
        <v>45626.406944444447</v>
      </c>
      <c r="E122" s="18" t="s">
        <v>10</v>
      </c>
      <c r="F122" s="18">
        <v>4</v>
      </c>
      <c r="G122" s="18" t="s">
        <v>10</v>
      </c>
      <c r="H122" s="18" t="s">
        <v>178</v>
      </c>
      <c r="I122" s="18" t="s">
        <v>10</v>
      </c>
      <c r="J122" s="18" t="s">
        <v>146</v>
      </c>
      <c r="K122" s="20"/>
    </row>
    <row r="123" spans="1:11" ht="36.75" thickBot="1">
      <c r="A123" s="18" t="s">
        <v>1825</v>
      </c>
      <c r="B123" s="18">
        <v>20026176726</v>
      </c>
      <c r="C123" s="18" t="s">
        <v>154</v>
      </c>
      <c r="D123" s="19">
        <v>45632.467361111114</v>
      </c>
      <c r="E123" s="18" t="s">
        <v>10</v>
      </c>
      <c r="F123" s="18">
        <v>5</v>
      </c>
      <c r="G123" s="18" t="s">
        <v>10</v>
      </c>
      <c r="H123" s="18" t="s">
        <v>178</v>
      </c>
      <c r="I123" s="18" t="s">
        <v>10</v>
      </c>
      <c r="J123" s="18" t="s">
        <v>146</v>
      </c>
      <c r="K123" s="20"/>
    </row>
    <row r="124" spans="1:11" ht="36.75" thickBot="1">
      <c r="A124" s="18" t="s">
        <v>1826</v>
      </c>
      <c r="B124" s="18">
        <v>20016783499</v>
      </c>
      <c r="C124" s="18" t="s">
        <v>1827</v>
      </c>
      <c r="D124" s="19">
        <v>45633.57916666667</v>
      </c>
      <c r="E124" s="18" t="s">
        <v>10</v>
      </c>
      <c r="F124" s="18">
        <v>5</v>
      </c>
      <c r="G124" s="18" t="s">
        <v>10</v>
      </c>
      <c r="H124" s="18" t="s">
        <v>178</v>
      </c>
      <c r="I124" s="18" t="s">
        <v>10</v>
      </c>
      <c r="J124" s="18" t="s">
        <v>146</v>
      </c>
      <c r="K124" s="20"/>
    </row>
    <row r="125" spans="1:11" ht="36.75" thickBot="1">
      <c r="A125" s="18" t="s">
        <v>1828</v>
      </c>
      <c r="B125" s="18">
        <v>20003075855</v>
      </c>
      <c r="C125" s="18" t="s">
        <v>1829</v>
      </c>
      <c r="D125" s="19">
        <v>45635.667361111111</v>
      </c>
      <c r="E125" s="18" t="s">
        <v>10</v>
      </c>
      <c r="F125" s="18">
        <v>5</v>
      </c>
      <c r="G125" s="18" t="s">
        <v>10</v>
      </c>
      <c r="H125" s="18" t="s">
        <v>178</v>
      </c>
      <c r="I125" s="18" t="s">
        <v>10</v>
      </c>
      <c r="J125" s="18" t="s">
        <v>146</v>
      </c>
      <c r="K125" s="20"/>
    </row>
    <row r="126" spans="1:11" ht="36.75" thickBot="1">
      <c r="A126" s="18" t="s">
        <v>1907</v>
      </c>
      <c r="B126" s="18">
        <v>20003101139</v>
      </c>
      <c r="C126" s="18" t="s">
        <v>1641</v>
      </c>
      <c r="D126" s="19">
        <v>45643.479166666664</v>
      </c>
      <c r="E126" s="18" t="s">
        <v>10</v>
      </c>
      <c r="F126" s="18">
        <v>10</v>
      </c>
      <c r="G126" s="18" t="s">
        <v>10</v>
      </c>
      <c r="H126" s="18" t="s">
        <v>178</v>
      </c>
      <c r="I126" s="18" t="s">
        <v>10</v>
      </c>
      <c r="J126" s="18" t="s">
        <v>146</v>
      </c>
      <c r="K126" s="20"/>
    </row>
    <row r="127" spans="1:11" ht="36.75" thickBot="1">
      <c r="A127" s="18" t="s">
        <v>1908</v>
      </c>
      <c r="B127" s="18">
        <v>20003185893</v>
      </c>
      <c r="C127" s="18" t="s">
        <v>1322</v>
      </c>
      <c r="D127" s="19">
        <v>45644.523611111108</v>
      </c>
      <c r="E127" s="18" t="s">
        <v>10</v>
      </c>
      <c r="F127" s="18">
        <v>2</v>
      </c>
      <c r="G127" s="19">
        <v>45667.416666666664</v>
      </c>
      <c r="H127" s="18" t="s">
        <v>236</v>
      </c>
      <c r="I127" s="18" t="s">
        <v>10</v>
      </c>
      <c r="J127" s="18" t="s">
        <v>146</v>
      </c>
      <c r="K127" s="20"/>
    </row>
    <row r="128" spans="1:11" ht="72.75" thickBot="1">
      <c r="A128" s="18" t="s">
        <v>1910</v>
      </c>
      <c r="B128" s="18">
        <v>20016749843</v>
      </c>
      <c r="C128" s="18" t="s">
        <v>1645</v>
      </c>
      <c r="D128" s="19">
        <v>45647.713194444441</v>
      </c>
      <c r="E128" s="18" t="s">
        <v>10</v>
      </c>
      <c r="F128" s="18">
        <v>5</v>
      </c>
      <c r="G128" s="18" t="s">
        <v>10</v>
      </c>
      <c r="H128" s="18" t="s">
        <v>178</v>
      </c>
      <c r="I128" s="18" t="s">
        <v>10</v>
      </c>
      <c r="J128" s="18" t="s">
        <v>146</v>
      </c>
      <c r="K128" s="20"/>
    </row>
    <row r="129" spans="1:11" ht="36.75" thickBot="1">
      <c r="A129" s="18" t="s">
        <v>1911</v>
      </c>
      <c r="B129" s="18">
        <v>20025659210</v>
      </c>
      <c r="C129" s="18" t="s">
        <v>755</v>
      </c>
      <c r="D129" s="19">
        <v>45652.446527777778</v>
      </c>
      <c r="E129" s="18" t="s">
        <v>10</v>
      </c>
      <c r="F129" s="18">
        <v>2</v>
      </c>
      <c r="G129" s="18" t="s">
        <v>10</v>
      </c>
      <c r="H129" s="18" t="s">
        <v>178</v>
      </c>
      <c r="I129" s="18" t="s">
        <v>10</v>
      </c>
      <c r="J129" s="18" t="s">
        <v>146</v>
      </c>
      <c r="K129" s="20"/>
    </row>
    <row r="130" spans="1:11" ht="54.75" thickBot="1">
      <c r="A130" s="18" t="s">
        <v>1912</v>
      </c>
      <c r="B130" s="18">
        <v>20003020608</v>
      </c>
      <c r="C130" s="18" t="s">
        <v>1913</v>
      </c>
      <c r="D130" s="19">
        <v>45652.672222222223</v>
      </c>
      <c r="E130" s="18" t="s">
        <v>10</v>
      </c>
      <c r="F130" s="18">
        <v>20</v>
      </c>
      <c r="G130" s="18" t="s">
        <v>10</v>
      </c>
      <c r="H130" s="18" t="s">
        <v>178</v>
      </c>
      <c r="I130" s="18" t="s">
        <v>10</v>
      </c>
      <c r="J130" s="18" t="s">
        <v>146</v>
      </c>
      <c r="K130" s="20"/>
    </row>
    <row r="131" spans="1:11" ht="36.75" thickBot="1">
      <c r="A131" s="18" t="s">
        <v>1914</v>
      </c>
      <c r="B131" s="18">
        <v>20027598412</v>
      </c>
      <c r="C131" s="18" t="s">
        <v>1648</v>
      </c>
      <c r="D131" s="19">
        <v>45659.451388888891</v>
      </c>
      <c r="E131" s="18" t="s">
        <v>10</v>
      </c>
      <c r="F131" s="18">
        <v>4</v>
      </c>
      <c r="G131" s="18" t="s">
        <v>10</v>
      </c>
      <c r="H131" s="18" t="s">
        <v>178</v>
      </c>
      <c r="I131" s="18" t="s">
        <v>10</v>
      </c>
      <c r="J131" s="18" t="s">
        <v>146</v>
      </c>
      <c r="K131" s="20"/>
    </row>
    <row r="132" spans="1:11" ht="72.75" thickBot="1">
      <c r="A132" s="18" t="s">
        <v>1955</v>
      </c>
      <c r="B132" s="18">
        <v>20026651945</v>
      </c>
      <c r="C132" s="18" t="s">
        <v>825</v>
      </c>
      <c r="D132" s="19">
        <v>45660.450694444444</v>
      </c>
      <c r="E132" s="18" t="s">
        <v>10</v>
      </c>
      <c r="F132" s="18">
        <v>6</v>
      </c>
      <c r="G132" s="18" t="s">
        <v>10</v>
      </c>
      <c r="H132" s="18" t="s">
        <v>178</v>
      </c>
      <c r="I132" s="18" t="s">
        <v>10</v>
      </c>
      <c r="J132" s="18" t="s">
        <v>146</v>
      </c>
      <c r="K132" s="20"/>
    </row>
    <row r="133" spans="1:11" ht="54.75" thickBot="1">
      <c r="A133" s="18" t="s">
        <v>1956</v>
      </c>
      <c r="B133" s="18">
        <v>20027219195</v>
      </c>
      <c r="C133" s="18" t="s">
        <v>661</v>
      </c>
      <c r="D133" s="19">
        <v>45660.59652777778</v>
      </c>
      <c r="E133" s="18" t="s">
        <v>10</v>
      </c>
      <c r="F133" s="18">
        <v>10</v>
      </c>
      <c r="G133" s="18" t="s">
        <v>10</v>
      </c>
      <c r="H133" s="18" t="s">
        <v>178</v>
      </c>
      <c r="I133" s="18" t="s">
        <v>10</v>
      </c>
      <c r="J133" s="18" t="s">
        <v>146</v>
      </c>
      <c r="K133" s="20"/>
    </row>
    <row r="134" spans="1:11" ht="36.75" thickBot="1">
      <c r="A134" s="18" t="s">
        <v>1957</v>
      </c>
      <c r="B134" s="18">
        <v>20003016975</v>
      </c>
      <c r="C134" s="18" t="s">
        <v>1958</v>
      </c>
      <c r="D134" s="19">
        <v>45662.78402777778</v>
      </c>
      <c r="E134" s="18" t="s">
        <v>10</v>
      </c>
      <c r="F134" s="18">
        <v>10</v>
      </c>
      <c r="G134" s="18" t="s">
        <v>10</v>
      </c>
      <c r="H134" s="18" t="s">
        <v>178</v>
      </c>
      <c r="I134" s="18" t="s">
        <v>10</v>
      </c>
      <c r="J134" s="18" t="s">
        <v>146</v>
      </c>
      <c r="K134" s="20"/>
    </row>
    <row r="135" spans="1:11" ht="36.75" thickBot="1">
      <c r="A135" s="18" t="s">
        <v>1959</v>
      </c>
      <c r="B135" s="18">
        <v>20003475444</v>
      </c>
      <c r="C135" s="18" t="s">
        <v>218</v>
      </c>
      <c r="D135" s="19">
        <v>45663.418749999997</v>
      </c>
      <c r="E135" s="18" t="s">
        <v>10</v>
      </c>
      <c r="F135" s="18">
        <v>20</v>
      </c>
      <c r="G135" s="18" t="s">
        <v>10</v>
      </c>
      <c r="H135" s="18" t="s">
        <v>178</v>
      </c>
      <c r="I135" s="18" t="s">
        <v>10</v>
      </c>
      <c r="J135" s="18" t="s">
        <v>146</v>
      </c>
      <c r="K135" s="20"/>
    </row>
    <row r="136" spans="1:11" ht="36.75" thickBot="1">
      <c r="A136" s="18" t="s">
        <v>1960</v>
      </c>
      <c r="B136" s="18">
        <v>20021751153</v>
      </c>
      <c r="C136" s="18" t="s">
        <v>1961</v>
      </c>
      <c r="D136" s="19">
        <v>45663.442361111112</v>
      </c>
      <c r="E136" s="18" t="s">
        <v>10</v>
      </c>
      <c r="F136" s="18">
        <v>10</v>
      </c>
      <c r="G136" s="18" t="s">
        <v>10</v>
      </c>
      <c r="H136" s="18" t="s">
        <v>178</v>
      </c>
      <c r="I136" s="18" t="s">
        <v>10</v>
      </c>
      <c r="J136" s="18" t="s">
        <v>146</v>
      </c>
      <c r="K136" s="20"/>
    </row>
    <row r="137" spans="1:11" ht="36.75" thickBot="1">
      <c r="A137" s="18" t="s">
        <v>1962</v>
      </c>
      <c r="B137" s="18">
        <v>20025524857</v>
      </c>
      <c r="C137" s="18" t="s">
        <v>1236</v>
      </c>
      <c r="D137" s="19">
        <v>45663.615277777775</v>
      </c>
      <c r="E137" s="18" t="s">
        <v>10</v>
      </c>
      <c r="F137" s="18">
        <v>3.8</v>
      </c>
      <c r="G137" s="18" t="s">
        <v>10</v>
      </c>
      <c r="H137" s="18" t="s">
        <v>178</v>
      </c>
      <c r="I137" s="18" t="s">
        <v>10</v>
      </c>
      <c r="J137" s="18" t="s">
        <v>146</v>
      </c>
      <c r="K137" s="20"/>
    </row>
    <row r="138" spans="1:11" ht="36.75" thickBot="1">
      <c r="A138" s="18" t="s">
        <v>1963</v>
      </c>
      <c r="B138" s="18">
        <v>20003273628</v>
      </c>
      <c r="C138" s="18" t="s">
        <v>1964</v>
      </c>
      <c r="D138" s="19">
        <v>45663.693749999999</v>
      </c>
      <c r="E138" s="18" t="s">
        <v>10</v>
      </c>
      <c r="F138" s="18">
        <v>4</v>
      </c>
      <c r="G138" s="18" t="s">
        <v>10</v>
      </c>
      <c r="H138" s="18" t="s">
        <v>178</v>
      </c>
      <c r="I138" s="18" t="s">
        <v>10</v>
      </c>
      <c r="J138" s="18" t="s">
        <v>146</v>
      </c>
      <c r="K138" s="20"/>
    </row>
    <row r="139" spans="1:11" ht="36.75" thickBot="1">
      <c r="A139" s="18" t="s">
        <v>1965</v>
      </c>
      <c r="B139" s="18">
        <v>20016783499</v>
      </c>
      <c r="C139" s="18" t="s">
        <v>1234</v>
      </c>
      <c r="D139" s="19">
        <v>45664.36041666667</v>
      </c>
      <c r="E139" s="18" t="s">
        <v>10</v>
      </c>
      <c r="F139" s="18">
        <v>5</v>
      </c>
      <c r="G139" s="18" t="s">
        <v>10</v>
      </c>
      <c r="H139" s="18" t="s">
        <v>178</v>
      </c>
      <c r="I139" s="18" t="s">
        <v>10</v>
      </c>
      <c r="J139" s="18" t="s">
        <v>146</v>
      </c>
      <c r="K139" s="20"/>
    </row>
    <row r="140" spans="1:11" ht="36.75" thickBot="1">
      <c r="A140" s="18" t="s">
        <v>1967</v>
      </c>
      <c r="B140" s="18">
        <v>20020662389</v>
      </c>
      <c r="C140" s="18" t="s">
        <v>1230</v>
      </c>
      <c r="D140" s="19">
        <v>45664.461805555555</v>
      </c>
      <c r="E140" s="18" t="s">
        <v>10</v>
      </c>
      <c r="F140" s="18">
        <v>6</v>
      </c>
      <c r="G140" s="18" t="s">
        <v>10</v>
      </c>
      <c r="H140" s="18" t="s">
        <v>178</v>
      </c>
      <c r="I140" s="18" t="s">
        <v>10</v>
      </c>
      <c r="J140" s="18" t="s">
        <v>146</v>
      </c>
      <c r="K140" s="20"/>
    </row>
    <row r="141" spans="1:11" ht="36.75" thickBot="1">
      <c r="A141" s="18" t="s">
        <v>1968</v>
      </c>
      <c r="B141" s="18">
        <v>20003075855</v>
      </c>
      <c r="C141" s="18" t="s">
        <v>1969</v>
      </c>
      <c r="D141" s="19">
        <v>45664.663194444445</v>
      </c>
      <c r="E141" s="18" t="s">
        <v>10</v>
      </c>
      <c r="F141" s="18">
        <v>5</v>
      </c>
      <c r="G141" s="18" t="s">
        <v>10</v>
      </c>
      <c r="H141" s="18" t="s">
        <v>178</v>
      </c>
      <c r="I141" s="18" t="s">
        <v>10</v>
      </c>
      <c r="J141" s="18" t="s">
        <v>146</v>
      </c>
      <c r="K141" s="20"/>
    </row>
    <row r="142" spans="1:11" ht="36.75" thickBot="1">
      <c r="A142" s="18" t="s">
        <v>1970</v>
      </c>
      <c r="B142" s="18">
        <v>20025524855</v>
      </c>
      <c r="C142" s="18" t="s">
        <v>1971</v>
      </c>
      <c r="D142" s="19">
        <v>45666.681250000001</v>
      </c>
      <c r="E142" s="18" t="s">
        <v>10</v>
      </c>
      <c r="F142" s="18">
        <v>15</v>
      </c>
      <c r="G142" s="18" t="s">
        <v>10</v>
      </c>
      <c r="H142" s="18" t="s">
        <v>178</v>
      </c>
      <c r="I142" s="18" t="s">
        <v>10</v>
      </c>
      <c r="J142" s="18" t="s">
        <v>146</v>
      </c>
      <c r="K142" s="20"/>
    </row>
    <row r="143" spans="1:11" ht="54.75" thickBot="1">
      <c r="A143" s="18" t="s">
        <v>1972</v>
      </c>
      <c r="B143" s="18">
        <v>20003020608</v>
      </c>
      <c r="C143" s="18" t="s">
        <v>1913</v>
      </c>
      <c r="D143" s="19">
        <v>45670.676388888889</v>
      </c>
      <c r="E143" s="18" t="s">
        <v>10</v>
      </c>
      <c r="F143" s="18">
        <v>20</v>
      </c>
      <c r="G143" s="18" t="s">
        <v>10</v>
      </c>
      <c r="H143" s="18" t="s">
        <v>178</v>
      </c>
      <c r="I143" s="18" t="s">
        <v>10</v>
      </c>
      <c r="J143" s="18" t="s">
        <v>146</v>
      </c>
      <c r="K143" s="20"/>
    </row>
    <row r="144" spans="1:11" ht="36.75" thickBot="1">
      <c r="A144" s="18" t="s">
        <v>1973</v>
      </c>
      <c r="B144" s="18">
        <v>20027289331</v>
      </c>
      <c r="C144" s="18" t="s">
        <v>1974</v>
      </c>
      <c r="D144" s="19">
        <v>45670.728472222225</v>
      </c>
      <c r="E144" s="18" t="s">
        <v>10</v>
      </c>
      <c r="F144" s="18">
        <v>5</v>
      </c>
      <c r="G144" s="18" t="s">
        <v>10</v>
      </c>
      <c r="H144" s="18" t="s">
        <v>178</v>
      </c>
      <c r="I144" s="18" t="s">
        <v>10</v>
      </c>
      <c r="J144" s="18" t="s">
        <v>146</v>
      </c>
      <c r="K144" s="20"/>
    </row>
    <row r="145" spans="1:11" ht="36.75" thickBot="1">
      <c r="A145" s="18" t="s">
        <v>1975</v>
      </c>
      <c r="B145" s="18">
        <v>20027598412</v>
      </c>
      <c r="C145" s="18" t="s">
        <v>1648</v>
      </c>
      <c r="D145" s="19">
        <v>45671.434027777781</v>
      </c>
      <c r="E145" s="18" t="s">
        <v>10</v>
      </c>
      <c r="F145" s="18">
        <v>4</v>
      </c>
      <c r="G145" s="18" t="s">
        <v>10</v>
      </c>
      <c r="H145" s="18" t="s">
        <v>178</v>
      </c>
      <c r="I145" s="18" t="s">
        <v>10</v>
      </c>
      <c r="J145" s="18" t="s">
        <v>146</v>
      </c>
      <c r="K145" s="20"/>
    </row>
    <row r="146" spans="1:11" ht="72.75" thickBot="1">
      <c r="A146" s="18" t="s">
        <v>1626</v>
      </c>
      <c r="B146" s="18">
        <v>20023975157</v>
      </c>
      <c r="C146" s="18" t="s">
        <v>1232</v>
      </c>
      <c r="D146" s="19">
        <v>45602.695833333331</v>
      </c>
      <c r="E146" s="19">
        <v>45671.457638888889</v>
      </c>
      <c r="F146" s="18">
        <v>10</v>
      </c>
      <c r="G146" s="18" t="s">
        <v>10</v>
      </c>
      <c r="H146" s="18" t="s">
        <v>178</v>
      </c>
      <c r="I146" s="18" t="s">
        <v>10</v>
      </c>
      <c r="J146" s="18" t="s">
        <v>146</v>
      </c>
      <c r="K146" s="20"/>
    </row>
    <row r="147" spans="1:11" ht="72.75" thickBot="1">
      <c r="A147" s="18" t="s">
        <v>1323</v>
      </c>
      <c r="B147" s="18">
        <v>20023032458</v>
      </c>
      <c r="C147" s="18" t="s">
        <v>257</v>
      </c>
      <c r="D147" s="19">
        <v>45580.46597222222</v>
      </c>
      <c r="E147" s="19">
        <v>45671.706944444442</v>
      </c>
      <c r="F147" s="18">
        <v>20</v>
      </c>
      <c r="G147" s="18" t="s">
        <v>10</v>
      </c>
      <c r="H147" s="18" t="s">
        <v>178</v>
      </c>
      <c r="I147" s="18" t="s">
        <v>10</v>
      </c>
      <c r="J147" s="18" t="s">
        <v>146</v>
      </c>
      <c r="K147" s="20"/>
    </row>
    <row r="148" spans="1:11" ht="72.75" thickBot="1">
      <c r="A148" s="18" t="s">
        <v>1976</v>
      </c>
      <c r="B148" s="18">
        <v>20016749843</v>
      </c>
      <c r="C148" s="18" t="s">
        <v>1645</v>
      </c>
      <c r="D148" s="19">
        <v>45672.445138888892</v>
      </c>
      <c r="E148" s="18" t="s">
        <v>10</v>
      </c>
      <c r="F148" s="18">
        <v>5</v>
      </c>
      <c r="G148" s="18" t="s">
        <v>10</v>
      </c>
      <c r="H148" s="18" t="s">
        <v>178</v>
      </c>
      <c r="I148" s="18" t="s">
        <v>10</v>
      </c>
      <c r="J148" s="18" t="s">
        <v>146</v>
      </c>
      <c r="K148" s="20"/>
    </row>
    <row r="149" spans="1:11" ht="36.75" thickBot="1">
      <c r="A149" s="18" t="s">
        <v>1977</v>
      </c>
      <c r="B149" s="18">
        <v>20025659210</v>
      </c>
      <c r="C149" s="18" t="s">
        <v>755</v>
      </c>
      <c r="D149" s="19">
        <v>45672.484722222223</v>
      </c>
      <c r="E149" s="18" t="s">
        <v>10</v>
      </c>
      <c r="F149" s="18">
        <v>2</v>
      </c>
      <c r="G149" s="18" t="s">
        <v>10</v>
      </c>
      <c r="H149" s="18" t="s">
        <v>178</v>
      </c>
      <c r="I149" s="18" t="s">
        <v>10</v>
      </c>
      <c r="J149" s="18" t="s">
        <v>146</v>
      </c>
      <c r="K149" s="20"/>
    </row>
    <row r="150" spans="1:11" ht="72.75" thickBot="1">
      <c r="A150" s="18" t="s">
        <v>2042</v>
      </c>
      <c r="B150" s="18">
        <v>20026651945</v>
      </c>
      <c r="C150" s="18" t="s">
        <v>825</v>
      </c>
      <c r="D150" s="19">
        <v>45673.411805555559</v>
      </c>
      <c r="E150" s="18" t="s">
        <v>10</v>
      </c>
      <c r="F150" s="18">
        <v>6</v>
      </c>
      <c r="G150" s="18" t="s">
        <v>10</v>
      </c>
      <c r="H150" s="18" t="s">
        <v>178</v>
      </c>
      <c r="I150" s="18" t="s">
        <v>10</v>
      </c>
      <c r="J150" s="18" t="s">
        <v>146</v>
      </c>
      <c r="K150" s="20"/>
    </row>
    <row r="151" spans="1:11" ht="36.75" thickBot="1">
      <c r="A151" s="18" t="s">
        <v>2043</v>
      </c>
      <c r="B151" s="18">
        <v>20003475444</v>
      </c>
      <c r="C151" s="18" t="s">
        <v>218</v>
      </c>
      <c r="D151" s="19">
        <v>45673.614583333336</v>
      </c>
      <c r="E151" s="18" t="s">
        <v>10</v>
      </c>
      <c r="F151" s="18">
        <v>20</v>
      </c>
      <c r="G151" s="18" t="s">
        <v>10</v>
      </c>
      <c r="H151" s="18" t="s">
        <v>178</v>
      </c>
      <c r="I151" s="18" t="s">
        <v>10</v>
      </c>
      <c r="J151" s="18" t="s">
        <v>146</v>
      </c>
      <c r="K151" s="20"/>
    </row>
    <row r="152" spans="1:11" ht="36.75" thickBot="1">
      <c r="A152" s="18" t="s">
        <v>2044</v>
      </c>
      <c r="B152" s="18">
        <v>20025524857</v>
      </c>
      <c r="C152" s="18" t="s">
        <v>1236</v>
      </c>
      <c r="D152" s="19">
        <v>45674.645833333336</v>
      </c>
      <c r="E152" s="18" t="s">
        <v>10</v>
      </c>
      <c r="F152" s="18">
        <v>3.8</v>
      </c>
      <c r="G152" s="18" t="s">
        <v>10</v>
      </c>
      <c r="H152" s="18" t="s">
        <v>178</v>
      </c>
      <c r="I152" s="18" t="s">
        <v>10</v>
      </c>
      <c r="J152" s="18" t="s">
        <v>146</v>
      </c>
      <c r="K152" s="20"/>
    </row>
    <row r="153" spans="1:11" ht="36.75" thickBot="1">
      <c r="A153" s="18" t="s">
        <v>2045</v>
      </c>
      <c r="B153" s="18">
        <v>20027480672</v>
      </c>
      <c r="C153" s="18" t="s">
        <v>1969</v>
      </c>
      <c r="D153" s="19">
        <v>45678.584027777775</v>
      </c>
      <c r="E153" s="18" t="s">
        <v>10</v>
      </c>
      <c r="F153" s="18">
        <v>5</v>
      </c>
      <c r="G153" s="18" t="s">
        <v>10</v>
      </c>
      <c r="H153" s="18" t="s">
        <v>178</v>
      </c>
      <c r="I153" s="18" t="s">
        <v>10</v>
      </c>
      <c r="J153" s="18" t="s">
        <v>146</v>
      </c>
      <c r="K153" s="20"/>
    </row>
    <row r="154" spans="1:11" ht="36.75" thickBot="1">
      <c r="A154" s="18" t="s">
        <v>2046</v>
      </c>
      <c r="B154" s="18">
        <v>20025524855</v>
      </c>
      <c r="C154" s="18" t="s">
        <v>1971</v>
      </c>
      <c r="D154" s="19">
        <v>45678.666666666664</v>
      </c>
      <c r="E154" s="18" t="s">
        <v>10</v>
      </c>
      <c r="F154" s="18">
        <v>15</v>
      </c>
      <c r="G154" s="18" t="s">
        <v>10</v>
      </c>
      <c r="H154" s="18" t="s">
        <v>178</v>
      </c>
      <c r="I154" s="18" t="s">
        <v>10</v>
      </c>
      <c r="J154" s="18" t="s">
        <v>146</v>
      </c>
      <c r="K154" s="20"/>
    </row>
    <row r="155" spans="1:11" ht="36.75" thickBot="1">
      <c r="A155" s="18" t="s">
        <v>2047</v>
      </c>
      <c r="B155" s="18">
        <v>20016783499</v>
      </c>
      <c r="C155" s="18" t="s">
        <v>1234</v>
      </c>
      <c r="D155" s="19">
        <v>45681.459722222222</v>
      </c>
      <c r="E155" s="18" t="s">
        <v>10</v>
      </c>
      <c r="F155" s="18">
        <v>5</v>
      </c>
      <c r="G155" s="18" t="s">
        <v>10</v>
      </c>
      <c r="H155" s="18" t="s">
        <v>178</v>
      </c>
      <c r="I155" s="18" t="s">
        <v>10</v>
      </c>
      <c r="J155" s="18" t="s">
        <v>146</v>
      </c>
      <c r="K155" s="20"/>
    </row>
    <row r="156" spans="1:11" ht="36.75" thickBot="1">
      <c r="A156" s="18" t="s">
        <v>1636</v>
      </c>
      <c r="B156" s="18">
        <v>20002930790</v>
      </c>
      <c r="C156" s="18" t="s">
        <v>1097</v>
      </c>
      <c r="D156" s="19">
        <v>45608.686805555553</v>
      </c>
      <c r="E156" s="19">
        <v>45685.405555555553</v>
      </c>
      <c r="F156" s="18">
        <v>3</v>
      </c>
      <c r="G156" s="18" t="s">
        <v>10</v>
      </c>
      <c r="H156" s="18" t="s">
        <v>178</v>
      </c>
      <c r="I156" s="18" t="s">
        <v>10</v>
      </c>
      <c r="J156" s="18" t="s">
        <v>146</v>
      </c>
      <c r="K156" s="20"/>
    </row>
    <row r="157" spans="1:11" ht="36.75" thickBot="1">
      <c r="A157" s="18" t="s">
        <v>1434</v>
      </c>
      <c r="B157" s="18">
        <v>20025217686</v>
      </c>
      <c r="C157" s="18" t="s">
        <v>1435</v>
      </c>
      <c r="D157" s="19">
        <v>45589.71875</v>
      </c>
      <c r="E157" s="19">
        <v>45688.512499999997</v>
      </c>
      <c r="F157" s="18">
        <v>4</v>
      </c>
      <c r="G157" s="19">
        <v>45708.606249999997</v>
      </c>
      <c r="H157" s="18" t="s">
        <v>236</v>
      </c>
      <c r="I157" s="18" t="s">
        <v>10</v>
      </c>
      <c r="J157" s="18" t="s">
        <v>146</v>
      </c>
      <c r="K157" s="20"/>
    </row>
    <row r="158" spans="1:11" ht="36.75" thickBot="1">
      <c r="A158" s="18" t="s">
        <v>2135</v>
      </c>
      <c r="B158" s="18">
        <v>20003016975</v>
      </c>
      <c r="C158" s="18" t="s">
        <v>1958</v>
      </c>
      <c r="D158" s="19">
        <v>45691.751388888886</v>
      </c>
      <c r="E158" s="18" t="s">
        <v>10</v>
      </c>
      <c r="F158" s="18">
        <v>10</v>
      </c>
      <c r="G158" s="18" t="s">
        <v>10</v>
      </c>
      <c r="H158" s="18" t="s">
        <v>178</v>
      </c>
      <c r="I158" s="18" t="s">
        <v>10</v>
      </c>
      <c r="J158" s="18" t="s">
        <v>146</v>
      </c>
      <c r="K158" s="20"/>
    </row>
    <row r="159" spans="1:11" ht="36.75" thickBot="1">
      <c r="A159" s="18" t="s">
        <v>2136</v>
      </c>
      <c r="B159" s="18">
        <v>20003475444</v>
      </c>
      <c r="C159" s="18" t="s">
        <v>218</v>
      </c>
      <c r="D159" s="19">
        <v>45692.42291666667</v>
      </c>
      <c r="E159" s="18" t="s">
        <v>10</v>
      </c>
      <c r="F159" s="18">
        <v>20</v>
      </c>
      <c r="G159" s="18" t="s">
        <v>10</v>
      </c>
      <c r="H159" s="18" t="s">
        <v>178</v>
      </c>
      <c r="I159" s="18" t="s">
        <v>10</v>
      </c>
      <c r="J159" s="18" t="s">
        <v>146</v>
      </c>
      <c r="K159" s="20"/>
    </row>
    <row r="160" spans="1:11" ht="36.75" thickBot="1">
      <c r="A160" s="18" t="s">
        <v>2137</v>
      </c>
      <c r="B160" s="18">
        <v>20020662389</v>
      </c>
      <c r="C160" s="18" t="s">
        <v>1230</v>
      </c>
      <c r="D160" s="19">
        <v>45692.62222222222</v>
      </c>
      <c r="E160" s="18" t="s">
        <v>10</v>
      </c>
      <c r="F160" s="18">
        <v>6</v>
      </c>
      <c r="G160" s="18" t="s">
        <v>10</v>
      </c>
      <c r="H160" s="18" t="s">
        <v>178</v>
      </c>
      <c r="I160" s="18" t="s">
        <v>10</v>
      </c>
      <c r="J160" s="18" t="s">
        <v>146</v>
      </c>
      <c r="K160" s="20"/>
    </row>
    <row r="161" spans="1:11" ht="36.75" thickBot="1">
      <c r="A161" s="18" t="s">
        <v>2138</v>
      </c>
      <c r="B161" s="18">
        <v>20027289331</v>
      </c>
      <c r="C161" s="18" t="s">
        <v>1974</v>
      </c>
      <c r="D161" s="19">
        <v>45693.50277777778</v>
      </c>
      <c r="E161" s="18" t="s">
        <v>10</v>
      </c>
      <c r="F161" s="18">
        <v>5</v>
      </c>
      <c r="G161" s="18" t="s">
        <v>10</v>
      </c>
      <c r="H161" s="18" t="s">
        <v>178</v>
      </c>
      <c r="I161" s="18" t="s">
        <v>10</v>
      </c>
      <c r="J161" s="18" t="s">
        <v>146</v>
      </c>
      <c r="K161" s="20"/>
    </row>
    <row r="162" spans="1:11" ht="36.75" thickBot="1">
      <c r="A162" s="18" t="s">
        <v>2139</v>
      </c>
      <c r="B162" s="18">
        <v>20003273628</v>
      </c>
      <c r="C162" s="18" t="s">
        <v>1964</v>
      </c>
      <c r="D162" s="19">
        <v>45694.412499999999</v>
      </c>
      <c r="E162" s="18" t="s">
        <v>10</v>
      </c>
      <c r="F162" s="18">
        <v>4</v>
      </c>
      <c r="G162" s="18" t="s">
        <v>10</v>
      </c>
      <c r="H162" s="18" t="s">
        <v>178</v>
      </c>
      <c r="I162" s="18" t="s">
        <v>10</v>
      </c>
      <c r="J162" s="18" t="s">
        <v>146</v>
      </c>
      <c r="K162" s="20"/>
    </row>
    <row r="163" spans="1:11" ht="36.75" thickBot="1">
      <c r="A163" s="18" t="s">
        <v>2141</v>
      </c>
      <c r="B163" s="18">
        <v>20025659210</v>
      </c>
      <c r="C163" s="18" t="s">
        <v>755</v>
      </c>
      <c r="D163" s="19">
        <v>45695.392361111109</v>
      </c>
      <c r="E163" s="18" t="s">
        <v>10</v>
      </c>
      <c r="F163" s="18">
        <v>2</v>
      </c>
      <c r="G163" s="18" t="s">
        <v>10</v>
      </c>
      <c r="H163" s="18" t="s">
        <v>178</v>
      </c>
      <c r="I163" s="18" t="s">
        <v>10</v>
      </c>
      <c r="J163" s="18" t="s">
        <v>146</v>
      </c>
      <c r="K163" s="20"/>
    </row>
    <row r="164" spans="1:11" ht="72.75" thickBot="1">
      <c r="A164" s="18" t="s">
        <v>2142</v>
      </c>
      <c r="B164" s="18">
        <v>20016749843</v>
      </c>
      <c r="C164" s="18" t="s">
        <v>1645</v>
      </c>
      <c r="D164" s="19">
        <v>45698.481249999997</v>
      </c>
      <c r="E164" s="18" t="s">
        <v>10</v>
      </c>
      <c r="F164" s="18">
        <v>5</v>
      </c>
      <c r="G164" s="18" t="s">
        <v>10</v>
      </c>
      <c r="H164" s="18" t="s">
        <v>178</v>
      </c>
      <c r="I164" s="18" t="s">
        <v>10</v>
      </c>
      <c r="J164" s="18" t="s">
        <v>146</v>
      </c>
      <c r="K164" s="20"/>
    </row>
    <row r="165" spans="1:11" ht="36.75" thickBot="1">
      <c r="A165" s="18" t="s">
        <v>2146</v>
      </c>
      <c r="B165" s="18">
        <v>20024807981</v>
      </c>
      <c r="C165" s="18" t="s">
        <v>2147</v>
      </c>
      <c r="D165" s="19">
        <v>45702.613888888889</v>
      </c>
      <c r="E165" s="18" t="s">
        <v>10</v>
      </c>
      <c r="F165" s="18">
        <v>5</v>
      </c>
      <c r="G165" s="18" t="s">
        <v>10</v>
      </c>
      <c r="H165" s="18" t="s">
        <v>178</v>
      </c>
      <c r="I165" s="18" t="s">
        <v>10</v>
      </c>
      <c r="J165" s="18" t="s">
        <v>146</v>
      </c>
      <c r="K165" s="20"/>
    </row>
    <row r="166" spans="1:11" ht="36.75" thickBot="1">
      <c r="A166" s="18" t="s">
        <v>2148</v>
      </c>
      <c r="B166" s="18">
        <v>20017119140</v>
      </c>
      <c r="C166" s="18" t="s">
        <v>2149</v>
      </c>
      <c r="D166" s="19">
        <v>45703.606944444444</v>
      </c>
      <c r="E166" s="18" t="s">
        <v>10</v>
      </c>
      <c r="F166" s="18">
        <v>6</v>
      </c>
      <c r="G166" s="18" t="s">
        <v>10</v>
      </c>
      <c r="H166" s="18" t="s">
        <v>178</v>
      </c>
      <c r="I166" s="18" t="s">
        <v>10</v>
      </c>
      <c r="J166" s="18" t="s">
        <v>146</v>
      </c>
      <c r="K166" s="20"/>
    </row>
    <row r="167" spans="1:11" ht="36.75" thickBot="1">
      <c r="A167" s="18" t="s">
        <v>2150</v>
      </c>
      <c r="B167" s="18">
        <v>20026417447</v>
      </c>
      <c r="C167" s="18" t="s">
        <v>2151</v>
      </c>
      <c r="D167" s="19">
        <v>45705.427777777775</v>
      </c>
      <c r="E167" s="18" t="s">
        <v>10</v>
      </c>
      <c r="F167" s="18">
        <v>10</v>
      </c>
      <c r="G167" s="18" t="s">
        <v>10</v>
      </c>
      <c r="H167" s="18" t="s">
        <v>178</v>
      </c>
      <c r="I167" s="18" t="s">
        <v>10</v>
      </c>
      <c r="J167" s="18" t="s">
        <v>146</v>
      </c>
      <c r="K167" s="20"/>
    </row>
    <row r="168" spans="1:11" ht="36.75" thickBot="1">
      <c r="A168" s="18" t="s">
        <v>2229</v>
      </c>
      <c r="B168" s="18">
        <v>20016783499</v>
      </c>
      <c r="C168" s="18" t="s">
        <v>1234</v>
      </c>
      <c r="D168" s="19">
        <v>45705.477083333331</v>
      </c>
      <c r="E168" s="18" t="s">
        <v>10</v>
      </c>
      <c r="F168" s="18">
        <v>5</v>
      </c>
      <c r="G168" s="18" t="s">
        <v>10</v>
      </c>
      <c r="H168" s="18" t="s">
        <v>178</v>
      </c>
      <c r="I168" s="18" t="s">
        <v>10</v>
      </c>
      <c r="J168" s="18" t="s">
        <v>146</v>
      </c>
      <c r="K168" s="20"/>
    </row>
    <row r="169" spans="1:11" ht="36.75" thickBot="1">
      <c r="A169" s="18" t="s">
        <v>2230</v>
      </c>
      <c r="B169" s="18">
        <v>20020662389</v>
      </c>
      <c r="C169" s="18" t="s">
        <v>1230</v>
      </c>
      <c r="D169" s="19">
        <v>45709.46875</v>
      </c>
      <c r="E169" s="18" t="s">
        <v>10</v>
      </c>
      <c r="F169" s="18">
        <v>6</v>
      </c>
      <c r="G169" s="18" t="s">
        <v>10</v>
      </c>
      <c r="H169" s="18" t="s">
        <v>178</v>
      </c>
      <c r="I169" s="18" t="s">
        <v>10</v>
      </c>
      <c r="J169" s="18" t="s">
        <v>146</v>
      </c>
      <c r="K169" s="20"/>
    </row>
    <row r="170" spans="1:11" ht="54.75" thickBot="1">
      <c r="A170" s="18" t="s">
        <v>2231</v>
      </c>
      <c r="B170" s="18">
        <v>20023975157</v>
      </c>
      <c r="C170" s="18" t="s">
        <v>2232</v>
      </c>
      <c r="D170" s="19">
        <v>45709.666666666664</v>
      </c>
      <c r="E170" s="18" t="s">
        <v>10</v>
      </c>
      <c r="F170" s="18">
        <v>10</v>
      </c>
      <c r="G170" s="18" t="s">
        <v>10</v>
      </c>
      <c r="H170" s="18" t="s">
        <v>178</v>
      </c>
      <c r="I170" s="18" t="s">
        <v>10</v>
      </c>
      <c r="J170" s="18" t="s">
        <v>146</v>
      </c>
      <c r="K170" s="20"/>
    </row>
    <row r="171" spans="1:11" ht="72.75" thickBot="1">
      <c r="A171" s="18" t="s">
        <v>2233</v>
      </c>
      <c r="B171" s="18">
        <v>20023975157</v>
      </c>
      <c r="C171" s="18" t="s">
        <v>1232</v>
      </c>
      <c r="D171" s="19">
        <v>45709.672222222223</v>
      </c>
      <c r="E171" s="18" t="s">
        <v>10</v>
      </c>
      <c r="F171" s="18">
        <v>10</v>
      </c>
      <c r="G171" s="18" t="s">
        <v>10</v>
      </c>
      <c r="H171" s="18" t="s">
        <v>178</v>
      </c>
      <c r="I171" s="18" t="s">
        <v>10</v>
      </c>
      <c r="J171" s="18" t="s">
        <v>146</v>
      </c>
      <c r="K171" s="20"/>
    </row>
    <row r="172" spans="1:11" ht="36.75" thickBot="1">
      <c r="A172" s="18" t="s">
        <v>2234</v>
      </c>
      <c r="B172" s="18">
        <v>20025659210</v>
      </c>
      <c r="C172" s="18" t="s">
        <v>755</v>
      </c>
      <c r="D172" s="19">
        <v>45714.45</v>
      </c>
      <c r="E172" s="18" t="s">
        <v>10</v>
      </c>
      <c r="F172" s="18">
        <v>2</v>
      </c>
      <c r="G172" s="18" t="s">
        <v>10</v>
      </c>
      <c r="H172" s="18" t="s">
        <v>178</v>
      </c>
      <c r="I172" s="18" t="s">
        <v>10</v>
      </c>
      <c r="J172" s="18" t="s">
        <v>146</v>
      </c>
      <c r="K172" s="20"/>
    </row>
    <row r="173" spans="1:11" ht="36.75" thickBot="1">
      <c r="A173" s="18" t="s">
        <v>2235</v>
      </c>
      <c r="B173" s="18">
        <v>20027275649</v>
      </c>
      <c r="C173" s="18" t="s">
        <v>1239</v>
      </c>
      <c r="D173" s="19">
        <v>45719.447916666664</v>
      </c>
      <c r="E173" s="18" t="s">
        <v>10</v>
      </c>
      <c r="F173" s="18">
        <v>5</v>
      </c>
      <c r="G173" s="18" t="s">
        <v>10</v>
      </c>
      <c r="H173" s="18" t="s">
        <v>178</v>
      </c>
      <c r="I173" s="18" t="s">
        <v>10</v>
      </c>
      <c r="J173" s="18" t="s">
        <v>146</v>
      </c>
      <c r="K173" s="20"/>
    </row>
    <row r="174" spans="1:11" ht="72.75" thickBot="1">
      <c r="A174" s="18" t="s">
        <v>2236</v>
      </c>
      <c r="B174" s="18">
        <v>20023032458</v>
      </c>
      <c r="C174" s="18" t="s">
        <v>257</v>
      </c>
      <c r="D174" s="19">
        <v>45719.488888888889</v>
      </c>
      <c r="E174" s="18" t="s">
        <v>10</v>
      </c>
      <c r="F174" s="18">
        <v>20</v>
      </c>
      <c r="G174" s="18" t="s">
        <v>10</v>
      </c>
      <c r="H174" s="18" t="s">
        <v>178</v>
      </c>
      <c r="I174" s="18" t="s">
        <v>10</v>
      </c>
      <c r="J174" s="18" t="s">
        <v>146</v>
      </c>
      <c r="K174" s="20"/>
    </row>
    <row r="175" spans="1:11" ht="36.75" thickBot="1">
      <c r="A175" s="18" t="s">
        <v>2325</v>
      </c>
      <c r="B175" s="18">
        <v>20027289331</v>
      </c>
      <c r="C175" s="18" t="s">
        <v>2326</v>
      </c>
      <c r="D175" s="19">
        <v>45720.470833333333</v>
      </c>
      <c r="E175" s="18" t="s">
        <v>10</v>
      </c>
      <c r="F175" s="18">
        <v>5</v>
      </c>
      <c r="G175" s="18" t="s">
        <v>10</v>
      </c>
      <c r="H175" s="18" t="s">
        <v>178</v>
      </c>
      <c r="I175" s="18" t="s">
        <v>10</v>
      </c>
      <c r="J175" s="18" t="s">
        <v>146</v>
      </c>
      <c r="K175" s="20"/>
    </row>
    <row r="176" spans="1:11" ht="36.75" thickBot="1">
      <c r="A176" s="18" t="s">
        <v>2327</v>
      </c>
      <c r="B176" s="18">
        <v>20022934696</v>
      </c>
      <c r="C176" s="18" t="s">
        <v>215</v>
      </c>
      <c r="D176" s="19">
        <v>45721.43472222222</v>
      </c>
      <c r="E176" s="18" t="s">
        <v>10</v>
      </c>
      <c r="F176" s="18">
        <v>20</v>
      </c>
      <c r="G176" s="18" t="s">
        <v>10</v>
      </c>
      <c r="H176" s="18" t="s">
        <v>178</v>
      </c>
      <c r="I176" s="18" t="s">
        <v>10</v>
      </c>
      <c r="J176" s="18" t="s">
        <v>146</v>
      </c>
      <c r="K176" s="20"/>
    </row>
    <row r="177" spans="1:11" ht="54.75" thickBot="1">
      <c r="A177" s="18" t="s">
        <v>2145</v>
      </c>
      <c r="B177" s="18">
        <v>20003020608</v>
      </c>
      <c r="C177" s="18" t="s">
        <v>1913</v>
      </c>
      <c r="D177" s="19">
        <v>45688.447222222225</v>
      </c>
      <c r="E177" s="19">
        <v>45721.515972222223</v>
      </c>
      <c r="F177" s="18">
        <v>20</v>
      </c>
      <c r="G177" s="19">
        <v>45730.606944444444</v>
      </c>
      <c r="H177" s="18" t="s">
        <v>236</v>
      </c>
      <c r="I177" s="18" t="s">
        <v>10</v>
      </c>
      <c r="J177" s="18" t="s">
        <v>146</v>
      </c>
      <c r="K177" s="20"/>
    </row>
    <row r="178" spans="1:11" ht="36.75" thickBot="1">
      <c r="A178" s="18" t="s">
        <v>2330</v>
      </c>
      <c r="B178" s="18">
        <v>20027598412</v>
      </c>
      <c r="C178" s="18" t="s">
        <v>2331</v>
      </c>
      <c r="D178" s="19">
        <v>45726.63958333333</v>
      </c>
      <c r="E178" s="18" t="s">
        <v>10</v>
      </c>
      <c r="F178" s="18">
        <v>4</v>
      </c>
      <c r="G178" s="18" t="s">
        <v>10</v>
      </c>
      <c r="H178" s="18" t="s">
        <v>178</v>
      </c>
      <c r="I178" s="18" t="s">
        <v>10</v>
      </c>
      <c r="J178" s="18" t="s">
        <v>146</v>
      </c>
      <c r="K178" s="20"/>
    </row>
    <row r="179" spans="1:11" ht="36.75" thickBot="1">
      <c r="A179" s="18" t="s">
        <v>2332</v>
      </c>
      <c r="B179" s="18">
        <v>20003016975</v>
      </c>
      <c r="C179" s="18" t="s">
        <v>1958</v>
      </c>
      <c r="D179" s="19">
        <v>45726.790277777778</v>
      </c>
      <c r="E179" s="18" t="s">
        <v>10</v>
      </c>
      <c r="F179" s="18">
        <v>10</v>
      </c>
      <c r="G179" s="18" t="s">
        <v>10</v>
      </c>
      <c r="H179" s="18" t="s">
        <v>178</v>
      </c>
      <c r="I179" s="18" t="s">
        <v>10</v>
      </c>
      <c r="J179" s="18" t="s">
        <v>146</v>
      </c>
      <c r="K179" s="20"/>
    </row>
    <row r="180" spans="1:11" ht="36.75" thickBot="1">
      <c r="A180" s="18" t="s">
        <v>2333</v>
      </c>
      <c r="B180" s="18">
        <v>20020662389</v>
      </c>
      <c r="C180" s="18" t="s">
        <v>1230</v>
      </c>
      <c r="D180" s="19">
        <v>45727.456944444442</v>
      </c>
      <c r="E180" s="18" t="s">
        <v>10</v>
      </c>
      <c r="F180" s="18">
        <v>6</v>
      </c>
      <c r="G180" s="18" t="s">
        <v>10</v>
      </c>
      <c r="H180" s="18" t="s">
        <v>178</v>
      </c>
      <c r="I180" s="18" t="s">
        <v>10</v>
      </c>
      <c r="J180" s="18" t="s">
        <v>146</v>
      </c>
      <c r="K180" s="20"/>
    </row>
    <row r="181" spans="1:11" ht="36.75" thickBot="1">
      <c r="A181" s="18" t="s">
        <v>2143</v>
      </c>
      <c r="B181" s="18">
        <v>20025524855</v>
      </c>
      <c r="C181" s="18" t="s">
        <v>2144</v>
      </c>
      <c r="D181" s="19">
        <v>45699.432638888888</v>
      </c>
      <c r="E181" s="19">
        <v>45728.54791666667</v>
      </c>
      <c r="F181" s="18">
        <v>15</v>
      </c>
      <c r="G181" s="19">
        <v>45756.50277777778</v>
      </c>
      <c r="H181" s="18" t="s">
        <v>236</v>
      </c>
      <c r="I181" s="18" t="s">
        <v>10</v>
      </c>
      <c r="J181" s="18" t="s">
        <v>146</v>
      </c>
      <c r="K181" s="20"/>
    </row>
    <row r="182" spans="1:11" ht="90.75" thickBot="1">
      <c r="A182" s="18" t="s">
        <v>2336</v>
      </c>
      <c r="B182" s="18">
        <v>20026972652</v>
      </c>
      <c r="C182" s="18" t="s">
        <v>897</v>
      </c>
      <c r="D182" s="19">
        <v>45728.652083333334</v>
      </c>
      <c r="E182" s="18" t="s">
        <v>10</v>
      </c>
      <c r="F182" s="18">
        <v>5</v>
      </c>
      <c r="G182" s="18" t="s">
        <v>10</v>
      </c>
      <c r="H182" s="18" t="s">
        <v>178</v>
      </c>
      <c r="I182" s="18" t="s">
        <v>10</v>
      </c>
      <c r="J182" s="18" t="s">
        <v>146</v>
      </c>
      <c r="K182" s="20"/>
    </row>
    <row r="183" spans="1:11" ht="54.75" thickBot="1">
      <c r="A183" s="18" t="s">
        <v>2338</v>
      </c>
      <c r="B183" s="18">
        <v>20025304902</v>
      </c>
      <c r="C183" s="18" t="s">
        <v>2339</v>
      </c>
      <c r="D183" s="19">
        <v>45729.690972222219</v>
      </c>
      <c r="E183" s="18" t="s">
        <v>10</v>
      </c>
      <c r="F183" s="18">
        <v>15</v>
      </c>
      <c r="G183" s="18" t="s">
        <v>10</v>
      </c>
      <c r="H183" s="18" t="s">
        <v>178</v>
      </c>
      <c r="I183" s="18" t="s">
        <v>10</v>
      </c>
      <c r="J183" s="18" t="s">
        <v>146</v>
      </c>
      <c r="K183" s="20"/>
    </row>
    <row r="184" spans="1:11" ht="36.75" thickBot="1">
      <c r="A184" s="18" t="s">
        <v>2407</v>
      </c>
      <c r="B184" s="18">
        <v>20017444693</v>
      </c>
      <c r="C184" s="18" t="s">
        <v>2408</v>
      </c>
      <c r="D184" s="19">
        <v>45733.664583333331</v>
      </c>
      <c r="E184" s="18" t="s">
        <v>10</v>
      </c>
      <c r="F184" s="18">
        <v>10</v>
      </c>
      <c r="G184" s="18" t="s">
        <v>10</v>
      </c>
      <c r="H184" s="18" t="s">
        <v>178</v>
      </c>
      <c r="I184" s="18" t="s">
        <v>10</v>
      </c>
      <c r="J184" s="18" t="s">
        <v>146</v>
      </c>
      <c r="K184" s="20"/>
    </row>
    <row r="185" spans="1:11" ht="36.75" thickBot="1">
      <c r="A185" s="18" t="s">
        <v>2328</v>
      </c>
      <c r="B185" s="18">
        <v>20024807981</v>
      </c>
      <c r="C185" s="18" t="s">
        <v>2329</v>
      </c>
      <c r="D185" s="19">
        <v>45726.624305555553</v>
      </c>
      <c r="E185" s="19">
        <v>45736.824305555558</v>
      </c>
      <c r="F185" s="18">
        <v>5</v>
      </c>
      <c r="G185" s="19">
        <v>45859.564583333333</v>
      </c>
      <c r="H185" s="18" t="s">
        <v>2688</v>
      </c>
      <c r="I185" s="18" t="s">
        <v>10</v>
      </c>
      <c r="J185" s="18" t="s">
        <v>146</v>
      </c>
      <c r="K185" s="20"/>
    </row>
    <row r="186" spans="1:11" ht="36.75" thickBot="1">
      <c r="A186" s="18" t="s">
        <v>2410</v>
      </c>
      <c r="B186" s="18">
        <v>20022063705</v>
      </c>
      <c r="C186" s="18" t="s">
        <v>2411</v>
      </c>
      <c r="D186" s="19">
        <v>45737.521527777775</v>
      </c>
      <c r="E186" s="18" t="s">
        <v>10</v>
      </c>
      <c r="F186" s="18">
        <v>20</v>
      </c>
      <c r="G186" s="18" t="s">
        <v>10</v>
      </c>
      <c r="H186" s="18" t="s">
        <v>178</v>
      </c>
      <c r="I186" s="18" t="s">
        <v>10</v>
      </c>
      <c r="J186" s="18" t="s">
        <v>146</v>
      </c>
      <c r="K186" s="20"/>
    </row>
    <row r="187" spans="1:11" ht="36.75" thickBot="1">
      <c r="A187" s="18" t="s">
        <v>2412</v>
      </c>
      <c r="B187" s="18">
        <v>20022058177</v>
      </c>
      <c r="C187" s="18" t="s">
        <v>2411</v>
      </c>
      <c r="D187" s="19">
        <v>45737.863888888889</v>
      </c>
      <c r="E187" s="18" t="s">
        <v>10</v>
      </c>
      <c r="F187" s="18">
        <v>10</v>
      </c>
      <c r="G187" s="18" t="s">
        <v>10</v>
      </c>
      <c r="H187" s="18" t="s">
        <v>178</v>
      </c>
      <c r="I187" s="18" t="s">
        <v>10</v>
      </c>
      <c r="J187" s="18" t="s">
        <v>146</v>
      </c>
      <c r="K187" s="20"/>
    </row>
    <row r="188" spans="1:11" ht="36.75" thickBot="1">
      <c r="A188" s="18" t="s">
        <v>2413</v>
      </c>
      <c r="B188" s="18">
        <v>20025659210</v>
      </c>
      <c r="C188" s="18" t="s">
        <v>755</v>
      </c>
      <c r="D188" s="19">
        <v>45740.438888888886</v>
      </c>
      <c r="E188" s="18" t="s">
        <v>10</v>
      </c>
      <c r="F188" s="18">
        <v>2</v>
      </c>
      <c r="G188" s="18" t="s">
        <v>10</v>
      </c>
      <c r="H188" s="18" t="s">
        <v>178</v>
      </c>
      <c r="I188" s="18" t="s">
        <v>10</v>
      </c>
      <c r="J188" s="18" t="s">
        <v>146</v>
      </c>
      <c r="K188" s="20"/>
    </row>
    <row r="189" spans="1:11" ht="36.75" thickBot="1">
      <c r="A189" s="18" t="s">
        <v>2414</v>
      </c>
      <c r="B189" s="18">
        <v>20022934696</v>
      </c>
      <c r="C189" s="18" t="s">
        <v>215</v>
      </c>
      <c r="D189" s="19">
        <v>45740.592361111114</v>
      </c>
      <c r="E189" s="18" t="s">
        <v>10</v>
      </c>
      <c r="F189" s="18">
        <v>20</v>
      </c>
      <c r="G189" s="18" t="s">
        <v>10</v>
      </c>
      <c r="H189" s="18" t="s">
        <v>178</v>
      </c>
      <c r="I189" s="18" t="s">
        <v>10</v>
      </c>
      <c r="J189" s="18" t="s">
        <v>146</v>
      </c>
      <c r="K189" s="20"/>
    </row>
    <row r="190" spans="1:11" ht="72.75" thickBot="1">
      <c r="A190" s="18" t="s">
        <v>1909</v>
      </c>
      <c r="B190" s="18">
        <v>20022056496</v>
      </c>
      <c r="C190" s="18" t="s">
        <v>257</v>
      </c>
      <c r="D190" s="19">
        <v>45646.473611111112</v>
      </c>
      <c r="E190" s="19">
        <v>45741.507638888892</v>
      </c>
      <c r="F190" s="18">
        <v>20</v>
      </c>
      <c r="G190" s="18" t="s">
        <v>10</v>
      </c>
      <c r="H190" s="18" t="s">
        <v>178</v>
      </c>
      <c r="I190" s="18" t="s">
        <v>10</v>
      </c>
      <c r="J190" s="18" t="s">
        <v>146</v>
      </c>
      <c r="K190" s="20"/>
    </row>
    <row r="191" spans="1:11" ht="36.75" thickBot="1">
      <c r="A191" s="18" t="s">
        <v>2334</v>
      </c>
      <c r="B191" s="18">
        <v>20028198334</v>
      </c>
      <c r="C191" s="18" t="s">
        <v>2335</v>
      </c>
      <c r="D191" s="19">
        <v>45728.446527777778</v>
      </c>
      <c r="E191" s="19">
        <v>45741.586805555555</v>
      </c>
      <c r="F191" s="18">
        <v>5</v>
      </c>
      <c r="G191" s="18" t="s">
        <v>10</v>
      </c>
      <c r="H191" s="18" t="s">
        <v>178</v>
      </c>
      <c r="I191" s="18" t="s">
        <v>10</v>
      </c>
      <c r="J191" s="18" t="s">
        <v>146</v>
      </c>
      <c r="K191" s="20"/>
    </row>
    <row r="192" spans="1:11" ht="36.75" thickBot="1">
      <c r="A192" s="18" t="s">
        <v>2415</v>
      </c>
      <c r="B192" s="18">
        <v>20027837114</v>
      </c>
      <c r="C192" s="18" t="s">
        <v>2416</v>
      </c>
      <c r="D192" s="19">
        <v>45741.654861111114</v>
      </c>
      <c r="E192" s="18" t="s">
        <v>10</v>
      </c>
      <c r="F192" s="18">
        <v>5</v>
      </c>
      <c r="G192" s="18" t="s">
        <v>10</v>
      </c>
      <c r="H192" s="18" t="s">
        <v>178</v>
      </c>
      <c r="I192" s="18" t="s">
        <v>10</v>
      </c>
      <c r="J192" s="18" t="s">
        <v>146</v>
      </c>
      <c r="K192" s="20"/>
    </row>
    <row r="193" spans="1:11" ht="36.75" thickBot="1">
      <c r="A193" s="18" t="s">
        <v>2417</v>
      </c>
      <c r="B193" s="18">
        <v>20022934696</v>
      </c>
      <c r="C193" s="18" t="s">
        <v>215</v>
      </c>
      <c r="D193" s="19">
        <v>45743.462500000001</v>
      </c>
      <c r="E193" s="18" t="s">
        <v>10</v>
      </c>
      <c r="F193" s="18">
        <v>20</v>
      </c>
      <c r="G193" s="18" t="s">
        <v>10</v>
      </c>
      <c r="H193" s="18" t="s">
        <v>178</v>
      </c>
      <c r="I193" s="18" t="s">
        <v>10</v>
      </c>
      <c r="J193" s="18" t="s">
        <v>146</v>
      </c>
      <c r="K193" s="20"/>
    </row>
    <row r="194" spans="1:11" ht="36.75" thickBot="1">
      <c r="A194" s="18" t="s">
        <v>2140</v>
      </c>
      <c r="B194" s="18">
        <v>20027480672</v>
      </c>
      <c r="C194" s="18" t="s">
        <v>1969</v>
      </c>
      <c r="D194" s="19">
        <v>45694.433333333334</v>
      </c>
      <c r="E194" s="19">
        <v>45743.724305555559</v>
      </c>
      <c r="F194" s="18">
        <v>5</v>
      </c>
      <c r="G194" s="19">
        <v>45755.421527777777</v>
      </c>
      <c r="H194" s="18" t="s">
        <v>236</v>
      </c>
      <c r="I194" s="18" t="s">
        <v>10</v>
      </c>
      <c r="J194" s="18" t="s">
        <v>146</v>
      </c>
      <c r="K194" s="20"/>
    </row>
    <row r="195" spans="1:11" ht="36.75" thickBot="1">
      <c r="A195" s="18" t="s">
        <v>1830</v>
      </c>
      <c r="B195" s="18">
        <v>20027050115</v>
      </c>
      <c r="C195" s="18" t="s">
        <v>1625</v>
      </c>
      <c r="D195" s="19">
        <v>45638.457638888889</v>
      </c>
      <c r="E195" s="19">
        <v>45747.495138888888</v>
      </c>
      <c r="F195" s="18">
        <v>6</v>
      </c>
      <c r="G195" s="18" t="s">
        <v>10</v>
      </c>
      <c r="H195" s="18" t="s">
        <v>178</v>
      </c>
      <c r="I195" s="18" t="s">
        <v>10</v>
      </c>
      <c r="J195" s="18" t="s">
        <v>146</v>
      </c>
      <c r="K195" s="20"/>
    </row>
    <row r="196" spans="1:11" ht="36.75" thickBot="1">
      <c r="A196" s="18" t="s">
        <v>2583</v>
      </c>
      <c r="B196" s="18">
        <v>20003475444</v>
      </c>
      <c r="C196" s="18" t="s">
        <v>218</v>
      </c>
      <c r="D196" s="19">
        <v>45747.577777777777</v>
      </c>
      <c r="E196" s="18" t="s">
        <v>10</v>
      </c>
      <c r="F196" s="18">
        <v>20</v>
      </c>
      <c r="G196" s="18" t="s">
        <v>10</v>
      </c>
      <c r="H196" s="18" t="s">
        <v>178</v>
      </c>
      <c r="I196" s="18" t="s">
        <v>10</v>
      </c>
      <c r="J196" s="18" t="s">
        <v>146</v>
      </c>
      <c r="K196" s="20"/>
    </row>
    <row r="197" spans="1:11" ht="36.75" thickBot="1">
      <c r="A197" s="18" t="s">
        <v>2584</v>
      </c>
      <c r="B197" s="18">
        <v>20017444693</v>
      </c>
      <c r="C197" s="18" t="s">
        <v>2408</v>
      </c>
      <c r="D197" s="19">
        <v>45747.582638888889</v>
      </c>
      <c r="E197" s="18" t="s">
        <v>10</v>
      </c>
      <c r="F197" s="18">
        <v>10</v>
      </c>
      <c r="G197" s="18" t="s">
        <v>10</v>
      </c>
      <c r="H197" s="18" t="s">
        <v>178</v>
      </c>
      <c r="I197" s="18" t="s">
        <v>10</v>
      </c>
      <c r="J197" s="18" t="s">
        <v>146</v>
      </c>
      <c r="K197" s="20"/>
    </row>
    <row r="198" spans="1:11" ht="36.75" thickBot="1">
      <c r="A198" s="18" t="s">
        <v>1966</v>
      </c>
      <c r="B198" s="18">
        <v>20003401139</v>
      </c>
      <c r="C198" s="18" t="s">
        <v>1641</v>
      </c>
      <c r="D198" s="19">
        <v>45664.415972222225</v>
      </c>
      <c r="E198" s="19">
        <v>45747.688194444447</v>
      </c>
      <c r="F198" s="18">
        <v>10</v>
      </c>
      <c r="G198" s="18" t="s">
        <v>10</v>
      </c>
      <c r="H198" s="18" t="s">
        <v>178</v>
      </c>
      <c r="I198" s="18" t="s">
        <v>10</v>
      </c>
      <c r="J198" s="18" t="s">
        <v>146</v>
      </c>
      <c r="K198" s="20"/>
    </row>
    <row r="199" spans="1:11" ht="36.75" thickBot="1">
      <c r="A199" s="18" t="s">
        <v>2337</v>
      </c>
      <c r="B199" s="18">
        <v>20016783499</v>
      </c>
      <c r="C199" s="18" t="s">
        <v>1234</v>
      </c>
      <c r="D199" s="19">
        <v>45729.466666666667</v>
      </c>
      <c r="E199" s="19">
        <v>45748.416666666664</v>
      </c>
      <c r="F199" s="18">
        <v>5</v>
      </c>
      <c r="G199" s="18" t="s">
        <v>10</v>
      </c>
      <c r="H199" s="18" t="s">
        <v>178</v>
      </c>
      <c r="I199" s="18" t="s">
        <v>10</v>
      </c>
      <c r="J199" s="18" t="s">
        <v>146</v>
      </c>
      <c r="K199" s="20"/>
    </row>
    <row r="200" spans="1:11" ht="36.75" thickBot="1">
      <c r="A200" s="18" t="s">
        <v>2134</v>
      </c>
      <c r="B200" s="18">
        <v>20025524857</v>
      </c>
      <c r="C200" s="18" t="s">
        <v>1236</v>
      </c>
      <c r="D200" s="19">
        <v>45691.7</v>
      </c>
      <c r="E200" s="19">
        <v>45748.543749999997</v>
      </c>
      <c r="F200" s="18">
        <v>3.8</v>
      </c>
      <c r="G200" s="19">
        <v>45840.557638888888</v>
      </c>
      <c r="H200" s="18" t="s">
        <v>236</v>
      </c>
      <c r="I200" s="18" t="s">
        <v>10</v>
      </c>
      <c r="J200" s="18" t="s">
        <v>146</v>
      </c>
      <c r="K200" s="20"/>
    </row>
    <row r="201" spans="1:11" ht="36.75" thickBot="1">
      <c r="A201" s="18" t="s">
        <v>2586</v>
      </c>
      <c r="B201" s="18">
        <v>20027050115</v>
      </c>
      <c r="C201" s="18" t="s">
        <v>2587</v>
      </c>
      <c r="D201" s="19">
        <v>45768.622916666667</v>
      </c>
      <c r="E201" s="18" t="s">
        <v>10</v>
      </c>
      <c r="F201" s="18">
        <v>6</v>
      </c>
      <c r="G201" s="18" t="s">
        <v>10</v>
      </c>
      <c r="H201" s="18" t="s">
        <v>178</v>
      </c>
      <c r="I201" s="18" t="s">
        <v>10</v>
      </c>
      <c r="J201" s="18" t="s">
        <v>146</v>
      </c>
      <c r="K201" s="20"/>
    </row>
    <row r="202" spans="1:11" ht="54.75" thickBot="1">
      <c r="A202" s="21" t="s">
        <v>2588</v>
      </c>
      <c r="B202" s="21">
        <v>20027071690</v>
      </c>
      <c r="C202" s="21" t="s">
        <v>534</v>
      </c>
      <c r="D202" s="22">
        <v>45769.488194444442</v>
      </c>
      <c r="E202" s="21" t="s">
        <v>10</v>
      </c>
      <c r="F202" s="21">
        <v>5</v>
      </c>
      <c r="G202" s="21" t="s">
        <v>10</v>
      </c>
      <c r="H202" s="21" t="s">
        <v>178</v>
      </c>
      <c r="I202" s="21" t="s">
        <v>10</v>
      </c>
      <c r="J202" s="21" t="s">
        <v>146</v>
      </c>
      <c r="K202" s="1"/>
    </row>
    <row r="203" spans="1:11" ht="54.75" thickBot="1">
      <c r="A203" s="18" t="s">
        <v>2589</v>
      </c>
      <c r="B203" s="18">
        <v>20027071690</v>
      </c>
      <c r="C203" s="18" t="s">
        <v>2590</v>
      </c>
      <c r="D203" s="19">
        <v>45769.547222222223</v>
      </c>
      <c r="E203" s="18" t="s">
        <v>10</v>
      </c>
      <c r="F203" s="18">
        <v>5</v>
      </c>
      <c r="G203" s="18" t="s">
        <v>10</v>
      </c>
      <c r="H203" s="18" t="s">
        <v>178</v>
      </c>
      <c r="I203" s="18" t="s">
        <v>10</v>
      </c>
      <c r="J203" s="18" t="s">
        <v>146</v>
      </c>
      <c r="K203" s="20"/>
    </row>
    <row r="204" spans="1:11" ht="36.75" thickBot="1">
      <c r="A204" s="18" t="s">
        <v>2591</v>
      </c>
      <c r="B204" s="18">
        <v>20003273628</v>
      </c>
      <c r="C204" s="18" t="s">
        <v>1964</v>
      </c>
      <c r="D204" s="19">
        <v>45769.823611111111</v>
      </c>
      <c r="E204" s="18" t="s">
        <v>10</v>
      </c>
      <c r="F204" s="18">
        <v>4</v>
      </c>
      <c r="G204" s="18" t="s">
        <v>10</v>
      </c>
      <c r="H204" s="18" t="s">
        <v>178</v>
      </c>
      <c r="I204" s="18" t="s">
        <v>10</v>
      </c>
      <c r="J204" s="18" t="s">
        <v>146</v>
      </c>
      <c r="K204" s="20"/>
    </row>
    <row r="205" spans="1:11" ht="54.75" thickBot="1">
      <c r="A205" s="18" t="s">
        <v>2592</v>
      </c>
      <c r="B205" s="18">
        <v>20027071690</v>
      </c>
      <c r="C205" s="18" t="s">
        <v>534</v>
      </c>
      <c r="D205" s="19">
        <v>45772.606249999997</v>
      </c>
      <c r="E205" s="18" t="s">
        <v>10</v>
      </c>
      <c r="F205" s="18">
        <v>5</v>
      </c>
      <c r="G205" s="18" t="s">
        <v>10</v>
      </c>
      <c r="H205" s="18" t="s">
        <v>178</v>
      </c>
      <c r="I205" s="18" t="s">
        <v>10</v>
      </c>
      <c r="J205" s="18" t="s">
        <v>146</v>
      </c>
      <c r="K205" s="20"/>
    </row>
    <row r="206" spans="1:11" ht="36.75" thickBot="1">
      <c r="A206" s="18" t="s">
        <v>2593</v>
      </c>
      <c r="B206" s="18">
        <v>20022063705</v>
      </c>
      <c r="C206" s="18" t="s">
        <v>2594</v>
      </c>
      <c r="D206" s="19">
        <v>45775.720138888886</v>
      </c>
      <c r="E206" s="18" t="s">
        <v>10</v>
      </c>
      <c r="F206" s="18">
        <v>20</v>
      </c>
      <c r="G206" s="18" t="s">
        <v>10</v>
      </c>
      <c r="H206" s="18" t="s">
        <v>178</v>
      </c>
      <c r="I206" s="18" t="s">
        <v>10</v>
      </c>
      <c r="J206" s="18" t="s">
        <v>146</v>
      </c>
      <c r="K206" s="20"/>
    </row>
    <row r="207" spans="1:11" ht="36.75" thickBot="1">
      <c r="A207" s="18" t="s">
        <v>2767</v>
      </c>
      <c r="B207" s="18">
        <v>20016528549</v>
      </c>
      <c r="C207" s="18" t="s">
        <v>2768</v>
      </c>
      <c r="D207" s="19">
        <v>45777.393055555556</v>
      </c>
      <c r="E207" s="18" t="s">
        <v>10</v>
      </c>
      <c r="F207" s="18">
        <v>8</v>
      </c>
      <c r="G207" s="18" t="s">
        <v>10</v>
      </c>
      <c r="H207" s="18" t="s">
        <v>178</v>
      </c>
      <c r="I207" s="18" t="s">
        <v>10</v>
      </c>
      <c r="J207" s="18" t="s">
        <v>146</v>
      </c>
      <c r="K207" s="20"/>
    </row>
    <row r="208" spans="1:11" ht="36.75" thickBot="1">
      <c r="A208" s="18" t="s">
        <v>2769</v>
      </c>
      <c r="B208" s="18">
        <v>20025659210</v>
      </c>
      <c r="C208" s="18" t="s">
        <v>755</v>
      </c>
      <c r="D208" s="19">
        <v>45777.398611111108</v>
      </c>
      <c r="E208" s="18" t="s">
        <v>10</v>
      </c>
      <c r="F208" s="18">
        <v>2</v>
      </c>
      <c r="G208" s="18" t="s">
        <v>10</v>
      </c>
      <c r="H208" s="18" t="s">
        <v>178</v>
      </c>
      <c r="I208" s="18" t="s">
        <v>10</v>
      </c>
      <c r="J208" s="18" t="s">
        <v>146</v>
      </c>
      <c r="K208" s="20"/>
    </row>
    <row r="209" spans="1:11" ht="36.75" thickBot="1">
      <c r="A209" s="18" t="s">
        <v>2770</v>
      </c>
      <c r="B209" s="18">
        <v>20003240817</v>
      </c>
      <c r="C209" s="18" t="s">
        <v>2771</v>
      </c>
      <c r="D209" s="19">
        <v>45777.523611111108</v>
      </c>
      <c r="E209" s="18" t="s">
        <v>10</v>
      </c>
      <c r="F209" s="18">
        <v>4</v>
      </c>
      <c r="G209" s="18" t="s">
        <v>10</v>
      </c>
      <c r="H209" s="18" t="s">
        <v>178</v>
      </c>
      <c r="I209" s="18" t="s">
        <v>10</v>
      </c>
      <c r="J209" s="18" t="s">
        <v>146</v>
      </c>
      <c r="K209" s="20"/>
    </row>
    <row r="210" spans="1:11" ht="36.75" thickBot="1">
      <c r="A210" s="18" t="s">
        <v>2773</v>
      </c>
      <c r="B210" s="18">
        <v>20003321534</v>
      </c>
      <c r="C210" s="18" t="s">
        <v>2774</v>
      </c>
      <c r="D210" s="19">
        <v>45782.580555555556</v>
      </c>
      <c r="E210" s="18" t="s">
        <v>10</v>
      </c>
      <c r="F210" s="18">
        <v>20</v>
      </c>
      <c r="G210" s="18" t="s">
        <v>10</v>
      </c>
      <c r="H210" s="18" t="s">
        <v>178</v>
      </c>
      <c r="I210" s="18" t="s">
        <v>10</v>
      </c>
      <c r="J210" s="18" t="s">
        <v>146</v>
      </c>
      <c r="K210" s="20"/>
    </row>
    <row r="211" spans="1:11" ht="36.75" thickBot="1">
      <c r="A211" s="18" t="s">
        <v>2775</v>
      </c>
      <c r="B211" s="18">
        <v>20027219195</v>
      </c>
      <c r="C211" s="18" t="s">
        <v>2776</v>
      </c>
      <c r="D211" s="19">
        <v>45784.370138888888</v>
      </c>
      <c r="E211" s="18" t="s">
        <v>10</v>
      </c>
      <c r="F211" s="18">
        <v>10</v>
      </c>
      <c r="G211" s="18" t="s">
        <v>10</v>
      </c>
      <c r="H211" s="18" t="s">
        <v>178</v>
      </c>
      <c r="I211" s="18" t="s">
        <v>10</v>
      </c>
      <c r="J211" s="18" t="s">
        <v>146</v>
      </c>
      <c r="K211" s="20"/>
    </row>
    <row r="212" spans="1:11" ht="36.75" thickBot="1">
      <c r="A212" s="18" t="s">
        <v>2777</v>
      </c>
      <c r="B212" s="18">
        <v>20003243602</v>
      </c>
      <c r="C212" s="18" t="s">
        <v>2778</v>
      </c>
      <c r="D212" s="19">
        <v>45791.696527777778</v>
      </c>
      <c r="E212" s="18" t="s">
        <v>10</v>
      </c>
      <c r="F212" s="18">
        <v>5</v>
      </c>
      <c r="G212" s="18" t="s">
        <v>10</v>
      </c>
      <c r="H212" s="18" t="s">
        <v>178</v>
      </c>
      <c r="I212" s="18" t="s">
        <v>10</v>
      </c>
      <c r="J212" s="18" t="s">
        <v>146</v>
      </c>
      <c r="K212" s="20"/>
    </row>
    <row r="213" spans="1:11" ht="72.75" thickBot="1">
      <c r="A213" s="18" t="s">
        <v>2779</v>
      </c>
      <c r="B213" s="18">
        <v>20023975157</v>
      </c>
      <c r="C213" s="18" t="s">
        <v>1232</v>
      </c>
      <c r="D213" s="19">
        <v>45792.543055555558</v>
      </c>
      <c r="E213" s="18" t="s">
        <v>10</v>
      </c>
      <c r="F213" s="18">
        <v>10</v>
      </c>
      <c r="G213" s="18" t="s">
        <v>10</v>
      </c>
      <c r="H213" s="18" t="s">
        <v>178</v>
      </c>
      <c r="I213" s="18" t="s">
        <v>10</v>
      </c>
      <c r="J213" s="18" t="s">
        <v>146</v>
      </c>
      <c r="K213" s="20"/>
    </row>
    <row r="214" spans="1:11" ht="36.75" thickBot="1">
      <c r="A214" s="18" t="s">
        <v>2781</v>
      </c>
      <c r="B214" s="18">
        <v>20019298839</v>
      </c>
      <c r="C214" s="18" t="s">
        <v>392</v>
      </c>
      <c r="D214" s="19">
        <v>45801.478472222225</v>
      </c>
      <c r="E214" s="18" t="s">
        <v>10</v>
      </c>
      <c r="F214" s="18">
        <v>5</v>
      </c>
      <c r="G214" s="18" t="s">
        <v>10</v>
      </c>
      <c r="H214" s="18" t="s">
        <v>178</v>
      </c>
      <c r="I214" s="18" t="s">
        <v>10</v>
      </c>
      <c r="J214" s="18" t="s">
        <v>146</v>
      </c>
      <c r="K214" s="20"/>
    </row>
    <row r="215" spans="1:11" ht="36.75" thickBot="1">
      <c r="A215" s="18" t="s">
        <v>2782</v>
      </c>
      <c r="B215" s="18">
        <v>20026021994</v>
      </c>
      <c r="C215" s="18" t="s">
        <v>2783</v>
      </c>
      <c r="D215" s="19">
        <v>45803.568749999999</v>
      </c>
      <c r="E215" s="18" t="s">
        <v>10</v>
      </c>
      <c r="F215" s="18">
        <v>20</v>
      </c>
      <c r="G215" s="18" t="s">
        <v>10</v>
      </c>
      <c r="H215" s="18" t="s">
        <v>178</v>
      </c>
      <c r="I215" s="18" t="s">
        <v>10</v>
      </c>
      <c r="J215" s="18" t="s">
        <v>146</v>
      </c>
      <c r="K215" s="20"/>
    </row>
    <row r="216" spans="1:11" ht="36.75" thickBot="1">
      <c r="A216" s="18" t="s">
        <v>2784</v>
      </c>
      <c r="B216" s="18">
        <v>20026119250</v>
      </c>
      <c r="C216" s="18" t="s">
        <v>2783</v>
      </c>
      <c r="D216" s="19">
        <v>45803.57916666667</v>
      </c>
      <c r="E216" s="18" t="s">
        <v>10</v>
      </c>
      <c r="F216" s="18">
        <v>20</v>
      </c>
      <c r="G216" s="18" t="s">
        <v>10</v>
      </c>
      <c r="H216" s="18" t="s">
        <v>178</v>
      </c>
      <c r="I216" s="18" t="s">
        <v>10</v>
      </c>
      <c r="J216" s="18" t="s">
        <v>146</v>
      </c>
      <c r="K216" s="20"/>
    </row>
    <row r="217" spans="1:11" ht="54.75" thickBot="1">
      <c r="A217" s="18" t="s">
        <v>2785</v>
      </c>
      <c r="B217" s="18">
        <v>20025304902</v>
      </c>
      <c r="C217" s="18" t="s">
        <v>2339</v>
      </c>
      <c r="D217" s="19">
        <v>45803.677083333336</v>
      </c>
      <c r="E217" s="18" t="s">
        <v>10</v>
      </c>
      <c r="F217" s="18">
        <v>15</v>
      </c>
      <c r="G217" s="18" t="s">
        <v>10</v>
      </c>
      <c r="H217" s="18" t="s">
        <v>178</v>
      </c>
      <c r="I217" s="18" t="s">
        <v>10</v>
      </c>
      <c r="J217" s="18" t="s">
        <v>146</v>
      </c>
      <c r="K217" s="20"/>
    </row>
    <row r="218" spans="1:11" ht="36.75" thickBot="1">
      <c r="A218" s="18" t="s">
        <v>2786</v>
      </c>
      <c r="B218" s="18">
        <v>20020662389</v>
      </c>
      <c r="C218" s="18" t="s">
        <v>2787</v>
      </c>
      <c r="D218" s="19">
        <v>45804.466666666667</v>
      </c>
      <c r="E218" s="18" t="s">
        <v>10</v>
      </c>
      <c r="F218" s="18">
        <v>6</v>
      </c>
      <c r="G218" s="18" t="s">
        <v>10</v>
      </c>
      <c r="H218" s="18" t="s">
        <v>178</v>
      </c>
      <c r="I218" s="18" t="s">
        <v>10</v>
      </c>
      <c r="J218" s="18" t="s">
        <v>146</v>
      </c>
      <c r="K218" s="20"/>
    </row>
    <row r="219" spans="1:11" ht="36.75" thickBot="1">
      <c r="A219" s="18" t="s">
        <v>2788</v>
      </c>
      <c r="B219" s="18">
        <v>20020662389</v>
      </c>
      <c r="C219" s="18" t="s">
        <v>1230</v>
      </c>
      <c r="D219" s="19">
        <v>45804.47152777778</v>
      </c>
      <c r="E219" s="18" t="s">
        <v>10</v>
      </c>
      <c r="F219" s="18">
        <v>6</v>
      </c>
      <c r="G219" s="18" t="s">
        <v>10</v>
      </c>
      <c r="H219" s="18" t="s">
        <v>178</v>
      </c>
      <c r="I219" s="18" t="s">
        <v>10</v>
      </c>
      <c r="J219" s="18" t="s">
        <v>146</v>
      </c>
      <c r="K219" s="20"/>
    </row>
    <row r="220" spans="1:11" ht="36.75" thickBot="1">
      <c r="A220" s="18" t="s">
        <v>2789</v>
      </c>
      <c r="B220" s="18">
        <v>20026254022</v>
      </c>
      <c r="C220" s="18" t="s">
        <v>2790</v>
      </c>
      <c r="D220" s="19">
        <v>45805.025694444441</v>
      </c>
      <c r="E220" s="18" t="s">
        <v>10</v>
      </c>
      <c r="F220" s="18">
        <v>6.65</v>
      </c>
      <c r="G220" s="18" t="s">
        <v>10</v>
      </c>
      <c r="H220" s="18" t="s">
        <v>178</v>
      </c>
      <c r="I220" s="18" t="s">
        <v>10</v>
      </c>
      <c r="J220" s="18" t="s">
        <v>146</v>
      </c>
      <c r="K220" s="20"/>
    </row>
    <row r="221" spans="1:11" ht="36.75" thickBot="1">
      <c r="A221" s="18" t="s">
        <v>2793</v>
      </c>
      <c r="B221" s="18">
        <v>20003315804</v>
      </c>
      <c r="C221" s="18" t="s">
        <v>2794</v>
      </c>
      <c r="D221" s="19">
        <v>45818.636805555558</v>
      </c>
      <c r="E221" s="18" t="s">
        <v>10</v>
      </c>
      <c r="F221" s="18">
        <v>4</v>
      </c>
      <c r="G221" s="18" t="s">
        <v>10</v>
      </c>
      <c r="H221" s="18" t="s">
        <v>178</v>
      </c>
      <c r="I221" s="18" t="s">
        <v>10</v>
      </c>
      <c r="J221" s="18" t="s">
        <v>146</v>
      </c>
      <c r="K221" s="20"/>
    </row>
    <row r="222" spans="1:11" ht="36.75" thickBot="1">
      <c r="A222" s="18" t="s">
        <v>2797</v>
      </c>
      <c r="B222" s="18">
        <v>20003401139</v>
      </c>
      <c r="C222" s="18" t="s">
        <v>1641</v>
      </c>
      <c r="D222" s="19">
        <v>45819.663888888892</v>
      </c>
      <c r="E222" s="18" t="s">
        <v>10</v>
      </c>
      <c r="F222" s="18">
        <v>10</v>
      </c>
      <c r="G222" s="18" t="s">
        <v>10</v>
      </c>
      <c r="H222" s="18" t="s">
        <v>178</v>
      </c>
      <c r="I222" s="18" t="s">
        <v>10</v>
      </c>
      <c r="J222" s="18" t="s">
        <v>146</v>
      </c>
      <c r="K222" s="20"/>
    </row>
    <row r="223" spans="1:11" ht="36.75" thickBot="1">
      <c r="A223" s="18" t="s">
        <v>2799</v>
      </c>
      <c r="B223" s="18">
        <v>20003174739</v>
      </c>
      <c r="C223" s="18" t="s">
        <v>2800</v>
      </c>
      <c r="D223" s="19">
        <v>45821.586111111108</v>
      </c>
      <c r="E223" s="18" t="s">
        <v>10</v>
      </c>
      <c r="F223" s="18">
        <v>5</v>
      </c>
      <c r="G223" s="18" t="s">
        <v>10</v>
      </c>
      <c r="H223" s="18" t="s">
        <v>178</v>
      </c>
      <c r="I223" s="18" t="s">
        <v>10</v>
      </c>
      <c r="J223" s="18" t="s">
        <v>146</v>
      </c>
      <c r="K223" s="20"/>
    </row>
    <row r="224" spans="1:11" ht="72.75" thickBot="1">
      <c r="A224" s="18" t="s">
        <v>2772</v>
      </c>
      <c r="B224" s="18">
        <v>20022056496</v>
      </c>
      <c r="C224" s="18" t="s">
        <v>257</v>
      </c>
      <c r="D224" s="19">
        <v>45782.447916666664</v>
      </c>
      <c r="E224" s="19">
        <v>45833.458333333336</v>
      </c>
      <c r="F224" s="18">
        <v>20</v>
      </c>
      <c r="G224" s="19">
        <v>45863.643750000003</v>
      </c>
      <c r="H224" s="18" t="s">
        <v>236</v>
      </c>
      <c r="I224" s="18" t="s">
        <v>10</v>
      </c>
      <c r="J224" s="18" t="s">
        <v>146</v>
      </c>
      <c r="K224" s="20"/>
    </row>
    <row r="225" spans="1:11" ht="72.75" thickBot="1">
      <c r="A225" s="18" t="s">
        <v>2780</v>
      </c>
      <c r="B225" s="18">
        <v>20023975157</v>
      </c>
      <c r="C225" s="18" t="s">
        <v>1232</v>
      </c>
      <c r="D225" s="19">
        <v>45793.459722222222</v>
      </c>
      <c r="E225" s="19">
        <v>45835.707638888889</v>
      </c>
      <c r="F225" s="18">
        <v>10</v>
      </c>
      <c r="G225" s="18" t="s">
        <v>10</v>
      </c>
      <c r="H225" s="18" t="s">
        <v>178</v>
      </c>
      <c r="I225" s="18" t="s">
        <v>10</v>
      </c>
      <c r="J225" s="18" t="s">
        <v>146</v>
      </c>
      <c r="K225" s="20"/>
    </row>
    <row r="226" spans="1:11" ht="36.75" thickBot="1">
      <c r="A226" s="18" t="s">
        <v>3459</v>
      </c>
      <c r="B226" s="18">
        <v>20025953681</v>
      </c>
      <c r="C226" s="18" t="s">
        <v>3460</v>
      </c>
      <c r="D226" s="19">
        <v>45836.671527777777</v>
      </c>
      <c r="E226" s="18" t="s">
        <v>10</v>
      </c>
      <c r="F226" s="18">
        <v>10</v>
      </c>
      <c r="G226" s="18" t="s">
        <v>10</v>
      </c>
      <c r="H226" s="18" t="s">
        <v>178</v>
      </c>
      <c r="I226" s="18" t="s">
        <v>10</v>
      </c>
      <c r="J226" s="18" t="s">
        <v>146</v>
      </c>
      <c r="K226" s="20"/>
    </row>
    <row r="227" spans="1:11" ht="36.75" thickBot="1">
      <c r="A227" s="18" t="s">
        <v>3461</v>
      </c>
      <c r="B227" s="18">
        <v>20028132141</v>
      </c>
      <c r="C227" s="18" t="s">
        <v>3462</v>
      </c>
      <c r="D227" s="19">
        <v>45836.761111111111</v>
      </c>
      <c r="E227" s="18" t="s">
        <v>10</v>
      </c>
      <c r="F227" s="18">
        <v>10</v>
      </c>
      <c r="G227" s="18" t="s">
        <v>10</v>
      </c>
      <c r="H227" s="18" t="s">
        <v>178</v>
      </c>
      <c r="I227" s="18" t="s">
        <v>10</v>
      </c>
      <c r="J227" s="18" t="s">
        <v>146</v>
      </c>
      <c r="K227" s="20"/>
    </row>
    <row r="228" spans="1:11" ht="36.75" thickBot="1">
      <c r="A228" s="18" t="s">
        <v>3463</v>
      </c>
      <c r="B228" s="18">
        <v>20026119250</v>
      </c>
      <c r="C228" s="18" t="s">
        <v>2783</v>
      </c>
      <c r="D228" s="19">
        <v>45839.443749999999</v>
      </c>
      <c r="E228" s="18" t="s">
        <v>10</v>
      </c>
      <c r="F228" s="18">
        <v>10</v>
      </c>
      <c r="G228" s="18" t="s">
        <v>10</v>
      </c>
      <c r="H228" s="18" t="s">
        <v>178</v>
      </c>
      <c r="I228" s="18" t="s">
        <v>10</v>
      </c>
      <c r="J228" s="18" t="s">
        <v>146</v>
      </c>
      <c r="K228" s="20"/>
    </row>
    <row r="229" spans="1:11" ht="36.75" thickBot="1">
      <c r="A229" s="18" t="s">
        <v>3464</v>
      </c>
      <c r="B229" s="18">
        <v>20026021994</v>
      </c>
      <c r="C229" s="18" t="s">
        <v>2783</v>
      </c>
      <c r="D229" s="19">
        <v>45839.617361111108</v>
      </c>
      <c r="E229" s="18" t="s">
        <v>10</v>
      </c>
      <c r="F229" s="18">
        <v>10</v>
      </c>
      <c r="G229" s="18" t="s">
        <v>10</v>
      </c>
      <c r="H229" s="18" t="s">
        <v>178</v>
      </c>
      <c r="I229" s="18" t="s">
        <v>10</v>
      </c>
      <c r="J229" s="18" t="s">
        <v>146</v>
      </c>
      <c r="K229" s="20"/>
    </row>
    <row r="230" spans="1:11" ht="36.75" thickBot="1">
      <c r="A230" s="18" t="s">
        <v>2791</v>
      </c>
      <c r="B230" s="18">
        <v>20017210825</v>
      </c>
      <c r="C230" s="18" t="s">
        <v>2792</v>
      </c>
      <c r="D230" s="19">
        <v>45815.593055555553</v>
      </c>
      <c r="E230" s="19">
        <v>45839.712500000001</v>
      </c>
      <c r="F230" s="18">
        <v>5</v>
      </c>
      <c r="G230" s="19">
        <v>45856.556944444441</v>
      </c>
      <c r="H230" s="18" t="s">
        <v>236</v>
      </c>
      <c r="I230" s="18" t="s">
        <v>10</v>
      </c>
      <c r="J230" s="18" t="s">
        <v>146</v>
      </c>
      <c r="K230" s="20"/>
    </row>
    <row r="231" spans="1:11" ht="36.75" thickBot="1">
      <c r="A231" s="18" t="s">
        <v>3465</v>
      </c>
      <c r="B231" s="18">
        <v>20026254022</v>
      </c>
      <c r="C231" s="18" t="s">
        <v>3466</v>
      </c>
      <c r="D231" s="19">
        <v>45842.509027777778</v>
      </c>
      <c r="E231" s="18" t="s">
        <v>10</v>
      </c>
      <c r="F231" s="18">
        <v>0.47499999999999998</v>
      </c>
      <c r="G231" s="18" t="s">
        <v>10</v>
      </c>
      <c r="H231" s="18" t="s">
        <v>178</v>
      </c>
      <c r="I231" s="18" t="s">
        <v>10</v>
      </c>
      <c r="J231" s="18" t="s">
        <v>146</v>
      </c>
      <c r="K231" s="20"/>
    </row>
    <row r="232" spans="1:11" ht="54.75" thickBot="1">
      <c r="A232" s="18" t="s">
        <v>3467</v>
      </c>
      <c r="B232" s="18">
        <v>20025304902</v>
      </c>
      <c r="C232" s="18" t="s">
        <v>2339</v>
      </c>
      <c r="D232" s="19">
        <v>45843.574305555558</v>
      </c>
      <c r="E232" s="18" t="s">
        <v>10</v>
      </c>
      <c r="F232" s="18">
        <v>15</v>
      </c>
      <c r="G232" s="18" t="s">
        <v>10</v>
      </c>
      <c r="H232" s="18" t="s">
        <v>178</v>
      </c>
      <c r="I232" s="18" t="s">
        <v>10</v>
      </c>
      <c r="J232" s="18" t="s">
        <v>146</v>
      </c>
      <c r="K232" s="20"/>
    </row>
    <row r="233" spans="1:11" ht="72.75" thickBot="1">
      <c r="A233" s="18" t="s">
        <v>2409</v>
      </c>
      <c r="B233" s="18">
        <v>20023032458</v>
      </c>
      <c r="C233" s="18" t="s">
        <v>257</v>
      </c>
      <c r="D233" s="19">
        <v>45735.464583333334</v>
      </c>
      <c r="E233" s="19">
        <v>45843.615277777775</v>
      </c>
      <c r="F233" s="18">
        <v>20</v>
      </c>
      <c r="G233" s="18" t="s">
        <v>10</v>
      </c>
      <c r="H233" s="18" t="s">
        <v>178</v>
      </c>
      <c r="I233" s="18" t="s">
        <v>10</v>
      </c>
      <c r="J233" s="18" t="s">
        <v>146</v>
      </c>
      <c r="K233" s="20"/>
    </row>
    <row r="234" spans="1:11" ht="36.75" thickBot="1">
      <c r="A234" s="18" t="s">
        <v>3468</v>
      </c>
      <c r="B234" s="18">
        <v>20027289331</v>
      </c>
      <c r="C234" s="18" t="s">
        <v>3469</v>
      </c>
      <c r="D234" s="19">
        <v>45845.634027777778</v>
      </c>
      <c r="E234" s="18" t="s">
        <v>10</v>
      </c>
      <c r="F234" s="18">
        <v>5</v>
      </c>
      <c r="G234" s="18" t="s">
        <v>10</v>
      </c>
      <c r="H234" s="18" t="s">
        <v>178</v>
      </c>
      <c r="I234" s="18" t="s">
        <v>10</v>
      </c>
      <c r="J234" s="18" t="s">
        <v>146</v>
      </c>
      <c r="K234" s="20"/>
    </row>
    <row r="235" spans="1:11" ht="36.75" thickBot="1">
      <c r="A235" s="18" t="s">
        <v>3470</v>
      </c>
      <c r="B235" s="18">
        <v>20003016636</v>
      </c>
      <c r="C235" s="18" t="s">
        <v>3471</v>
      </c>
      <c r="D235" s="19">
        <v>45846.459722222222</v>
      </c>
      <c r="E235" s="18" t="s">
        <v>10</v>
      </c>
      <c r="F235" s="18">
        <v>3</v>
      </c>
      <c r="G235" s="18" t="s">
        <v>10</v>
      </c>
      <c r="H235" s="18" t="s">
        <v>178</v>
      </c>
      <c r="I235" s="18" t="s">
        <v>10</v>
      </c>
      <c r="J235" s="18" t="s">
        <v>146</v>
      </c>
      <c r="K235" s="20"/>
    </row>
    <row r="236" spans="1:11" ht="36.75" thickBot="1">
      <c r="A236" s="18" t="s">
        <v>3472</v>
      </c>
      <c r="B236" s="18">
        <v>20003401139</v>
      </c>
      <c r="C236" s="18" t="s">
        <v>1641</v>
      </c>
      <c r="D236" s="19">
        <v>45846.618750000001</v>
      </c>
      <c r="E236" s="18" t="s">
        <v>10</v>
      </c>
      <c r="F236" s="18">
        <v>10</v>
      </c>
      <c r="G236" s="18" t="s">
        <v>10</v>
      </c>
      <c r="H236" s="18" t="s">
        <v>178</v>
      </c>
      <c r="I236" s="18" t="s">
        <v>10</v>
      </c>
      <c r="J236" s="18" t="s">
        <v>146</v>
      </c>
      <c r="K236" s="20"/>
    </row>
    <row r="237" spans="1:11" ht="90.75" thickBot="1">
      <c r="A237" s="18" t="s">
        <v>3473</v>
      </c>
      <c r="B237" s="18">
        <v>20026972652</v>
      </c>
      <c r="C237" s="18" t="s">
        <v>897</v>
      </c>
      <c r="D237" s="19">
        <v>45849.731249999997</v>
      </c>
      <c r="E237" s="18" t="s">
        <v>10</v>
      </c>
      <c r="F237" s="18">
        <v>5</v>
      </c>
      <c r="G237" s="18" t="s">
        <v>10</v>
      </c>
      <c r="H237" s="18" t="s">
        <v>178</v>
      </c>
      <c r="I237" s="18" t="s">
        <v>10</v>
      </c>
      <c r="J237" s="18" t="s">
        <v>146</v>
      </c>
      <c r="K237" s="20"/>
    </row>
    <row r="238" spans="1:11" ht="36.75" thickBot="1">
      <c r="A238" s="18" t="s">
        <v>3474</v>
      </c>
      <c r="B238" s="18">
        <v>20025954541</v>
      </c>
      <c r="C238" s="18" t="s">
        <v>3475</v>
      </c>
      <c r="D238" s="19">
        <v>45851.46597222222</v>
      </c>
      <c r="E238" s="18" t="s">
        <v>10</v>
      </c>
      <c r="F238" s="18">
        <v>5</v>
      </c>
      <c r="G238" s="18" t="s">
        <v>10</v>
      </c>
      <c r="H238" s="18" t="s">
        <v>178</v>
      </c>
      <c r="I238" s="18" t="s">
        <v>10</v>
      </c>
      <c r="J238" s="18" t="s">
        <v>146</v>
      </c>
      <c r="K238" s="20"/>
    </row>
    <row r="239" spans="1:11" ht="36.75" thickBot="1">
      <c r="A239" s="18" t="s">
        <v>2798</v>
      </c>
      <c r="B239" s="18">
        <v>20026176726</v>
      </c>
      <c r="C239" s="18" t="s">
        <v>154</v>
      </c>
      <c r="D239" s="19">
        <v>45819.793749999997</v>
      </c>
      <c r="E239" s="19">
        <v>45852.385416666664</v>
      </c>
      <c r="F239" s="18">
        <v>5</v>
      </c>
      <c r="G239" s="18" t="s">
        <v>10</v>
      </c>
      <c r="H239" s="18" t="s">
        <v>178</v>
      </c>
      <c r="I239" s="18" t="s">
        <v>10</v>
      </c>
      <c r="J239" s="18" t="s">
        <v>146</v>
      </c>
      <c r="K239" s="20"/>
    </row>
    <row r="240" spans="1:11" ht="36.75" thickBot="1">
      <c r="A240" s="18" t="s">
        <v>3476</v>
      </c>
      <c r="B240" s="18">
        <v>20003475444</v>
      </c>
      <c r="C240" s="18" t="s">
        <v>218</v>
      </c>
      <c r="D240" s="19">
        <v>45832.45416666667</v>
      </c>
      <c r="E240" s="19">
        <v>45852.692361111112</v>
      </c>
      <c r="F240" s="18">
        <v>20</v>
      </c>
      <c r="G240" s="19">
        <v>45894.480555555558</v>
      </c>
      <c r="H240" s="18" t="s">
        <v>189</v>
      </c>
      <c r="I240" s="18" t="s">
        <v>10</v>
      </c>
      <c r="J240" s="18" t="s">
        <v>146</v>
      </c>
      <c r="K240" s="20"/>
    </row>
    <row r="241" spans="1:11" ht="36.75" thickBot="1">
      <c r="A241" s="18" t="s">
        <v>3477</v>
      </c>
      <c r="B241" s="18">
        <v>20025428617</v>
      </c>
      <c r="C241" s="18" t="s">
        <v>3478</v>
      </c>
      <c r="D241" s="19">
        <v>45854.728472222225</v>
      </c>
      <c r="E241" s="18" t="s">
        <v>10</v>
      </c>
      <c r="F241" s="18">
        <v>5</v>
      </c>
      <c r="G241" s="18" t="s">
        <v>10</v>
      </c>
      <c r="H241" s="18" t="s">
        <v>178</v>
      </c>
      <c r="I241" s="18" t="s">
        <v>10</v>
      </c>
      <c r="J241" s="18" t="s">
        <v>146</v>
      </c>
      <c r="K241" s="20"/>
    </row>
    <row r="242" spans="1:11" ht="36.75" thickBot="1">
      <c r="A242" s="18" t="s">
        <v>3479</v>
      </c>
      <c r="B242" s="18">
        <v>20003321534</v>
      </c>
      <c r="C242" s="18" t="s">
        <v>2774</v>
      </c>
      <c r="D242" s="19">
        <v>45833.525694444441</v>
      </c>
      <c r="E242" s="19">
        <v>45855.404861111114</v>
      </c>
      <c r="F242" s="18">
        <v>20</v>
      </c>
      <c r="G242" s="18" t="s">
        <v>10</v>
      </c>
      <c r="H242" s="18" t="s">
        <v>178</v>
      </c>
      <c r="I242" s="18" t="s">
        <v>10</v>
      </c>
      <c r="J242" s="18" t="s">
        <v>146</v>
      </c>
      <c r="K242" s="20"/>
    </row>
    <row r="243" spans="1:11" ht="36.75" thickBot="1">
      <c r="A243" s="18" t="s">
        <v>3480</v>
      </c>
      <c r="B243" s="18">
        <v>20025953681</v>
      </c>
      <c r="C243" s="18" t="s">
        <v>3460</v>
      </c>
      <c r="D243" s="19">
        <v>45855.647916666669</v>
      </c>
      <c r="E243" s="18" t="s">
        <v>10</v>
      </c>
      <c r="F243" s="18">
        <v>10</v>
      </c>
      <c r="G243" s="18" t="s">
        <v>10</v>
      </c>
      <c r="H243" s="18" t="s">
        <v>178</v>
      </c>
      <c r="I243" s="18" t="s">
        <v>10</v>
      </c>
      <c r="J243" s="18" t="s">
        <v>146</v>
      </c>
      <c r="K243" s="20"/>
    </row>
    <row r="244" spans="1:11" ht="36.75" thickBot="1">
      <c r="A244" s="18" t="s">
        <v>3481</v>
      </c>
      <c r="B244" s="18">
        <v>20028132141</v>
      </c>
      <c r="C244" s="18" t="s">
        <v>3460</v>
      </c>
      <c r="D244" s="19">
        <v>45855.655555555553</v>
      </c>
      <c r="E244" s="18" t="s">
        <v>10</v>
      </c>
      <c r="F244" s="18">
        <v>10</v>
      </c>
      <c r="G244" s="18" t="s">
        <v>10</v>
      </c>
      <c r="H244" s="18" t="s">
        <v>178</v>
      </c>
      <c r="I244" s="18" t="s">
        <v>10</v>
      </c>
      <c r="J244" s="18" t="s">
        <v>146</v>
      </c>
      <c r="K244" s="20"/>
    </row>
    <row r="245" spans="1:11" ht="36.75" thickBot="1">
      <c r="A245" s="18" t="s">
        <v>3482</v>
      </c>
      <c r="B245" s="18">
        <v>20003315804</v>
      </c>
      <c r="C245" s="18" t="s">
        <v>2794</v>
      </c>
      <c r="D245" s="19">
        <v>45859.489583333336</v>
      </c>
      <c r="E245" s="18" t="s">
        <v>10</v>
      </c>
      <c r="F245" s="18">
        <v>4</v>
      </c>
      <c r="G245" s="18" t="s">
        <v>10</v>
      </c>
      <c r="H245" s="18" t="s">
        <v>178</v>
      </c>
      <c r="I245" s="18" t="s">
        <v>10</v>
      </c>
      <c r="J245" s="18" t="s">
        <v>146</v>
      </c>
      <c r="K245" s="20"/>
    </row>
    <row r="246" spans="1:11" ht="72.75" thickBot="1">
      <c r="A246" s="18" t="s">
        <v>3483</v>
      </c>
      <c r="B246" s="18">
        <v>20026651945</v>
      </c>
      <c r="C246" s="18" t="s">
        <v>825</v>
      </c>
      <c r="D246" s="19">
        <v>45860.601388888892</v>
      </c>
      <c r="E246" s="18" t="s">
        <v>10</v>
      </c>
      <c r="F246" s="18">
        <v>6</v>
      </c>
      <c r="G246" s="18" t="s">
        <v>10</v>
      </c>
      <c r="H246" s="18" t="s">
        <v>178</v>
      </c>
      <c r="I246" s="18" t="s">
        <v>10</v>
      </c>
      <c r="J246" s="18" t="s">
        <v>146</v>
      </c>
      <c r="K246" s="20"/>
    </row>
    <row r="247" spans="1:11" ht="72.75" thickBot="1">
      <c r="A247" s="18" t="s">
        <v>3484</v>
      </c>
      <c r="B247" s="18">
        <v>20026652126</v>
      </c>
      <c r="C247" s="18" t="s">
        <v>825</v>
      </c>
      <c r="D247" s="19">
        <v>45860.638888888891</v>
      </c>
      <c r="E247" s="18" t="s">
        <v>10</v>
      </c>
      <c r="F247" s="18">
        <v>12</v>
      </c>
      <c r="G247" s="18" t="s">
        <v>10</v>
      </c>
      <c r="H247" s="18" t="s">
        <v>178</v>
      </c>
      <c r="I247" s="18" t="s">
        <v>10</v>
      </c>
      <c r="J247" s="18" t="s">
        <v>146</v>
      </c>
      <c r="K247" s="20"/>
    </row>
    <row r="248" spans="1:11" ht="54.75" thickBot="1">
      <c r="A248" s="18" t="s">
        <v>3485</v>
      </c>
      <c r="B248" s="18">
        <v>20022063705</v>
      </c>
      <c r="C248" s="18" t="s">
        <v>3486</v>
      </c>
      <c r="D248" s="19">
        <v>45869.46875</v>
      </c>
      <c r="E248" s="18" t="s">
        <v>10</v>
      </c>
      <c r="F248" s="18">
        <v>20</v>
      </c>
      <c r="G248" s="18" t="s">
        <v>10</v>
      </c>
      <c r="H248" s="18" t="s">
        <v>178</v>
      </c>
      <c r="I248" s="18" t="s">
        <v>10</v>
      </c>
      <c r="J248" s="18" t="s">
        <v>146</v>
      </c>
      <c r="K248" s="20"/>
    </row>
    <row r="249" spans="1:11" ht="36.75" thickBot="1">
      <c r="A249" s="18" t="s">
        <v>3487</v>
      </c>
      <c r="B249" s="18">
        <v>20003243602</v>
      </c>
      <c r="C249" s="18" t="s">
        <v>2778</v>
      </c>
      <c r="D249" s="19">
        <v>45870.684027777781</v>
      </c>
      <c r="E249" s="18" t="s">
        <v>10</v>
      </c>
      <c r="F249" s="18">
        <v>5</v>
      </c>
      <c r="G249" s="18" t="s">
        <v>10</v>
      </c>
      <c r="H249" s="18" t="s">
        <v>178</v>
      </c>
      <c r="I249" s="18" t="s">
        <v>10</v>
      </c>
      <c r="J249" s="18" t="s">
        <v>146</v>
      </c>
      <c r="K249" s="20"/>
    </row>
    <row r="250" spans="1:11" ht="54.75" thickBot="1">
      <c r="A250" s="18" t="s">
        <v>3488</v>
      </c>
      <c r="B250" s="18">
        <v>20022058177</v>
      </c>
      <c r="C250" s="18" t="s">
        <v>3486</v>
      </c>
      <c r="D250" s="19">
        <v>45874.454861111109</v>
      </c>
      <c r="E250" s="18" t="s">
        <v>10</v>
      </c>
      <c r="F250" s="18">
        <v>10</v>
      </c>
      <c r="G250" s="18" t="s">
        <v>10</v>
      </c>
      <c r="H250" s="18" t="s">
        <v>178</v>
      </c>
      <c r="I250" s="18" t="s">
        <v>10</v>
      </c>
      <c r="J250" s="18" t="s">
        <v>146</v>
      </c>
      <c r="K250" s="20"/>
    </row>
    <row r="251" spans="1:11" ht="54.75" thickBot="1">
      <c r="A251" s="18" t="s">
        <v>3489</v>
      </c>
      <c r="B251" s="18">
        <v>20027071690</v>
      </c>
      <c r="C251" s="18" t="s">
        <v>3490</v>
      </c>
      <c r="D251" s="19">
        <v>45875.671527777777</v>
      </c>
      <c r="E251" s="18" t="s">
        <v>10</v>
      </c>
      <c r="F251" s="18">
        <v>5</v>
      </c>
      <c r="G251" s="18" t="s">
        <v>10</v>
      </c>
      <c r="H251" s="18" t="s">
        <v>178</v>
      </c>
      <c r="I251" s="18" t="s">
        <v>10</v>
      </c>
      <c r="J251" s="18" t="s">
        <v>146</v>
      </c>
      <c r="K251" s="20"/>
    </row>
    <row r="252" spans="1:11" ht="54.75" thickBot="1">
      <c r="A252" s="18" t="s">
        <v>3491</v>
      </c>
      <c r="B252" s="18">
        <v>20028631471</v>
      </c>
      <c r="C252" s="18" t="s">
        <v>3492</v>
      </c>
      <c r="D252" s="19">
        <v>45876.395138888889</v>
      </c>
      <c r="E252" s="18" t="s">
        <v>10</v>
      </c>
      <c r="F252" s="18">
        <v>10</v>
      </c>
      <c r="G252" s="18" t="s">
        <v>10</v>
      </c>
      <c r="H252" s="18" t="s">
        <v>178</v>
      </c>
      <c r="I252" s="18" t="s">
        <v>10</v>
      </c>
      <c r="J252" s="18" t="s">
        <v>146</v>
      </c>
      <c r="K252" s="20"/>
    </row>
    <row r="253" spans="1:11" ht="36.75" thickBot="1">
      <c r="A253" s="18" t="s">
        <v>3493</v>
      </c>
      <c r="B253" s="18">
        <v>20019298839</v>
      </c>
      <c r="C253" s="18" t="s">
        <v>3494</v>
      </c>
      <c r="D253" s="19">
        <v>45877.482638888891</v>
      </c>
      <c r="E253" s="18" t="s">
        <v>10</v>
      </c>
      <c r="F253" s="18">
        <v>5</v>
      </c>
      <c r="G253" s="18" t="s">
        <v>10</v>
      </c>
      <c r="H253" s="18" t="s">
        <v>178</v>
      </c>
      <c r="I253" s="18" t="s">
        <v>10</v>
      </c>
      <c r="J253" s="18" t="s">
        <v>146</v>
      </c>
      <c r="K253" s="20"/>
    </row>
    <row r="254" spans="1:11" ht="36.75" thickBot="1">
      <c r="A254" s="18" t="s">
        <v>3495</v>
      </c>
      <c r="B254" s="18">
        <v>20026473623</v>
      </c>
      <c r="C254" s="18" t="s">
        <v>3496</v>
      </c>
      <c r="D254" s="19">
        <v>45877.586111111108</v>
      </c>
      <c r="E254" s="18" t="s">
        <v>10</v>
      </c>
      <c r="F254" s="18">
        <v>5</v>
      </c>
      <c r="G254" s="19">
        <v>45982.413888888892</v>
      </c>
      <c r="H254" s="18" t="s">
        <v>2657</v>
      </c>
      <c r="I254" s="18" t="s">
        <v>10</v>
      </c>
      <c r="J254" s="18" t="s">
        <v>146</v>
      </c>
      <c r="K254" s="20"/>
    </row>
    <row r="255" spans="1:11" ht="36.75" thickBot="1">
      <c r="A255" s="18" t="s">
        <v>3497</v>
      </c>
      <c r="B255" s="18">
        <v>20026254022</v>
      </c>
      <c r="C255" s="18" t="s">
        <v>3466</v>
      </c>
      <c r="D255" s="19">
        <v>45882.454861111109</v>
      </c>
      <c r="E255" s="18" t="s">
        <v>10</v>
      </c>
      <c r="F255" s="18">
        <v>0.47499999999999998</v>
      </c>
      <c r="G255" s="18" t="s">
        <v>10</v>
      </c>
      <c r="H255" s="18" t="s">
        <v>178</v>
      </c>
      <c r="I255" s="18" t="s">
        <v>10</v>
      </c>
      <c r="J255" s="18" t="s">
        <v>146</v>
      </c>
      <c r="K255" s="20"/>
    </row>
    <row r="256" spans="1:11" ht="36.75" thickBot="1">
      <c r="A256" s="18" t="s">
        <v>3498</v>
      </c>
      <c r="B256" s="18">
        <v>20003302185</v>
      </c>
      <c r="C256" s="18" t="s">
        <v>150</v>
      </c>
      <c r="D256" s="19">
        <v>45883.447222222225</v>
      </c>
      <c r="E256" s="18" t="s">
        <v>10</v>
      </c>
      <c r="F256" s="18">
        <v>5</v>
      </c>
      <c r="G256" s="18" t="s">
        <v>10</v>
      </c>
      <c r="H256" s="18" t="s">
        <v>178</v>
      </c>
      <c r="I256" s="18" t="s">
        <v>10</v>
      </c>
      <c r="J256" s="18" t="s">
        <v>146</v>
      </c>
      <c r="K256" s="20"/>
    </row>
    <row r="257" spans="1:11" ht="36.75" thickBot="1">
      <c r="A257" s="18" t="s">
        <v>3499</v>
      </c>
      <c r="B257" s="18">
        <v>20003016636</v>
      </c>
      <c r="C257" s="18" t="s">
        <v>3471</v>
      </c>
      <c r="D257" s="19">
        <v>45883.47152777778</v>
      </c>
      <c r="E257" s="18" t="s">
        <v>10</v>
      </c>
      <c r="F257" s="18">
        <v>3</v>
      </c>
      <c r="G257" s="18" t="s">
        <v>10</v>
      </c>
      <c r="H257" s="18" t="s">
        <v>189</v>
      </c>
      <c r="I257" s="18" t="s">
        <v>10</v>
      </c>
      <c r="J257" s="18" t="s">
        <v>146</v>
      </c>
      <c r="K257" s="20"/>
    </row>
    <row r="258" spans="1:11" ht="36.75" thickBot="1">
      <c r="A258" s="18" t="s">
        <v>3500</v>
      </c>
      <c r="B258" s="18">
        <v>20016783499</v>
      </c>
      <c r="C258" s="18" t="s">
        <v>1234</v>
      </c>
      <c r="D258" s="19">
        <v>45834.553472222222</v>
      </c>
      <c r="E258" s="19">
        <v>45884.470138888886</v>
      </c>
      <c r="F258" s="18">
        <v>5</v>
      </c>
      <c r="G258" s="19">
        <v>45925.635416666664</v>
      </c>
      <c r="H258" s="18" t="s">
        <v>236</v>
      </c>
      <c r="I258" s="18" t="s">
        <v>10</v>
      </c>
      <c r="J258" s="18" t="s">
        <v>146</v>
      </c>
      <c r="K258" s="20"/>
    </row>
    <row r="259" spans="1:11" ht="36.75" thickBot="1">
      <c r="A259" s="18" t="s">
        <v>3501</v>
      </c>
      <c r="B259" s="18">
        <v>20028349911</v>
      </c>
      <c r="C259" s="18" t="s">
        <v>3502</v>
      </c>
      <c r="D259" s="19">
        <v>45884.742361111108</v>
      </c>
      <c r="E259" s="18" t="s">
        <v>10</v>
      </c>
      <c r="F259" s="18">
        <v>5</v>
      </c>
      <c r="G259" s="18" t="s">
        <v>10</v>
      </c>
      <c r="H259" s="18" t="s">
        <v>178</v>
      </c>
      <c r="I259" s="18" t="s">
        <v>10</v>
      </c>
      <c r="J259" s="18" t="s">
        <v>146</v>
      </c>
      <c r="K259" s="20"/>
    </row>
    <row r="260" spans="1:11" ht="36.75" thickBot="1">
      <c r="A260" s="18" t="s">
        <v>3503</v>
      </c>
      <c r="B260" s="18">
        <v>20003174739</v>
      </c>
      <c r="C260" s="18" t="s">
        <v>3504</v>
      </c>
      <c r="D260" s="19">
        <v>45888.609027777777</v>
      </c>
      <c r="E260" s="18" t="s">
        <v>10</v>
      </c>
      <c r="F260" s="18">
        <v>5</v>
      </c>
      <c r="G260" s="18" t="s">
        <v>10</v>
      </c>
      <c r="H260" s="18" t="s">
        <v>178</v>
      </c>
      <c r="I260" s="18" t="s">
        <v>10</v>
      </c>
      <c r="J260" s="18" t="s">
        <v>146</v>
      </c>
      <c r="K260" s="20"/>
    </row>
    <row r="261" spans="1:11" ht="36.75" thickBot="1">
      <c r="A261" s="18" t="s">
        <v>2585</v>
      </c>
      <c r="B261" s="18">
        <v>20022934696</v>
      </c>
      <c r="C261" s="18" t="s">
        <v>215</v>
      </c>
      <c r="D261" s="19">
        <v>45765.481249999997</v>
      </c>
      <c r="E261" s="19">
        <v>45889.414583333331</v>
      </c>
      <c r="F261" s="18">
        <v>20</v>
      </c>
      <c r="G261" s="18" t="s">
        <v>10</v>
      </c>
      <c r="H261" s="18" t="s">
        <v>178</v>
      </c>
      <c r="I261" s="18" t="s">
        <v>10</v>
      </c>
      <c r="J261" s="18" t="s">
        <v>146</v>
      </c>
      <c r="K261" s="20"/>
    </row>
    <row r="262" spans="1:11" ht="36.75" thickBot="1">
      <c r="A262" s="18" t="s">
        <v>3505</v>
      </c>
      <c r="B262" s="18">
        <v>20028676088</v>
      </c>
      <c r="C262" s="18" t="s">
        <v>2794</v>
      </c>
      <c r="D262" s="19">
        <v>45891.535416666666</v>
      </c>
      <c r="E262" s="18" t="s">
        <v>10</v>
      </c>
      <c r="F262" s="18">
        <v>4</v>
      </c>
      <c r="G262" s="18" t="s">
        <v>10</v>
      </c>
      <c r="H262" s="18" t="s">
        <v>178</v>
      </c>
      <c r="I262" s="18" t="s">
        <v>10</v>
      </c>
      <c r="J262" s="18" t="s">
        <v>146</v>
      </c>
      <c r="K262" s="20"/>
    </row>
    <row r="263" spans="1:11" ht="36.75" thickBot="1">
      <c r="A263" s="18" t="s">
        <v>2795</v>
      </c>
      <c r="B263" s="18">
        <v>20027907826</v>
      </c>
      <c r="C263" s="18" t="s">
        <v>2796</v>
      </c>
      <c r="D263" s="19">
        <v>45818.666666666664</v>
      </c>
      <c r="E263" s="19">
        <v>45894.467361111114</v>
      </c>
      <c r="F263" s="18">
        <v>10</v>
      </c>
      <c r="G263" s="18" t="s">
        <v>10</v>
      </c>
      <c r="H263" s="18" t="s">
        <v>189</v>
      </c>
      <c r="I263" s="18" t="s">
        <v>10</v>
      </c>
      <c r="J263" s="18" t="s">
        <v>146</v>
      </c>
      <c r="K263" s="20"/>
    </row>
    <row r="264" spans="1:11" ht="36.75" thickBot="1">
      <c r="A264" s="18" t="s">
        <v>3506</v>
      </c>
      <c r="B264" s="18">
        <v>20028132141</v>
      </c>
      <c r="C264" s="18" t="s">
        <v>3460</v>
      </c>
      <c r="D264" s="19">
        <v>45895.45208333333</v>
      </c>
      <c r="E264" s="18" t="s">
        <v>10</v>
      </c>
      <c r="F264" s="18">
        <v>10</v>
      </c>
      <c r="G264" s="18" t="s">
        <v>10</v>
      </c>
      <c r="H264" s="18" t="s">
        <v>178</v>
      </c>
      <c r="I264" s="18" t="s">
        <v>10</v>
      </c>
      <c r="J264" s="18" t="s">
        <v>146</v>
      </c>
      <c r="K264" s="20"/>
    </row>
    <row r="265" spans="1:11" ht="36.75" thickBot="1">
      <c r="A265" s="18" t="s">
        <v>3507</v>
      </c>
      <c r="B265" s="18">
        <v>20022063705</v>
      </c>
      <c r="C265" s="18" t="s">
        <v>2594</v>
      </c>
      <c r="D265" s="19">
        <v>45895.454861111109</v>
      </c>
      <c r="E265" s="18" t="s">
        <v>10</v>
      </c>
      <c r="F265" s="18">
        <v>20</v>
      </c>
      <c r="G265" s="18" t="s">
        <v>10</v>
      </c>
      <c r="H265" s="18" t="s">
        <v>178</v>
      </c>
      <c r="I265" s="18" t="s">
        <v>10</v>
      </c>
      <c r="J265" s="18" t="s">
        <v>146</v>
      </c>
      <c r="K265" s="20"/>
    </row>
    <row r="266" spans="1:11" ht="36.75" thickBot="1">
      <c r="A266" s="18" t="s">
        <v>3508</v>
      </c>
      <c r="B266" s="18">
        <v>20028132141</v>
      </c>
      <c r="C266" s="18" t="s">
        <v>3462</v>
      </c>
      <c r="D266" s="19">
        <v>45895.550694444442</v>
      </c>
      <c r="E266" s="18" t="s">
        <v>10</v>
      </c>
      <c r="F266" s="18">
        <v>10</v>
      </c>
      <c r="G266" s="18" t="s">
        <v>10</v>
      </c>
      <c r="H266" s="18" t="s">
        <v>178</v>
      </c>
      <c r="I266" s="18" t="s">
        <v>10</v>
      </c>
      <c r="J266" s="18" t="s">
        <v>146</v>
      </c>
      <c r="K266" s="20"/>
    </row>
    <row r="267" spans="1:11" ht="54.75" thickBot="1">
      <c r="A267" s="18" t="s">
        <v>3509</v>
      </c>
      <c r="B267" s="18">
        <v>20027071690</v>
      </c>
      <c r="C267" s="18" t="s">
        <v>3490</v>
      </c>
      <c r="D267" s="19">
        <v>45897.636111111111</v>
      </c>
      <c r="E267" s="18" t="s">
        <v>10</v>
      </c>
      <c r="F267" s="18">
        <v>5</v>
      </c>
      <c r="G267" s="18" t="s">
        <v>10</v>
      </c>
      <c r="H267" s="18" t="s">
        <v>178</v>
      </c>
      <c r="I267" s="18" t="s">
        <v>10</v>
      </c>
      <c r="J267" s="18" t="s">
        <v>146</v>
      </c>
      <c r="K267" s="20"/>
    </row>
    <row r="268" spans="1:11" ht="54.75" thickBot="1">
      <c r="A268" s="18" t="s">
        <v>3510</v>
      </c>
      <c r="B268" s="18">
        <v>20025304902</v>
      </c>
      <c r="C268" s="18" t="s">
        <v>2339</v>
      </c>
      <c r="D268" s="19">
        <v>45873.587500000001</v>
      </c>
      <c r="E268" s="19">
        <v>45899.545138888891</v>
      </c>
      <c r="F268" s="18">
        <v>15</v>
      </c>
      <c r="G268" s="19">
        <v>45932.595138888886</v>
      </c>
      <c r="H268" s="18" t="s">
        <v>2657</v>
      </c>
      <c r="I268" s="18" t="s">
        <v>10</v>
      </c>
      <c r="J268" s="18" t="s">
        <v>146</v>
      </c>
      <c r="K268" s="20"/>
    </row>
    <row r="269" spans="1:11" ht="36.75" thickBot="1">
      <c r="A269" s="18" t="s">
        <v>3511</v>
      </c>
      <c r="B269" s="18">
        <v>20027000471</v>
      </c>
      <c r="C269" s="18" t="s">
        <v>3512</v>
      </c>
      <c r="D269" s="19">
        <v>45904.650694444441</v>
      </c>
      <c r="E269" s="18" t="s">
        <v>10</v>
      </c>
      <c r="F269" s="18">
        <v>8</v>
      </c>
      <c r="G269" s="18" t="s">
        <v>10</v>
      </c>
      <c r="H269" s="18" t="s">
        <v>178</v>
      </c>
      <c r="I269" s="18" t="s">
        <v>10</v>
      </c>
      <c r="J269" s="18" t="s">
        <v>146</v>
      </c>
      <c r="K269" s="20"/>
    </row>
    <row r="270" spans="1:11" ht="36.75" thickBot="1">
      <c r="A270" s="18" t="s">
        <v>3513</v>
      </c>
      <c r="B270" s="18">
        <v>20022058177</v>
      </c>
      <c r="C270" s="18" t="s">
        <v>2594</v>
      </c>
      <c r="D270" s="19">
        <v>45911.459027777775</v>
      </c>
      <c r="E270" s="18" t="s">
        <v>10</v>
      </c>
      <c r="F270" s="18">
        <v>10</v>
      </c>
      <c r="G270" s="18" t="s">
        <v>10</v>
      </c>
      <c r="H270" s="18" t="s">
        <v>178</v>
      </c>
      <c r="I270" s="18" t="s">
        <v>10</v>
      </c>
      <c r="J270" s="18" t="s">
        <v>146</v>
      </c>
      <c r="K270" s="20"/>
    </row>
    <row r="271" spans="1:11" ht="36.75" thickBot="1">
      <c r="A271" s="18" t="s">
        <v>3514</v>
      </c>
      <c r="B271" s="18">
        <v>20026254022</v>
      </c>
      <c r="C271" s="18" t="s">
        <v>3466</v>
      </c>
      <c r="D271" s="19">
        <v>45911.629861111112</v>
      </c>
      <c r="E271" s="18" t="s">
        <v>10</v>
      </c>
      <c r="F271" s="18">
        <v>6.65</v>
      </c>
      <c r="G271" s="18" t="s">
        <v>10</v>
      </c>
      <c r="H271" s="18" t="s">
        <v>178</v>
      </c>
      <c r="I271" s="18" t="s">
        <v>10</v>
      </c>
      <c r="J271" s="18" t="s">
        <v>146</v>
      </c>
      <c r="K271" s="20"/>
    </row>
    <row r="272" spans="1:11" ht="36.75" thickBot="1">
      <c r="A272" s="18" t="s">
        <v>3515</v>
      </c>
      <c r="B272" s="18">
        <v>20025428617</v>
      </c>
      <c r="C272" s="18" t="s">
        <v>3478</v>
      </c>
      <c r="D272" s="19">
        <v>45884.557638888888</v>
      </c>
      <c r="E272" s="19">
        <v>45913.661805555559</v>
      </c>
      <c r="F272" s="18">
        <v>5</v>
      </c>
      <c r="G272" s="19">
        <v>45919.464583333334</v>
      </c>
      <c r="H272" s="18" t="s">
        <v>236</v>
      </c>
      <c r="I272" s="18" t="s">
        <v>10</v>
      </c>
      <c r="J272" s="18" t="s">
        <v>146</v>
      </c>
      <c r="K272" s="20"/>
    </row>
    <row r="273" spans="1:11" ht="36.75" thickBot="1">
      <c r="A273" s="18" t="s">
        <v>3516</v>
      </c>
      <c r="B273" s="18">
        <v>20025547225</v>
      </c>
      <c r="C273" s="18" t="s">
        <v>3517</v>
      </c>
      <c r="D273" s="19">
        <v>45915.456250000003</v>
      </c>
      <c r="E273" s="18" t="s">
        <v>10</v>
      </c>
      <c r="F273" s="18">
        <v>15</v>
      </c>
      <c r="G273" s="18" t="s">
        <v>10</v>
      </c>
      <c r="H273" s="18" t="s">
        <v>178</v>
      </c>
      <c r="I273" s="18" t="s">
        <v>10</v>
      </c>
      <c r="J273" s="18" t="s">
        <v>146</v>
      </c>
      <c r="K273" s="20"/>
    </row>
    <row r="274" spans="1:11" ht="36.75" thickBot="1">
      <c r="A274" s="18" t="s">
        <v>3518</v>
      </c>
      <c r="B274" s="18">
        <v>20028770114</v>
      </c>
      <c r="C274" s="18" t="s">
        <v>3519</v>
      </c>
      <c r="D274" s="19">
        <v>45915.623611111114</v>
      </c>
      <c r="E274" s="18" t="s">
        <v>10</v>
      </c>
      <c r="F274" s="18">
        <v>5</v>
      </c>
      <c r="G274" s="18" t="s">
        <v>10</v>
      </c>
      <c r="H274" s="18" t="s">
        <v>178</v>
      </c>
      <c r="I274" s="18" t="s">
        <v>10</v>
      </c>
      <c r="J274" s="18" t="s">
        <v>146</v>
      </c>
      <c r="K274" s="20"/>
    </row>
    <row r="275" spans="1:11" ht="36.75" thickBot="1">
      <c r="A275" s="18" t="s">
        <v>3520</v>
      </c>
      <c r="B275" s="18">
        <v>20028770115</v>
      </c>
      <c r="C275" s="18" t="s">
        <v>3519</v>
      </c>
      <c r="D275" s="19">
        <v>45915.67083333333</v>
      </c>
      <c r="E275" s="18" t="s">
        <v>10</v>
      </c>
      <c r="F275" s="18">
        <v>5</v>
      </c>
      <c r="G275" s="18" t="s">
        <v>10</v>
      </c>
      <c r="H275" s="18" t="s">
        <v>178</v>
      </c>
      <c r="I275" s="18" t="s">
        <v>10</v>
      </c>
      <c r="J275" s="18" t="s">
        <v>146</v>
      </c>
      <c r="K275" s="20"/>
    </row>
    <row r="276" spans="1:11" ht="36.75" thickBot="1">
      <c r="A276" s="18" t="s">
        <v>3521</v>
      </c>
      <c r="B276" s="18">
        <v>20003240817</v>
      </c>
      <c r="C276" s="18" t="s">
        <v>2771</v>
      </c>
      <c r="D276" s="19">
        <v>45916.42083333333</v>
      </c>
      <c r="E276" s="18" t="s">
        <v>10</v>
      </c>
      <c r="F276" s="18">
        <v>4</v>
      </c>
      <c r="G276" s="18" t="s">
        <v>10</v>
      </c>
      <c r="H276" s="18" t="s">
        <v>178</v>
      </c>
      <c r="I276" s="18" t="s">
        <v>10</v>
      </c>
      <c r="J276" s="18" t="s">
        <v>146</v>
      </c>
      <c r="K276" s="20"/>
    </row>
    <row r="277" spans="1:11" ht="90.75" thickBot="1">
      <c r="A277" s="18" t="s">
        <v>3522</v>
      </c>
      <c r="B277" s="18">
        <v>20028777212</v>
      </c>
      <c r="C277" s="18" t="s">
        <v>3523</v>
      </c>
      <c r="D277" s="19">
        <v>45894.470138888886</v>
      </c>
      <c r="E277" s="19">
        <v>45916.609722222223</v>
      </c>
      <c r="F277" s="18">
        <v>6</v>
      </c>
      <c r="G277" s="19">
        <v>45938.432638888888</v>
      </c>
      <c r="H277" s="18" t="s">
        <v>236</v>
      </c>
      <c r="I277" s="18" t="s">
        <v>10</v>
      </c>
      <c r="J277" s="18" t="s">
        <v>146</v>
      </c>
      <c r="K277" s="20"/>
    </row>
    <row r="278" spans="1:11" ht="54.75" thickBot="1">
      <c r="A278" s="18" t="s">
        <v>3524</v>
      </c>
      <c r="B278" s="18">
        <v>20027071690</v>
      </c>
      <c r="C278" s="18" t="s">
        <v>3525</v>
      </c>
      <c r="D278" s="19">
        <v>45917.429861111108</v>
      </c>
      <c r="E278" s="18" t="s">
        <v>10</v>
      </c>
      <c r="F278" s="18">
        <v>5</v>
      </c>
      <c r="G278" s="18" t="s">
        <v>10</v>
      </c>
      <c r="H278" s="18" t="s">
        <v>178</v>
      </c>
      <c r="I278" s="18" t="s">
        <v>10</v>
      </c>
      <c r="J278" s="18" t="s">
        <v>146</v>
      </c>
      <c r="K278" s="20"/>
    </row>
    <row r="279" spans="1:11" ht="36.75" thickBot="1">
      <c r="A279" s="18" t="s">
        <v>3526</v>
      </c>
      <c r="B279" s="18">
        <v>20019298839</v>
      </c>
      <c r="C279" s="18" t="s">
        <v>392</v>
      </c>
      <c r="D279" s="19">
        <v>45913.461805555555</v>
      </c>
      <c r="E279" s="19">
        <v>45918.488888888889</v>
      </c>
      <c r="F279" s="18">
        <v>5</v>
      </c>
      <c r="G279" s="19">
        <v>45933.375</v>
      </c>
      <c r="H279" s="18" t="s">
        <v>236</v>
      </c>
      <c r="I279" s="18" t="s">
        <v>10</v>
      </c>
      <c r="J279" s="18" t="s">
        <v>146</v>
      </c>
      <c r="K279" s="20"/>
    </row>
    <row r="280" spans="1:11" ht="36.75" thickBot="1">
      <c r="A280" s="18" t="s">
        <v>3527</v>
      </c>
      <c r="B280" s="18">
        <v>20028349911</v>
      </c>
      <c r="C280" s="18" t="s">
        <v>3528</v>
      </c>
      <c r="D280" s="19">
        <v>45919.570833333331</v>
      </c>
      <c r="E280" s="18" t="s">
        <v>10</v>
      </c>
      <c r="F280" s="18">
        <v>5</v>
      </c>
      <c r="G280" s="18" t="s">
        <v>10</v>
      </c>
      <c r="H280" s="18" t="s">
        <v>178</v>
      </c>
      <c r="I280" s="18" t="s">
        <v>10</v>
      </c>
      <c r="J280" s="18" t="s">
        <v>146</v>
      </c>
      <c r="K280" s="20"/>
    </row>
    <row r="281" spans="1:11" ht="36.75" thickBot="1">
      <c r="A281" s="18" t="s">
        <v>3529</v>
      </c>
      <c r="B281" s="18">
        <v>20021525621</v>
      </c>
      <c r="C281" s="18" t="s">
        <v>3530</v>
      </c>
      <c r="D281" s="19">
        <v>45920.473611111112</v>
      </c>
      <c r="E281" s="18" t="s">
        <v>10</v>
      </c>
      <c r="F281" s="18">
        <v>5</v>
      </c>
      <c r="G281" s="18" t="s">
        <v>10</v>
      </c>
      <c r="H281" s="18" t="s">
        <v>178</v>
      </c>
      <c r="I281" s="18" t="s">
        <v>10</v>
      </c>
      <c r="J281" s="18" t="s">
        <v>146</v>
      </c>
      <c r="K281" s="20"/>
    </row>
    <row r="282" spans="1:11" ht="36.75" thickBot="1">
      <c r="A282" s="18" t="s">
        <v>3531</v>
      </c>
      <c r="B282" s="18">
        <v>20028770114</v>
      </c>
      <c r="C282" s="18" t="s">
        <v>3519</v>
      </c>
      <c r="D282" s="19">
        <v>45922.631249999999</v>
      </c>
      <c r="E282" s="18" t="s">
        <v>10</v>
      </c>
      <c r="F282" s="18">
        <v>5</v>
      </c>
      <c r="G282" s="18" t="s">
        <v>10</v>
      </c>
      <c r="H282" s="18" t="s">
        <v>178</v>
      </c>
      <c r="I282" s="18" t="s">
        <v>10</v>
      </c>
      <c r="J282" s="18" t="s">
        <v>146</v>
      </c>
      <c r="K282" s="20"/>
    </row>
    <row r="283" spans="1:11" ht="36.75" thickBot="1">
      <c r="A283" s="18" t="s">
        <v>3532</v>
      </c>
      <c r="B283" s="18">
        <v>20028770115</v>
      </c>
      <c r="C283" s="18" t="s">
        <v>3519</v>
      </c>
      <c r="D283" s="19">
        <v>45922.63958333333</v>
      </c>
      <c r="E283" s="18" t="s">
        <v>10</v>
      </c>
      <c r="F283" s="18">
        <v>5</v>
      </c>
      <c r="G283" s="18" t="s">
        <v>10</v>
      </c>
      <c r="H283" s="18" t="s">
        <v>178</v>
      </c>
      <c r="I283" s="18" t="s">
        <v>10</v>
      </c>
      <c r="J283" s="18" t="s">
        <v>146</v>
      </c>
      <c r="K283" s="20"/>
    </row>
    <row r="284" spans="1:11" ht="36.75" thickBot="1">
      <c r="A284" s="18" t="s">
        <v>3533</v>
      </c>
      <c r="B284" s="18">
        <v>20026254022</v>
      </c>
      <c r="C284" s="18" t="s">
        <v>3466</v>
      </c>
      <c r="D284" s="19">
        <v>45923.689583333333</v>
      </c>
      <c r="E284" s="18" t="s">
        <v>10</v>
      </c>
      <c r="F284" s="18">
        <v>6.65</v>
      </c>
      <c r="G284" s="18" t="s">
        <v>10</v>
      </c>
      <c r="H284" s="18" t="s">
        <v>178</v>
      </c>
      <c r="I284" s="18" t="s">
        <v>10</v>
      </c>
      <c r="J284" s="18" t="s">
        <v>146</v>
      </c>
      <c r="K284" s="20"/>
    </row>
    <row r="285" spans="1:11" ht="36.75" thickBot="1">
      <c r="A285" s="18" t="s">
        <v>3534</v>
      </c>
      <c r="B285" s="18">
        <v>20028132141</v>
      </c>
      <c r="C285" s="18" t="s">
        <v>3462</v>
      </c>
      <c r="D285" s="19">
        <v>45916.731944444444</v>
      </c>
      <c r="E285" s="19">
        <v>45924.370138888888</v>
      </c>
      <c r="F285" s="18">
        <v>10</v>
      </c>
      <c r="G285" s="19">
        <v>45947.460416666669</v>
      </c>
      <c r="H285" s="18" t="s">
        <v>236</v>
      </c>
      <c r="I285" s="18" t="s">
        <v>10</v>
      </c>
      <c r="J285" s="18" t="s">
        <v>146</v>
      </c>
      <c r="K285" s="20"/>
    </row>
    <row r="286" spans="1:11" ht="54.75" thickBot="1">
      <c r="A286" s="18" t="s">
        <v>3535</v>
      </c>
      <c r="B286" s="18">
        <v>20027071690</v>
      </c>
      <c r="C286" s="18" t="s">
        <v>3525</v>
      </c>
      <c r="D286" s="19">
        <v>45926.628472222219</v>
      </c>
      <c r="E286" s="18" t="s">
        <v>10</v>
      </c>
      <c r="F286" s="18">
        <v>5</v>
      </c>
      <c r="G286" s="18" t="s">
        <v>10</v>
      </c>
      <c r="H286" s="18" t="s">
        <v>178</v>
      </c>
      <c r="I286" s="18" t="s">
        <v>10</v>
      </c>
      <c r="J286" s="18" t="s">
        <v>146</v>
      </c>
      <c r="K286" s="20"/>
    </row>
    <row r="287" spans="1:11" ht="90.75" thickBot="1">
      <c r="A287" s="18" t="s">
        <v>3536</v>
      </c>
      <c r="B287" s="18">
        <v>20028755896</v>
      </c>
      <c r="C287" s="18" t="s">
        <v>3523</v>
      </c>
      <c r="D287" s="19">
        <v>45894.477083333331</v>
      </c>
      <c r="E287" s="19">
        <v>45926.695833333331</v>
      </c>
      <c r="F287" s="18">
        <v>12</v>
      </c>
      <c r="G287" s="19">
        <v>45939.51458333333</v>
      </c>
      <c r="H287" s="18" t="s">
        <v>236</v>
      </c>
      <c r="I287" s="18" t="s">
        <v>10</v>
      </c>
      <c r="J287" s="18" t="s">
        <v>146</v>
      </c>
      <c r="K287" s="20"/>
    </row>
    <row r="288" spans="1:11" ht="72.75" thickBot="1">
      <c r="A288" s="18" t="s">
        <v>3537</v>
      </c>
      <c r="B288" s="18">
        <v>20023032458</v>
      </c>
      <c r="C288" s="18" t="s">
        <v>257</v>
      </c>
      <c r="D288" s="19">
        <v>45930.406944444447</v>
      </c>
      <c r="E288" s="18" t="s">
        <v>10</v>
      </c>
      <c r="F288" s="18">
        <v>20</v>
      </c>
      <c r="G288" s="18" t="s">
        <v>10</v>
      </c>
      <c r="H288" s="18" t="s">
        <v>178</v>
      </c>
      <c r="I288" s="18" t="s">
        <v>10</v>
      </c>
      <c r="J288" s="18" t="s">
        <v>146</v>
      </c>
      <c r="K288" s="20"/>
    </row>
    <row r="289" spans="1:11" ht="36.75" thickBot="1">
      <c r="A289" s="18" t="s">
        <v>3538</v>
      </c>
      <c r="B289" s="18">
        <v>20025953681</v>
      </c>
      <c r="C289" s="18" t="s">
        <v>3460</v>
      </c>
      <c r="D289" s="19">
        <v>45919.688194444447</v>
      </c>
      <c r="E289" s="19">
        <v>45932.353472222225</v>
      </c>
      <c r="F289" s="18">
        <v>10</v>
      </c>
      <c r="G289" s="19">
        <v>45947.460416666669</v>
      </c>
      <c r="H289" s="18" t="s">
        <v>236</v>
      </c>
      <c r="I289" s="18" t="s">
        <v>10</v>
      </c>
      <c r="J289" s="18" t="s">
        <v>146</v>
      </c>
      <c r="K289" s="20"/>
    </row>
    <row r="290" spans="1:11" ht="36.75" thickBot="1">
      <c r="A290" s="18" t="s">
        <v>3539</v>
      </c>
      <c r="B290" s="18">
        <v>20028349911</v>
      </c>
      <c r="C290" s="18" t="s">
        <v>3528</v>
      </c>
      <c r="D290" s="19">
        <v>45933.694444444445</v>
      </c>
      <c r="E290" s="18" t="s">
        <v>10</v>
      </c>
      <c r="F290" s="18">
        <v>5</v>
      </c>
      <c r="G290" s="18" t="s">
        <v>10</v>
      </c>
      <c r="H290" s="18" t="s">
        <v>178</v>
      </c>
      <c r="I290" s="18" t="s">
        <v>10</v>
      </c>
      <c r="J290" s="18" t="s">
        <v>146</v>
      </c>
      <c r="K290" s="20"/>
    </row>
    <row r="291" spans="1:11" ht="36.75" thickBot="1">
      <c r="A291" s="18" t="s">
        <v>3540</v>
      </c>
      <c r="B291" s="18">
        <v>20025659210</v>
      </c>
      <c r="C291" s="18" t="s">
        <v>755</v>
      </c>
      <c r="D291" s="19">
        <v>45859.426388888889</v>
      </c>
      <c r="E291" s="19">
        <v>45937.503472222219</v>
      </c>
      <c r="F291" s="18">
        <v>2</v>
      </c>
      <c r="G291" s="18" t="s">
        <v>10</v>
      </c>
      <c r="H291" s="18" t="s">
        <v>178</v>
      </c>
      <c r="I291" s="18" t="s">
        <v>10</v>
      </c>
      <c r="J291" s="18" t="s">
        <v>146</v>
      </c>
      <c r="K291" s="20"/>
    </row>
    <row r="292" spans="1:11" ht="36.75" thickBot="1">
      <c r="A292" s="18" t="s">
        <v>3541</v>
      </c>
      <c r="B292" s="18">
        <v>20026119250</v>
      </c>
      <c r="C292" s="18" t="s">
        <v>2783</v>
      </c>
      <c r="D292" s="19">
        <v>45891.669444444444</v>
      </c>
      <c r="E292" s="19">
        <v>45939.352083333331</v>
      </c>
      <c r="F292" s="18">
        <v>10</v>
      </c>
      <c r="G292" s="18" t="s">
        <v>10</v>
      </c>
      <c r="H292" s="18" t="s">
        <v>178</v>
      </c>
      <c r="I292" s="18" t="s">
        <v>10</v>
      </c>
      <c r="J292" s="18" t="s">
        <v>146</v>
      </c>
      <c r="K292" s="20"/>
    </row>
    <row r="293" spans="1:11" ht="36.75" thickBot="1">
      <c r="A293" s="18" t="s">
        <v>3542</v>
      </c>
      <c r="B293" s="18">
        <v>20026021994</v>
      </c>
      <c r="C293" s="18" t="s">
        <v>2783</v>
      </c>
      <c r="D293" s="19">
        <v>45891.658333333333</v>
      </c>
      <c r="E293" s="19">
        <v>45939.354166666664</v>
      </c>
      <c r="F293" s="18">
        <v>10</v>
      </c>
      <c r="G293" s="18" t="s">
        <v>10</v>
      </c>
      <c r="H293" s="18" t="s">
        <v>178</v>
      </c>
      <c r="I293" s="18" t="s">
        <v>10</v>
      </c>
      <c r="J293" s="18" t="s">
        <v>146</v>
      </c>
      <c r="K293" s="20"/>
    </row>
    <row r="294" spans="1:11" ht="54.75" thickBot="1">
      <c r="A294" s="18" t="s">
        <v>3543</v>
      </c>
      <c r="B294" s="18">
        <v>20027071690</v>
      </c>
      <c r="C294" s="18" t="s">
        <v>534</v>
      </c>
      <c r="D294" s="19">
        <v>45939.851388888892</v>
      </c>
      <c r="E294" s="18" t="s">
        <v>10</v>
      </c>
      <c r="F294" s="18">
        <v>15</v>
      </c>
      <c r="G294" s="18" t="s">
        <v>10</v>
      </c>
      <c r="H294" s="18" t="s">
        <v>178</v>
      </c>
      <c r="I294" s="18" t="s">
        <v>10</v>
      </c>
      <c r="J294" s="18" t="s">
        <v>146</v>
      </c>
      <c r="K294" s="20"/>
    </row>
    <row r="295" spans="1:11" ht="72.75" thickBot="1">
      <c r="A295" s="18" t="s">
        <v>3544</v>
      </c>
      <c r="B295" s="18">
        <v>20023975157</v>
      </c>
      <c r="C295" s="18" t="s">
        <v>1232</v>
      </c>
      <c r="D295" s="19">
        <v>45943.440972222219</v>
      </c>
      <c r="E295" s="18" t="s">
        <v>10</v>
      </c>
      <c r="F295" s="18">
        <v>10</v>
      </c>
      <c r="G295" s="18" t="s">
        <v>10</v>
      </c>
      <c r="H295" s="18" t="s">
        <v>178</v>
      </c>
      <c r="I295" s="18" t="s">
        <v>10</v>
      </c>
      <c r="J295" s="18" t="s">
        <v>146</v>
      </c>
      <c r="K295" s="20"/>
    </row>
    <row r="296" spans="1:11" ht="36.75" thickBot="1">
      <c r="A296" s="18" t="s">
        <v>3545</v>
      </c>
      <c r="B296" s="18">
        <v>20003243602</v>
      </c>
      <c r="C296" s="18" t="s">
        <v>2778</v>
      </c>
      <c r="D296" s="19">
        <v>45894.623611111114</v>
      </c>
      <c r="E296" s="19">
        <v>45944.384027777778</v>
      </c>
      <c r="F296" s="18">
        <v>5</v>
      </c>
      <c r="G296" s="18" t="s">
        <v>10</v>
      </c>
      <c r="H296" s="18" t="s">
        <v>178</v>
      </c>
      <c r="I296" s="18" t="s">
        <v>10</v>
      </c>
      <c r="J296" s="18" t="s">
        <v>146</v>
      </c>
      <c r="K296" s="20"/>
    </row>
    <row r="297" spans="1:11" ht="36.75" thickBot="1">
      <c r="A297" s="18" t="s">
        <v>3546</v>
      </c>
      <c r="B297" s="18">
        <v>20028676088</v>
      </c>
      <c r="C297" s="18" t="s">
        <v>2794</v>
      </c>
      <c r="D297" s="19">
        <v>45917.518055555556</v>
      </c>
      <c r="E297" s="19">
        <v>45945.468055555553</v>
      </c>
      <c r="F297" s="18">
        <v>4</v>
      </c>
      <c r="G297" s="18" t="s">
        <v>10</v>
      </c>
      <c r="H297" s="18" t="s">
        <v>178</v>
      </c>
      <c r="I297" s="18" t="s">
        <v>10</v>
      </c>
      <c r="J297" s="18" t="s">
        <v>146</v>
      </c>
      <c r="K297" s="20"/>
    </row>
    <row r="298" spans="1:11" ht="36.75" thickBot="1">
      <c r="A298" s="18" t="s">
        <v>3547</v>
      </c>
      <c r="B298" s="18">
        <v>20003240817</v>
      </c>
      <c r="C298" s="18" t="s">
        <v>2771</v>
      </c>
      <c r="D298" s="19">
        <v>45923.65</v>
      </c>
      <c r="E298" s="19">
        <v>45945.469444444447</v>
      </c>
      <c r="F298" s="18">
        <v>4</v>
      </c>
      <c r="G298" s="18" t="s">
        <v>10</v>
      </c>
      <c r="H298" s="18" t="s">
        <v>178</v>
      </c>
      <c r="I298" s="18" t="s">
        <v>10</v>
      </c>
      <c r="J298" s="18" t="s">
        <v>146</v>
      </c>
      <c r="K298" s="20"/>
    </row>
    <row r="299" spans="1:11" ht="36.75" thickBot="1">
      <c r="A299" s="18" t="s">
        <v>3548</v>
      </c>
      <c r="B299" s="18">
        <v>20022934696</v>
      </c>
      <c r="C299" s="18" t="s">
        <v>215</v>
      </c>
      <c r="D299" s="19">
        <v>45926.68472222222</v>
      </c>
      <c r="E299" s="19">
        <v>45947.394444444442</v>
      </c>
      <c r="F299" s="18">
        <v>20</v>
      </c>
      <c r="G299" s="19">
        <v>45952.462500000001</v>
      </c>
      <c r="H299" s="18" t="s">
        <v>2688</v>
      </c>
      <c r="I299" s="18" t="s">
        <v>10</v>
      </c>
      <c r="J299" s="18" t="s">
        <v>146</v>
      </c>
      <c r="K299" s="20"/>
    </row>
    <row r="300" spans="1:11" ht="36.75" thickBot="1">
      <c r="A300" s="18" t="s">
        <v>3549</v>
      </c>
      <c r="B300" s="18">
        <v>20017444693</v>
      </c>
      <c r="C300" s="18" t="s">
        <v>2408</v>
      </c>
      <c r="D300" s="19">
        <v>45903.393750000003</v>
      </c>
      <c r="E300" s="19">
        <v>45948.447222222225</v>
      </c>
      <c r="F300" s="18">
        <v>10</v>
      </c>
      <c r="G300" s="18" t="s">
        <v>10</v>
      </c>
      <c r="H300" s="18" t="s">
        <v>178</v>
      </c>
      <c r="I300" s="18" t="s">
        <v>10</v>
      </c>
      <c r="J300" s="18" t="s">
        <v>146</v>
      </c>
      <c r="K300" s="20"/>
    </row>
    <row r="301" spans="1:11" ht="72.75" thickBot="1">
      <c r="A301" s="18" t="s">
        <v>3550</v>
      </c>
      <c r="B301" s="18">
        <v>20023975157</v>
      </c>
      <c r="C301" s="18" t="s">
        <v>1232</v>
      </c>
      <c r="D301" s="19">
        <v>45950.46875</v>
      </c>
      <c r="E301" s="18" t="s">
        <v>10</v>
      </c>
      <c r="F301" s="18">
        <v>10</v>
      </c>
      <c r="G301" s="18" t="s">
        <v>10</v>
      </c>
      <c r="H301" s="18" t="s">
        <v>178</v>
      </c>
      <c r="I301" s="18" t="s">
        <v>10</v>
      </c>
      <c r="J301" s="18" t="s">
        <v>146</v>
      </c>
      <c r="K301" s="20"/>
    </row>
    <row r="302" spans="1:11" ht="72.75" thickBot="1">
      <c r="A302" s="21" t="s">
        <v>3551</v>
      </c>
      <c r="B302" s="21">
        <v>20023032458</v>
      </c>
      <c r="C302" s="21" t="s">
        <v>257</v>
      </c>
      <c r="D302" s="22">
        <v>45939.656944444447</v>
      </c>
      <c r="E302" s="22">
        <v>45950.665277777778</v>
      </c>
      <c r="F302" s="21">
        <v>20</v>
      </c>
      <c r="G302" s="22">
        <v>45959.450694444444</v>
      </c>
      <c r="H302" s="21" t="s">
        <v>2688</v>
      </c>
      <c r="I302" s="21" t="s">
        <v>10</v>
      </c>
      <c r="J302" s="21" t="s">
        <v>146</v>
      </c>
      <c r="K302" s="1"/>
    </row>
    <row r="303" spans="1:11" ht="54.75" thickBot="1">
      <c r="A303" s="18" t="s">
        <v>3552</v>
      </c>
      <c r="B303" s="18">
        <v>20027071690</v>
      </c>
      <c r="C303" s="18" t="s">
        <v>3525</v>
      </c>
      <c r="D303" s="19">
        <v>45951.459027777775</v>
      </c>
      <c r="E303" s="18" t="s">
        <v>10</v>
      </c>
      <c r="F303" s="18">
        <v>5</v>
      </c>
      <c r="G303" s="18" t="s">
        <v>10</v>
      </c>
      <c r="H303" s="18" t="s">
        <v>178</v>
      </c>
      <c r="I303" s="18" t="s">
        <v>10</v>
      </c>
      <c r="J303" s="18" t="s">
        <v>146</v>
      </c>
      <c r="K303" s="20"/>
    </row>
    <row r="304" spans="1:11" ht="36.75" thickBot="1">
      <c r="A304" s="18" t="s">
        <v>3553</v>
      </c>
      <c r="B304" s="18">
        <v>20027289331</v>
      </c>
      <c r="C304" s="18" t="s">
        <v>2326</v>
      </c>
      <c r="D304" s="19">
        <v>45952.598611111112</v>
      </c>
      <c r="E304" s="18" t="s">
        <v>10</v>
      </c>
      <c r="F304" s="18">
        <v>5</v>
      </c>
      <c r="G304" s="18" t="s">
        <v>10</v>
      </c>
      <c r="H304" s="18" t="s">
        <v>178</v>
      </c>
      <c r="I304" s="18" t="s">
        <v>10</v>
      </c>
      <c r="J304" s="18" t="s">
        <v>146</v>
      </c>
      <c r="K304" s="20"/>
    </row>
    <row r="305" spans="1:11" ht="72.75" thickBot="1">
      <c r="A305" s="18" t="s">
        <v>3555</v>
      </c>
      <c r="B305" s="18">
        <v>20023975157</v>
      </c>
      <c r="C305" s="18" t="s">
        <v>3556</v>
      </c>
      <c r="D305" s="19">
        <v>45957.677083333336</v>
      </c>
      <c r="E305" s="18" t="s">
        <v>10</v>
      </c>
      <c r="F305" s="18">
        <v>10</v>
      </c>
      <c r="G305" s="18" t="s">
        <v>10</v>
      </c>
      <c r="H305" s="18" t="s">
        <v>178</v>
      </c>
      <c r="I305" s="18" t="s">
        <v>10</v>
      </c>
      <c r="J305" s="18" t="s">
        <v>146</v>
      </c>
      <c r="K305" s="20"/>
    </row>
    <row r="306" spans="1:11" ht="36.75" thickBot="1">
      <c r="A306" s="18" t="s">
        <v>3558</v>
      </c>
      <c r="B306" s="18">
        <v>20026254022</v>
      </c>
      <c r="C306" s="18" t="s">
        <v>3466</v>
      </c>
      <c r="D306" s="19">
        <v>45958.452777777777</v>
      </c>
      <c r="E306" s="18" t="s">
        <v>10</v>
      </c>
      <c r="F306" s="18">
        <v>6.65</v>
      </c>
      <c r="G306" s="18" t="s">
        <v>10</v>
      </c>
      <c r="H306" s="18" t="s">
        <v>178</v>
      </c>
      <c r="I306" s="18" t="s">
        <v>10</v>
      </c>
      <c r="J306" s="18" t="s">
        <v>146</v>
      </c>
      <c r="K306" s="20"/>
    </row>
    <row r="307" spans="1:11" ht="36.75" thickBot="1">
      <c r="A307" s="18" t="s">
        <v>3559</v>
      </c>
      <c r="B307" s="18">
        <v>20026254022</v>
      </c>
      <c r="C307" s="18" t="s">
        <v>3466</v>
      </c>
      <c r="D307" s="19">
        <v>45958.462500000001</v>
      </c>
      <c r="E307" s="18" t="s">
        <v>10</v>
      </c>
      <c r="F307" s="18">
        <v>6.65</v>
      </c>
      <c r="G307" s="18" t="s">
        <v>10</v>
      </c>
      <c r="H307" s="18" t="s">
        <v>178</v>
      </c>
      <c r="I307" s="18" t="s">
        <v>10</v>
      </c>
      <c r="J307" s="18" t="s">
        <v>146</v>
      </c>
      <c r="K307" s="20"/>
    </row>
    <row r="308" spans="1:11" ht="36.75" thickBot="1">
      <c r="A308" s="18" t="s">
        <v>3560</v>
      </c>
      <c r="B308" s="18">
        <v>20027289331</v>
      </c>
      <c r="C308" s="18" t="s">
        <v>3469</v>
      </c>
      <c r="D308" s="19">
        <v>45961.742361111108</v>
      </c>
      <c r="E308" s="18" t="s">
        <v>10</v>
      </c>
      <c r="F308" s="18">
        <v>5</v>
      </c>
      <c r="G308" s="18" t="s">
        <v>10</v>
      </c>
      <c r="H308" s="18" t="s">
        <v>178</v>
      </c>
      <c r="I308" s="18" t="s">
        <v>10</v>
      </c>
      <c r="J308" s="18" t="s">
        <v>146</v>
      </c>
      <c r="K308" s="20"/>
    </row>
    <row r="309" spans="1:11" ht="36.75" thickBot="1">
      <c r="A309" s="18" t="s">
        <v>3561</v>
      </c>
      <c r="B309" s="18">
        <v>20003200491</v>
      </c>
      <c r="C309" s="18" t="s">
        <v>3562</v>
      </c>
      <c r="D309" s="19">
        <v>45964.615277777775</v>
      </c>
      <c r="E309" s="18" t="s">
        <v>10</v>
      </c>
      <c r="F309" s="18">
        <v>5</v>
      </c>
      <c r="G309" s="18" t="s">
        <v>10</v>
      </c>
      <c r="H309" s="18" t="s">
        <v>178</v>
      </c>
      <c r="I309" s="18" t="s">
        <v>10</v>
      </c>
      <c r="J309" s="18" t="s">
        <v>146</v>
      </c>
      <c r="K309" s="20"/>
    </row>
    <row r="310" spans="1:11" ht="36.75" thickBot="1">
      <c r="A310" s="18" t="s">
        <v>3563</v>
      </c>
      <c r="B310" s="18">
        <v>20022001874</v>
      </c>
      <c r="C310" s="18" t="s">
        <v>3564</v>
      </c>
      <c r="D310" s="19">
        <v>45965.561805555553</v>
      </c>
      <c r="E310" s="18" t="s">
        <v>10</v>
      </c>
      <c r="F310" s="18">
        <v>10</v>
      </c>
      <c r="G310" s="18" t="s">
        <v>10</v>
      </c>
      <c r="H310" s="18" t="s">
        <v>178</v>
      </c>
      <c r="I310" s="18" t="s">
        <v>10</v>
      </c>
      <c r="J310" s="18" t="s">
        <v>146</v>
      </c>
      <c r="K310" s="20"/>
    </row>
    <row r="311" spans="1:11" ht="36.75" thickBot="1">
      <c r="A311" s="18" t="s">
        <v>7894</v>
      </c>
      <c r="B311" s="18">
        <v>20018971955</v>
      </c>
      <c r="C311" s="18" t="s">
        <v>7895</v>
      </c>
      <c r="D311" s="19">
        <v>45966.693055555559</v>
      </c>
      <c r="E311" s="18" t="s">
        <v>10</v>
      </c>
      <c r="F311" s="18">
        <v>3</v>
      </c>
      <c r="G311" s="18" t="s">
        <v>10</v>
      </c>
      <c r="H311" s="18" t="s">
        <v>178</v>
      </c>
      <c r="I311" s="18" t="s">
        <v>10</v>
      </c>
      <c r="J311" s="18" t="s">
        <v>146</v>
      </c>
      <c r="K311" s="20"/>
    </row>
    <row r="312" spans="1:11" ht="36.75" thickBot="1">
      <c r="A312" s="18" t="s">
        <v>7896</v>
      </c>
      <c r="B312" s="18">
        <v>20027289331</v>
      </c>
      <c r="C312" s="18" t="s">
        <v>3469</v>
      </c>
      <c r="D312" s="19">
        <v>45972.47152777778</v>
      </c>
      <c r="E312" s="18" t="s">
        <v>10</v>
      </c>
      <c r="F312" s="18">
        <v>5</v>
      </c>
      <c r="G312" s="18" t="s">
        <v>10</v>
      </c>
      <c r="H312" s="18" t="s">
        <v>178</v>
      </c>
      <c r="I312" s="18" t="s">
        <v>10</v>
      </c>
      <c r="J312" s="18" t="s">
        <v>146</v>
      </c>
      <c r="K312" s="20"/>
    </row>
    <row r="313" spans="1:11" ht="36.75" thickBot="1">
      <c r="A313" s="18" t="s">
        <v>3554</v>
      </c>
      <c r="B313" s="18">
        <v>20025954541</v>
      </c>
      <c r="C313" s="18" t="s">
        <v>3475</v>
      </c>
      <c r="D313" s="19">
        <v>45955.856249999997</v>
      </c>
      <c r="E313" s="19">
        <v>45972.508333333331</v>
      </c>
      <c r="F313" s="18">
        <v>5</v>
      </c>
      <c r="G313" s="19">
        <v>45987.484722222223</v>
      </c>
      <c r="H313" s="18" t="s">
        <v>2657</v>
      </c>
      <c r="I313" s="18" t="s">
        <v>10</v>
      </c>
      <c r="J313" s="18" t="s">
        <v>146</v>
      </c>
      <c r="K313" s="20"/>
    </row>
    <row r="314" spans="1:11" ht="36.75" thickBot="1">
      <c r="A314" s="18" t="s">
        <v>7897</v>
      </c>
      <c r="B314" s="18">
        <v>20003243602</v>
      </c>
      <c r="C314" s="18" t="s">
        <v>2778</v>
      </c>
      <c r="D314" s="19">
        <v>45974.627083333333</v>
      </c>
      <c r="E314" s="18" t="s">
        <v>10</v>
      </c>
      <c r="F314" s="18">
        <v>5</v>
      </c>
      <c r="G314" s="18" t="s">
        <v>10</v>
      </c>
      <c r="H314" s="18" t="s">
        <v>178</v>
      </c>
      <c r="I314" s="18" t="s">
        <v>10</v>
      </c>
      <c r="J314" s="18" t="s">
        <v>146</v>
      </c>
      <c r="K314" s="20"/>
    </row>
    <row r="315" spans="1:11" ht="36.75" thickBot="1">
      <c r="A315" s="18" t="s">
        <v>7898</v>
      </c>
      <c r="B315" s="18">
        <v>20003059264</v>
      </c>
      <c r="C315" s="18" t="s">
        <v>7899</v>
      </c>
      <c r="D315" s="19">
        <v>45975.085416666669</v>
      </c>
      <c r="E315" s="18" t="s">
        <v>10</v>
      </c>
      <c r="F315" s="18">
        <v>5</v>
      </c>
      <c r="G315" s="18" t="s">
        <v>10</v>
      </c>
      <c r="H315" s="18" t="s">
        <v>178</v>
      </c>
      <c r="I315" s="18" t="s">
        <v>10</v>
      </c>
      <c r="J315" s="18" t="s">
        <v>146</v>
      </c>
      <c r="K315" s="20"/>
    </row>
    <row r="316" spans="1:11" ht="36.75" thickBot="1">
      <c r="A316" s="18" t="s">
        <v>7900</v>
      </c>
      <c r="B316" s="18">
        <v>20023132512</v>
      </c>
      <c r="C316" s="18" t="s">
        <v>7901</v>
      </c>
      <c r="D316" s="19">
        <v>45975.145833333336</v>
      </c>
      <c r="E316" s="18" t="s">
        <v>10</v>
      </c>
      <c r="F316" s="18">
        <v>5</v>
      </c>
      <c r="G316" s="18" t="s">
        <v>10</v>
      </c>
      <c r="H316" s="18" t="s">
        <v>178</v>
      </c>
      <c r="I316" s="18" t="s">
        <v>10</v>
      </c>
      <c r="J316" s="18" t="s">
        <v>146</v>
      </c>
      <c r="K316" s="20"/>
    </row>
    <row r="317" spans="1:11" ht="54.75" thickBot="1">
      <c r="A317" s="18" t="s">
        <v>3557</v>
      </c>
      <c r="B317" s="18">
        <v>20027071690</v>
      </c>
      <c r="C317" s="18" t="s">
        <v>3525</v>
      </c>
      <c r="D317" s="19">
        <v>45958.452777777777</v>
      </c>
      <c r="E317" s="19">
        <v>45975.681944444441</v>
      </c>
      <c r="F317" s="18">
        <v>5</v>
      </c>
      <c r="G317" s="18" t="s">
        <v>10</v>
      </c>
      <c r="H317" s="18" t="s">
        <v>178</v>
      </c>
      <c r="I317" s="18" t="s">
        <v>10</v>
      </c>
      <c r="J317" s="18" t="s">
        <v>146</v>
      </c>
      <c r="K317" s="20"/>
    </row>
    <row r="318" spans="1:11" ht="72.75" thickBot="1">
      <c r="A318" s="18" t="s">
        <v>7902</v>
      </c>
      <c r="B318" s="18">
        <v>20023975157</v>
      </c>
      <c r="C318" s="18" t="s">
        <v>3556</v>
      </c>
      <c r="D318" s="19">
        <v>45967.351388888892</v>
      </c>
      <c r="E318" s="19">
        <v>45978.709027777775</v>
      </c>
      <c r="F318" s="18">
        <v>10</v>
      </c>
      <c r="G318" s="19">
        <v>45985.416666666664</v>
      </c>
      <c r="H318" s="18" t="s">
        <v>2654</v>
      </c>
      <c r="I318" s="18" t="s">
        <v>10</v>
      </c>
      <c r="J318" s="18" t="s">
        <v>146</v>
      </c>
      <c r="K318" s="20"/>
    </row>
    <row r="319" spans="1:11" ht="36.75" thickBot="1">
      <c r="A319" s="18" t="s">
        <v>7903</v>
      </c>
      <c r="B319" s="18">
        <v>20003059264</v>
      </c>
      <c r="C319" s="18" t="s">
        <v>7904</v>
      </c>
      <c r="D319" s="19">
        <v>45981.505555555559</v>
      </c>
      <c r="E319" s="18" t="s">
        <v>10</v>
      </c>
      <c r="F319" s="18">
        <v>5</v>
      </c>
      <c r="G319" s="18" t="s">
        <v>10</v>
      </c>
      <c r="H319" s="18" t="s">
        <v>178</v>
      </c>
      <c r="I319" s="18" t="s">
        <v>10</v>
      </c>
      <c r="J319" s="18" t="s">
        <v>146</v>
      </c>
      <c r="K319" s="20"/>
    </row>
    <row r="320" spans="1:11" ht="36.75" thickBot="1">
      <c r="A320" s="18" t="s">
        <v>7905</v>
      </c>
      <c r="B320" s="18">
        <v>20027289331</v>
      </c>
      <c r="C320" s="18" t="s">
        <v>3469</v>
      </c>
      <c r="D320" s="19">
        <v>45981.586111111108</v>
      </c>
      <c r="E320" s="18" t="s">
        <v>10</v>
      </c>
      <c r="F320" s="18">
        <v>3</v>
      </c>
      <c r="G320" s="18" t="s">
        <v>10</v>
      </c>
      <c r="H320" s="18" t="s">
        <v>178</v>
      </c>
      <c r="I320" s="18" t="s">
        <v>10</v>
      </c>
      <c r="J320" s="18" t="s">
        <v>146</v>
      </c>
      <c r="K320" s="20"/>
    </row>
    <row r="321" spans="1:11" ht="36.75" thickBot="1">
      <c r="A321" s="18" t="s">
        <v>7906</v>
      </c>
      <c r="B321" s="18">
        <v>20003570220</v>
      </c>
      <c r="C321" s="18" t="s">
        <v>7907</v>
      </c>
      <c r="D321" s="19">
        <v>45982.769444444442</v>
      </c>
      <c r="E321" s="18" t="s">
        <v>10</v>
      </c>
      <c r="F321" s="18">
        <v>20</v>
      </c>
      <c r="G321" s="18" t="s">
        <v>10</v>
      </c>
      <c r="H321" s="18" t="s">
        <v>178</v>
      </c>
      <c r="I321" s="18" t="s">
        <v>10</v>
      </c>
      <c r="J321" s="18" t="s">
        <v>146</v>
      </c>
      <c r="K321" s="20"/>
    </row>
    <row r="322" spans="1:11" ht="36.75" thickBot="1">
      <c r="A322" s="18" t="s">
        <v>7908</v>
      </c>
      <c r="B322" s="18">
        <v>20003570220</v>
      </c>
      <c r="C322" s="18" t="s">
        <v>7907</v>
      </c>
      <c r="D322" s="19">
        <v>45982.775000000001</v>
      </c>
      <c r="E322" s="18" t="s">
        <v>10</v>
      </c>
      <c r="F322" s="18">
        <v>20</v>
      </c>
      <c r="G322" s="18" t="s">
        <v>10</v>
      </c>
      <c r="H322" s="18" t="s">
        <v>178</v>
      </c>
      <c r="I322" s="18" t="s">
        <v>10</v>
      </c>
      <c r="J322" s="18" t="s">
        <v>146</v>
      </c>
      <c r="K322" s="20"/>
    </row>
    <row r="323" spans="1:11" ht="36.75" thickBot="1">
      <c r="A323" s="18" t="s">
        <v>7909</v>
      </c>
      <c r="B323" s="18">
        <v>20023132512</v>
      </c>
      <c r="C323" s="18" t="s">
        <v>7901</v>
      </c>
      <c r="D323" s="19">
        <v>45983.525694444441</v>
      </c>
      <c r="E323" s="18" t="s">
        <v>10</v>
      </c>
      <c r="F323" s="18">
        <v>5</v>
      </c>
      <c r="G323" s="18" t="s">
        <v>10</v>
      </c>
      <c r="H323" s="25" t="s">
        <v>2656</v>
      </c>
      <c r="I323" s="18" t="s">
        <v>10</v>
      </c>
      <c r="J323" s="18" t="s">
        <v>146</v>
      </c>
      <c r="K323" s="20"/>
    </row>
    <row r="324" spans="1:11" ht="36.75" thickBot="1">
      <c r="A324" s="18" t="s">
        <v>7910</v>
      </c>
      <c r="B324" s="18">
        <v>20026254022</v>
      </c>
      <c r="C324" s="18" t="s">
        <v>3466</v>
      </c>
      <c r="D324" s="19">
        <v>45985.557638888888</v>
      </c>
      <c r="E324" s="18" t="s">
        <v>10</v>
      </c>
      <c r="F324" s="18">
        <v>6.65</v>
      </c>
      <c r="G324" s="18" t="s">
        <v>10</v>
      </c>
      <c r="H324" s="18" t="s">
        <v>2656</v>
      </c>
      <c r="I324" s="18" t="s">
        <v>10</v>
      </c>
      <c r="J324" s="18" t="s">
        <v>146</v>
      </c>
      <c r="K324" s="20"/>
    </row>
    <row r="325" spans="1:11" ht="36.75" thickBot="1">
      <c r="A325" s="18" t="s">
        <v>7911</v>
      </c>
      <c r="B325" s="18">
        <v>20003382503</v>
      </c>
      <c r="C325" s="18" t="s">
        <v>7912</v>
      </c>
      <c r="D325" s="19">
        <v>45987.588194444441</v>
      </c>
      <c r="E325" s="18" t="s">
        <v>10</v>
      </c>
      <c r="F325" s="18">
        <v>6</v>
      </c>
      <c r="G325" s="18" t="s">
        <v>10</v>
      </c>
      <c r="H325" s="18" t="s">
        <v>2656</v>
      </c>
      <c r="I325" s="18" t="s">
        <v>10</v>
      </c>
      <c r="J325" s="18" t="s">
        <v>146</v>
      </c>
      <c r="K325" s="20"/>
    </row>
    <row r="326" spans="1:11" ht="36.75" thickBot="1">
      <c r="A326" s="18" t="s">
        <v>7913</v>
      </c>
      <c r="B326" s="18">
        <v>20018971955</v>
      </c>
      <c r="C326" s="18" t="s">
        <v>7895</v>
      </c>
      <c r="D326" s="19">
        <v>45981.566666666666</v>
      </c>
      <c r="E326" s="19">
        <v>45987.615972222222</v>
      </c>
      <c r="F326" s="18">
        <v>3</v>
      </c>
      <c r="G326" s="18" t="s">
        <v>10</v>
      </c>
      <c r="H326" s="18" t="s">
        <v>2656</v>
      </c>
      <c r="I326" s="18" t="s">
        <v>10</v>
      </c>
      <c r="J326" s="18" t="s">
        <v>146</v>
      </c>
      <c r="K326" s="20"/>
    </row>
    <row r="327" spans="1:11" ht="36.75" thickBot="1">
      <c r="A327" s="18" t="s">
        <v>7914</v>
      </c>
      <c r="B327" s="18">
        <v>20003240817</v>
      </c>
      <c r="C327" s="18" t="s">
        <v>2771</v>
      </c>
      <c r="D327" s="19">
        <v>45987.643055555556</v>
      </c>
      <c r="E327" s="18" t="s">
        <v>10</v>
      </c>
      <c r="F327" s="18">
        <v>4</v>
      </c>
      <c r="G327" s="18" t="s">
        <v>10</v>
      </c>
      <c r="H327" s="18" t="s">
        <v>2656</v>
      </c>
      <c r="I327" s="18" t="s">
        <v>10</v>
      </c>
      <c r="J327" s="18" t="s">
        <v>146</v>
      </c>
      <c r="K327" s="20"/>
    </row>
    <row r="328" spans="1:11" ht="36.75" thickBot="1">
      <c r="A328" s="18" t="s">
        <v>7915</v>
      </c>
      <c r="B328" s="18">
        <v>20028978085</v>
      </c>
      <c r="C328" s="18" t="s">
        <v>7916</v>
      </c>
      <c r="D328" s="19">
        <v>45988.638194444444</v>
      </c>
      <c r="E328" s="18" t="s">
        <v>10</v>
      </c>
      <c r="F328" s="18">
        <v>8</v>
      </c>
      <c r="G328" s="18" t="s">
        <v>10</v>
      </c>
      <c r="H328" s="18" t="s">
        <v>2656</v>
      </c>
      <c r="I328" s="18" t="s">
        <v>10</v>
      </c>
      <c r="J328" s="18" t="s">
        <v>146</v>
      </c>
      <c r="K328" s="20"/>
    </row>
    <row r="329" spans="1:11" ht="36.75" thickBot="1">
      <c r="A329" s="18" t="s">
        <v>7917</v>
      </c>
      <c r="B329" s="18">
        <v>20003200491</v>
      </c>
      <c r="C329" s="18" t="s">
        <v>3562</v>
      </c>
      <c r="D329" s="19">
        <v>45972.569444444445</v>
      </c>
      <c r="E329" s="19">
        <v>45988.665972222225</v>
      </c>
      <c r="F329" s="18">
        <v>5</v>
      </c>
      <c r="G329" s="18" t="s">
        <v>10</v>
      </c>
      <c r="H329" s="18" t="s">
        <v>2656</v>
      </c>
      <c r="I329" s="18" t="s">
        <v>10</v>
      </c>
      <c r="J329" s="18" t="s">
        <v>146</v>
      </c>
      <c r="K329" s="20"/>
    </row>
    <row r="330" spans="1:11" ht="54.75" thickBot="1">
      <c r="A330" s="21" t="s">
        <v>7918</v>
      </c>
      <c r="B330" s="21">
        <v>20027071690</v>
      </c>
      <c r="C330" s="21" t="s">
        <v>3525</v>
      </c>
      <c r="D330" s="22">
        <v>45988.71875</v>
      </c>
      <c r="E330" s="21" t="s">
        <v>10</v>
      </c>
      <c r="F330" s="21">
        <v>5</v>
      </c>
      <c r="G330" s="21" t="s">
        <v>10</v>
      </c>
      <c r="H330" s="21" t="s">
        <v>2656</v>
      </c>
      <c r="I330" s="21" t="s">
        <v>10</v>
      </c>
      <c r="J330" s="21" t="s">
        <v>146</v>
      </c>
      <c r="K330" s="1"/>
    </row>
  </sheetData>
  <conditionalFormatting sqref="B2">
    <cfRule type="duplicateValues" dxfId="4" priority="1"/>
  </conditionalFormatting>
  <hyperlinks>
    <hyperlink ref="K3" r:id="rId1" display="https://ppim-intra.pea.co.th:4434/request/PPIM185001B8" xr:uid="{A2D2D626-684F-482D-AF2E-D8B8F814F56E}"/>
    <hyperlink ref="K4" r:id="rId2" display="https://ppim-intra.pea.co.th:4434/request/PPIM18500288" xr:uid="{CD1D53ED-086D-46E0-9C25-D179E1A17337}"/>
    <hyperlink ref="K5" r:id="rId3" display="https://ppim-intra.pea.co.th:4434/request/PPIM1850064E" xr:uid="{8CD32E64-4BD0-4D31-8AE4-35AA43F2BADC}"/>
    <hyperlink ref="K6" r:id="rId4" display="https://ppim-intra.pea.co.th:4434/request/PPIM18500B46" xr:uid="{60C152A5-26D7-4DA8-9F1D-87AF9F8EA92C}"/>
    <hyperlink ref="K7" r:id="rId5" display="https://ppim-intra.pea.co.th:4434/request/PPIM18500BF8" xr:uid="{C7AD0AE0-346C-420E-B20E-332054C9C992}"/>
    <hyperlink ref="K8" r:id="rId6" display="https://ppim-intra.pea.co.th:4434/request/PPIM18500C32" xr:uid="{108F717D-7E10-4944-ADF2-7B7732534793}"/>
    <hyperlink ref="K9" r:id="rId7" display="https://ppim-intra.pea.co.th:4434/request/PPIM18500DD3" xr:uid="{3C393527-371E-479C-AD67-3161B4521ED3}"/>
    <hyperlink ref="K10" r:id="rId8" display="https://ppim-intra.pea.co.th:4434/request/PPIM18500EB8" xr:uid="{17D6B8DA-11F5-4442-B87D-9EE6F5C3507E}"/>
    <hyperlink ref="K11" r:id="rId9" display="https://ppim-intra.pea.co.th:4434/request/PPIM18500F87" xr:uid="{AD366B32-4183-40CE-A78D-83F821745ECA}"/>
    <hyperlink ref="K12" r:id="rId10" display="https://ppim-intra.pea.co.th:4434/request/PPIM185012F3" xr:uid="{81F7E2F1-ACD2-4705-9C5A-61379B224BA4}"/>
    <hyperlink ref="K13" r:id="rId11" display="https://ppim-intra.pea.co.th:4434/request/PPIM18501316" xr:uid="{EFF1634C-F02B-42BF-A395-B057B65362A9}"/>
    <hyperlink ref="K14" r:id="rId12" display="https://ppim-intra.pea.co.th:4434/request/PPIM18501360" xr:uid="{23BCF047-74AC-413F-B4FE-74B8D5E59A25}"/>
    <hyperlink ref="K15" r:id="rId13" display="https://ppim-intra.pea.co.th:4434/request/PPIM18501393" xr:uid="{5A494B19-649D-4A17-888D-362DADE7158C}"/>
    <hyperlink ref="K16" r:id="rId14" display="https://ppim-intra.pea.co.th:4434/request/PPIM18501458" xr:uid="{52D6F8C1-8EA2-4987-A6BE-667E08794C75}"/>
    <hyperlink ref="K17" r:id="rId15" display="https://ppim-intra.pea.co.th:4434/request/PPIM1850149C" xr:uid="{7271FE5A-2947-44C3-946E-2BA4A3ED12A5}"/>
    <hyperlink ref="K18" r:id="rId16" display="https://ppim-intra.pea.co.th:4434/request/PPIM185015B4" xr:uid="{19F2F96F-E9D0-4FE8-8DC2-ADB497B22017}"/>
    <hyperlink ref="K19" r:id="rId17" display="https://ppim-intra.pea.co.th:4434/request/PPIM185016EC" xr:uid="{B796AF15-2783-4500-A6C3-DA2483A57E42}"/>
    <hyperlink ref="K20" r:id="rId18" display="https://ppim-intra.pea.co.th:4434/request/PPIM1850173C" xr:uid="{1F87B496-93FA-4AEE-8031-F51561F4E36C}"/>
    <hyperlink ref="K21" r:id="rId19" display="https://ppim-intra.pea.co.th:4434/request/PPIM18500F04" xr:uid="{D3F1E20A-F92A-4874-83F7-42A007E5896A}"/>
    <hyperlink ref="K22" r:id="rId20" display="https://ppim-intra.pea.co.th:4434/request/PPIM185001BC" xr:uid="{1E614B89-2094-48B1-8CEF-8233913158FA}"/>
    <hyperlink ref="K23" r:id="rId21" display="https://ppim-intra.pea.co.th:4434/request/PPIM185017E7" xr:uid="{F2E279D7-1F63-410F-8120-3442617A99C0}"/>
    <hyperlink ref="K24" r:id="rId22" display="https://ppim-intra.pea.co.th:4434/request/PPIM18501893" xr:uid="{B298636D-7D14-4F18-9706-758F80203353}"/>
    <hyperlink ref="K25" r:id="rId23" display="https://ppim-intra.pea.co.th:4434/request/PPIM1850194F" xr:uid="{3BFF7997-0863-4B0D-915B-49F52FB830AB}"/>
    <hyperlink ref="K26" r:id="rId24" display="https://ppim-intra.pea.co.th:4434/request/PPIM185019BA" xr:uid="{340416E4-51BE-4014-AB58-E3AB059576DE}"/>
    <hyperlink ref="K27" r:id="rId25" display="https://ppim-intra.pea.co.th:4434/request/PPIM18501B8C" xr:uid="{A2A1C3C9-7151-4560-AF9D-9580A3F1C617}"/>
    <hyperlink ref="K28" r:id="rId26" display="https://ppim-intra.pea.co.th:4434/request/PPIM18501C28" xr:uid="{4CAA81F5-2CA1-4037-911D-3C6EDC903B89}"/>
    <hyperlink ref="K29" r:id="rId27" display="https://ppim-intra.pea.co.th:4434/request/PPIM18501C53" xr:uid="{F40B2422-8DC8-4384-947F-06B44DCF8E2E}"/>
    <hyperlink ref="K30" r:id="rId28" display="https://ppim-intra.pea.co.th:4434/request/PPIM18501C76" xr:uid="{DF01AED6-3E44-44A3-8BEF-AE643344B1FD}"/>
    <hyperlink ref="K31" r:id="rId29" display="https://ppim-intra.pea.co.th:4434/request/PPIM18501CE3" xr:uid="{2D483A27-E072-46AA-8ED1-0ED531D246D8}"/>
    <hyperlink ref="K32" r:id="rId30" display="https://ppim-intra.pea.co.th:4434/request/PPIM18501D05" xr:uid="{F63FB256-1A25-4B31-B97E-8038E38CF058}"/>
    <hyperlink ref="K33" r:id="rId31" display="https://ppim-intra.pea.co.th:4434/request/PPIM18501E90" xr:uid="{DB6EAC4F-CE28-43A4-B74B-BDD5623E6A03}"/>
    <hyperlink ref="K34" r:id="rId32" display="https://ppim-intra.pea.co.th:4434/request/PPIM18501EEA" xr:uid="{EB42A2E3-A078-4712-A875-01B8F4383F61}"/>
    <hyperlink ref="K35" r:id="rId33" display="https://ppim-intra.pea.co.th:4434/request/PPIM18501BDF" xr:uid="{C85E2499-1606-4B0C-BC04-86692D8400CE}"/>
    <hyperlink ref="K36" r:id="rId34" display="https://ppim-intra.pea.co.th:4434/request/PPIM18501FFC" xr:uid="{CF0A324F-C226-4E73-9D8D-3F5A6FBB9E5E}"/>
    <hyperlink ref="K37" r:id="rId35" display="https://ppim-intra.pea.co.th:4434/request/PPIM1850201D" xr:uid="{3545E57A-6283-411A-8AFD-BA44ADBCEA7D}"/>
    <hyperlink ref="K38" r:id="rId36" display="https://ppim-intra.pea.co.th:4434/request/PPIM18502050" xr:uid="{93431B66-C07A-4AEE-8384-EB6CC05FA941}"/>
    <hyperlink ref="K39" r:id="rId37" display="https://ppim-intra.pea.co.th:4434/request/PPIM18502075" xr:uid="{5ADD3CE1-761D-4F8E-92B5-588D41BD9C20}"/>
    <hyperlink ref="K40" r:id="rId38" display="https://ppim-intra.pea.co.th:4434/request/PPIM185020B7" xr:uid="{D11D5011-A966-42A9-927A-D02257D22560}"/>
    <hyperlink ref="K41" r:id="rId39" display="https://ppim-intra.pea.co.th:4434/request/PPIM18502134" xr:uid="{1DD5C638-619C-4769-B005-7EB16ECD8386}"/>
    <hyperlink ref="K42" r:id="rId40" display="https://ppim-intra.pea.co.th:4434/request/PPIM185021C7" xr:uid="{1B52296E-C563-43BE-928D-A474769AD1E7}"/>
    <hyperlink ref="K43" r:id="rId41" display="https://ppim-intra.pea.co.th:4434/request/PPIM18502234" xr:uid="{150B27E7-F135-4EFE-BF4F-AD211AB87FEA}"/>
    <hyperlink ref="K44" r:id="rId42" display="https://ppim-intra.pea.co.th:4434/request/PPIM18502311" xr:uid="{ADABA3EB-E756-4CDD-ACF9-7A23C2998629}"/>
    <hyperlink ref="K45" r:id="rId43" display="https://ppim-intra.pea.co.th:4434/request/PPIM185023A0" xr:uid="{4FF5BB10-1571-456B-B62B-CD2757232F71}"/>
    <hyperlink ref="K46" r:id="rId44" display="https://ppim-intra.pea.co.th:4434/request/PPIM18501CF0" xr:uid="{2D81CA8A-CCC9-40E4-B92A-29BEE6BAFE96}"/>
    <hyperlink ref="K47" r:id="rId45" display="https://ppim-intra.pea.co.th:4434/request/PPIM18501EF5" xr:uid="{310C988F-53EA-4665-830B-5E7CF8447398}"/>
    <hyperlink ref="K48" r:id="rId46" display="https://ppim-intra.pea.co.th:4434/request/PPIM18502435" xr:uid="{637D4A3B-A82A-4AF2-9D9C-906EADA6A0DF}"/>
    <hyperlink ref="K49" r:id="rId47" display="https://ppim-intra.pea.co.th:4434/request/PPIM185025C4" xr:uid="{43B65596-2DDA-45D4-BCF7-F009EE9FF4F0}"/>
    <hyperlink ref="K50" r:id="rId48" display="https://ppim-intra.pea.co.th:4434/request/PPIM185026CD" xr:uid="{02FBC59F-C736-4A15-8B43-E5E9E2AAFE1A}"/>
    <hyperlink ref="K51" r:id="rId49" display="https://ppim-intra.pea.co.th:4434/request/PPIM18502728" xr:uid="{CE49ED5F-632C-45F0-B22D-454E0DC198AD}"/>
    <hyperlink ref="K52" r:id="rId50" display="https://ppim-intra.pea.co.th:4434/request/PPIM18502874" xr:uid="{66D09913-3540-45A0-805D-E2178BD98AF0}"/>
    <hyperlink ref="K53" r:id="rId51" display="https://ppim-intra.pea.co.th:4434/request/PPIM185028AC" xr:uid="{2811C844-E672-47EE-B48B-8A1941537F83}"/>
    <hyperlink ref="K54" r:id="rId52" display="https://ppim-intra.pea.co.th:4434/request/PPIM185029BB" xr:uid="{2FE503A4-7B4D-458A-A948-551F5DF47A08}"/>
    <hyperlink ref="K55" r:id="rId53" display="https://ppim-intra.pea.co.th:4434/request/PPIM18502A07" xr:uid="{CF310FC4-4C1A-4CD7-BFA9-6D75387294E2}"/>
    <hyperlink ref="K56" r:id="rId54" display="https://ppim-intra.pea.co.th:4434/request/PPIM18502A29" xr:uid="{21AB372C-83AA-4A25-808B-A0FA26F65654}"/>
    <hyperlink ref="K57" r:id="rId55" display="https://ppim-intra.pea.co.th:4434/request/PPIM18502A77" xr:uid="{BA8CA36A-095C-48E1-BCEF-0652787AEBD1}"/>
    <hyperlink ref="K58" r:id="rId56" display="https://ppim-intra.pea.co.th:4434/request/PPIM18502B2E" xr:uid="{486FB9A2-1999-46A3-BED9-68AAD0328113}"/>
    <hyperlink ref="K59" r:id="rId57" display="https://ppim-intra.pea.co.th:4434/request/PPIM18502CA7" xr:uid="{042A4B2D-D158-433F-85AD-43F7C077D82D}"/>
    <hyperlink ref="K60" r:id="rId58" display="https://ppim-intra.pea.co.th:4434/request/PPIM18502DE2" xr:uid="{9E4E9060-6019-41E3-8939-34D231886B44}"/>
    <hyperlink ref="K61" r:id="rId59" display="https://ppim-intra.pea.co.th:4434/request/PPIM18502E0C" xr:uid="{E10C087C-D128-4691-B79C-22A37CD67283}"/>
    <hyperlink ref="K62" r:id="rId60" display="https://ppim-intra.pea.co.th:4434/request/PPIM1850303F" xr:uid="{0F3E4247-A9BC-4A25-9DC5-461DB5CD4D6D}"/>
    <hyperlink ref="K63" r:id="rId61" display="https://ppim-intra.pea.co.th:4434/request/PPIM1850318F" xr:uid="{672124BC-2119-421E-8FE4-E7F93B70E3C1}"/>
    <hyperlink ref="K64" r:id="rId62" display="https://ppim-intra.pea.co.th:4434/request/PPIM185031D9" xr:uid="{100628DE-29F7-4B8B-BCCA-D2988F4C273D}"/>
    <hyperlink ref="K65" r:id="rId63" display="https://ppim-intra.pea.co.th:4434/request/PPIM185031E4" xr:uid="{119FF73B-8307-487D-9E85-5C092D0AD34E}"/>
    <hyperlink ref="K66" r:id="rId64" display="https://ppim-intra.pea.co.th:4434/request/PPIM1850331D" xr:uid="{6382ACF4-B2BD-4EF0-AC88-C54BFFDA28A7}"/>
    <hyperlink ref="K67" r:id="rId65" display="https://ppim-intra.pea.co.th:4434/request/PPIM1850334F" xr:uid="{08062CFB-D7A2-4577-B96B-C47306C53349}"/>
    <hyperlink ref="K68" r:id="rId66" display="https://ppim-intra.pea.co.th:4434/request/PPIM185033D2" xr:uid="{F50E60CA-688F-47CA-9869-693B99E3DA89}"/>
    <hyperlink ref="K69" r:id="rId67" display="https://ppim-intra.pea.co.th:4434/request/PPIM18502551" xr:uid="{F3C4E278-7543-4485-A1B5-B283D8376373}"/>
    <hyperlink ref="K70" r:id="rId68" display="https://ppim-intra.pea.co.th:4434/request/PPIM1850347D" xr:uid="{07C76A83-6173-45C3-8DD4-733E0934AD0D}"/>
    <hyperlink ref="K71" r:id="rId69" display="https://ppim-intra.pea.co.th:4434/request/PPIM185034C4" xr:uid="{9273666D-9C74-4285-A2EB-776C2D7AB853}"/>
    <hyperlink ref="K72" r:id="rId70" display="https://ppim-intra.pea.co.th:4434/request/PPIM1850357D" xr:uid="{91B7CC33-2E51-426D-A748-98B95369B2D8}"/>
    <hyperlink ref="K73" r:id="rId71" display="https://ppim-intra.pea.co.th:4434/request/PPIM18503585" xr:uid="{17686553-AD1A-4192-A728-52ECC494FEFE}"/>
    <hyperlink ref="K74" r:id="rId72" display="https://ppim-intra.pea.co.th:4434/request/PPIM185035A9" xr:uid="{7598C818-1DFE-4F3C-840C-E488D02CAB73}"/>
    <hyperlink ref="K75" r:id="rId73" display="https://ppim-intra.pea.co.th:4434/request/PPIM1850302A" xr:uid="{CCFBB9EC-0B96-4522-A98C-CAA97695F6DB}"/>
    <hyperlink ref="K76" r:id="rId74" display="https://ppim-intra.pea.co.th:4434/request/PPIM1850286C" xr:uid="{18FFE6D3-55A9-41B0-AB48-0D95E9D025A7}"/>
    <hyperlink ref="K77" r:id="rId75" display="https://ppim-intra.pea.co.th:4434/request/PPIM18503632" xr:uid="{A137A263-1BC2-43FD-93BE-B4AAD8B6259C}"/>
    <hyperlink ref="K78" r:id="rId76" display="https://ppim-intra.pea.co.th:4434/request/PPIM18503669" xr:uid="{B3254171-BAB1-4E28-A0BD-08CB04D8DED5}"/>
    <hyperlink ref="K79" r:id="rId77" display="https://ppim-intra.pea.co.th:4434/request/PPIM1850372B" xr:uid="{4203E0C3-F145-4961-A7E2-01655B91D57E}"/>
    <hyperlink ref="K80" r:id="rId78" display="https://ppim-intra.pea.co.th:4434/request/PPIM18503850" xr:uid="{56BFD32F-25A3-4074-8CC2-A6A0499EE20E}"/>
    <hyperlink ref="K81" r:id="rId79" display="https://ppim-intra.pea.co.th:4434/request/PPIM18503874" xr:uid="{62A51C29-E22C-4440-B094-FCFEB707E700}"/>
    <hyperlink ref="K82" r:id="rId80" display="https://ppim-intra.pea.co.th:4434/request/PPIM185038B2" xr:uid="{82575AC2-5A35-4C23-A6FF-E40632203483}"/>
    <hyperlink ref="K83" r:id="rId81" display="https://ppim-intra.pea.co.th:4434/request/PPIM1850300B" xr:uid="{AB96E864-4F14-4CF8-B752-BCD204481977}"/>
    <hyperlink ref="K84" r:id="rId82" display="https://ppim-intra.pea.co.th:4434/request/PPIM18503633" xr:uid="{C529FE79-6A54-419D-A61E-27956791A0F4}"/>
    <hyperlink ref="K85" r:id="rId83" display="https://ppim-intra.pea.co.th:4434/request/PPIM18503923" xr:uid="{DB370405-4B63-41A0-BA1A-351FED07139B}"/>
    <hyperlink ref="K86" r:id="rId84" display="https://ppim-intra.pea.co.th:4434/request/PPIM185039A1" xr:uid="{8BE7CE1F-2CA6-416C-8B54-FFA4942AABDA}"/>
    <hyperlink ref="K87" r:id="rId85" display="https://ppim-intra.pea.co.th:4434/request/PPIM185039C1" xr:uid="{960EC06F-8DCC-45C2-804D-157D94D5C035}"/>
    <hyperlink ref="K88" r:id="rId86" display="https://ppim-intra.pea.co.th:4434/request/PPIM185039E4" xr:uid="{1140F3E0-79E1-4962-BD15-C983EE49C63B}"/>
    <hyperlink ref="K89" r:id="rId87" display="https://ppim-intra.pea.co.th:4434/request/PPIM185039EC" xr:uid="{69F9B85F-F415-4698-920F-6CD9B3C4155C}"/>
    <hyperlink ref="K90" r:id="rId88" display="https://ppim-intra.pea.co.th:4434/request/PPIM18503A4F" xr:uid="{B2EF3948-7B78-40D7-B7E3-F431453DF5B2}"/>
    <hyperlink ref="K91" r:id="rId89" display="https://ppim-intra.pea.co.th:4434/request/PPIM18503A5B" xr:uid="{E70D5C09-F2CD-409F-B9F0-8B567187A660}"/>
    <hyperlink ref="K92" r:id="rId90" display="https://ppim-intra.pea.co.th:4434/request/PPIM18503AAA" xr:uid="{639363A5-CC00-4BEF-BDD5-19CDAE393E7A}"/>
    <hyperlink ref="K93" r:id="rId91" display="https://ppim-intra.pea.co.th:4434/request/PPIM18503ACD" xr:uid="{66FF6E83-A6FD-4BB3-B65E-DA767ED9D230}"/>
    <hyperlink ref="K94" r:id="rId92" display="https://ppim-intra.pea.co.th:4434/request/PPIM185035EA" xr:uid="{58A53F93-A056-49F8-A328-9F0AACC27471}"/>
    <hyperlink ref="K95" r:id="rId93" display="https://ppim-intra.pea.co.th:4434/request/PPIM18503B3E" xr:uid="{275DB9AE-5448-4401-B62B-8FAC8642BF0E}"/>
    <hyperlink ref="K96" r:id="rId94" display="https://ppim-intra.pea.co.th:4434/request/PPIM18503B6A" xr:uid="{25B68D26-3865-4E07-86AA-008C3C6B85B8}"/>
    <hyperlink ref="K97" r:id="rId95" display="https://ppim-intra.pea.co.th:4434/request/PPIM185037D1" xr:uid="{252A6002-8B2F-43D1-B9B6-83E2DD4AFF5E}"/>
    <hyperlink ref="K98" r:id="rId96" display="https://ppim-intra.pea.co.th:4434/request/PPIM18503BAF" xr:uid="{2E9A759D-A645-4056-9335-2D198F293BB5}"/>
    <hyperlink ref="K99" r:id="rId97" display="https://ppim-intra.pea.co.th:4434/request/PPIM18503741" xr:uid="{086EBC62-C27A-4D8A-A144-AE923511CC47}"/>
    <hyperlink ref="K100" r:id="rId98" display="https://ppim-intra.pea.co.th:4434/request/PPIM18503C16" xr:uid="{6D3348B1-6CC8-4EFE-A17D-2250D4760AAB}"/>
    <hyperlink ref="K101" r:id="rId99" display="https://ppim-intra.pea.co.th:4434/request/PPIM18503C2D" xr:uid="{C3F89877-023B-4A8E-B5C5-60075CE33F52}"/>
    <hyperlink ref="K103" r:id="rId100" display="https://ppim-intra.pea.co.th:4434/request/PPIM18503D57" xr:uid="{94621E90-C3DF-45C4-9EA8-F88B2C6B82A3}"/>
    <hyperlink ref="K104" r:id="rId101" display="https://ppim-intra.pea.co.th:4434/request/PPIM18503D7B" xr:uid="{6E29F513-221A-44E9-85A5-1A63057BECDC}"/>
    <hyperlink ref="K105" r:id="rId102" display="https://ppim-intra.pea.co.th:4434/request/PPIM18503DD7" xr:uid="{068C4D98-A17A-478F-ABF5-A224F6D32FD0}"/>
    <hyperlink ref="K106" r:id="rId103" display="https://ppim-intra.pea.co.th:4434/request/PPIM18503E0C" xr:uid="{65F12AC8-BF08-4359-BCAC-BB4D1C96FF39}"/>
    <hyperlink ref="K107" r:id="rId104" display="https://ppim-intra.pea.co.th:4434/request/PPIM18503E75" xr:uid="{1B600A66-DEFA-4B32-BF92-B6DE11AFF602}"/>
    <hyperlink ref="K108" r:id="rId105" display="https://ppim-intra.pea.co.th:4434/request/PPIM18503E94" xr:uid="{00E605B1-951F-427E-9A51-1E558FCC078C}"/>
    <hyperlink ref="K109" r:id="rId106" display="https://ppim-intra.pea.co.th:4434/request/PPIM18503EF7" xr:uid="{65E068D5-D658-4E9D-B255-797F3127782E}"/>
    <hyperlink ref="K110" r:id="rId107" display="https://ppim-intra.pea.co.th:4434/request/PPIM18503F22" xr:uid="{4A32EFB6-59CB-475A-9D5B-CFEAE7CC2BAE}"/>
    <hyperlink ref="K111" r:id="rId108" display="https://ppim-intra.pea.co.th:4434/request/PPIM18503F37" xr:uid="{FD358A4B-7F1C-4BBC-83C7-CD72F97220EE}"/>
    <hyperlink ref="K112" r:id="rId109" display="https://ppim-intra.pea.co.th:4434/request/PPIM18503F45" xr:uid="{F6B7D525-6B6C-4A34-B4D5-C4206CBC5194}"/>
    <hyperlink ref="K113" r:id="rId110" display="https://ppim-intra.pea.co.th:4434/request/PPIM18503F47" xr:uid="{15B1F0F1-9E31-4E95-A763-342FE5575F00}"/>
    <hyperlink ref="K114" r:id="rId111" display="https://ppim-intra.pea.co.th:4434/request/PPIM18504007" xr:uid="{4C5DE709-5AC0-45F3-B086-A5B94D705EFF}"/>
    <hyperlink ref="K115" r:id="rId112" display="https://ppim-intra.pea.co.th:4434/request/PPIM185042D6" xr:uid="{4F1E0AE2-0811-4C2A-B119-DD7F4F72EE9C}"/>
    <hyperlink ref="K116" r:id="rId113" display="https://ppim-intra.pea.co.th:4434/request/PPIM1850430F" xr:uid="{AF0B1102-DECF-473A-BBA4-D06B59A41327}"/>
    <hyperlink ref="K117" r:id="rId114" display="https://ppim-intra.pea.co.th:4434/request/PPIM1850431B" xr:uid="{A186A684-4E60-4CA6-804C-5A094ED633F8}"/>
    <hyperlink ref="K118" r:id="rId115" display="https://ppim-intra.pea.co.th:4434/request/PPIM185043E7" xr:uid="{62446958-45CB-45B3-AC89-1D1E7FED66B0}"/>
    <hyperlink ref="K119" r:id="rId116" display="https://ppim-intra.pea.co.th:4434/request/PPIM18504424" xr:uid="{53725DAB-2485-41DF-8036-A8D88949432C}"/>
    <hyperlink ref="K120" r:id="rId117" display="https://ppim-intra.pea.co.th:4434/request/PPIM1850442F" xr:uid="{98D6A303-C479-4E6D-B3CC-029C790445D5}"/>
    <hyperlink ref="K121" r:id="rId118" display="https://ppim-intra.pea.co.th:4434/request/PPIM18504449" xr:uid="{4668CF1C-CED4-4B56-BA77-D5FA5F66CBC5}"/>
    <hyperlink ref="K122" r:id="rId119" display="https://ppim-intra.pea.co.th:4434/request/PPIM1850447F" xr:uid="{D4633F03-03A1-46DA-A4BF-2B29934ED700}"/>
    <hyperlink ref="K123" r:id="rId120" display="https://ppim-intra.pea.co.th:4434/request/PPIM185045B2" xr:uid="{C9FDF195-F86C-4B05-A953-43AAA5EFBECD}"/>
    <hyperlink ref="K124" r:id="rId121" display="https://ppim-intra.pea.co.th:4434/request/PPIM185045EC" xr:uid="{309BE681-9BA1-4FC4-90C6-280EC6B91AE0}"/>
    <hyperlink ref="K125" r:id="rId122" display="https://ppim-intra.pea.co.th:4434/request/PPIM1850462B" xr:uid="{558B59CA-6CCC-4EAF-A724-86A3F3F8EF19}"/>
    <hyperlink ref="K126" r:id="rId123" display="https://ppim-intra.pea.co.th:4434/request/PPIM1850480D" xr:uid="{480C1D81-6C1A-49C4-A7B4-88CE59315578}"/>
    <hyperlink ref="K127" r:id="rId124" display="https://ppim-intra.pea.co.th:4434/request/PPIM1850486A" xr:uid="{CC12566D-3E23-471F-91B1-64EFD0BC895D}"/>
    <hyperlink ref="K128" r:id="rId125" display="https://ppim-intra.pea.co.th:4434/request/PPIM1850492D" xr:uid="{4747097C-CCFA-4A44-9E21-E327CEAD46EC}"/>
    <hyperlink ref="K129" r:id="rId126" display="https://ppim-intra.pea.co.th:4434/request/PPIM185049F5" xr:uid="{48656C1C-55CE-4FFC-9711-BC872D874EC5}"/>
    <hyperlink ref="K130" r:id="rId127" display="https://ppim-intra.pea.co.th:4434/request/PPIM18504A10" xr:uid="{F295B7F4-6C0B-4A6C-AB55-93D642CD8B01}"/>
    <hyperlink ref="K131" r:id="rId128" display="https://ppim-intra.pea.co.th:4434/request/PPIM1950000F" xr:uid="{BDCD4816-C8AB-4E2B-98F0-C74507D23FDA}"/>
    <hyperlink ref="K132" r:id="rId129" display="https://ppim-intra.pea.co.th:4434/request/PPIM1950003E" xr:uid="{0E684F5C-4F20-4670-8888-E254BEDDC436}"/>
    <hyperlink ref="K133" r:id="rId130" display="https://ppim-intra.pea.co.th:4434/request/PPIM19500053" xr:uid="{CDC4DA3C-76B6-46A3-8286-E75F10BE8227}"/>
    <hyperlink ref="K134" r:id="rId131" display="https://ppim-intra.pea.co.th:4434/request/PPIM19500087" xr:uid="{A40983A7-A3A8-4975-9AF4-C0446E71FC17}"/>
    <hyperlink ref="K135" r:id="rId132" display="https://ppim-intra.pea.co.th:4434/request/PPIM19500094" xr:uid="{9CA09985-FD5A-4127-98D4-883EA508B899}"/>
    <hyperlink ref="K136" r:id="rId133" display="https://ppim-intra.pea.co.th:4434/request/PPIM1950009A" xr:uid="{5E6C1224-5FB8-4B8B-AFDC-CF45422DB0E1}"/>
    <hyperlink ref="K137" r:id="rId134" display="https://ppim-intra.pea.co.th:4434/request/PPIM195000B5" xr:uid="{E84E3436-4858-44AC-ADC5-47A99B39B10F}"/>
    <hyperlink ref="K138" r:id="rId135" display="https://ppim-intra.pea.co.th:4434/request/PPIM195000D4" xr:uid="{CBCDF78F-7726-42D0-9BB0-37D05A645BE7}"/>
    <hyperlink ref="K139" r:id="rId136" display="https://ppim-intra.pea.co.th:4434/request/PPIM195000EB" xr:uid="{CBAB7CB6-EAE4-4A9E-9F66-9B52C874663D}"/>
    <hyperlink ref="K140" r:id="rId137" display="https://ppim-intra.pea.co.th:4434/request/PPIM195000FE" xr:uid="{3D273683-8F15-40C8-8274-D3DA72D60F90}"/>
    <hyperlink ref="K141" r:id="rId138" display="https://ppim-intra.pea.co.th:4434/request/PPIM19500128" xr:uid="{9B75623F-4B74-496C-BE35-89D9CD320138}"/>
    <hyperlink ref="K142" r:id="rId139" display="https://ppim-intra.pea.co.th:4434/request/PPIM195001BF" xr:uid="{A2408EC6-B992-4413-A382-E3AD92D1359E}"/>
    <hyperlink ref="K143" r:id="rId140" display="https://ppim-intra.pea.co.th:4434/request/PPIM19500292" xr:uid="{A4FEFBFD-0392-4EA0-AD95-4FC833D7CBE2}"/>
    <hyperlink ref="K144" r:id="rId141" display="https://ppim-intra.pea.co.th:4434/request/PPIM1950029E" xr:uid="{58F2DECA-D073-449B-9051-830DAD513331}"/>
    <hyperlink ref="K145" r:id="rId142" display="https://ppim-intra.pea.co.th:4434/request/PPIM195002B6" xr:uid="{53CE7654-A84F-4AEC-B016-4747E82B5D19}"/>
    <hyperlink ref="K146" r:id="rId143" display="https://ppim-intra.pea.co.th:4434/request/PPIM18503DEF" xr:uid="{41D4719A-ED12-4570-8FE6-037F6E2B33C2}"/>
    <hyperlink ref="K147" r:id="rId144" display="https://ppim-intra.pea.co.th:4434/request/PPIM185037F5" xr:uid="{77939A64-F7CF-43B8-8A55-A8C6DAA205D7}"/>
    <hyperlink ref="K148" r:id="rId145" display="https://ppim-intra.pea.co.th:4434/request/PPIM19500313" xr:uid="{89A31268-EC17-4A9F-8417-916069D483C8}"/>
    <hyperlink ref="K149" r:id="rId146" display="https://ppim-intra.pea.co.th:4434/request/PPIM19500321" xr:uid="{5041EB68-3D1A-476A-A39D-2D449E280D7F}"/>
    <hyperlink ref="K150" r:id="rId147" display="https://ppim-intra.pea.co.th:4434/request/PPIM1950036A" xr:uid="{6C5214CC-E864-4618-9889-D6373965812D}"/>
    <hyperlink ref="K151" r:id="rId148" display="https://ppim-intra.pea.co.th:4434/request/PPIM19500386" xr:uid="{4F90B991-EEBD-4144-BE9B-517F5C7E4B80}"/>
    <hyperlink ref="K152" r:id="rId149" display="https://ppim-intra.pea.co.th:4434/request/PPIM195003E9" xr:uid="{AD895AA9-749C-48AF-ABB4-9E2E60BC0835}"/>
    <hyperlink ref="K153" r:id="rId150" display="https://ppim-intra.pea.co.th:4434/request/PPIM195004E3" xr:uid="{3124CEA3-D097-4BB8-8EF1-8560A2F7F202}"/>
    <hyperlink ref="K154" r:id="rId151" display="https://ppim-intra.pea.co.th:4434/request/PPIM195004F3" xr:uid="{8BAFC5CC-871A-45A8-B338-ECACC09ACE3B}"/>
    <hyperlink ref="K155" r:id="rId152" display="https://ppim-intra.pea.co.th:4434/request/PPIM195005CC" xr:uid="{B120B11E-EDFB-42D2-B357-77BE777AF0AD}"/>
    <hyperlink ref="K156" r:id="rId153" display="https://ppim-intra.pea.co.th:4434/request/PPIM18503F80" xr:uid="{3605787A-2114-4A04-8360-A8D6DF417699}"/>
    <hyperlink ref="K157" r:id="rId154" display="https://ppim-intra.pea.co.th:4434/request/PPIM18503AA1" xr:uid="{A6DAA35D-77C4-4F92-BEE7-4F0E33171127}"/>
    <hyperlink ref="K158" r:id="rId155" display="https://ppim-intra.pea.co.th:4434/request/PPIM19500812" xr:uid="{78C37E0E-4D50-42A9-8E0E-E51EBE7A9DBB}"/>
    <hyperlink ref="K159" r:id="rId156" display="https://ppim-intra.pea.co.th:4434/request/PPIM19500826" xr:uid="{D07A1DFB-3AFC-4349-9BC2-E4AB160881B4}"/>
    <hyperlink ref="K160" r:id="rId157" display="https://ppim-intra.pea.co.th:4434/request/PPIM19500852" xr:uid="{37D457F3-8593-4F1D-BDDD-AE42CA17C1BE}"/>
    <hyperlink ref="K161" r:id="rId158" display="https://ppim-intra.pea.co.th:4434/request/PPIM1950088B" xr:uid="{99763AB8-CA51-42FC-B164-6E74C7A2FD34}"/>
    <hyperlink ref="K162" r:id="rId159" display="https://ppim-intra.pea.co.th:4434/request/PPIM195008CA" xr:uid="{DEBCDFEA-C36D-42A0-B69A-3CD241C0990C}"/>
    <hyperlink ref="K163" r:id="rId160" display="https://ppim-intra.pea.co.th:4434/request/PPIM19500927" xr:uid="{309CD008-D5E6-42B2-BD99-E77E2C8080C7}"/>
    <hyperlink ref="K164" r:id="rId161" display="https://ppim-intra.pea.co.th:4434/request/PPIM195009B4" xr:uid="{DD99FF39-5242-4366-A1C3-CD60E2D8EACE}"/>
    <hyperlink ref="K165" r:id="rId162" display="https://ppim-intra.pea.co.th:4434/request/PPIM19500AEB" xr:uid="{CD04E784-67C1-4976-953C-458074BE161C}"/>
    <hyperlink ref="K166" r:id="rId163" display="https://ppim-intra.pea.co.th:4434/request/PPIM19500B25" xr:uid="{4BFEC41E-696E-44D0-AD9D-EFBD22F2781E}"/>
    <hyperlink ref="K167" r:id="rId164" display="https://ppim-intra.pea.co.th:4434/request/PPIM19500B54" xr:uid="{E9B7AF3E-E51D-418C-BD54-C786E66AF17A}"/>
    <hyperlink ref="K168" r:id="rId165" display="https://ppim-intra.pea.co.th:4434/request/PPIM19500B62" xr:uid="{94F46729-565D-496E-8C6F-CF78A13E5A5E}"/>
    <hyperlink ref="K169" r:id="rId166" display="https://ppim-intra.pea.co.th:4434/request/PPIM19500C8C" xr:uid="{47EFEBC5-71ED-47B6-8D6A-479D3779159C}"/>
    <hyperlink ref="K170" r:id="rId167" display="https://ppim-intra.pea.co.th:4434/request/PPIM19500CB9" xr:uid="{4CF9B4D3-F188-4786-BB01-FC0BA5F5D285}"/>
    <hyperlink ref="K171" r:id="rId168" display="https://ppim-intra.pea.co.th:4434/request/PPIM19500CBA" xr:uid="{C59989D9-1A3B-4A5B-A5F1-1EF869CA79D5}"/>
    <hyperlink ref="K172" r:id="rId169" display="https://ppim-intra.pea.co.th:4434/request/PPIM19500DBD" xr:uid="{4F737AC7-54F8-4F87-AEA7-F49D7A946085}"/>
    <hyperlink ref="K173" r:id="rId170" display="https://ppim-intra.pea.co.th:4434/request/PPIM19500F1C" xr:uid="{8DDFC7D1-5154-4620-AF9E-3A9F9844F420}"/>
    <hyperlink ref="K174" r:id="rId171" display="https://ppim-intra.pea.co.th:4434/request/PPIM19500F2D" xr:uid="{14053BBD-A388-4DAF-B7C8-E7F9EA468D13}"/>
    <hyperlink ref="K175" r:id="rId172" display="https://ppim-intra.pea.co.th:4434/request/PPIM19500F9D" xr:uid="{9A4C264E-9C65-4E8C-A1D1-6163D171125D}"/>
    <hyperlink ref="K176" r:id="rId173" display="https://ppim-intra.pea.co.th:4434/request/PPIM19501017" xr:uid="{3EB2FA1F-DF37-4BD2-9A19-C5E4452DB753}"/>
    <hyperlink ref="K177" r:id="rId174" display="https://ppim-intra.pea.co.th:4434/request/PPIM19500761" xr:uid="{FEE550C1-D653-4953-9DF2-DBEB9E65DD90}"/>
    <hyperlink ref="K178" r:id="rId175" display="https://ppim-intra.pea.co.th:4434/request/PPIM1950117A" xr:uid="{128FB663-4427-43F5-A039-C209AE1AA052}"/>
    <hyperlink ref="K179" r:id="rId176" display="https://ppim-intra.pea.co.th:4434/request/PPIM1950118F" xr:uid="{7F42518D-05C5-42C4-A150-FD7F55F757B3}"/>
    <hyperlink ref="K180" r:id="rId177" display="https://ppim-intra.pea.co.th:4434/request/PPIM195011A6" xr:uid="{B53A284C-CA7F-4773-AA6C-FD648A874CE5}"/>
    <hyperlink ref="K181" r:id="rId178" display="https://ppim-intra.pea.co.th:4434/request/PPIM195009F4" xr:uid="{E1F31638-860B-46FA-8DA6-FDA9C39637D8}"/>
    <hyperlink ref="K182" r:id="rId179" display="https://ppim-intra.pea.co.th:4434/request/PPIM19501250" xr:uid="{F5FC1C69-7C7D-45BD-99AC-8A4FF051625C}"/>
    <hyperlink ref="K183" r:id="rId180" display="https://ppim-intra.pea.co.th:4434/request/PPIM195012BB" xr:uid="{36A3F46C-C60B-42CA-A959-39DE3AF21769}"/>
    <hyperlink ref="K184" r:id="rId181" display="https://ppim-intra.pea.co.th:4434/request/PPIM19501394" xr:uid="{B6ACD086-B75C-4600-9BDB-FA81F2069E51}"/>
    <hyperlink ref="K185" r:id="rId182" display="https://ppim-intra.pea.co.th:4434/request/PPIM19501172" xr:uid="{F679A147-5A5D-44B1-A3DD-F4D38149786D}"/>
    <hyperlink ref="K186" r:id="rId183" display="https://ppim-intra.pea.co.th:4434/request/PPIM19501545" xr:uid="{946FDE6B-98FC-43A8-ADA6-31D7FAAA95DE}"/>
    <hyperlink ref="K187" r:id="rId184" display="https://ppim-intra.pea.co.th:4434/request/PPIM1950157A" xr:uid="{7C367B9A-80A5-4911-80D7-D3CC1E50CD83}"/>
    <hyperlink ref="K188" r:id="rId185" display="https://ppim-intra.pea.co.th:4434/request/PPIM195015F3" xr:uid="{1586155D-202B-40D4-B2FF-DD0A3504D1E9}"/>
    <hyperlink ref="K189" r:id="rId186" display="https://ppim-intra.pea.co.th:4434/request/PPIM19501618" xr:uid="{3464B47B-79CC-49C5-9067-3CB1980D1382}"/>
    <hyperlink ref="K190" r:id="rId187" display="https://ppim-intra.pea.co.th:4434/request/PPIM185048F8" xr:uid="{DB1A743C-ED1E-4BCC-BD76-34743C2BDA02}"/>
    <hyperlink ref="K191" r:id="rId188" display="https://ppim-intra.pea.co.th:4434/request/PPIM19501215" xr:uid="{ABFC4327-3364-4630-BA1F-356FF8754952}"/>
    <hyperlink ref="K192" r:id="rId189" display="https://ppim-intra.pea.co.th:4434/request/PPIM195016A6" xr:uid="{E5145A14-BA52-4605-9831-BB2C6ED5B75A}"/>
    <hyperlink ref="K193" r:id="rId190" display="https://ppim-intra.pea.co.th:4434/request/PPIM19501781" xr:uid="{5F4B3961-0A64-4C78-8E82-9928DEE2C79F}"/>
    <hyperlink ref="K194" r:id="rId191" display="https://ppim-intra.pea.co.th:4434/request/PPIM195008CD" xr:uid="{95E7ECA9-18EB-46F9-A7E0-E17366F76447}"/>
    <hyperlink ref="K195" r:id="rId192" display="https://ppim-intra.pea.co.th:4434/request/PPIM185046D2" xr:uid="{8193E898-F446-4531-B3F8-BA50A1E59438}"/>
    <hyperlink ref="K196" r:id="rId193" display="https://ppim-intra.pea.co.th:4434/request/PPIM195018C7" xr:uid="{3B68457F-B398-4424-B863-7341E7F843BA}"/>
    <hyperlink ref="K197" r:id="rId194" display="https://ppim-intra.pea.co.th:4434/request/PPIM195018C9" xr:uid="{3E12D777-AAFC-4B3E-ADB2-CA022A2EB38B}"/>
    <hyperlink ref="K198" r:id="rId195" display="https://ppim-intra.pea.co.th:4434/request/PPIM195000F2" xr:uid="{F06F50DE-EA0C-447B-80AA-53D63E0DB04A}"/>
    <hyperlink ref="K199" r:id="rId196" display="https://ppim-intra.pea.co.th:4434/request/PPIM19501281" xr:uid="{B56268BE-82B4-4C5A-8DEA-29D2AE80023F}"/>
    <hyperlink ref="K200" r:id="rId197" display="https://ppim-intra.pea.co.th:4434/request/PPIM19500805" xr:uid="{7FEE499B-FE80-411D-9EF1-AD7DDF311127}"/>
    <hyperlink ref="K201" r:id="rId198" display="https://ppim-intra.pea.co.th:4434/request/PPIM19501D4E" xr:uid="{D967C4FA-B167-48A3-943B-AD827DEC0DEA}"/>
    <hyperlink ref="K203" r:id="rId199" display="https://ppim-intra.pea.co.th:4434/request/PPIM19501D9D" xr:uid="{457F9315-18AC-48B9-BD48-CBC49CD55529}"/>
    <hyperlink ref="K204" r:id="rId200" display="https://ppim-intra.pea.co.th:4434/request/PPIM19501DD2" xr:uid="{6BE98542-3D59-447D-9CA4-A52A75789218}"/>
    <hyperlink ref="K205" r:id="rId201" display="https://ppim-intra.pea.co.th:4434/request/PPIM19501EC9" xr:uid="{EB8024F1-861A-4228-8E72-4C6ED8809930}"/>
    <hyperlink ref="K206" r:id="rId202" display="https://ppim-intra.pea.co.th:4434/request/PPIM19501F7F" xr:uid="{6065707C-7AF4-4BBF-8D30-50AE99EA7B81}"/>
    <hyperlink ref="K207" r:id="rId203" display="https://ppim-intra.pea.co.th:4434/request/PPIM19501FE0" xr:uid="{8E32ED26-6FB1-40ED-B097-923E2F7A0026}"/>
    <hyperlink ref="K208" r:id="rId204" display="https://ppim-intra.pea.co.th:4434/request/PPIM19501FE2" xr:uid="{C1C0D906-B38A-4EE6-95F1-495FF1D8BAFB}"/>
    <hyperlink ref="K209" r:id="rId205" display="https://ppim-intra.pea.co.th:4434/request/PPIM19501FFB" xr:uid="{D012C189-4CE1-495D-AE98-E0DF63D8FD99}"/>
    <hyperlink ref="K210" r:id="rId206" display="https://ppim-intra.pea.co.th:4434/request/PPIM195020C8" xr:uid="{1FB7BF8F-552C-45B3-AB43-415B1FB24BB7}"/>
    <hyperlink ref="K211" r:id="rId207" display="https://ppim-intra.pea.co.th:4434/request/PPIM1950217A" xr:uid="{A9F6628C-752A-4885-B09D-AF5983BEF953}"/>
    <hyperlink ref="K212" r:id="rId208" display="https://ppim-intra.pea.co.th:4434/request/PPIM195023C9" xr:uid="{F0201018-41C4-46E7-AA6B-B052D5CC6CE3}"/>
    <hyperlink ref="K213" r:id="rId209" display="https://ppim-intra.pea.co.th:4434/request/PPIM195023F6" xr:uid="{819E0494-2D4E-4562-A654-42613E049636}"/>
    <hyperlink ref="K214" r:id="rId210" display="https://ppim-intra.pea.co.th:4434/request/PPIM19502675" xr:uid="{56823C33-9CEA-44B6-B01E-45EC963FCA47}"/>
    <hyperlink ref="K215" r:id="rId211" display="https://ppim-intra.pea.co.th:4434/request/PPIM195026D8" xr:uid="{F15EC89E-667F-4307-B147-89A92B756C7B}"/>
    <hyperlink ref="K216" r:id="rId212" display="https://ppim-intra.pea.co.th:4434/request/PPIM195026DB" xr:uid="{9C26A179-F44F-4970-9C5E-0657525D2D6C}"/>
    <hyperlink ref="K217" r:id="rId213" display="https://ppim-intra.pea.co.th:4434/request/PPIM19502706" xr:uid="{1E87BE0A-FCDE-474D-902D-CBC6BC74B07C}"/>
    <hyperlink ref="K218" r:id="rId214" display="https://ppim-intra.pea.co.th:4434/request/PPIM1950276B" xr:uid="{4CCA8164-457E-416E-B105-CE56B457FEA4}"/>
    <hyperlink ref="K219" r:id="rId215" display="https://ppim-intra.pea.co.th:4434/request/PPIM1950276C" xr:uid="{528E87D5-0636-4311-85E3-A618846D4987}"/>
    <hyperlink ref="K220" r:id="rId216" display="https://ppim-intra.pea.co.th:4434/request/PPIM195027B9" xr:uid="{C4D370DC-BE59-476D-8831-EF832C4D0592}"/>
    <hyperlink ref="K221" r:id="rId217" display="https://ppim-intra.pea.co.th:4434/request/PPIM19502B94" xr:uid="{7951511D-8F53-47A7-AA17-9D5DB72A4951}"/>
    <hyperlink ref="K222" r:id="rId218" display="https://ppim-intra.pea.co.th:4434/request/PPIM19502C0D" xr:uid="{9F8CDF21-1F6C-405F-88D3-3D5AE9E00898}"/>
    <hyperlink ref="K223" r:id="rId219" display="https://ppim-intra.pea.co.th:4434/request/PPIM19502CD1" xr:uid="{13AC9254-A5F7-4655-B706-886463978913}"/>
    <hyperlink ref="K224" r:id="rId220" display="https://ppim-intra.pea.co.th:4434/request/PPIM195020B9" xr:uid="{B0A03581-6347-4DAE-A8E1-71D6A4E729B1}"/>
    <hyperlink ref="K225" r:id="rId221" display="https://ppim-intra.pea.co.th:4434/request/PPIM1950245D" xr:uid="{26ADBD2D-EA58-4731-AD57-AFC69E7018DE}"/>
    <hyperlink ref="K226" r:id="rId222" display="https://ppim-intra.pea.co.th:4434/request/PPIM19503162" xr:uid="{37A15B17-4573-453C-8A98-828AD5556B9B}"/>
    <hyperlink ref="K227" r:id="rId223" display="https://ppim-intra.pea.co.th:4434/request/PPIM1950316B" xr:uid="{0B75D3E0-55BB-46AE-B3C9-78DD54A5196D}"/>
    <hyperlink ref="K228" r:id="rId224" display="https://ppim-intra.pea.co.th:4434/request/PPIM19503204" xr:uid="{62B4D08B-D5A2-40E7-B241-C39C5EEDD884}"/>
    <hyperlink ref="K229" r:id="rId225" display="https://ppim-intra.pea.co.th:4434/request/PPIM1950323B" xr:uid="{D84E9701-C8B3-4C26-B556-246F49401180}"/>
    <hyperlink ref="K230" r:id="rId226" display="https://ppim-intra.pea.co.th:4434/request/PPIM19502ACD" xr:uid="{5180A15F-F757-461D-BA85-0E20F59537CF}"/>
    <hyperlink ref="K231" r:id="rId227" display="https://ppim-intra.pea.co.th:4434/request/PPIM1950331E" xr:uid="{006F53B9-9348-4A98-B676-07E312D95A70}"/>
    <hyperlink ref="K232" r:id="rId228" display="https://ppim-intra.pea.co.th:4434/request/PPIM19503375" xr:uid="{E9BB3459-B477-47E7-B9D8-1D6491B9313A}"/>
    <hyperlink ref="K233" r:id="rId229" display="https://ppim-intra.pea.co.th:4434/request/PPIM1950141C" xr:uid="{C14F89F5-4EBF-4EB1-916A-F251B92E09FA}"/>
    <hyperlink ref="K234" r:id="rId230" display="https://ppim-intra.pea.co.th:4434/request/PPIM195033CE" xr:uid="{D2A64175-EE46-4DAC-B42B-8FA97625EB35}"/>
    <hyperlink ref="K235" r:id="rId231" display="https://ppim-intra.pea.co.th:4434/request/PPIM19503402" xr:uid="{2E14CC92-DDF2-4C0E-9131-A0345E497504}"/>
    <hyperlink ref="K236" r:id="rId232" display="https://ppim-intra.pea.co.th:4434/request/PPIM1950342C" xr:uid="{8C96878D-F835-4BCA-A993-2D3334E9BF1D}"/>
    <hyperlink ref="K237" r:id="rId233" display="https://ppim-intra.pea.co.th:4434/request/PPIM19503505" xr:uid="{BCAB90A6-D57A-4309-91C2-AEB258828051}"/>
    <hyperlink ref="K238" r:id="rId234" display="https://ppim-intra.pea.co.th:4434/request/PPIM19503538" xr:uid="{09250845-906F-4FE1-9442-C34C557547F8}"/>
    <hyperlink ref="K239" r:id="rId235" display="https://ppim-intra.pea.co.th:4434/request/PPIM19502C26" xr:uid="{E0ABBC94-5128-44C0-829E-757FB437593B}"/>
    <hyperlink ref="K240" r:id="rId236" display="https://ppim-intra.pea.co.th:4434/request/PPIM19502FBA" xr:uid="{B0C17664-C1BB-4422-A0DC-55BADFBEDAFB}"/>
    <hyperlink ref="K241" r:id="rId237" display="https://ppim-intra.pea.co.th:4434/request/PPIM1950366E" xr:uid="{BA068EC0-7AD1-4D5E-AB62-E4EB285D33FA}"/>
    <hyperlink ref="K242" r:id="rId238" display="https://ppim-intra.pea.co.th:4434/request/PPIM19503060" xr:uid="{192B0C25-1F3D-4730-A10B-6CA1EEF6E06D}"/>
    <hyperlink ref="K243" r:id="rId239" display="https://ppim-intra.pea.co.th:4434/request/PPIM195036AA" xr:uid="{65EB68D5-E66B-4377-A347-47335190A696}"/>
    <hyperlink ref="K244" r:id="rId240" display="https://ppim-intra.pea.co.th:4434/request/PPIM195036AC" xr:uid="{39E66335-E325-4DFC-AA85-C5E2598E016C}"/>
    <hyperlink ref="K245" r:id="rId241" display="https://ppim-intra.pea.co.th:4434/request/PPIM195037A7" xr:uid="{66108292-5BF6-4A83-AE5B-CEF5CD5CBF7E}"/>
    <hyperlink ref="K246" r:id="rId242" display="https://ppim-intra.pea.co.th:4434/request/PPIM19503819" xr:uid="{75878ECA-F21C-4047-8766-433DD39B4BAC}"/>
    <hyperlink ref="K247" r:id="rId243" display="https://ppim-intra.pea.co.th:4434/request/PPIM19503823" xr:uid="{57A2FAC0-6499-49E3-9B2D-7E7B117EC05C}"/>
    <hyperlink ref="K248" r:id="rId244" display="https://ppim-intra.pea.co.th:4434/request/PPIM19503A4C" xr:uid="{C925E83A-11EB-454A-AAC1-A6EBB909D4A4}"/>
    <hyperlink ref="K249" r:id="rId245" display="https://ppim-intra.pea.co.th:4434/request/PPIM19503AD4" xr:uid="{F22BE616-F5A1-4768-B0A1-973ACA50214E}"/>
    <hyperlink ref="K250" r:id="rId246" display="https://ppim-intra.pea.co.th:4434/request/PPIM19503B96" xr:uid="{4DF860A1-8EF5-4787-94E1-5D2FBC1F5BB1}"/>
    <hyperlink ref="K251" r:id="rId247" display="https://ppim-intra.pea.co.th:4434/request/PPIM19503C20" xr:uid="{5E733AEF-CFFF-40FA-8914-C6F998232629}"/>
    <hyperlink ref="K252" r:id="rId248" display="https://ppim-intra.pea.co.th:4434/request/PPIM19503C3D" xr:uid="{BA3FA494-DB65-4EB7-9811-8CBB0F158CA2}"/>
    <hyperlink ref="K253" r:id="rId249" display="https://ppim-intra.pea.co.th:4434/request/PPIM19503CA7" xr:uid="{1F5925FF-062C-420D-8589-0E9C9983FAAB}"/>
    <hyperlink ref="K254" r:id="rId250" display="https://ppim-intra.pea.co.th:4434/request/PPIM19503CBE" xr:uid="{B096BD4B-6443-4660-BC06-1FEF41F70D5C}"/>
    <hyperlink ref="K255" r:id="rId251" display="https://ppim-intra.pea.co.th:4434/request/PPIM19503D5E" xr:uid="{9A338A7A-8B3A-43AF-9C41-466896473A08}"/>
    <hyperlink ref="K256" r:id="rId252" display="https://ppim-intra.pea.co.th:4434/request/PPIM19503DB4" xr:uid="{3C1B4C82-6F3D-48DC-8A76-CED01A5CEF3F}"/>
    <hyperlink ref="K257" r:id="rId253" display="https://ppim-intra.pea.co.th:4434/request/PPIM19503DBC" xr:uid="{39458101-8ABD-40DE-95C8-4C6184B18652}"/>
    <hyperlink ref="K258" r:id="rId254" display="https://ppim-intra.pea.co.th:4434/request/PPIM195030B6" xr:uid="{14BCFA96-8B80-49F9-A09D-EBBAB408A694}"/>
    <hyperlink ref="K259" r:id="rId255" display="https://ppim-intra.pea.co.th:4434/request/PPIM19503E68" xr:uid="{2F16D251-70B6-4D90-9C63-730F61AD6B0F}"/>
    <hyperlink ref="K260" r:id="rId256" display="https://ppim-intra.pea.co.th:4434/request/PPIM19503F87" xr:uid="{92623DEA-8D24-4B55-80C1-706CF240A0BA}"/>
    <hyperlink ref="K261" r:id="rId257" display="https://ppim-intra.pea.co.th:4434/request/PPIM19501C9D" xr:uid="{E98C7A4D-D233-4708-930B-2564D0C74F99}"/>
    <hyperlink ref="K262" r:id="rId258" display="https://ppim-intra.pea.co.th:4434/request/PPIM1950409C" xr:uid="{C8FF2068-4F46-4FA6-AC2B-DE8FAE17343C}"/>
    <hyperlink ref="K263" r:id="rId259" display="https://ppim-intra.pea.co.th:4434/request/PPIM19502B9F" xr:uid="{4F88BC61-FCA3-49AE-9BF9-59CA55952606}"/>
    <hyperlink ref="K264" r:id="rId260" display="https://ppim-intra.pea.co.th:4434/request/PPIM195041A7" xr:uid="{7BF57C69-1665-4122-9C63-3A0870CD02E6}"/>
    <hyperlink ref="K265" r:id="rId261" display="https://ppim-intra.pea.co.th:4434/request/PPIM195041AA" xr:uid="{6DD7C22C-7114-458C-92CF-EA7575957875}"/>
    <hyperlink ref="K266" r:id="rId262" display="https://ppim-intra.pea.co.th:4434/request/PPIM195041B6" xr:uid="{E83E50C6-4887-421B-9217-F5B2DF48DE21}"/>
    <hyperlink ref="K267" r:id="rId263" display="https://ppim-intra.pea.co.th:4434/request/PPIM19504279" xr:uid="{416CD224-BD15-4926-B3C5-4FC0A192EC67}"/>
    <hyperlink ref="K268" r:id="rId264" display="https://ppim-intra.pea.co.th:4434/request/PPIM19503B3E" xr:uid="{32B83D9C-5F4D-4DE8-9E84-30531AB5E7DD}"/>
    <hyperlink ref="K269" r:id="rId265" display="https://ppim-intra.pea.co.th:4434/request/PPIM19504444" xr:uid="{30067550-A249-497B-A29D-24114E1B7039}"/>
    <hyperlink ref="K270" r:id="rId266" display="https://ppim-intra.pea.co.th:4434/request/PPIM19504627" xr:uid="{D6E9145E-7EC7-4DAA-AB2D-5268164D3CC2}"/>
    <hyperlink ref="K271" r:id="rId267" display="https://ppim-intra.pea.co.th:4434/request/PPIM19504651" xr:uid="{5CCE3339-D8E7-4DC3-AC7D-CE89309D1872}"/>
    <hyperlink ref="K272" r:id="rId268" display="https://ppim-intra.pea.co.th:4434/request/PPIM19503E26" xr:uid="{DA817645-119B-4FE6-816A-CF1617B98201}"/>
    <hyperlink ref="K273" r:id="rId269" display="https://ppim-intra.pea.co.th:4434/request/PPIM1950474C" xr:uid="{D6A5C42F-6560-44FC-A15D-E70008BC3320}"/>
    <hyperlink ref="K274" r:id="rId270" display="https://ppim-intra.pea.co.th:4434/request/PPIM19504770" xr:uid="{03256336-59FE-4E7D-BE18-29D593910423}"/>
    <hyperlink ref="K275" r:id="rId271" display="https://ppim-intra.pea.co.th:4434/request/PPIM1950477C" xr:uid="{F7293088-0AAE-4EBF-96BC-88F6B0F13EAE}"/>
    <hyperlink ref="K276" r:id="rId272" display="https://ppim-intra.pea.co.th:4434/request/PPIM195047A9" xr:uid="{79582C83-C97D-483A-9EFD-A69A8495D5C6}"/>
    <hyperlink ref="K277" r:id="rId273" display="https://ppim-intra.pea.co.th:4434/request/PPIM1950413B" xr:uid="{96F467E5-3205-4143-A78D-E6F6A44CC45D}"/>
    <hyperlink ref="K278" r:id="rId274" display="https://ppim-intra.pea.co.th:4434/request/PPIM19504806" xr:uid="{3AE1AEB8-A971-4E09-AF6E-F3D152592B9D}"/>
    <hyperlink ref="K279" r:id="rId275" display="https://ppim-intra.pea.co.th:4434/request/PPIM195046E5" xr:uid="{FE7DF3F6-FAE9-40E4-B5EC-9557FDAB5954}"/>
    <hyperlink ref="K280" r:id="rId276" display="https://ppim-intra.pea.co.th:4434/request/PPIM195048C5" xr:uid="{D005FD24-075D-4346-9333-FB7449D5D31A}"/>
    <hyperlink ref="K281" r:id="rId277" display="https://ppim-intra.pea.co.th:4434/request/PPIM1950491C" xr:uid="{3098FDA2-BB13-4E34-8A83-E4796185F4A3}"/>
    <hyperlink ref="K282" r:id="rId278" display="https://ppim-intra.pea.co.th:4434/request/PPIM1950498E" xr:uid="{BFB8AF79-6E04-43CC-B1F3-526ABDFAFC89}"/>
    <hyperlink ref="K283" r:id="rId279" display="https://ppim-intra.pea.co.th:4434/request/PPIM19504993" xr:uid="{DFDFD960-60C4-4C71-95B9-7CC9DBF5B74C}"/>
    <hyperlink ref="K284" r:id="rId280" display="https://ppim-intra.pea.co.th:4434/request/PPIM19504A15" xr:uid="{39CBB098-46D1-485A-ADDC-EEAA422C8666}"/>
    <hyperlink ref="K285" r:id="rId281" display="https://ppim-intra.pea.co.th:4434/request/PPIM195047F2" xr:uid="{3C60C6E1-2BD3-4750-9BF6-311430099FB8}"/>
    <hyperlink ref="K286" r:id="rId282" display="https://ppim-intra.pea.co.th:4434/request/PPIM19504B19" xr:uid="{2D35B2A4-6E3A-416A-AB52-02AA02AB71B2}"/>
    <hyperlink ref="K287" r:id="rId283" display="https://ppim-intra.pea.co.th:4434/request/PPIM1950413F" xr:uid="{2B94BCB9-6E9F-47D5-AE01-4A89DA8544C8}"/>
    <hyperlink ref="K288" r:id="rId284" display="https://ppim-intra.pea.co.th:4434/request/PPIM19504BD8" xr:uid="{2E4B1137-A1ED-4066-9FB7-B3F5CC0033D8}"/>
    <hyperlink ref="K289" r:id="rId285" display="https://ppim-intra.pea.co.th:4434/request/PPIM195048F0" xr:uid="{A289D950-1F76-42F5-832F-2703FEBB1775}"/>
    <hyperlink ref="K290" r:id="rId286" display="https://ppim-intra.pea.co.th:4434/request/PPIM19504D29" xr:uid="{5F191E58-47FB-44E0-B5A6-D0C9D90BBB4B}"/>
    <hyperlink ref="K291" r:id="rId287" display="https://ppim-intra.pea.co.th:4434/request/PPIM1950379B" xr:uid="{B6DB6E44-01FB-4014-A6A8-2E4BA0ACC8D8}"/>
    <hyperlink ref="K292" r:id="rId288" display="https://ppim-intra.pea.co.th:4434/request/PPIM195040B7" xr:uid="{D997D4CD-4FA6-4109-8871-80B7B01A19F3}"/>
    <hyperlink ref="K293" r:id="rId289" display="https://ppim-intra.pea.co.th:4434/request/PPIM195040B5" xr:uid="{B45A2BA2-A5F4-4EC1-9E08-7CAE5EC45E9E}"/>
    <hyperlink ref="K294" r:id="rId290" display="https://ppim-intra.pea.co.th:4434/request/PPIM19504F07" xr:uid="{E9DE62A3-D46F-466C-87C7-B838FC8E5FC7}"/>
    <hyperlink ref="K295" r:id="rId291" display="https://ppim-intra.pea.co.th:4434/request/PPIM19504FAA" xr:uid="{82017D1A-ED4A-4CB4-8EDC-890CD362381E}"/>
    <hyperlink ref="K296" r:id="rId292" display="https://ppim-intra.pea.co.th:4434/request/PPIM1950415D" xr:uid="{6974AD92-C9D3-4008-871D-D1DEFCF9772B}"/>
    <hyperlink ref="K297" r:id="rId293" display="https://ppim-intra.pea.co.th:4434/request/PPIM1950481B" xr:uid="{02876196-D0BB-4F89-9A3E-33163CFF4937}"/>
    <hyperlink ref="K298" r:id="rId294" display="https://ppim-intra.pea.co.th:4434/request/PPIM19504A06" xr:uid="{EB9ED79A-8A8C-4BA0-8611-ABDD83315A82}"/>
    <hyperlink ref="K299" r:id="rId295" display="https://ppim-intra.pea.co.th:4434/request/PPIM19504B2B" xr:uid="{DBFF6B38-3976-4964-955F-E0EEA26B7673}"/>
    <hyperlink ref="K300" r:id="rId296" display="https://ppim-intra.pea.co.th:4434/request/PPIM195043BF" xr:uid="{59F789B2-582F-4B6D-9D14-9EF8CC8FE473}"/>
    <hyperlink ref="K301" r:id="rId297" display="https://ppim-intra.pea.co.th:4434/request/PPIM19505157" xr:uid="{101C0FA9-EDF5-4E29-8186-65C452C8FA2D}"/>
    <hyperlink ref="K303" r:id="rId298" display="https://ppim-intra.pea.co.th:4434/request/PPIM195051AE" xr:uid="{2710AD8D-3C2A-42C0-B820-EA794887DD38}"/>
    <hyperlink ref="K304" r:id="rId299" display="https://ppim-intra.pea.co.th:4434/request/PPIM1950522F" xr:uid="{9DA36BD8-C820-41F3-9512-B8714DBBB1F5}"/>
    <hyperlink ref="K305" r:id="rId300" display="https://ppim-intra.pea.co.th:4434/request/PPIM1950534D" xr:uid="{2CFAA799-1394-4E96-B27E-9B5CF63BA68D}"/>
    <hyperlink ref="K306" r:id="rId301" display="https://ppim-intra.pea.co.th:4434/request/PPIM19505377" xr:uid="{FCC4FF88-453F-4525-B46B-86E1AA4BF37C}"/>
    <hyperlink ref="K307" r:id="rId302" display="https://ppim-intra.pea.co.th:4434/request/PPIM19505379" xr:uid="{E449CA5D-4B2F-4C3A-88EF-44FCAE77309E}"/>
    <hyperlink ref="K308" r:id="rId303" display="https://ppim-intra.pea.co.th:4434/request/PPIM195054CF" xr:uid="{B55C4C54-0793-4970-873C-B40825ACC993}"/>
    <hyperlink ref="K309" r:id="rId304" display="https://ppim-intra.pea.co.th:4434/request/PPIM19505546" xr:uid="{6243DC32-0965-4872-AFB2-D1C1007773A7}"/>
    <hyperlink ref="K310" r:id="rId305" display="https://ppim-intra.pea.co.th:4434/request/PPIM195055A1" xr:uid="{23F50D14-E7FC-43D1-9500-A05325A60296}"/>
    <hyperlink ref="K311" r:id="rId306" display="https://ppim-intra.pea.co.th:4434/request/PPIM19505615" xr:uid="{DC2D8F38-79B3-4300-AC62-99CDFD072CA5}"/>
    <hyperlink ref="K312" r:id="rId307" display="https://ppim-intra.pea.co.th:4434/request/PPIM1950578F" xr:uid="{BC5D26B9-4741-46FD-9E94-25AEA95A4F11}"/>
    <hyperlink ref="K313" r:id="rId308" display="https://ppim-intra.pea.co.th:4434/request/PPIM195052EA" xr:uid="{FD18FB2A-5635-4A3B-A5C2-3457BAAEDDD0}"/>
    <hyperlink ref="K314" r:id="rId309" display="https://ppim-intra.pea.co.th:4434/request/PPIM19505864" xr:uid="{FE8AAB54-9C54-405E-B15E-D37FAC3B2A22}"/>
    <hyperlink ref="K315" r:id="rId310" display="https://ppim-intra.pea.co.th:4434/request/PPIM19505886" xr:uid="{71555705-5089-4243-80CE-8A9D7CA7D110}"/>
    <hyperlink ref="K316" r:id="rId311" display="https://ppim-intra.pea.co.th:4434/request/PPIM19505887" xr:uid="{CA713F37-211B-4F4D-A1BF-0D22E57F768F}"/>
    <hyperlink ref="K317" r:id="rId312" display="https://ppim-intra.pea.co.th:4434/request/PPIM19505376" xr:uid="{4747A2D4-6FA2-46CB-BF12-13C0F84BC258}"/>
    <hyperlink ref="K318" r:id="rId313" display="https://ppim-intra.pea.co.th:4434/request/PPIM1950562A" xr:uid="{A214756F-B2D8-4628-91AD-0472148CF000}"/>
    <hyperlink ref="K319" r:id="rId314" display="https://ppim-intra.pea.co.th:4434/request/PPIM19505A3A" xr:uid="{8A2DCF31-10CC-46CD-A86E-DDFABE33AB95}"/>
    <hyperlink ref="K320" r:id="rId315" display="https://ppim-intra.pea.co.th:4434/request/PPIM19505A4B" xr:uid="{8933AE49-90EA-40C3-A56B-E55E8FA5EA29}"/>
    <hyperlink ref="K321" r:id="rId316" display="https://ppim-intra.pea.co.th:4434/request/PPIM19505AB9" xr:uid="{017FDAD4-A78E-411E-86B5-6D810AE8F076}"/>
    <hyperlink ref="K322" r:id="rId317" display="https://ppim-intra.pea.co.th:4434/request/PPIM19505ABA" xr:uid="{DFFFC14A-1C76-4DDC-ADAA-3F4F680B9689}"/>
    <hyperlink ref="K323" r:id="rId318" display="https://ppim-intra.pea.co.th:4434/request/PPIM19505AD0" xr:uid="{F01850ED-5474-41C8-B7E8-188ADDBB4F28}"/>
    <hyperlink ref="K324" r:id="rId319" display="https://ppim-intra.pea.co.th:4434/request/PPIM19505B15" xr:uid="{65BCD36D-530C-42CC-BCE9-76B6FCB12E85}"/>
    <hyperlink ref="K325" r:id="rId320" display="https://ppim-intra.pea.co.th:4434/request/PPIM19505BCE" xr:uid="{29FCCD2B-55E5-4AA6-8DB5-D1D651667463}"/>
    <hyperlink ref="K326" r:id="rId321" display="https://ppim-intra.pea.co.th:4434/request/PPIM19505A45" xr:uid="{0C4AC97D-EB15-4E71-956B-9A4086A9F377}"/>
    <hyperlink ref="K327" r:id="rId322" display="https://ppim-intra.pea.co.th:4434/request/PPIM19505BD6" xr:uid="{73FA61DC-D5D7-4DC1-94DB-26EB2923523D}"/>
    <hyperlink ref="K328" r:id="rId323" display="https://ppim-intra.pea.co.th:4434/request/PPIM19505C18" xr:uid="{B67E3553-CE00-4153-9CD6-0E8CDB6DB68D}"/>
    <hyperlink ref="K329" r:id="rId324" display="https://ppim-intra.pea.co.th:4434/request/PPIM1950579D" xr:uid="{93D56C88-DA40-4522-8670-19791662EE8D}"/>
  </hyperlinks>
  <pageMargins left="0.7" right="0.7" top="0.75" bottom="0.75" header="0.3" footer="0.3"/>
  <drawing r:id="rId325"/>
  <legacyDrawing r:id="rId326"/>
  <controls>
    <mc:AlternateContent xmlns:mc="http://schemas.openxmlformats.org/markup-compatibility/2006">
      <mc:Choice Requires="x14">
        <control shapeId="15361" r:id="rId327" name="Control 1">
          <controlPr defaultSize="0" r:id="rId328">
            <anchor moveWithCells="1">
              <from>
                <xdr:col>0</xdr:col>
                <xdr:colOff>0</xdr:colOff>
                <xdr:row>13</xdr:row>
                <xdr:rowOff>904875</xdr:rowOff>
              </from>
              <to>
                <xdr:col>0</xdr:col>
                <xdr:colOff>161925</xdr:colOff>
                <xdr:row>14</xdr:row>
                <xdr:rowOff>142875</xdr:rowOff>
              </to>
            </anchor>
          </controlPr>
        </control>
      </mc:Choice>
      <mc:Fallback>
        <control shapeId="15361" r:id="rId327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B998-0442-42D7-9A7C-50D52852C52C}">
  <sheetPr codeName="Sheet10">
    <tabColor theme="0" tint="-0.34998626667073579"/>
  </sheetPr>
  <dimension ref="A2:O168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18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67</v>
      </c>
      <c r="N2" s="13" t="s">
        <v>214</v>
      </c>
    </row>
    <row r="3" spans="1:15" ht="37.5" thickTop="1" thickBot="1">
      <c r="A3" s="18" t="s">
        <v>142</v>
      </c>
      <c r="B3" s="18">
        <v>20003574050</v>
      </c>
      <c r="C3" s="18" t="s">
        <v>143</v>
      </c>
      <c r="D3" s="19">
        <v>45330.788888888892</v>
      </c>
      <c r="E3" s="18" t="s">
        <v>10</v>
      </c>
      <c r="F3" s="18">
        <v>5</v>
      </c>
      <c r="G3" s="19">
        <v>45524.544444444444</v>
      </c>
      <c r="H3" s="18" t="s">
        <v>2657</v>
      </c>
      <c r="I3" s="18" t="s">
        <v>10</v>
      </c>
      <c r="J3" s="18" t="s">
        <v>137</v>
      </c>
      <c r="K3" s="20"/>
      <c r="L3" s="7" t="s">
        <v>2656</v>
      </c>
      <c r="M3" s="7">
        <f>COUNTIF(H:H,"รอตรวจสอบคำขอ")</f>
        <v>7</v>
      </c>
      <c r="N3" s="11" t="s">
        <v>214</v>
      </c>
    </row>
    <row r="4" spans="1:15" ht="36.75" thickBot="1">
      <c r="A4" s="18" t="s">
        <v>140</v>
      </c>
      <c r="B4" s="18">
        <v>20003448597</v>
      </c>
      <c r="C4" s="18" t="s">
        <v>141</v>
      </c>
      <c r="D4" s="19">
        <v>45353.491666666669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137</v>
      </c>
      <c r="K4" s="20"/>
      <c r="L4" s="7" t="s">
        <v>178</v>
      </c>
      <c r="M4" s="7">
        <f>COUNTIF(H:H,"ยกเลิก")</f>
        <v>11</v>
      </c>
      <c r="N4" s="11" t="s">
        <v>214</v>
      </c>
    </row>
    <row r="5" spans="1:15" ht="36.75" thickBot="1">
      <c r="A5" s="18" t="s">
        <v>138</v>
      </c>
      <c r="B5" s="18">
        <v>20003448597</v>
      </c>
      <c r="C5" s="18" t="s">
        <v>139</v>
      </c>
      <c r="D5" s="19">
        <v>45371.474305555559</v>
      </c>
      <c r="E5" s="18" t="s">
        <v>10</v>
      </c>
      <c r="F5" s="18">
        <v>10</v>
      </c>
      <c r="G5" s="19">
        <v>45538.400000000001</v>
      </c>
      <c r="H5" s="18" t="s">
        <v>236</v>
      </c>
      <c r="I5" s="18" t="s">
        <v>10</v>
      </c>
      <c r="J5" s="18" t="s">
        <v>137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135</v>
      </c>
      <c r="B6" s="18">
        <v>20025562782</v>
      </c>
      <c r="C6" s="18" t="s">
        <v>136</v>
      </c>
      <c r="D6" s="19">
        <v>45375.670138888891</v>
      </c>
      <c r="E6" s="18" t="s">
        <v>10</v>
      </c>
      <c r="F6" s="18">
        <v>5</v>
      </c>
      <c r="G6" s="19">
        <v>45538.488888888889</v>
      </c>
      <c r="H6" s="18" t="s">
        <v>236</v>
      </c>
      <c r="I6" s="18" t="s">
        <v>10</v>
      </c>
      <c r="J6" s="18" t="s">
        <v>137</v>
      </c>
      <c r="K6" s="20"/>
      <c r="L6" s="7" t="s">
        <v>189</v>
      </c>
      <c r="M6" s="14">
        <f>COUNTIF(H:H,"รอชำระเงิน")</f>
        <v>10</v>
      </c>
      <c r="N6" s="11" t="s">
        <v>214</v>
      </c>
      <c r="O6" s="7" t="s">
        <v>359</v>
      </c>
    </row>
    <row r="7" spans="1:15" ht="36.75" thickBot="1">
      <c r="A7" s="18" t="s">
        <v>399</v>
      </c>
      <c r="B7" s="18">
        <v>20027576734</v>
      </c>
      <c r="C7" s="18" t="s">
        <v>400</v>
      </c>
      <c r="D7" s="19">
        <v>45432.57708333333</v>
      </c>
      <c r="E7" s="18" t="s">
        <v>10</v>
      </c>
      <c r="F7" s="18">
        <v>5</v>
      </c>
      <c r="G7" s="19">
        <v>45547.36041666667</v>
      </c>
      <c r="H7" s="18" t="s">
        <v>236</v>
      </c>
      <c r="I7" s="18" t="s">
        <v>10</v>
      </c>
      <c r="J7" s="18" t="s">
        <v>137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7" s="11" t="s">
        <v>214</v>
      </c>
    </row>
    <row r="8" spans="1:15" ht="36.75" thickBot="1">
      <c r="A8" s="18" t="s">
        <v>401</v>
      </c>
      <c r="B8" s="18">
        <v>20026068942</v>
      </c>
      <c r="C8" s="18" t="s">
        <v>402</v>
      </c>
      <c r="D8" s="19">
        <v>45432.626388888886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137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9</v>
      </c>
      <c r="N8" s="11" t="s">
        <v>214</v>
      </c>
    </row>
    <row r="9" spans="1:15" ht="36.75" thickBot="1">
      <c r="A9" s="18" t="s">
        <v>540</v>
      </c>
      <c r="B9" s="18">
        <v>20027034246</v>
      </c>
      <c r="C9" s="18" t="s">
        <v>541</v>
      </c>
      <c r="D9" s="19">
        <v>45468.881249999999</v>
      </c>
      <c r="E9" s="18" t="s">
        <v>10</v>
      </c>
      <c r="F9" s="18">
        <v>3.6</v>
      </c>
      <c r="G9" s="18" t="s">
        <v>10</v>
      </c>
      <c r="H9" s="18" t="s">
        <v>178</v>
      </c>
      <c r="I9" s="18" t="s">
        <v>10</v>
      </c>
      <c r="J9" s="18" t="s">
        <v>137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670</v>
      </c>
      <c r="B10" s="18">
        <v>20023451555</v>
      </c>
      <c r="C10" s="18" t="s">
        <v>671</v>
      </c>
      <c r="D10" s="19">
        <v>45483.68472222222</v>
      </c>
      <c r="E10" s="18" t="s">
        <v>10</v>
      </c>
      <c r="F10" s="18">
        <v>20</v>
      </c>
      <c r="G10" s="18" t="s">
        <v>10</v>
      </c>
      <c r="H10" s="18" t="s">
        <v>178</v>
      </c>
      <c r="I10" s="18" t="s">
        <v>10</v>
      </c>
      <c r="J10" s="18" t="s">
        <v>137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672</v>
      </c>
      <c r="B11" s="18">
        <v>20022856677</v>
      </c>
      <c r="C11" s="18" t="s">
        <v>673</v>
      </c>
      <c r="D11" s="19">
        <v>45486.661111111112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137</v>
      </c>
      <c r="K11" s="20"/>
      <c r="L11" t="s">
        <v>2654</v>
      </c>
      <c r="M11">
        <f>COUNTIF(H:H,"รอตรวจสอบระบบผลิต")</f>
        <v>6</v>
      </c>
      <c r="N11" t="s">
        <v>214</v>
      </c>
    </row>
    <row r="12" spans="1:15" ht="36.75" thickBot="1">
      <c r="A12" s="18" t="s">
        <v>758</v>
      </c>
      <c r="B12" s="18">
        <v>20018924906</v>
      </c>
      <c r="C12" s="18" t="s">
        <v>759</v>
      </c>
      <c r="D12" s="19">
        <v>45490.97152777778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137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760</v>
      </c>
      <c r="B13" s="18">
        <v>20025943070</v>
      </c>
      <c r="C13" s="18" t="s">
        <v>759</v>
      </c>
      <c r="D13" s="19">
        <v>45491.004166666666</v>
      </c>
      <c r="E13" s="18" t="s">
        <v>10</v>
      </c>
      <c r="F13" s="18">
        <v>5</v>
      </c>
      <c r="G13" s="18" t="s">
        <v>10</v>
      </c>
      <c r="H13" s="18" t="s">
        <v>178</v>
      </c>
      <c r="I13" s="18" t="s">
        <v>10</v>
      </c>
      <c r="J13" s="18" t="s">
        <v>137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916</v>
      </c>
      <c r="B14" s="18">
        <v>20018399576</v>
      </c>
      <c r="C14" s="18" t="s">
        <v>917</v>
      </c>
      <c r="D14" s="19">
        <v>45517.668749999997</v>
      </c>
      <c r="E14" s="18" t="s">
        <v>10</v>
      </c>
      <c r="F14" s="18">
        <v>20</v>
      </c>
      <c r="G14" s="19">
        <v>45526.614583333336</v>
      </c>
      <c r="H14" s="18" t="s">
        <v>236</v>
      </c>
      <c r="I14" s="18" t="s">
        <v>10</v>
      </c>
      <c r="J14" s="18" t="s">
        <v>137</v>
      </c>
      <c r="K14" s="20"/>
      <c r="L14" t="s">
        <v>236</v>
      </c>
      <c r="M14">
        <f>COUNTIF(H:H,"เชื่อมต่อเรียบร้อยแล้ว")</f>
        <v>23</v>
      </c>
      <c r="N14" t="s">
        <v>214</v>
      </c>
    </row>
    <row r="15" spans="1:15" ht="36.75" thickBot="1">
      <c r="A15" s="18" t="s">
        <v>918</v>
      </c>
      <c r="B15" s="18">
        <v>20026348120</v>
      </c>
      <c r="C15" s="18" t="s">
        <v>919</v>
      </c>
      <c r="D15" s="19">
        <v>45530.743055555555</v>
      </c>
      <c r="E15" s="19">
        <v>45531.57708333333</v>
      </c>
      <c r="F15" s="18">
        <v>5</v>
      </c>
      <c r="G15" s="19">
        <v>45574.586805555555</v>
      </c>
      <c r="H15" s="18" t="s">
        <v>2657</v>
      </c>
      <c r="I15" s="18" t="s">
        <v>10</v>
      </c>
      <c r="J15" s="18" t="s">
        <v>137</v>
      </c>
      <c r="K15" s="20"/>
    </row>
    <row r="16" spans="1:15" ht="36.75" thickBot="1">
      <c r="A16" s="18" t="s">
        <v>920</v>
      </c>
      <c r="B16" s="18">
        <v>20018924906</v>
      </c>
      <c r="C16" s="18" t="s">
        <v>759</v>
      </c>
      <c r="D16" s="19">
        <v>45534.262499999997</v>
      </c>
      <c r="E16" s="18" t="s">
        <v>10</v>
      </c>
      <c r="F16" s="18">
        <v>5</v>
      </c>
      <c r="G16" s="19">
        <v>45561.422222222223</v>
      </c>
      <c r="H16" s="18" t="s">
        <v>236</v>
      </c>
      <c r="I16" s="18" t="s">
        <v>10</v>
      </c>
      <c r="J16" s="18" t="s">
        <v>137</v>
      </c>
      <c r="K16" s="20"/>
    </row>
    <row r="17" spans="1:11" ht="36.75" thickBot="1">
      <c r="A17" s="18" t="s">
        <v>1101</v>
      </c>
      <c r="B17" s="18">
        <v>20025943070</v>
      </c>
      <c r="C17" s="18" t="s">
        <v>759</v>
      </c>
      <c r="D17" s="19">
        <v>45537.88958333333</v>
      </c>
      <c r="E17" s="18" t="s">
        <v>10</v>
      </c>
      <c r="F17" s="18">
        <v>5</v>
      </c>
      <c r="G17" s="19">
        <v>45561.422222222223</v>
      </c>
      <c r="H17" s="18" t="s">
        <v>236</v>
      </c>
      <c r="I17" s="18" t="s">
        <v>10</v>
      </c>
      <c r="J17" s="18" t="s">
        <v>137</v>
      </c>
      <c r="K17" s="20"/>
    </row>
    <row r="18" spans="1:11" ht="36.75" thickBot="1">
      <c r="A18" s="18" t="s">
        <v>1102</v>
      </c>
      <c r="B18" s="18">
        <v>20021267253</v>
      </c>
      <c r="C18" s="18" t="s">
        <v>1103</v>
      </c>
      <c r="D18" s="19">
        <v>45553.495138888888</v>
      </c>
      <c r="E18" s="18" t="s">
        <v>10</v>
      </c>
      <c r="F18" s="18">
        <v>3</v>
      </c>
      <c r="G18" s="18" t="s">
        <v>10</v>
      </c>
      <c r="H18" s="18" t="s">
        <v>189</v>
      </c>
      <c r="I18" s="18" t="s">
        <v>10</v>
      </c>
      <c r="J18" s="18" t="s">
        <v>137</v>
      </c>
      <c r="K18" s="20"/>
    </row>
    <row r="19" spans="1:11" ht="72.75" thickBot="1">
      <c r="A19" s="18" t="s">
        <v>1327</v>
      </c>
      <c r="B19" s="18">
        <v>20026651951</v>
      </c>
      <c r="C19" s="18" t="s">
        <v>825</v>
      </c>
      <c r="D19" s="19">
        <v>45566.509027777778</v>
      </c>
      <c r="E19" s="18" t="s">
        <v>10</v>
      </c>
      <c r="F19" s="18">
        <v>6</v>
      </c>
      <c r="G19" s="19">
        <v>45600.543055555558</v>
      </c>
      <c r="H19" s="18" t="s">
        <v>236</v>
      </c>
      <c r="I19" s="18" t="s">
        <v>10</v>
      </c>
      <c r="J19" s="18" t="s">
        <v>137</v>
      </c>
      <c r="K19" s="20"/>
    </row>
    <row r="20" spans="1:11" ht="36.75" thickBot="1">
      <c r="A20" s="18" t="s">
        <v>1328</v>
      </c>
      <c r="B20" s="18">
        <v>20026068942</v>
      </c>
      <c r="C20" s="18" t="s">
        <v>402</v>
      </c>
      <c r="D20" s="19">
        <v>45568.458333333336</v>
      </c>
      <c r="E20" s="18" t="s">
        <v>10</v>
      </c>
      <c r="F20" s="18">
        <v>5</v>
      </c>
      <c r="G20" s="19">
        <v>45726.407638888886</v>
      </c>
      <c r="H20" s="18" t="s">
        <v>2657</v>
      </c>
      <c r="I20" s="18" t="s">
        <v>10</v>
      </c>
      <c r="J20" s="18" t="s">
        <v>137</v>
      </c>
      <c r="K20" s="20"/>
    </row>
    <row r="21" spans="1:11" ht="36.75" thickBot="1">
      <c r="A21" s="18" t="s">
        <v>1329</v>
      </c>
      <c r="B21" s="18">
        <v>20018243901</v>
      </c>
      <c r="C21" s="18" t="s">
        <v>1330</v>
      </c>
      <c r="D21" s="19">
        <v>45571.458333333336</v>
      </c>
      <c r="E21" s="18" t="s">
        <v>10</v>
      </c>
      <c r="F21" s="18">
        <v>20</v>
      </c>
      <c r="G21" s="19">
        <v>45600.353472222225</v>
      </c>
      <c r="H21" s="18" t="s">
        <v>236</v>
      </c>
      <c r="I21" s="18" t="s">
        <v>10</v>
      </c>
      <c r="J21" s="18" t="s">
        <v>137</v>
      </c>
      <c r="K21" s="20"/>
    </row>
    <row r="22" spans="1:11" ht="36.75" thickBot="1">
      <c r="A22" s="18" t="s">
        <v>1649</v>
      </c>
      <c r="B22" s="18">
        <v>0</v>
      </c>
      <c r="C22" s="18" t="s">
        <v>1650</v>
      </c>
      <c r="D22" s="19">
        <v>45609.917361111111</v>
      </c>
      <c r="E22" s="18" t="s">
        <v>10</v>
      </c>
      <c r="F22" s="18">
        <v>10</v>
      </c>
      <c r="G22" s="18" t="s">
        <v>10</v>
      </c>
      <c r="H22" s="18" t="s">
        <v>178</v>
      </c>
      <c r="I22" s="18" t="s">
        <v>10</v>
      </c>
      <c r="J22" s="18" t="s">
        <v>137</v>
      </c>
      <c r="K22" s="20"/>
    </row>
    <row r="23" spans="1:11" ht="36.75" thickBot="1">
      <c r="A23" s="18" t="s">
        <v>1651</v>
      </c>
      <c r="B23" s="18">
        <v>20027677363</v>
      </c>
      <c r="C23" s="18" t="s">
        <v>1652</v>
      </c>
      <c r="D23" s="19">
        <v>45610.674305555556</v>
      </c>
      <c r="E23" s="18" t="s">
        <v>10</v>
      </c>
      <c r="F23" s="18">
        <v>5</v>
      </c>
      <c r="G23" s="19">
        <v>45698.605555555558</v>
      </c>
      <c r="H23" s="18" t="s">
        <v>2657</v>
      </c>
      <c r="I23" s="18" t="s">
        <v>10</v>
      </c>
      <c r="J23" s="18" t="s">
        <v>137</v>
      </c>
      <c r="K23" s="20"/>
    </row>
    <row r="24" spans="1:11" ht="36.75" thickBot="1">
      <c r="A24" s="18" t="s">
        <v>1653</v>
      </c>
      <c r="B24" s="18">
        <v>20022366682</v>
      </c>
      <c r="C24" s="18" t="s">
        <v>1312</v>
      </c>
      <c r="D24" s="19">
        <v>45623.497916666667</v>
      </c>
      <c r="E24" s="18" t="s">
        <v>10</v>
      </c>
      <c r="F24" s="18">
        <v>20</v>
      </c>
      <c r="G24" s="18" t="s">
        <v>10</v>
      </c>
      <c r="H24" s="18" t="s">
        <v>189</v>
      </c>
      <c r="I24" s="18" t="s">
        <v>10</v>
      </c>
      <c r="J24" s="18" t="s">
        <v>137</v>
      </c>
      <c r="K24" s="20"/>
    </row>
    <row r="25" spans="1:11" ht="36.75" thickBot="1">
      <c r="A25" s="18" t="s">
        <v>1654</v>
      </c>
      <c r="B25" s="18">
        <v>20027120202</v>
      </c>
      <c r="C25" s="18" t="s">
        <v>1655</v>
      </c>
      <c r="D25" s="19">
        <v>45625.713194444441</v>
      </c>
      <c r="E25" s="18" t="s">
        <v>10</v>
      </c>
      <c r="F25" s="18">
        <v>10</v>
      </c>
      <c r="G25" s="19">
        <v>45695.586111111108</v>
      </c>
      <c r="H25" s="18" t="s">
        <v>236</v>
      </c>
      <c r="I25" s="18" t="s">
        <v>10</v>
      </c>
      <c r="J25" s="18" t="s">
        <v>137</v>
      </c>
      <c r="K25" s="20"/>
    </row>
    <row r="26" spans="1:11" ht="36.75" thickBot="1">
      <c r="A26" s="18" t="s">
        <v>1831</v>
      </c>
      <c r="B26" s="18">
        <v>20027530686</v>
      </c>
      <c r="C26" s="18" t="s">
        <v>1832</v>
      </c>
      <c r="D26" s="19">
        <v>45629.576388888891</v>
      </c>
      <c r="E26" s="18" t="s">
        <v>10</v>
      </c>
      <c r="F26" s="18">
        <v>5</v>
      </c>
      <c r="G26" s="18" t="s">
        <v>10</v>
      </c>
      <c r="H26" s="18" t="s">
        <v>189</v>
      </c>
      <c r="I26" s="18" t="s">
        <v>10</v>
      </c>
      <c r="J26" s="18" t="s">
        <v>137</v>
      </c>
      <c r="K26" s="20"/>
    </row>
    <row r="27" spans="1:11" ht="36.75" thickBot="1">
      <c r="A27" s="18" t="s">
        <v>1833</v>
      </c>
      <c r="B27" s="18">
        <v>20003396950</v>
      </c>
      <c r="C27" s="18" t="s">
        <v>1834</v>
      </c>
      <c r="D27" s="19">
        <v>45629.591666666667</v>
      </c>
      <c r="E27" s="18" t="s">
        <v>10</v>
      </c>
      <c r="F27" s="18">
        <v>5</v>
      </c>
      <c r="G27" s="19">
        <v>45722.652777777781</v>
      </c>
      <c r="H27" s="18" t="s">
        <v>2657</v>
      </c>
      <c r="I27" s="18" t="s">
        <v>10</v>
      </c>
      <c r="J27" s="18" t="s">
        <v>137</v>
      </c>
      <c r="K27" s="20"/>
    </row>
    <row r="28" spans="1:11" ht="54.75" thickBot="1">
      <c r="A28" s="18" t="s">
        <v>1835</v>
      </c>
      <c r="B28" s="18">
        <v>20027250303</v>
      </c>
      <c r="C28" s="18" t="s">
        <v>1836</v>
      </c>
      <c r="D28" s="19">
        <v>45639.757638888892</v>
      </c>
      <c r="E28" s="18" t="s">
        <v>10</v>
      </c>
      <c r="F28" s="18">
        <v>20</v>
      </c>
      <c r="G28" s="19">
        <v>45730.504861111112</v>
      </c>
      <c r="H28" s="18" t="s">
        <v>236</v>
      </c>
      <c r="I28" s="18" t="s">
        <v>10</v>
      </c>
      <c r="J28" s="18" t="s">
        <v>137</v>
      </c>
      <c r="K28" s="20"/>
    </row>
    <row r="29" spans="1:11" ht="36.75" thickBot="1">
      <c r="A29" s="18" t="s">
        <v>2048</v>
      </c>
      <c r="B29" s="18">
        <v>20002944641</v>
      </c>
      <c r="C29" s="18" t="s">
        <v>2049</v>
      </c>
      <c r="D29" s="19">
        <v>45684.317361111112</v>
      </c>
      <c r="E29" s="18" t="s">
        <v>10</v>
      </c>
      <c r="F29" s="18">
        <v>15</v>
      </c>
      <c r="G29" s="19">
        <v>45691.431250000001</v>
      </c>
      <c r="H29" s="18" t="s">
        <v>2657</v>
      </c>
      <c r="I29" s="18" t="s">
        <v>10</v>
      </c>
      <c r="J29" s="18" t="s">
        <v>137</v>
      </c>
      <c r="K29" s="20"/>
    </row>
    <row r="30" spans="1:11" ht="36.75" thickBot="1">
      <c r="A30" s="18" t="s">
        <v>2152</v>
      </c>
      <c r="B30" s="18">
        <v>20024153185</v>
      </c>
      <c r="C30" s="18" t="s">
        <v>2153</v>
      </c>
      <c r="D30" s="19">
        <v>45703.738194444442</v>
      </c>
      <c r="E30" s="18" t="s">
        <v>10</v>
      </c>
      <c r="F30" s="18">
        <v>20</v>
      </c>
      <c r="G30" s="19">
        <v>45714.484027777777</v>
      </c>
      <c r="H30" s="18" t="s">
        <v>236</v>
      </c>
      <c r="I30" s="18" t="s">
        <v>10</v>
      </c>
      <c r="J30" s="18" t="s">
        <v>137</v>
      </c>
      <c r="K30" s="20"/>
    </row>
    <row r="31" spans="1:11" ht="36.75" thickBot="1">
      <c r="A31" s="18" t="s">
        <v>2237</v>
      </c>
      <c r="B31" s="18">
        <v>20025676832</v>
      </c>
      <c r="C31" s="18" t="s">
        <v>2238</v>
      </c>
      <c r="D31" s="19">
        <v>45719.473611111112</v>
      </c>
      <c r="E31" s="18" t="s">
        <v>10</v>
      </c>
      <c r="F31" s="18">
        <v>3</v>
      </c>
      <c r="G31" s="19">
        <v>45730.405555555553</v>
      </c>
      <c r="H31" s="18" t="s">
        <v>236</v>
      </c>
      <c r="I31" s="18" t="s">
        <v>10</v>
      </c>
      <c r="J31" s="18" t="s">
        <v>137</v>
      </c>
      <c r="K31" s="20"/>
    </row>
    <row r="32" spans="1:11" ht="36.75" thickBot="1">
      <c r="A32" s="18" t="s">
        <v>2340</v>
      </c>
      <c r="B32" s="18">
        <v>20027530686</v>
      </c>
      <c r="C32" s="18" t="s">
        <v>2341</v>
      </c>
      <c r="D32" s="19">
        <v>45723.506944444445</v>
      </c>
      <c r="E32" s="18" t="s">
        <v>10</v>
      </c>
      <c r="F32" s="18">
        <v>5</v>
      </c>
      <c r="G32" s="19">
        <v>45737.552777777775</v>
      </c>
      <c r="H32" s="18" t="s">
        <v>2657</v>
      </c>
      <c r="I32" s="18" t="s">
        <v>10</v>
      </c>
      <c r="J32" s="18" t="s">
        <v>137</v>
      </c>
      <c r="K32" s="20"/>
    </row>
    <row r="33" spans="1:11" ht="36.75" thickBot="1">
      <c r="A33" s="18" t="s">
        <v>2342</v>
      </c>
      <c r="B33" s="18">
        <v>20028258439</v>
      </c>
      <c r="C33" s="18" t="s">
        <v>2343</v>
      </c>
      <c r="D33" s="19">
        <v>45729.656944444447</v>
      </c>
      <c r="E33" s="18" t="s">
        <v>10</v>
      </c>
      <c r="F33" s="18">
        <v>10</v>
      </c>
      <c r="G33" s="19">
        <v>45785.486805555556</v>
      </c>
      <c r="H33" s="18" t="s">
        <v>236</v>
      </c>
      <c r="I33" s="18" t="s">
        <v>10</v>
      </c>
      <c r="J33" s="18" t="s">
        <v>137</v>
      </c>
      <c r="K33" s="20"/>
    </row>
    <row r="34" spans="1:11" ht="36.75" thickBot="1">
      <c r="A34" s="18" t="s">
        <v>2418</v>
      </c>
      <c r="B34" s="18">
        <v>20026183281</v>
      </c>
      <c r="C34" s="18" t="s">
        <v>2419</v>
      </c>
      <c r="D34" s="19">
        <v>45735.492361111108</v>
      </c>
      <c r="E34" s="18" t="s">
        <v>10</v>
      </c>
      <c r="F34" s="18">
        <v>5</v>
      </c>
      <c r="G34" s="19">
        <v>45772.400694444441</v>
      </c>
      <c r="H34" s="18" t="s">
        <v>2654</v>
      </c>
      <c r="I34" s="18" t="s">
        <v>10</v>
      </c>
      <c r="J34" s="18" t="s">
        <v>137</v>
      </c>
      <c r="K34" s="20"/>
    </row>
    <row r="35" spans="1:11" ht="36.75" thickBot="1">
      <c r="A35" s="18" t="s">
        <v>2420</v>
      </c>
      <c r="B35" s="18">
        <v>20016732102</v>
      </c>
      <c r="C35" s="18" t="s">
        <v>2421</v>
      </c>
      <c r="D35" s="19">
        <v>45735.691666666666</v>
      </c>
      <c r="E35" s="18" t="s">
        <v>10</v>
      </c>
      <c r="F35" s="18">
        <v>15</v>
      </c>
      <c r="G35" s="18" t="s">
        <v>10</v>
      </c>
      <c r="H35" s="18" t="s">
        <v>189</v>
      </c>
      <c r="I35" s="18" t="s">
        <v>10</v>
      </c>
      <c r="J35" s="18" t="s">
        <v>137</v>
      </c>
      <c r="K35" s="20"/>
    </row>
    <row r="36" spans="1:11" ht="36.75" thickBot="1">
      <c r="A36" s="18" t="s">
        <v>2422</v>
      </c>
      <c r="B36" s="18">
        <v>20026891178</v>
      </c>
      <c r="C36" s="18" t="s">
        <v>2423</v>
      </c>
      <c r="D36" s="19">
        <v>45742.53125</v>
      </c>
      <c r="E36" s="18" t="s">
        <v>10</v>
      </c>
      <c r="F36" s="18">
        <v>15</v>
      </c>
      <c r="G36" s="18" t="s">
        <v>10</v>
      </c>
      <c r="H36" s="18" t="s">
        <v>178</v>
      </c>
      <c r="I36" s="18" t="s">
        <v>10</v>
      </c>
      <c r="J36" s="18" t="s">
        <v>137</v>
      </c>
      <c r="K36" s="20"/>
    </row>
    <row r="37" spans="1:11" ht="36.75" thickBot="1">
      <c r="A37" s="18" t="s">
        <v>2595</v>
      </c>
      <c r="B37" s="18">
        <v>20003513559</v>
      </c>
      <c r="C37" s="18" t="s">
        <v>2596</v>
      </c>
      <c r="D37" s="19">
        <v>45751.932638888888</v>
      </c>
      <c r="E37" s="18" t="s">
        <v>10</v>
      </c>
      <c r="F37" s="18">
        <v>10</v>
      </c>
      <c r="G37" s="19">
        <v>45873.540972222225</v>
      </c>
      <c r="H37" s="18" t="s">
        <v>236</v>
      </c>
      <c r="I37" s="18" t="s">
        <v>10</v>
      </c>
      <c r="J37" s="18" t="s">
        <v>137</v>
      </c>
      <c r="K37" s="20"/>
    </row>
    <row r="38" spans="1:11" ht="36.75" thickBot="1">
      <c r="A38" s="18" t="s">
        <v>2597</v>
      </c>
      <c r="B38" s="18">
        <v>20025552217</v>
      </c>
      <c r="C38" s="18" t="s">
        <v>392</v>
      </c>
      <c r="D38" s="19">
        <v>45758.614583333336</v>
      </c>
      <c r="E38" s="18" t="s">
        <v>10</v>
      </c>
      <c r="F38" s="18">
        <v>5</v>
      </c>
      <c r="G38" s="19">
        <v>45860.393055555556</v>
      </c>
      <c r="H38" s="18" t="s">
        <v>236</v>
      </c>
      <c r="I38" s="18" t="s">
        <v>10</v>
      </c>
      <c r="J38" s="18" t="s">
        <v>137</v>
      </c>
      <c r="K38" s="20"/>
    </row>
    <row r="39" spans="1:11" ht="72.75" thickBot="1">
      <c r="A39" s="18" t="s">
        <v>2598</v>
      </c>
      <c r="B39" s="18">
        <v>20027861065</v>
      </c>
      <c r="C39" s="18" t="s">
        <v>2599</v>
      </c>
      <c r="D39" s="19">
        <v>45754.379166666666</v>
      </c>
      <c r="E39" s="19">
        <v>45765.443055555559</v>
      </c>
      <c r="F39" s="18">
        <v>10</v>
      </c>
      <c r="G39" s="19">
        <v>45859.481249999997</v>
      </c>
      <c r="H39" s="18" t="s">
        <v>2657</v>
      </c>
      <c r="I39" s="18" t="s">
        <v>10</v>
      </c>
      <c r="J39" s="18" t="s">
        <v>137</v>
      </c>
      <c r="K39" s="20"/>
    </row>
    <row r="40" spans="1:11" ht="36.75" thickBot="1">
      <c r="A40" s="18" t="s">
        <v>2600</v>
      </c>
      <c r="B40" s="18">
        <v>20025353864</v>
      </c>
      <c r="C40" s="18" t="s">
        <v>2601</v>
      </c>
      <c r="D40" s="19">
        <v>45772.42083333333</v>
      </c>
      <c r="E40" s="18" t="s">
        <v>10</v>
      </c>
      <c r="F40" s="18">
        <v>8</v>
      </c>
      <c r="G40" s="18" t="s">
        <v>10</v>
      </c>
      <c r="H40" s="18" t="s">
        <v>189</v>
      </c>
      <c r="I40" s="18" t="s">
        <v>10</v>
      </c>
      <c r="J40" s="18" t="s">
        <v>137</v>
      </c>
      <c r="K40" s="20"/>
    </row>
    <row r="41" spans="1:11" ht="36.75" thickBot="1">
      <c r="A41" s="18" t="s">
        <v>2602</v>
      </c>
      <c r="B41" s="18">
        <v>20021947992</v>
      </c>
      <c r="C41" s="18" t="s">
        <v>2603</v>
      </c>
      <c r="D41" s="19">
        <v>45775.758333333331</v>
      </c>
      <c r="E41" s="18" t="s">
        <v>10</v>
      </c>
      <c r="F41" s="18">
        <v>15</v>
      </c>
      <c r="G41" s="18" t="s">
        <v>10</v>
      </c>
      <c r="H41" s="18" t="s">
        <v>189</v>
      </c>
      <c r="I41" s="18" t="s">
        <v>10</v>
      </c>
      <c r="J41" s="18" t="s">
        <v>137</v>
      </c>
      <c r="K41" s="20"/>
    </row>
    <row r="42" spans="1:11" ht="36.75" thickBot="1">
      <c r="A42" s="18" t="s">
        <v>2801</v>
      </c>
      <c r="B42" s="18">
        <v>20022961667</v>
      </c>
      <c r="C42" s="18" t="s">
        <v>2802</v>
      </c>
      <c r="D42" s="19">
        <v>45786.631249999999</v>
      </c>
      <c r="E42" s="18" t="s">
        <v>10</v>
      </c>
      <c r="F42" s="18">
        <v>11.4</v>
      </c>
      <c r="G42" s="19">
        <v>45867.48541666667</v>
      </c>
      <c r="H42" s="18" t="s">
        <v>236</v>
      </c>
      <c r="I42" s="18" t="s">
        <v>10</v>
      </c>
      <c r="J42" s="18" t="s">
        <v>137</v>
      </c>
      <c r="K42" s="20"/>
    </row>
    <row r="43" spans="1:11" ht="36.75" thickBot="1">
      <c r="A43" s="18" t="s">
        <v>2803</v>
      </c>
      <c r="B43" s="18">
        <v>20025460152</v>
      </c>
      <c r="C43" s="18" t="s">
        <v>2804</v>
      </c>
      <c r="D43" s="19">
        <v>45790.503472222219</v>
      </c>
      <c r="E43" s="18" t="s">
        <v>10</v>
      </c>
      <c r="F43" s="18">
        <v>2</v>
      </c>
      <c r="G43" s="19">
        <v>45867.48541666667</v>
      </c>
      <c r="H43" s="18" t="s">
        <v>236</v>
      </c>
      <c r="I43" s="18" t="s">
        <v>10</v>
      </c>
      <c r="J43" s="18" t="s">
        <v>137</v>
      </c>
      <c r="K43" s="20"/>
    </row>
    <row r="44" spans="1:11" ht="36.75" thickBot="1">
      <c r="A44" s="18" t="s">
        <v>2805</v>
      </c>
      <c r="B44" s="18">
        <v>20027430741</v>
      </c>
      <c r="C44" s="18" t="s">
        <v>2806</v>
      </c>
      <c r="D44" s="19">
        <v>45798.445138888892</v>
      </c>
      <c r="E44" s="18" t="s">
        <v>10</v>
      </c>
      <c r="F44" s="18">
        <v>5</v>
      </c>
      <c r="G44" s="19">
        <v>45859.415972222225</v>
      </c>
      <c r="H44" s="18" t="s">
        <v>236</v>
      </c>
      <c r="I44" s="18" t="s">
        <v>10</v>
      </c>
      <c r="J44" s="18" t="s">
        <v>137</v>
      </c>
      <c r="K44" s="20"/>
    </row>
    <row r="45" spans="1:11" ht="36.75" thickBot="1">
      <c r="A45" s="18" t="s">
        <v>2807</v>
      </c>
      <c r="B45" s="18">
        <v>20002972750</v>
      </c>
      <c r="C45" s="18" t="s">
        <v>2808</v>
      </c>
      <c r="D45" s="19">
        <v>45810.560416666667</v>
      </c>
      <c r="E45" s="18" t="s">
        <v>10</v>
      </c>
      <c r="F45" s="18">
        <v>20</v>
      </c>
      <c r="G45" s="19">
        <v>45890.395138888889</v>
      </c>
      <c r="H45" s="18" t="s">
        <v>236</v>
      </c>
      <c r="I45" s="18" t="s">
        <v>10</v>
      </c>
      <c r="J45" s="18" t="s">
        <v>137</v>
      </c>
      <c r="K45" s="20"/>
    </row>
    <row r="46" spans="1:11" ht="36.75" thickBot="1">
      <c r="A46" s="18" t="s">
        <v>2809</v>
      </c>
      <c r="B46" s="18">
        <v>20028076199</v>
      </c>
      <c r="C46" s="18" t="s">
        <v>2810</v>
      </c>
      <c r="D46" s="19">
        <v>45814.45</v>
      </c>
      <c r="E46" s="18" t="s">
        <v>10</v>
      </c>
      <c r="F46" s="18">
        <v>10</v>
      </c>
      <c r="G46" s="18" t="s">
        <v>10</v>
      </c>
      <c r="H46" s="18" t="s">
        <v>178</v>
      </c>
      <c r="I46" s="18" t="s">
        <v>10</v>
      </c>
      <c r="J46" s="18" t="s">
        <v>137</v>
      </c>
      <c r="K46" s="20"/>
    </row>
    <row r="47" spans="1:11" ht="36.75" thickBot="1">
      <c r="A47" s="18" t="s">
        <v>2811</v>
      </c>
      <c r="B47" s="18">
        <v>20019967744</v>
      </c>
      <c r="C47" s="18" t="s">
        <v>2812</v>
      </c>
      <c r="D47" s="19">
        <v>45817.727777777778</v>
      </c>
      <c r="E47" s="18" t="s">
        <v>10</v>
      </c>
      <c r="F47" s="18">
        <v>5</v>
      </c>
      <c r="G47" s="19">
        <v>45876.436805555553</v>
      </c>
      <c r="H47" s="18" t="s">
        <v>236</v>
      </c>
      <c r="I47" s="18" t="s">
        <v>10</v>
      </c>
      <c r="J47" s="18" t="s">
        <v>137</v>
      </c>
      <c r="K47" s="20"/>
    </row>
    <row r="48" spans="1:11" ht="36.75" thickBot="1">
      <c r="A48" s="18" t="s">
        <v>2813</v>
      </c>
      <c r="B48" s="18">
        <v>20025039773</v>
      </c>
      <c r="C48" s="18" t="s">
        <v>2814</v>
      </c>
      <c r="D48" s="19">
        <v>45819.472916666666</v>
      </c>
      <c r="E48" s="18" t="s">
        <v>10</v>
      </c>
      <c r="F48" s="18">
        <v>20</v>
      </c>
      <c r="G48" s="18" t="s">
        <v>10</v>
      </c>
      <c r="H48" s="18" t="s">
        <v>189</v>
      </c>
      <c r="I48" s="18" t="s">
        <v>10</v>
      </c>
      <c r="J48" s="18" t="s">
        <v>137</v>
      </c>
      <c r="K48" s="20"/>
    </row>
    <row r="49" spans="1:11" ht="36.75" thickBot="1">
      <c r="A49" s="18" t="s">
        <v>2815</v>
      </c>
      <c r="B49" s="18">
        <v>20028326772</v>
      </c>
      <c r="C49" s="18" t="s">
        <v>2816</v>
      </c>
      <c r="D49" s="19">
        <v>45821.675694444442</v>
      </c>
      <c r="E49" s="18" t="s">
        <v>10</v>
      </c>
      <c r="F49" s="18">
        <v>5</v>
      </c>
      <c r="G49" s="18" t="s">
        <v>10</v>
      </c>
      <c r="H49" s="18" t="s">
        <v>189</v>
      </c>
      <c r="I49" s="18" t="s">
        <v>10</v>
      </c>
      <c r="J49" s="18" t="s">
        <v>137</v>
      </c>
      <c r="K49" s="20"/>
    </row>
    <row r="50" spans="1:11" ht="36.75" thickBot="1">
      <c r="A50" s="18" t="s">
        <v>3566</v>
      </c>
      <c r="B50" s="18">
        <v>20003244308</v>
      </c>
      <c r="C50" s="18" t="s">
        <v>3567</v>
      </c>
      <c r="D50" s="19">
        <v>45840.477777777778</v>
      </c>
      <c r="E50" s="18" t="s">
        <v>10</v>
      </c>
      <c r="F50" s="18">
        <v>2</v>
      </c>
      <c r="G50" s="18" t="s">
        <v>10</v>
      </c>
      <c r="H50" s="18" t="s">
        <v>189</v>
      </c>
      <c r="I50" s="18" t="s">
        <v>10</v>
      </c>
      <c r="J50" s="18" t="s">
        <v>137</v>
      </c>
      <c r="K50" s="20"/>
    </row>
    <row r="51" spans="1:11" ht="36.75" thickBot="1">
      <c r="A51" s="18" t="s">
        <v>3568</v>
      </c>
      <c r="B51" s="18">
        <v>20028399297</v>
      </c>
      <c r="C51" s="18" t="s">
        <v>3569</v>
      </c>
      <c r="D51" s="19">
        <v>45840.915972222225</v>
      </c>
      <c r="E51" s="18" t="s">
        <v>10</v>
      </c>
      <c r="F51" s="18">
        <v>20</v>
      </c>
      <c r="G51" s="19">
        <v>45856.654861111114</v>
      </c>
      <c r="H51" s="18" t="s">
        <v>236</v>
      </c>
      <c r="I51" s="18" t="s">
        <v>10</v>
      </c>
      <c r="J51" s="18" t="s">
        <v>137</v>
      </c>
      <c r="K51" s="20"/>
    </row>
    <row r="52" spans="1:11" ht="36.75" thickBot="1">
      <c r="A52" s="18" t="s">
        <v>3570</v>
      </c>
      <c r="B52" s="18">
        <v>20028076199</v>
      </c>
      <c r="C52" s="18" t="s">
        <v>2810</v>
      </c>
      <c r="D52" s="19">
        <v>45856.457638888889</v>
      </c>
      <c r="E52" s="18" t="s">
        <v>10</v>
      </c>
      <c r="F52" s="18">
        <v>10</v>
      </c>
      <c r="G52" s="19">
        <v>45933.605555555558</v>
      </c>
      <c r="H52" s="18" t="s">
        <v>2654</v>
      </c>
      <c r="I52" s="18" t="s">
        <v>10</v>
      </c>
      <c r="J52" s="18" t="s">
        <v>137</v>
      </c>
      <c r="K52" s="20"/>
    </row>
    <row r="53" spans="1:11" ht="36.75" thickBot="1">
      <c r="A53" s="18" t="s">
        <v>3571</v>
      </c>
      <c r="B53" s="18">
        <v>20019141611</v>
      </c>
      <c r="C53" s="18" t="s">
        <v>3572</v>
      </c>
      <c r="D53" s="19">
        <v>45856.587500000001</v>
      </c>
      <c r="E53" s="18" t="s">
        <v>10</v>
      </c>
      <c r="F53" s="18">
        <v>5</v>
      </c>
      <c r="G53" s="19">
        <v>45915.636111111111</v>
      </c>
      <c r="H53" s="18" t="s">
        <v>2654</v>
      </c>
      <c r="I53" s="18" t="s">
        <v>10</v>
      </c>
      <c r="J53" s="18" t="s">
        <v>137</v>
      </c>
      <c r="K53" s="20"/>
    </row>
    <row r="54" spans="1:11" ht="36.75" thickBot="1">
      <c r="A54" s="18" t="s">
        <v>3573</v>
      </c>
      <c r="B54" s="18">
        <v>20023481800</v>
      </c>
      <c r="C54" s="18" t="s">
        <v>3574</v>
      </c>
      <c r="D54" s="19">
        <v>45861.738888888889</v>
      </c>
      <c r="E54" s="18" t="s">
        <v>10</v>
      </c>
      <c r="F54" s="18">
        <v>10</v>
      </c>
      <c r="G54" s="18" t="s">
        <v>10</v>
      </c>
      <c r="H54" s="18" t="s">
        <v>178</v>
      </c>
      <c r="I54" s="18" t="s">
        <v>10</v>
      </c>
      <c r="J54" s="18" t="s">
        <v>137</v>
      </c>
      <c r="K54" s="20"/>
    </row>
    <row r="55" spans="1:11" ht="36.75" thickBot="1">
      <c r="A55" s="18" t="s">
        <v>3575</v>
      </c>
      <c r="B55" s="18">
        <v>20018306571</v>
      </c>
      <c r="C55" s="18" t="s">
        <v>3576</v>
      </c>
      <c r="D55" s="19">
        <v>45863.4375</v>
      </c>
      <c r="E55" s="18" t="s">
        <v>10</v>
      </c>
      <c r="F55" s="18">
        <v>5</v>
      </c>
      <c r="G55" s="19">
        <v>45922.542361111111</v>
      </c>
      <c r="H55" s="18" t="s">
        <v>2657</v>
      </c>
      <c r="I55" s="18" t="s">
        <v>10</v>
      </c>
      <c r="J55" s="18" t="s">
        <v>137</v>
      </c>
      <c r="K55" s="20"/>
    </row>
    <row r="56" spans="1:11" ht="36.75" thickBot="1">
      <c r="A56" s="18" t="s">
        <v>3577</v>
      </c>
      <c r="B56" s="18">
        <v>20027119554</v>
      </c>
      <c r="C56" s="18" t="s">
        <v>3578</v>
      </c>
      <c r="D56" s="19">
        <v>45877.504861111112</v>
      </c>
      <c r="E56" s="18" t="s">
        <v>10</v>
      </c>
      <c r="F56" s="18">
        <v>5</v>
      </c>
      <c r="G56" s="18" t="s">
        <v>10</v>
      </c>
      <c r="H56" s="18" t="s">
        <v>189</v>
      </c>
      <c r="I56" s="18" t="s">
        <v>10</v>
      </c>
      <c r="J56" s="18" t="s">
        <v>137</v>
      </c>
      <c r="K56" s="20"/>
    </row>
    <row r="57" spans="1:11" ht="36.75" thickBot="1">
      <c r="A57" s="18" t="s">
        <v>3579</v>
      </c>
      <c r="B57" s="18">
        <v>20024081549</v>
      </c>
      <c r="C57" s="18" t="s">
        <v>3580</v>
      </c>
      <c r="D57" s="19">
        <v>45887.495833333334</v>
      </c>
      <c r="E57" s="18" t="s">
        <v>10</v>
      </c>
      <c r="F57" s="18">
        <v>5</v>
      </c>
      <c r="G57" s="19">
        <v>45925.541666666664</v>
      </c>
      <c r="H57" s="18" t="s">
        <v>2654</v>
      </c>
      <c r="I57" s="18" t="s">
        <v>10</v>
      </c>
      <c r="J57" s="18" t="s">
        <v>137</v>
      </c>
      <c r="K57" s="20"/>
    </row>
    <row r="58" spans="1:11" ht="36.75" thickBot="1">
      <c r="A58" s="18" t="s">
        <v>3581</v>
      </c>
      <c r="B58" s="18">
        <v>20018482044</v>
      </c>
      <c r="C58" s="18" t="s">
        <v>2717</v>
      </c>
      <c r="D58" s="19">
        <v>45887.702777777777</v>
      </c>
      <c r="E58" s="18" t="s">
        <v>10</v>
      </c>
      <c r="F58" s="18">
        <v>3.3250000000000002</v>
      </c>
      <c r="G58" s="19">
        <v>45926.493750000001</v>
      </c>
      <c r="H58" s="18" t="s">
        <v>236</v>
      </c>
      <c r="I58" s="18" t="s">
        <v>10</v>
      </c>
      <c r="J58" s="18" t="s">
        <v>137</v>
      </c>
      <c r="K58" s="20"/>
    </row>
    <row r="59" spans="1:11" ht="72.75" thickBot="1">
      <c r="A59" s="18" t="s">
        <v>3582</v>
      </c>
      <c r="B59" s="18">
        <v>20019653166</v>
      </c>
      <c r="C59" s="18" t="s">
        <v>951</v>
      </c>
      <c r="D59" s="19">
        <v>45887.943055555559</v>
      </c>
      <c r="E59" s="18" t="s">
        <v>10</v>
      </c>
      <c r="F59" s="18">
        <v>6</v>
      </c>
      <c r="G59" s="19">
        <v>45910.611805555556</v>
      </c>
      <c r="H59" s="18" t="s">
        <v>236</v>
      </c>
      <c r="I59" s="18" t="s">
        <v>10</v>
      </c>
      <c r="J59" s="18" t="s">
        <v>137</v>
      </c>
      <c r="K59" s="20"/>
    </row>
    <row r="60" spans="1:11" ht="54.75" thickBot="1">
      <c r="A60" s="18" t="s">
        <v>3583</v>
      </c>
      <c r="B60" s="18">
        <v>20027045770</v>
      </c>
      <c r="C60" s="18" t="s">
        <v>3584</v>
      </c>
      <c r="D60" s="19">
        <v>45888.487500000003</v>
      </c>
      <c r="E60" s="18" t="s">
        <v>10</v>
      </c>
      <c r="F60" s="18">
        <v>15</v>
      </c>
      <c r="G60" s="19">
        <v>45957.582638888889</v>
      </c>
      <c r="H60" s="18" t="s">
        <v>2654</v>
      </c>
      <c r="I60" s="18" t="s">
        <v>10</v>
      </c>
      <c r="J60" s="18" t="s">
        <v>137</v>
      </c>
      <c r="K60" s="20"/>
    </row>
    <row r="61" spans="1:11" ht="54.75" thickBot="1">
      <c r="A61" s="18" t="s">
        <v>3585</v>
      </c>
      <c r="B61" s="18">
        <v>20027164355</v>
      </c>
      <c r="C61" s="18" t="s">
        <v>3586</v>
      </c>
      <c r="D61" s="19">
        <v>45891.480555555558</v>
      </c>
      <c r="E61" s="18" t="s">
        <v>10</v>
      </c>
      <c r="F61" s="18">
        <v>10</v>
      </c>
      <c r="G61" s="19">
        <v>45957.583333333336</v>
      </c>
      <c r="H61" s="18" t="s">
        <v>2654</v>
      </c>
      <c r="I61" s="18" t="s">
        <v>10</v>
      </c>
      <c r="J61" s="18" t="s">
        <v>137</v>
      </c>
      <c r="K61" s="20"/>
    </row>
    <row r="62" spans="1:11" ht="36.75" thickBot="1">
      <c r="A62" s="18" t="s">
        <v>3587</v>
      </c>
      <c r="B62" s="18">
        <v>20023481800</v>
      </c>
      <c r="C62" s="18" t="s">
        <v>3574</v>
      </c>
      <c r="D62" s="19">
        <v>45923.520833333336</v>
      </c>
      <c r="E62" s="18" t="s">
        <v>10</v>
      </c>
      <c r="F62" s="18">
        <v>10</v>
      </c>
      <c r="G62" s="18" t="s">
        <v>10</v>
      </c>
      <c r="H62" s="18" t="s">
        <v>2652</v>
      </c>
      <c r="I62" s="18" t="s">
        <v>2681</v>
      </c>
      <c r="J62" s="18" t="s">
        <v>137</v>
      </c>
      <c r="K62" s="20"/>
    </row>
    <row r="63" spans="1:11" ht="36.75" thickBot="1">
      <c r="A63" s="18" t="s">
        <v>3588</v>
      </c>
      <c r="B63" s="18">
        <v>20027554293</v>
      </c>
      <c r="C63" s="18" t="s">
        <v>3589</v>
      </c>
      <c r="D63" s="19">
        <v>45946.357638888891</v>
      </c>
      <c r="E63" s="18" t="s">
        <v>10</v>
      </c>
      <c r="F63" s="18">
        <v>10</v>
      </c>
      <c r="G63" s="18" t="s">
        <v>10</v>
      </c>
      <c r="H63" s="23" t="s">
        <v>2656</v>
      </c>
      <c r="I63" s="18" t="s">
        <v>10</v>
      </c>
      <c r="J63" s="18" t="s">
        <v>137</v>
      </c>
      <c r="K63" s="20"/>
    </row>
    <row r="64" spans="1:11" ht="36.75" thickBot="1">
      <c r="A64" s="18" t="s">
        <v>3590</v>
      </c>
      <c r="B64" s="18">
        <v>20002990140</v>
      </c>
      <c r="C64" s="18" t="s">
        <v>3591</v>
      </c>
      <c r="D64" s="19">
        <v>45959.643750000003</v>
      </c>
      <c r="E64" s="18" t="s">
        <v>10</v>
      </c>
      <c r="F64" s="18">
        <v>5</v>
      </c>
      <c r="G64" s="18" t="s">
        <v>10</v>
      </c>
      <c r="H64" s="23" t="s">
        <v>2656</v>
      </c>
      <c r="I64" s="18" t="s">
        <v>10</v>
      </c>
      <c r="J64" s="18" t="s">
        <v>137</v>
      </c>
      <c r="K64" s="20"/>
    </row>
    <row r="65" spans="1:11" ht="36.75" thickBot="1">
      <c r="A65" s="18" t="s">
        <v>3592</v>
      </c>
      <c r="B65" s="18">
        <v>20027806622</v>
      </c>
      <c r="C65" s="18" t="s">
        <v>3593</v>
      </c>
      <c r="D65" s="19">
        <v>45966.384027777778</v>
      </c>
      <c r="E65" s="18" t="s">
        <v>10</v>
      </c>
      <c r="F65" s="18">
        <v>12</v>
      </c>
      <c r="G65" s="18" t="s">
        <v>10</v>
      </c>
      <c r="H65" s="23" t="s">
        <v>2656</v>
      </c>
      <c r="I65" s="18" t="s">
        <v>10</v>
      </c>
      <c r="J65" s="18" t="s">
        <v>137</v>
      </c>
      <c r="K65" s="20"/>
    </row>
    <row r="66" spans="1:11" ht="36.75" thickBot="1">
      <c r="A66" s="18" t="s">
        <v>3594</v>
      </c>
      <c r="B66" s="18">
        <v>20016479229</v>
      </c>
      <c r="C66" s="18" t="s">
        <v>3595</v>
      </c>
      <c r="D66" s="19">
        <v>45966.410416666666</v>
      </c>
      <c r="E66" s="18" t="s">
        <v>10</v>
      </c>
      <c r="F66" s="18">
        <v>10</v>
      </c>
      <c r="G66" s="18" t="s">
        <v>10</v>
      </c>
      <c r="H66" s="23" t="s">
        <v>2656</v>
      </c>
      <c r="I66" s="18" t="s">
        <v>10</v>
      </c>
      <c r="J66" s="18" t="s">
        <v>137</v>
      </c>
      <c r="K66" s="20"/>
    </row>
    <row r="67" spans="1:11" ht="36.75" thickBot="1">
      <c r="A67" s="18" t="s">
        <v>7919</v>
      </c>
      <c r="B67" s="18">
        <v>20003362361</v>
      </c>
      <c r="C67" s="18" t="s">
        <v>7920</v>
      </c>
      <c r="D67" s="19">
        <v>45981.536111111112</v>
      </c>
      <c r="E67" s="18" t="s">
        <v>10</v>
      </c>
      <c r="F67" s="18">
        <v>10</v>
      </c>
      <c r="G67" s="18" t="s">
        <v>10</v>
      </c>
      <c r="H67" s="25" t="s">
        <v>2656</v>
      </c>
      <c r="I67" s="18" t="s">
        <v>10</v>
      </c>
      <c r="J67" s="18" t="s">
        <v>137</v>
      </c>
      <c r="K67" s="20"/>
    </row>
    <row r="68" spans="1:11" ht="54.75" thickBot="1">
      <c r="A68" s="18" t="s">
        <v>7921</v>
      </c>
      <c r="B68" s="18">
        <v>20023687111</v>
      </c>
      <c r="C68" s="18" t="s">
        <v>7922</v>
      </c>
      <c r="D68" s="19">
        <v>45981.565972222219</v>
      </c>
      <c r="E68" s="18" t="s">
        <v>10</v>
      </c>
      <c r="F68" s="18">
        <v>10</v>
      </c>
      <c r="G68" s="18" t="s">
        <v>10</v>
      </c>
      <c r="H68" s="25" t="s">
        <v>2656</v>
      </c>
      <c r="I68" s="18" t="s">
        <v>10</v>
      </c>
      <c r="J68" s="18" t="s">
        <v>137</v>
      </c>
      <c r="K68" s="20"/>
    </row>
    <row r="69" spans="1:11" ht="36.75" thickBot="1">
      <c r="A69" s="21" t="s">
        <v>7923</v>
      </c>
      <c r="B69" s="21">
        <v>20003528633</v>
      </c>
      <c r="C69" s="21" t="s">
        <v>7924</v>
      </c>
      <c r="D69" s="22">
        <v>45990.634027777778</v>
      </c>
      <c r="E69" s="21" t="s">
        <v>10</v>
      </c>
      <c r="F69" s="21">
        <v>8</v>
      </c>
      <c r="G69" s="21" t="s">
        <v>10</v>
      </c>
      <c r="H69" s="21" t="s">
        <v>2656</v>
      </c>
      <c r="I69" s="21" t="s">
        <v>10</v>
      </c>
      <c r="J69" s="21" t="s">
        <v>137</v>
      </c>
      <c r="K69" s="1"/>
    </row>
    <row r="70" spans="1:11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1" ht="18.75" thickBot="1">
      <c r="A71" s="18"/>
      <c r="B71" s="18"/>
      <c r="C71" s="18"/>
      <c r="D71" s="19"/>
      <c r="E71" s="19"/>
      <c r="F71" s="18"/>
      <c r="G71" s="19"/>
      <c r="H71" s="18"/>
      <c r="I71" s="18"/>
      <c r="J71" s="18"/>
    </row>
    <row r="72" spans="1:11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1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1" ht="18.75" thickBot="1">
      <c r="A74" s="18"/>
      <c r="B74" s="18"/>
      <c r="C74" s="18"/>
      <c r="D74" s="19"/>
      <c r="E74" s="18"/>
      <c r="F74" s="18"/>
      <c r="G74" s="18"/>
      <c r="H74" s="18"/>
      <c r="I74" s="18"/>
      <c r="J74" s="18"/>
    </row>
    <row r="75" spans="1:11" ht="18.75" thickBot="1">
      <c r="A75" s="18"/>
      <c r="B75" s="18"/>
      <c r="C75" s="18"/>
      <c r="D75" s="19"/>
      <c r="E75" s="18"/>
      <c r="F75" s="18"/>
      <c r="G75" s="19"/>
      <c r="H75" s="18"/>
      <c r="I75" s="18"/>
      <c r="J75" s="18"/>
    </row>
    <row r="76" spans="1:11" ht="18.75" thickBot="1">
      <c r="A76" s="18"/>
      <c r="B76" s="18"/>
      <c r="C76" s="18"/>
      <c r="D76" s="19"/>
      <c r="E76" s="19"/>
      <c r="F76" s="18"/>
      <c r="G76" s="19"/>
      <c r="H76" s="18"/>
      <c r="I76" s="18"/>
      <c r="J76" s="18"/>
    </row>
    <row r="77" spans="1:11" ht="18.75" thickBot="1">
      <c r="A77" s="18"/>
      <c r="B77" s="18"/>
      <c r="C77" s="18"/>
      <c r="D77" s="19"/>
      <c r="E77" s="18"/>
      <c r="F77" s="18"/>
      <c r="G77" s="19"/>
      <c r="H77" s="18"/>
      <c r="I77" s="18"/>
      <c r="J77" s="18"/>
    </row>
    <row r="78" spans="1:11" ht="18.75" thickBot="1">
      <c r="A78" s="18"/>
      <c r="B78" s="18"/>
      <c r="C78" s="18"/>
      <c r="D78" s="19"/>
      <c r="E78" s="19"/>
      <c r="F78" s="18"/>
      <c r="G78" s="19"/>
      <c r="H78" s="18"/>
      <c r="I78" s="18"/>
      <c r="J78" s="18"/>
    </row>
    <row r="79" spans="1:11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1" ht="18.75" thickBot="1">
      <c r="A80" s="18"/>
      <c r="B80" s="18"/>
      <c r="C80" s="18"/>
      <c r="D80" s="19"/>
      <c r="E80" s="18"/>
      <c r="F80" s="18"/>
      <c r="G80" s="19"/>
      <c r="H80" s="18"/>
      <c r="I80" s="18"/>
      <c r="J80" s="18"/>
    </row>
    <row r="81" spans="1:10" ht="18.75" thickBot="1">
      <c r="A81" s="18"/>
      <c r="B81" s="18"/>
      <c r="C81" s="18"/>
      <c r="D81" s="19"/>
      <c r="E81" s="19"/>
      <c r="F81" s="18"/>
      <c r="G81" s="18"/>
      <c r="H81" s="18"/>
      <c r="I81" s="18"/>
      <c r="J81" s="18"/>
    </row>
    <row r="82" spans="1:10" ht="18.75" thickBot="1">
      <c r="A82" s="18"/>
      <c r="B82" s="18"/>
      <c r="C82" s="18"/>
      <c r="D82" s="19"/>
      <c r="E82" s="18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9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8"/>
      <c r="H85" s="18"/>
      <c r="I85" s="18"/>
      <c r="J85" s="18"/>
    </row>
    <row r="86" spans="1:10" ht="18.75" thickBot="1">
      <c r="A86" s="18"/>
      <c r="B86" s="18"/>
      <c r="C86" s="18"/>
      <c r="D86" s="19"/>
      <c r="E86" s="19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8"/>
      <c r="F88" s="18"/>
      <c r="G88" s="19"/>
      <c r="H88" s="18"/>
      <c r="I88" s="18"/>
      <c r="J88" s="18"/>
    </row>
    <row r="89" spans="1:10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5" priority="1"/>
  </conditionalFormatting>
  <hyperlinks>
    <hyperlink ref="K3" r:id="rId1" display="https://ppim-intra.pea.co.th:4434/request/PPIM185003DE" xr:uid="{383C0221-865E-4D96-8CAA-874C18B05915}"/>
    <hyperlink ref="K4" r:id="rId2" display="https://ppim-intra.pea.co.th:4434/request/PPIM18500729" xr:uid="{04520D30-A597-40A5-8470-305B473BAE49}"/>
    <hyperlink ref="K5" r:id="rId3" display="https://ppim-intra.pea.co.th:4434/request/PPIM185009CF" xr:uid="{CE16CB91-469A-4933-8E82-9001AB399955}"/>
    <hyperlink ref="K6" r:id="rId4" display="https://ppim-intra.pea.co.th:4434/request/PPIM18500A94" xr:uid="{3AC53C46-87A9-4830-8ED4-F6C888354B66}"/>
    <hyperlink ref="K7" r:id="rId5" display="https://ppim-intra.pea.co.th:4434/request/PPIM185012B7" xr:uid="{6E08B4D4-9327-403B-9EEA-43D3DA97EEA5}"/>
    <hyperlink ref="K8" r:id="rId6" display="https://ppim-intra.pea.co.th:4434/request/PPIM185012BF" xr:uid="{E717EB3B-5B15-484C-929E-E9F438271A1E}"/>
    <hyperlink ref="K9" r:id="rId7" display="https://ppim-intra.pea.co.th:4434/request/PPIM18501A47" xr:uid="{55DBA862-17F6-4304-9BCB-0A33E5CCF8FD}"/>
    <hyperlink ref="K10" r:id="rId8" display="https://ppim-intra.pea.co.th:4434/request/PPIM18501DB2" xr:uid="{350AD333-85E1-42D5-AAA7-E372255B5E11}"/>
    <hyperlink ref="K11" r:id="rId9" display="https://ppim-intra.pea.co.th:4434/request/PPIM18501E9E" xr:uid="{04E1EE64-94C8-4279-A6B8-DD5F7EBF20D9}"/>
    <hyperlink ref="K12" r:id="rId10" display="https://ppim-intra.pea.co.th:4434/request/PPIM18501FCF" xr:uid="{5F98880D-14EB-4A2E-8FD3-9D4A12360BB9}"/>
    <hyperlink ref="K13" r:id="rId11" display="https://ppim-intra.pea.co.th:4434/request/PPIM18501FD2" xr:uid="{A80FD341-7E25-4264-B526-0751A8EDF14C}"/>
    <hyperlink ref="K14" r:id="rId12" display="https://ppim-intra.pea.co.th:4434/request/PPIM18502592" xr:uid="{C1CB04A6-FAB3-4855-B535-48C118CB3F55}"/>
    <hyperlink ref="K15" r:id="rId13" display="https://ppim-intra.pea.co.th:4434/request/PPIM18502957" xr:uid="{B7502B40-9C55-45F1-8679-5EDAB4E6B5FF}"/>
    <hyperlink ref="K16" r:id="rId14" display="https://ppim-intra.pea.co.th:4434/request/PPIM18502A8F" xr:uid="{8DF8B0B2-0E5E-4432-A271-A305047662D6}"/>
    <hyperlink ref="K17" r:id="rId15" display="https://ppim-intra.pea.co.th:4434/request/PPIM18502B83" xr:uid="{D5FD205C-50E6-454B-92C8-D33F0382BD60}"/>
    <hyperlink ref="K18" r:id="rId16" display="https://ppim-intra.pea.co.th:4434/request/PPIM18502FD8" xr:uid="{0895EF05-C044-4792-A0D7-5251D593BF1E}"/>
    <hyperlink ref="K19" r:id="rId17" display="https://ppim-intra.pea.co.th:4434/request/PPIM185033D0" xr:uid="{47DC286F-6D63-4BA7-8613-AA8555144B41}"/>
    <hyperlink ref="K20" r:id="rId18" display="https://ppim-intra.pea.co.th:4434/request/PPIM18503486" xr:uid="{103158FA-BBD5-4AE5-85F5-855C8932E9FE}"/>
    <hyperlink ref="K21" r:id="rId19" display="https://ppim-intra.pea.co.th:4434/request/PPIM18503558" xr:uid="{E8C2AC61-0593-4295-8728-1CC56BF31907}"/>
    <hyperlink ref="K22" r:id="rId20" display="https://ppim-intra.pea.co.th:4434/request/PPIM18504006" xr:uid="{ECED228E-2AE7-4FCD-B20A-52D0E8501B16}"/>
    <hyperlink ref="K23" r:id="rId21" display="https://ppim-intra.pea.co.th:4434/request/PPIM1850405B" xr:uid="{34B6C54A-1D8E-4036-A777-18550FC6752F}"/>
    <hyperlink ref="K24" r:id="rId22" display="https://ppim-intra.pea.co.th:4434/request/PPIM1850438C" xr:uid="{7272D1BF-B677-40D7-810B-873C66400EB6}"/>
    <hyperlink ref="K25" r:id="rId23" display="https://ppim-intra.pea.co.th:4434/request/PPIM18504471" xr:uid="{72D28EA5-EE24-4BAC-9C2F-6213BA1166AA}"/>
    <hyperlink ref="K26" r:id="rId24" display="https://ppim-intra.pea.co.th:4434/request/PPIM1850451C" xr:uid="{007B9E90-2BAC-4F61-81A9-0DCDD40E2461}"/>
    <hyperlink ref="K27" r:id="rId25" display="https://ppim-intra.pea.co.th:4434/request/PPIM18504520" xr:uid="{F7043ED3-18DA-4705-BD5C-764EB91B581A}"/>
    <hyperlink ref="K28" r:id="rId26" display="https://ppim-intra.pea.co.th:4434/request/PPIM1850476A" xr:uid="{4C99DFE5-84A6-4602-ADED-491A62CBCFB5}"/>
    <hyperlink ref="K29" r:id="rId27" display="https://ppim-intra.pea.co.th:4434/request/PPIM1950062F" xr:uid="{4DC1369C-38C6-44BD-9F69-DEA1D680DCE2}"/>
    <hyperlink ref="K30" r:id="rId28" display="https://ppim-intra.pea.co.th:4434/request/PPIM19500B31" xr:uid="{88D53A08-52A5-4E52-AF4E-2260B068FCCB}"/>
    <hyperlink ref="K31" r:id="rId29" display="https://ppim-intra.pea.co.th:4434/request/PPIM19500F25" xr:uid="{DE58F5E9-8308-446E-B649-CD717A5E49C8}"/>
    <hyperlink ref="K32" r:id="rId30" display="https://ppim-intra.pea.co.th:4434/request/PPIM195010F1" xr:uid="{B9C1FE33-548F-435A-8708-66746145B7CA}"/>
    <hyperlink ref="K33" r:id="rId31" display="https://ppim-intra.pea.co.th:4434/request/PPIM195012AC" xr:uid="{0DE08CEB-8D41-49F8-AF5A-161629FEA809}"/>
    <hyperlink ref="K34" r:id="rId32" display="https://ppim-intra.pea.co.th:4434/request/PPIM1950142E" xr:uid="{8C7135A2-B1BE-4996-B23F-560459EF7A9E}"/>
    <hyperlink ref="K35" r:id="rId33" display="https://ppim-intra.pea.co.th:4434/request/PPIM19501464" xr:uid="{09F6B20C-3822-405C-814B-71CC6EBB00C3}"/>
    <hyperlink ref="K36" r:id="rId34" display="https://ppim-intra.pea.co.th:4434/request/PPIM19501703" xr:uid="{96344530-CB78-4636-8C75-23D6C8ACA72D}"/>
    <hyperlink ref="K37" r:id="rId35" display="https://ppim-intra.pea.co.th:4434/request/PPIM19501A2C" xr:uid="{60580F68-1C09-4F82-AEA7-A97F5707C581}"/>
    <hyperlink ref="K38" r:id="rId36" display="https://ppim-intra.pea.co.th:4434/request/PPIM19501BEF" xr:uid="{4E158745-2183-4DAE-943E-E2426A90E640}"/>
    <hyperlink ref="K39" r:id="rId37" display="https://ppim-intra.pea.co.th:4434/request/PPIM19501A69" xr:uid="{32D21ECC-118D-4B7E-92A6-AD8648A621FF}"/>
    <hyperlink ref="K40" r:id="rId38" display="https://ppim-intra.pea.co.th:4434/request/PPIM19501E9C" xr:uid="{995AF517-A721-4226-B280-10287CCE557C}"/>
    <hyperlink ref="K41" r:id="rId39" display="https://ppim-intra.pea.co.th:4434/request/PPIM19501F81" xr:uid="{1F77BD0C-D25C-4BEE-9A3E-96AAE17D239C}"/>
    <hyperlink ref="K42" r:id="rId40" display="https://ppim-intra.pea.co.th:4434/request/PPIM19502276" xr:uid="{B0C359CA-BD63-42E3-83C9-DD481FB75B0F}"/>
    <hyperlink ref="K43" r:id="rId41" display="https://ppim-intra.pea.co.th:4434/request/PPIM19502338" xr:uid="{70D5E027-1B6F-4280-BAA1-2A1DF630B53E}"/>
    <hyperlink ref="K44" r:id="rId42" display="https://ppim-intra.pea.co.th:4434/request/PPIM195024F3" xr:uid="{D6A3B740-373F-4468-B6EF-05A151537050}"/>
    <hyperlink ref="K45" r:id="rId43" display="https://ppim-intra.pea.co.th:4434/request/PPIM19502951" xr:uid="{438A09A1-7DF1-4EFC-82A0-57CB5B5A0DCA}"/>
    <hyperlink ref="K46" r:id="rId44" display="https://ppim-intra.pea.co.th:4434/request/PPIM19502A70" xr:uid="{98597402-AC34-415B-8075-69FDAC5AC076}"/>
    <hyperlink ref="K47" r:id="rId45" display="https://ppim-intra.pea.co.th:4434/request/PPIM19502B4F" xr:uid="{501288F7-8758-4B2C-A104-B58B3FB53097}"/>
    <hyperlink ref="K48" r:id="rId46" display="https://ppim-intra.pea.co.th:4434/request/PPIM19502BD7" xr:uid="{986F8CCC-B1EC-4728-AB12-6254D7888B6E}"/>
    <hyperlink ref="K49" r:id="rId47" display="https://ppim-intra.pea.co.th:4434/request/PPIM19502CEA" xr:uid="{D21293E5-0A9E-43A8-8967-E6818FEA3BE4}"/>
    <hyperlink ref="K50" r:id="rId48" display="https://ppim-intra.pea.co.th:4434/request/PPIM19503281" xr:uid="{EFA5BFB8-4A11-4C8A-9716-13441734DF9A}"/>
    <hyperlink ref="K51" r:id="rId49" display="https://ppim-intra.pea.co.th:4434/request/PPIM195032B4" xr:uid="{3C92892D-F0D2-4ED2-8A14-5C5BC4CA4C27}"/>
    <hyperlink ref="K52" r:id="rId50" display="https://ppim-intra.pea.co.th:4434/request/PPIM195036DF" xr:uid="{62448B54-F45E-442E-98BD-BCDF74608633}"/>
    <hyperlink ref="K53" r:id="rId51" display="https://ppim-intra.pea.co.th:4434/request/PPIM195036FA" xr:uid="{E5F80C2B-F67A-4ECA-B3C2-D90F981B8369}"/>
    <hyperlink ref="K54" r:id="rId52" display="https://ppim-intra.pea.co.th:4434/request/PPIM195038B1" xr:uid="{32850F93-3A8E-4124-ACA4-A37B3CE83660}"/>
    <hyperlink ref="K55" r:id="rId53" display="https://ppim-intra.pea.co.th:4434/request/PPIM19503917" xr:uid="{0E0D7895-A8F4-432A-BEAC-973055DB44E2}"/>
    <hyperlink ref="K56" r:id="rId54" display="https://ppim-intra.pea.co.th:4434/request/PPIM19503CAC" xr:uid="{76E26705-4351-4E3E-A502-DD95793F22FD}"/>
    <hyperlink ref="K57" r:id="rId55" display="https://ppim-intra.pea.co.th:4434/request/PPIM19503ED9" xr:uid="{1B77A55E-A4ED-45D0-9135-CFB3C5F8752B}"/>
    <hyperlink ref="K58" r:id="rId56" display="https://ppim-intra.pea.co.th:4434/request/PPIM19503F1C" xr:uid="{93D0F713-93F8-44E6-B7CD-E86B16B57042}"/>
    <hyperlink ref="K59" r:id="rId57" display="https://ppim-intra.pea.co.th:4434/request/PPIM19503F38" xr:uid="{BB6C58DD-821F-4230-9233-B8BA3599C580}"/>
    <hyperlink ref="K60" r:id="rId58" display="https://ppim-intra.pea.co.th:4434/request/PPIM19503F66" xr:uid="{9E358BB7-4F01-4035-BBA8-D2AF5061E3FE}"/>
    <hyperlink ref="K61" r:id="rId59" display="https://ppim-intra.pea.co.th:4434/request/PPIM19504094" xr:uid="{91C2C620-F9D1-4608-A426-39D0E9E065F2}"/>
    <hyperlink ref="K62" r:id="rId60" display="https://ppim-intra.pea.co.th:4434/request/PPIM195049F0" xr:uid="{9E9A4FA3-6FCF-46DC-B6E4-E22F2125D6F2}"/>
    <hyperlink ref="K63" r:id="rId61" display="https://ppim-intra.pea.co.th:4434/request/PPIM19505078" xr:uid="{ACF4B372-A2B3-45F0-BC47-78710548AA20}"/>
    <hyperlink ref="K64" r:id="rId62" display="https://ppim-intra.pea.co.th:4434/request/PPIM195053FE" xr:uid="{4B8EC495-A4D9-4578-BD37-C869286A82E6}"/>
    <hyperlink ref="K65" r:id="rId63" display="https://ppim-intra.pea.co.th:4434/request/PPIM195055D1" xr:uid="{2B3BABC8-66ED-4E76-B440-79D948506C75}"/>
    <hyperlink ref="K66" r:id="rId64" display="https://ppim-intra.pea.co.th:4434/request/PPIM195055D6" xr:uid="{44C3CF8C-D16F-439E-80E4-DC7B6EAE0266}"/>
    <hyperlink ref="K67" r:id="rId65" display="https://ppim-intra.pea.co.th:4434/request/PPIM19505A42" xr:uid="{7CD69E2A-0575-42DB-A5B1-C88C4B47967E}"/>
    <hyperlink ref="K68" r:id="rId66" display="https://ppim-intra.pea.co.th:4434/request/PPIM19505A44" xr:uid="{F5EB659A-BD39-4A6B-9167-273312EC412D}"/>
  </hyperlinks>
  <pageMargins left="0.7" right="0.7" top="0.75" bottom="0.75" header="0.3" footer="0.3"/>
  <drawing r:id="rId67"/>
  <legacyDrawing r:id="rId68"/>
  <controls>
    <mc:AlternateContent xmlns:mc="http://schemas.openxmlformats.org/markup-compatibility/2006">
      <mc:Choice Requires="x14">
        <control shapeId="16385" r:id="rId69" name="Control 1">
          <controlPr defaultSize="0" r:id="rId70">
            <anchor moveWithCells="1">
              <from>
                <xdr:col>0</xdr:col>
                <xdr:colOff>0</xdr:colOff>
                <xdr:row>6</xdr:row>
                <xdr:rowOff>342900</xdr:rowOff>
              </from>
              <to>
                <xdr:col>0</xdr:col>
                <xdr:colOff>161925</xdr:colOff>
                <xdr:row>7</xdr:row>
                <xdr:rowOff>47625</xdr:rowOff>
              </to>
            </anchor>
          </controlPr>
        </control>
      </mc:Choice>
      <mc:Fallback>
        <control shapeId="16385" r:id="rId69" name="Control 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CC9B-1782-4907-919B-DC6D9375CB5C}">
  <sheetPr codeName="Sheet11">
    <tabColor theme="0" tint="-0.34998626667073579"/>
  </sheetPr>
  <dimension ref="A2:O168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1" max="11" width="5.28515625" customWidth="1"/>
    <col min="12" max="12" width="24.140625" bestFit="1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53</v>
      </c>
      <c r="N2" s="13" t="s">
        <v>214</v>
      </c>
    </row>
    <row r="3" spans="1:15" ht="37.5" thickTop="1" thickBot="1">
      <c r="A3" s="18" t="s">
        <v>187</v>
      </c>
      <c r="B3" s="18">
        <v>20018456958</v>
      </c>
      <c r="C3" s="18" t="s">
        <v>188</v>
      </c>
      <c r="D3" s="19">
        <v>45315.470833333333</v>
      </c>
      <c r="E3" s="18" t="s">
        <v>10</v>
      </c>
      <c r="F3" s="18">
        <v>10</v>
      </c>
      <c r="G3" s="19">
        <v>45401.57916666667</v>
      </c>
      <c r="H3" s="18" t="s">
        <v>236</v>
      </c>
      <c r="I3" s="18" t="s">
        <v>10</v>
      </c>
      <c r="J3" s="18" t="s">
        <v>186</v>
      </c>
      <c r="K3" s="20"/>
      <c r="L3" s="7" t="s">
        <v>2656</v>
      </c>
      <c r="M3" s="7">
        <f>COUNTIF(H:H,"รอตรวจสอบคำขอ")</f>
        <v>0</v>
      </c>
      <c r="N3" s="11" t="s">
        <v>214</v>
      </c>
    </row>
    <row r="4" spans="1:15" ht="36.75" thickBot="1">
      <c r="A4" s="18" t="s">
        <v>184</v>
      </c>
      <c r="B4" s="18">
        <v>20026166202</v>
      </c>
      <c r="C4" s="18" t="s">
        <v>185</v>
      </c>
      <c r="D4" s="19">
        <v>45334.668749999997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186</v>
      </c>
      <c r="K4" s="20"/>
      <c r="L4" s="7" t="s">
        <v>178</v>
      </c>
      <c r="M4" s="7">
        <f>COUNTIF(H:H,"ยกเลิก")</f>
        <v>19</v>
      </c>
      <c r="N4" s="11" t="s">
        <v>214</v>
      </c>
    </row>
    <row r="5" spans="1:15" ht="36.75" thickBot="1">
      <c r="A5" s="18" t="s">
        <v>317</v>
      </c>
      <c r="B5" s="18">
        <v>20002869866</v>
      </c>
      <c r="C5" s="18" t="s">
        <v>318</v>
      </c>
      <c r="D5" s="19">
        <v>45405.698611111111</v>
      </c>
      <c r="E5" s="18" t="s">
        <v>10</v>
      </c>
      <c r="F5" s="18">
        <v>5</v>
      </c>
      <c r="G5" s="18" t="s">
        <v>10</v>
      </c>
      <c r="H5" s="18" t="s">
        <v>189</v>
      </c>
      <c r="I5" s="18" t="s">
        <v>10</v>
      </c>
      <c r="J5" s="18" t="s">
        <v>186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354</v>
      </c>
      <c r="B6" s="18">
        <v>20026166202</v>
      </c>
      <c r="C6" s="18" t="s">
        <v>185</v>
      </c>
      <c r="D6" s="19">
        <v>45422.397916666669</v>
      </c>
      <c r="E6" s="18" t="s">
        <v>10</v>
      </c>
      <c r="F6" s="18">
        <v>5</v>
      </c>
      <c r="G6" s="19">
        <v>45483.65</v>
      </c>
      <c r="H6" s="18" t="s">
        <v>236</v>
      </c>
      <c r="I6" s="18" t="s">
        <v>10</v>
      </c>
      <c r="J6" s="18" t="s">
        <v>186</v>
      </c>
      <c r="K6" s="20"/>
      <c r="L6" s="7" t="s">
        <v>189</v>
      </c>
      <c r="M6" s="14">
        <f>COUNTIF(H:H,"รอชำระเงิน")</f>
        <v>6</v>
      </c>
      <c r="N6" s="11" t="s">
        <v>214</v>
      </c>
      <c r="O6" s="7" t="s">
        <v>359</v>
      </c>
    </row>
    <row r="7" spans="1:15" ht="36.75" thickBot="1">
      <c r="A7" s="18" t="s">
        <v>542</v>
      </c>
      <c r="B7" s="18">
        <v>20019912949</v>
      </c>
      <c r="C7" s="18" t="s">
        <v>543</v>
      </c>
      <c r="D7" s="19">
        <v>45460.651388888888</v>
      </c>
      <c r="E7" s="19">
        <v>45461.399305555555</v>
      </c>
      <c r="F7" s="18">
        <v>10</v>
      </c>
      <c r="G7" s="18" t="s">
        <v>10</v>
      </c>
      <c r="H7" s="18" t="s">
        <v>178</v>
      </c>
      <c r="I7" s="18" t="s">
        <v>10</v>
      </c>
      <c r="J7" s="18" t="s">
        <v>353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5" ht="36.75" thickBot="1">
      <c r="A8" s="18" t="s">
        <v>544</v>
      </c>
      <c r="B8" s="18">
        <v>20019912949</v>
      </c>
      <c r="C8" s="18" t="s">
        <v>543</v>
      </c>
      <c r="D8" s="19">
        <v>45461.441666666666</v>
      </c>
      <c r="E8" s="18" t="s">
        <v>10</v>
      </c>
      <c r="F8" s="18">
        <v>10</v>
      </c>
      <c r="G8" s="19">
        <v>45478.602777777778</v>
      </c>
      <c r="H8" s="18" t="s">
        <v>236</v>
      </c>
      <c r="I8" s="18" t="s">
        <v>10</v>
      </c>
      <c r="J8" s="18" t="s">
        <v>353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4</v>
      </c>
      <c r="N8" s="11" t="s">
        <v>214</v>
      </c>
    </row>
    <row r="9" spans="1:15" ht="36.75" thickBot="1">
      <c r="A9" s="18" t="s">
        <v>351</v>
      </c>
      <c r="B9" s="18">
        <v>20021931198</v>
      </c>
      <c r="C9" s="18" t="s">
        <v>352</v>
      </c>
      <c r="D9" s="19">
        <v>45421.734027777777</v>
      </c>
      <c r="E9" s="19">
        <v>45461.493055555555</v>
      </c>
      <c r="F9" s="18">
        <v>5</v>
      </c>
      <c r="G9" s="19">
        <v>45483.355555555558</v>
      </c>
      <c r="H9" s="18" t="s">
        <v>236</v>
      </c>
      <c r="I9" s="18" t="s">
        <v>10</v>
      </c>
      <c r="J9" s="18" t="s">
        <v>353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545</v>
      </c>
      <c r="B10" s="18">
        <v>20019912949</v>
      </c>
      <c r="C10" s="18" t="s">
        <v>543</v>
      </c>
      <c r="D10" s="19">
        <v>45462.484027777777</v>
      </c>
      <c r="E10" s="18" t="s">
        <v>10</v>
      </c>
      <c r="F10" s="18">
        <v>10</v>
      </c>
      <c r="G10" s="18" t="s">
        <v>10</v>
      </c>
      <c r="H10" s="18" t="s">
        <v>178</v>
      </c>
      <c r="I10" s="18" t="s">
        <v>10</v>
      </c>
      <c r="J10" s="18" t="s">
        <v>353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546</v>
      </c>
      <c r="B11" s="18">
        <v>20018372039</v>
      </c>
      <c r="C11" s="18" t="s">
        <v>547</v>
      </c>
      <c r="D11" s="19">
        <v>45465.54583333333</v>
      </c>
      <c r="E11" s="18" t="s">
        <v>10</v>
      </c>
      <c r="F11" s="18">
        <v>10</v>
      </c>
      <c r="G11" s="19">
        <v>45477.420138888891</v>
      </c>
      <c r="H11" s="18" t="s">
        <v>236</v>
      </c>
      <c r="I11" s="18" t="s">
        <v>10</v>
      </c>
      <c r="J11" s="18" t="s">
        <v>186</v>
      </c>
      <c r="K11" s="20"/>
      <c r="L11" t="s">
        <v>2654</v>
      </c>
      <c r="M11">
        <f>COUNTIF(H:H,"รอตรวจสอบระบบผลิต")</f>
        <v>0</v>
      </c>
      <c r="N11" t="s">
        <v>214</v>
      </c>
    </row>
    <row r="12" spans="1:15" ht="36.75" thickBot="1">
      <c r="A12" s="18" t="s">
        <v>548</v>
      </c>
      <c r="B12" s="18">
        <v>20026867478</v>
      </c>
      <c r="C12" s="18" t="s">
        <v>549</v>
      </c>
      <c r="D12" s="19">
        <v>45468.970833333333</v>
      </c>
      <c r="E12" s="18" t="s">
        <v>10</v>
      </c>
      <c r="F12" s="18">
        <v>3.6</v>
      </c>
      <c r="G12" s="18" t="s">
        <v>10</v>
      </c>
      <c r="H12" s="18" t="s">
        <v>178</v>
      </c>
      <c r="I12" s="18" t="s">
        <v>10</v>
      </c>
      <c r="J12" s="18" t="s">
        <v>186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550</v>
      </c>
      <c r="B13" s="18">
        <v>20018536589</v>
      </c>
      <c r="C13" s="18" t="s">
        <v>551</v>
      </c>
      <c r="D13" s="19">
        <v>45469.620833333334</v>
      </c>
      <c r="E13" s="18" t="s">
        <v>10</v>
      </c>
      <c r="F13" s="18">
        <v>5</v>
      </c>
      <c r="G13" s="19">
        <v>45482.543749999997</v>
      </c>
      <c r="H13" s="18" t="s">
        <v>236</v>
      </c>
      <c r="I13" s="18" t="s">
        <v>10</v>
      </c>
      <c r="J13" s="18" t="s">
        <v>186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761</v>
      </c>
      <c r="B14" s="18">
        <v>20021439348</v>
      </c>
      <c r="C14" s="18" t="s">
        <v>762</v>
      </c>
      <c r="D14" s="19">
        <v>45491.665972222225</v>
      </c>
      <c r="E14" s="18" t="s">
        <v>10</v>
      </c>
      <c r="F14" s="18">
        <v>4</v>
      </c>
      <c r="G14" s="19">
        <v>45560.561111111114</v>
      </c>
      <c r="H14" s="18" t="s">
        <v>236</v>
      </c>
      <c r="I14" s="18" t="s">
        <v>10</v>
      </c>
      <c r="J14" s="18" t="s">
        <v>186</v>
      </c>
      <c r="K14" s="20"/>
      <c r="L14" t="s">
        <v>236</v>
      </c>
      <c r="M14">
        <f>COUNTIF(H:H,"เชื่อมต่อเรียบร้อยแล้ว")</f>
        <v>24</v>
      </c>
      <c r="N14" t="s">
        <v>214</v>
      </c>
    </row>
    <row r="15" spans="1:15" ht="36.75" thickBot="1">
      <c r="A15" s="18" t="s">
        <v>763</v>
      </c>
      <c r="B15" s="18">
        <v>20027859469</v>
      </c>
      <c r="C15" s="18" t="s">
        <v>764</v>
      </c>
      <c r="D15" s="19">
        <v>45499.741666666669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765</v>
      </c>
      <c r="K15" s="20"/>
    </row>
    <row r="16" spans="1:15" ht="72.75" thickBot="1">
      <c r="A16" s="18" t="s">
        <v>922</v>
      </c>
      <c r="B16" s="18">
        <v>20026651967</v>
      </c>
      <c r="C16" s="18" t="s">
        <v>825</v>
      </c>
      <c r="D16" s="19">
        <v>45530.512499999997</v>
      </c>
      <c r="E16" s="18" t="s">
        <v>10</v>
      </c>
      <c r="F16" s="18">
        <v>12</v>
      </c>
      <c r="G16" s="19">
        <v>45569.636805555558</v>
      </c>
      <c r="H16" s="18" t="s">
        <v>236</v>
      </c>
      <c r="I16" s="18" t="s">
        <v>10</v>
      </c>
      <c r="J16" s="18" t="s">
        <v>186</v>
      </c>
      <c r="K16" s="20"/>
    </row>
    <row r="17" spans="1:11" ht="36.75" thickBot="1">
      <c r="A17" s="18" t="s">
        <v>1104</v>
      </c>
      <c r="B17" s="18">
        <v>20021274548</v>
      </c>
      <c r="C17" s="18" t="s">
        <v>1105</v>
      </c>
      <c r="D17" s="19">
        <v>45536.765277777777</v>
      </c>
      <c r="E17" s="18" t="s">
        <v>10</v>
      </c>
      <c r="F17" s="18">
        <v>20</v>
      </c>
      <c r="G17" s="18" t="s">
        <v>10</v>
      </c>
      <c r="H17" s="18" t="s">
        <v>178</v>
      </c>
      <c r="I17" s="18" t="s">
        <v>10</v>
      </c>
      <c r="J17" s="18" t="s">
        <v>353</v>
      </c>
      <c r="K17" s="20"/>
    </row>
    <row r="18" spans="1:11" ht="36.75" thickBot="1">
      <c r="A18" s="18" t="s">
        <v>921</v>
      </c>
      <c r="B18" s="18">
        <v>20016758855</v>
      </c>
      <c r="C18" s="18" t="s">
        <v>703</v>
      </c>
      <c r="D18" s="19">
        <v>45517.436805555553</v>
      </c>
      <c r="E18" s="19">
        <v>45552.597916666666</v>
      </c>
      <c r="F18" s="18">
        <v>5</v>
      </c>
      <c r="G18" s="19">
        <v>45625.652777777781</v>
      </c>
      <c r="H18" s="18" t="s">
        <v>236</v>
      </c>
      <c r="I18" s="18" t="s">
        <v>10</v>
      </c>
      <c r="J18" s="18" t="s">
        <v>186</v>
      </c>
      <c r="K18" s="20"/>
    </row>
    <row r="19" spans="1:11" ht="36.75" thickBot="1">
      <c r="A19" s="18" t="s">
        <v>1240</v>
      </c>
      <c r="B19" s="18">
        <v>20018913992</v>
      </c>
      <c r="C19" s="18" t="s">
        <v>1241</v>
      </c>
      <c r="D19" s="19">
        <v>45555.560416666667</v>
      </c>
      <c r="E19" s="19">
        <v>45566.436111111114</v>
      </c>
      <c r="F19" s="18">
        <v>5</v>
      </c>
      <c r="G19" s="19">
        <v>45685.564583333333</v>
      </c>
      <c r="H19" s="18" t="s">
        <v>2657</v>
      </c>
      <c r="I19" s="18" t="s">
        <v>10</v>
      </c>
      <c r="J19" s="18" t="s">
        <v>186</v>
      </c>
      <c r="K19" s="20"/>
    </row>
    <row r="20" spans="1:11" ht="36.75" thickBot="1">
      <c r="A20" s="18" t="s">
        <v>1331</v>
      </c>
      <c r="B20" s="18">
        <v>20003471561</v>
      </c>
      <c r="C20" s="18" t="s">
        <v>1332</v>
      </c>
      <c r="D20" s="19">
        <v>45568.675000000003</v>
      </c>
      <c r="E20" s="18" t="s">
        <v>10</v>
      </c>
      <c r="F20" s="18">
        <v>5</v>
      </c>
      <c r="G20" s="19">
        <v>45642.443055555559</v>
      </c>
      <c r="H20" s="18" t="s">
        <v>236</v>
      </c>
      <c r="I20" s="18" t="s">
        <v>10</v>
      </c>
      <c r="J20" s="18" t="s">
        <v>186</v>
      </c>
      <c r="K20" s="20"/>
    </row>
    <row r="21" spans="1:11" ht="54.75" thickBot="1">
      <c r="A21" s="18" t="s">
        <v>1333</v>
      </c>
      <c r="B21" s="18">
        <v>20022691371</v>
      </c>
      <c r="C21" s="18" t="s">
        <v>1334</v>
      </c>
      <c r="D21" s="19">
        <v>45579.600694444445</v>
      </c>
      <c r="E21" s="18" t="s">
        <v>10</v>
      </c>
      <c r="F21" s="18">
        <v>20</v>
      </c>
      <c r="G21" s="19">
        <v>45961.481249999997</v>
      </c>
      <c r="H21" s="18" t="s">
        <v>236</v>
      </c>
      <c r="I21" s="18" t="s">
        <v>10</v>
      </c>
      <c r="J21" s="18" t="s">
        <v>186</v>
      </c>
      <c r="K21" s="20"/>
    </row>
    <row r="22" spans="1:11" ht="36.75" thickBot="1">
      <c r="A22" s="18" t="s">
        <v>1444</v>
      </c>
      <c r="B22" s="18">
        <v>20003156021</v>
      </c>
      <c r="C22" s="18" t="s">
        <v>1445</v>
      </c>
      <c r="D22" s="19">
        <v>45587.442361111112</v>
      </c>
      <c r="E22" s="18" t="s">
        <v>10</v>
      </c>
      <c r="F22" s="18">
        <v>5</v>
      </c>
      <c r="G22" s="18" t="s">
        <v>10</v>
      </c>
      <c r="H22" s="18" t="s">
        <v>189</v>
      </c>
      <c r="I22" s="18" t="s">
        <v>10</v>
      </c>
      <c r="J22" s="18" t="s">
        <v>353</v>
      </c>
      <c r="K22" s="20"/>
    </row>
    <row r="23" spans="1:11" ht="36.75" thickBot="1">
      <c r="A23" s="18" t="s">
        <v>1446</v>
      </c>
      <c r="B23" s="18">
        <v>20027037140</v>
      </c>
      <c r="C23" s="18" t="s">
        <v>1447</v>
      </c>
      <c r="D23" s="19">
        <v>45587.65</v>
      </c>
      <c r="E23" s="18" t="s">
        <v>10</v>
      </c>
      <c r="F23" s="18">
        <v>5</v>
      </c>
      <c r="G23" s="19">
        <v>45685.564583333333</v>
      </c>
      <c r="H23" s="18" t="s">
        <v>2657</v>
      </c>
      <c r="I23" s="18" t="s">
        <v>10</v>
      </c>
      <c r="J23" s="18" t="s">
        <v>186</v>
      </c>
      <c r="K23" s="20"/>
    </row>
    <row r="24" spans="1:11" ht="36.75" thickBot="1">
      <c r="A24" s="18" t="s">
        <v>1978</v>
      </c>
      <c r="B24" s="18">
        <v>20022206078</v>
      </c>
      <c r="C24" s="18" t="s">
        <v>1979</v>
      </c>
      <c r="D24" s="19">
        <v>45663.638194444444</v>
      </c>
      <c r="E24" s="18" t="s">
        <v>10</v>
      </c>
      <c r="F24" s="18">
        <v>5</v>
      </c>
      <c r="G24" s="18" t="s">
        <v>10</v>
      </c>
      <c r="H24" s="18" t="s">
        <v>178</v>
      </c>
      <c r="I24" s="18" t="s">
        <v>10</v>
      </c>
      <c r="J24" s="18" t="s">
        <v>186</v>
      </c>
      <c r="K24" s="20"/>
    </row>
    <row r="25" spans="1:11" ht="36.75" thickBot="1">
      <c r="A25" s="18" t="s">
        <v>2154</v>
      </c>
      <c r="B25" s="18">
        <v>20023030071</v>
      </c>
      <c r="C25" s="18" t="s">
        <v>2155</v>
      </c>
      <c r="D25" s="19">
        <v>45688.680555555555</v>
      </c>
      <c r="E25" s="18" t="s">
        <v>10</v>
      </c>
      <c r="F25" s="18">
        <v>2.375</v>
      </c>
      <c r="G25" s="19">
        <v>45870.553472222222</v>
      </c>
      <c r="H25" s="18" t="s">
        <v>236</v>
      </c>
      <c r="I25" s="18" t="s">
        <v>10</v>
      </c>
      <c r="J25" s="18" t="s">
        <v>353</v>
      </c>
      <c r="K25" s="20"/>
    </row>
    <row r="26" spans="1:11" ht="36.75" thickBot="1">
      <c r="A26" s="18" t="s">
        <v>2344</v>
      </c>
      <c r="B26" s="18">
        <v>20019871521</v>
      </c>
      <c r="C26" s="18" t="s">
        <v>2345</v>
      </c>
      <c r="D26" s="19">
        <v>45729.706250000003</v>
      </c>
      <c r="E26" s="18" t="s">
        <v>10</v>
      </c>
      <c r="F26" s="18">
        <v>5</v>
      </c>
      <c r="G26" s="18" t="s">
        <v>10</v>
      </c>
      <c r="H26" s="18" t="s">
        <v>178</v>
      </c>
      <c r="I26" s="18" t="s">
        <v>10</v>
      </c>
      <c r="J26" s="18" t="s">
        <v>186</v>
      </c>
      <c r="K26" s="20"/>
    </row>
    <row r="27" spans="1:11" ht="36.75" thickBot="1">
      <c r="A27" s="18" t="s">
        <v>2050</v>
      </c>
      <c r="B27" s="18">
        <v>20026694358</v>
      </c>
      <c r="C27" s="18" t="s">
        <v>2051</v>
      </c>
      <c r="D27" s="19">
        <v>45672.711111111108</v>
      </c>
      <c r="E27" s="19">
        <v>45736.397916666669</v>
      </c>
      <c r="F27" s="18">
        <v>5</v>
      </c>
      <c r="G27" s="19">
        <v>45869.654166666667</v>
      </c>
      <c r="H27" s="18" t="s">
        <v>2657</v>
      </c>
      <c r="I27" s="18" t="s">
        <v>10</v>
      </c>
      <c r="J27" s="18" t="s">
        <v>186</v>
      </c>
      <c r="K27" s="20"/>
    </row>
    <row r="28" spans="1:11" ht="36.75" thickBot="1">
      <c r="A28" s="18" t="s">
        <v>2604</v>
      </c>
      <c r="B28" s="18">
        <v>20020568715</v>
      </c>
      <c r="C28" s="18" t="s">
        <v>2605</v>
      </c>
      <c r="D28" s="19">
        <v>45749.574305555558</v>
      </c>
      <c r="E28" s="18" t="s">
        <v>10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765</v>
      </c>
      <c r="K28" s="20"/>
    </row>
    <row r="29" spans="1:11" ht="36.75" thickBot="1">
      <c r="A29" s="18" t="s">
        <v>3596</v>
      </c>
      <c r="B29" s="18">
        <v>20003028766</v>
      </c>
      <c r="C29" s="18" t="s">
        <v>3597</v>
      </c>
      <c r="D29" s="19">
        <v>45839.638194444444</v>
      </c>
      <c r="E29" s="18" t="s">
        <v>10</v>
      </c>
      <c r="F29" s="18">
        <v>5</v>
      </c>
      <c r="G29" s="18" t="s">
        <v>10</v>
      </c>
      <c r="H29" s="18" t="s">
        <v>178</v>
      </c>
      <c r="I29" s="18" t="s">
        <v>10</v>
      </c>
      <c r="J29" s="18" t="s">
        <v>353</v>
      </c>
      <c r="K29" s="20"/>
    </row>
    <row r="30" spans="1:11" ht="36.75" thickBot="1">
      <c r="A30" s="18" t="s">
        <v>3598</v>
      </c>
      <c r="B30" s="18">
        <v>20018170859</v>
      </c>
      <c r="C30" s="18" t="s">
        <v>3599</v>
      </c>
      <c r="D30" s="19">
        <v>45842.71597222222</v>
      </c>
      <c r="E30" s="18" t="s">
        <v>10</v>
      </c>
      <c r="F30" s="18">
        <v>10</v>
      </c>
      <c r="G30" s="18" t="s">
        <v>10</v>
      </c>
      <c r="H30" s="18" t="s">
        <v>178</v>
      </c>
      <c r="I30" s="18" t="s">
        <v>10</v>
      </c>
      <c r="J30" s="18" t="s">
        <v>765</v>
      </c>
      <c r="K30" s="20"/>
    </row>
    <row r="31" spans="1:11" ht="36.75" thickBot="1">
      <c r="A31" s="18" t="s">
        <v>3600</v>
      </c>
      <c r="B31" s="18">
        <v>20028330139</v>
      </c>
      <c r="C31" s="18" t="s">
        <v>3601</v>
      </c>
      <c r="D31" s="19">
        <v>45828.67291666667</v>
      </c>
      <c r="E31" s="19">
        <v>45852.564583333333</v>
      </c>
      <c r="F31" s="18">
        <v>10</v>
      </c>
      <c r="G31" s="19">
        <v>45931.527083333334</v>
      </c>
      <c r="H31" s="18" t="s">
        <v>236</v>
      </c>
      <c r="I31" s="18" t="s">
        <v>10</v>
      </c>
      <c r="J31" s="18" t="s">
        <v>186</v>
      </c>
      <c r="K31" s="20"/>
    </row>
    <row r="32" spans="1:11" ht="36.75" thickBot="1">
      <c r="A32" s="18" t="s">
        <v>3602</v>
      </c>
      <c r="B32" s="18">
        <v>20002907376</v>
      </c>
      <c r="C32" s="18" t="s">
        <v>3603</v>
      </c>
      <c r="D32" s="19">
        <v>45856.629861111112</v>
      </c>
      <c r="E32" s="18" t="s">
        <v>10</v>
      </c>
      <c r="F32" s="18">
        <v>10</v>
      </c>
      <c r="G32" s="18" t="s">
        <v>10</v>
      </c>
      <c r="H32" s="18" t="s">
        <v>178</v>
      </c>
      <c r="I32" s="18" t="s">
        <v>10</v>
      </c>
      <c r="J32" s="18" t="s">
        <v>186</v>
      </c>
      <c r="K32" s="20"/>
    </row>
    <row r="33" spans="1:11" ht="36.75" thickBot="1">
      <c r="A33" s="18" t="s">
        <v>3604</v>
      </c>
      <c r="B33" s="18">
        <v>20026564779</v>
      </c>
      <c r="C33" s="18" t="s">
        <v>3605</v>
      </c>
      <c r="D33" s="19">
        <v>45855.625694444447</v>
      </c>
      <c r="E33" s="19">
        <v>45861.62222222222</v>
      </c>
      <c r="F33" s="18">
        <v>10</v>
      </c>
      <c r="G33" s="19">
        <v>45888.495833333334</v>
      </c>
      <c r="H33" s="18" t="s">
        <v>236</v>
      </c>
      <c r="I33" s="18" t="s">
        <v>10</v>
      </c>
      <c r="J33" s="18" t="s">
        <v>186</v>
      </c>
      <c r="K33" s="20"/>
    </row>
    <row r="34" spans="1:11" ht="36.75" thickBot="1">
      <c r="A34" s="18" t="s">
        <v>3606</v>
      </c>
      <c r="B34" s="18">
        <v>20002907376</v>
      </c>
      <c r="C34" s="18" t="s">
        <v>3603</v>
      </c>
      <c r="D34" s="19">
        <v>45861.411111111112</v>
      </c>
      <c r="E34" s="19">
        <v>45862.918055555558</v>
      </c>
      <c r="F34" s="18">
        <v>10</v>
      </c>
      <c r="G34" s="19">
        <v>45933.605555555558</v>
      </c>
      <c r="H34" s="18" t="s">
        <v>236</v>
      </c>
      <c r="I34" s="18" t="s">
        <v>10</v>
      </c>
      <c r="J34" s="18" t="s">
        <v>186</v>
      </c>
      <c r="K34" s="20"/>
    </row>
    <row r="35" spans="1:11" ht="36.75" thickBot="1">
      <c r="A35" s="18" t="s">
        <v>3607</v>
      </c>
      <c r="B35" s="18">
        <v>20022886815</v>
      </c>
      <c r="C35" s="18" t="s">
        <v>3608</v>
      </c>
      <c r="D35" s="19">
        <v>45864.575694444444</v>
      </c>
      <c r="E35" s="18" t="s">
        <v>10</v>
      </c>
      <c r="F35" s="18">
        <v>10</v>
      </c>
      <c r="G35" s="18" t="s">
        <v>10</v>
      </c>
      <c r="H35" s="18" t="s">
        <v>178</v>
      </c>
      <c r="I35" s="18" t="s">
        <v>10</v>
      </c>
      <c r="J35" s="18" t="s">
        <v>353</v>
      </c>
      <c r="K35" s="20"/>
    </row>
    <row r="36" spans="1:11" ht="36.75" thickBot="1">
      <c r="A36" s="18" t="s">
        <v>3609</v>
      </c>
      <c r="B36" s="18">
        <v>20022886815</v>
      </c>
      <c r="C36" s="18" t="s">
        <v>3608</v>
      </c>
      <c r="D36" s="19">
        <v>45868.38958333333</v>
      </c>
      <c r="E36" s="18" t="s">
        <v>10</v>
      </c>
      <c r="F36" s="18">
        <v>10</v>
      </c>
      <c r="G36" s="18" t="s">
        <v>10</v>
      </c>
      <c r="H36" s="18" t="s">
        <v>178</v>
      </c>
      <c r="I36" s="18" t="s">
        <v>10</v>
      </c>
      <c r="J36" s="18" t="s">
        <v>353</v>
      </c>
      <c r="K36" s="20"/>
    </row>
    <row r="37" spans="1:11" ht="54.75" thickBot="1">
      <c r="A37" s="18" t="s">
        <v>3610</v>
      </c>
      <c r="B37" s="18">
        <v>20022886815</v>
      </c>
      <c r="C37" s="18" t="s">
        <v>3611</v>
      </c>
      <c r="D37" s="19">
        <v>45870.390277777777</v>
      </c>
      <c r="E37" s="18" t="s">
        <v>10</v>
      </c>
      <c r="F37" s="18">
        <v>10</v>
      </c>
      <c r="G37" s="19">
        <v>45903.59097222222</v>
      </c>
      <c r="H37" s="18" t="s">
        <v>236</v>
      </c>
      <c r="I37" s="18" t="s">
        <v>10</v>
      </c>
      <c r="J37" s="18" t="s">
        <v>353</v>
      </c>
      <c r="K37" s="20"/>
    </row>
    <row r="38" spans="1:11" ht="36.75" thickBot="1">
      <c r="A38" s="18" t="s">
        <v>3612</v>
      </c>
      <c r="B38" s="18">
        <v>20020423581</v>
      </c>
      <c r="C38" s="18" t="s">
        <v>3613</v>
      </c>
      <c r="D38" s="19">
        <v>45875.46875</v>
      </c>
      <c r="E38" s="18" t="s">
        <v>10</v>
      </c>
      <c r="F38" s="18">
        <v>10</v>
      </c>
      <c r="G38" s="19">
        <v>45903.57708333333</v>
      </c>
      <c r="H38" s="18" t="s">
        <v>236</v>
      </c>
      <c r="I38" s="18" t="s">
        <v>10</v>
      </c>
      <c r="J38" s="18" t="s">
        <v>186</v>
      </c>
      <c r="K38" s="20"/>
    </row>
    <row r="39" spans="1:11" ht="36.75" thickBot="1">
      <c r="A39" s="18" t="s">
        <v>3614</v>
      </c>
      <c r="B39" s="18">
        <v>20003028766</v>
      </c>
      <c r="C39" s="18" t="s">
        <v>3597</v>
      </c>
      <c r="D39" s="19">
        <v>45876.443749999999</v>
      </c>
      <c r="E39" s="18" t="s">
        <v>10</v>
      </c>
      <c r="F39" s="18">
        <v>5</v>
      </c>
      <c r="G39" s="18" t="s">
        <v>10</v>
      </c>
      <c r="H39" s="18" t="s">
        <v>178</v>
      </c>
      <c r="I39" s="18" t="s">
        <v>10</v>
      </c>
      <c r="J39" s="18" t="s">
        <v>353</v>
      </c>
      <c r="K39" s="20"/>
    </row>
    <row r="40" spans="1:11" ht="36.75" thickBot="1">
      <c r="A40" s="18" t="s">
        <v>3615</v>
      </c>
      <c r="B40" s="18">
        <v>20002976736</v>
      </c>
      <c r="C40" s="18" t="s">
        <v>3616</v>
      </c>
      <c r="D40" s="19">
        <v>45900.888194444444</v>
      </c>
      <c r="E40" s="18" t="s">
        <v>10</v>
      </c>
      <c r="F40" s="18">
        <v>5</v>
      </c>
      <c r="G40" s="18" t="s">
        <v>10</v>
      </c>
      <c r="H40" s="18" t="s">
        <v>178</v>
      </c>
      <c r="I40" s="18" t="s">
        <v>10</v>
      </c>
      <c r="J40" s="18" t="s">
        <v>186</v>
      </c>
      <c r="K40" s="20"/>
    </row>
    <row r="41" spans="1:11" ht="36.75" thickBot="1">
      <c r="A41" s="18" t="s">
        <v>3617</v>
      </c>
      <c r="B41" s="18">
        <v>20002976736</v>
      </c>
      <c r="C41" s="18" t="s">
        <v>3618</v>
      </c>
      <c r="D41" s="19">
        <v>45903.754861111112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186</v>
      </c>
      <c r="K41" s="20"/>
    </row>
    <row r="42" spans="1:11" ht="36.75" thickBot="1">
      <c r="A42" s="18" t="s">
        <v>3619</v>
      </c>
      <c r="B42" s="18">
        <v>20003028766</v>
      </c>
      <c r="C42" s="18" t="s">
        <v>3597</v>
      </c>
      <c r="D42" s="19">
        <v>45904.6875</v>
      </c>
      <c r="E42" s="18" t="s">
        <v>10</v>
      </c>
      <c r="F42" s="18">
        <v>5</v>
      </c>
      <c r="G42" s="19">
        <v>45919.577777777777</v>
      </c>
      <c r="H42" s="18" t="s">
        <v>236</v>
      </c>
      <c r="I42" s="18" t="s">
        <v>10</v>
      </c>
      <c r="J42" s="18" t="s">
        <v>353</v>
      </c>
      <c r="K42" s="20"/>
    </row>
    <row r="43" spans="1:11" ht="36.75" thickBot="1">
      <c r="A43" s="18" t="s">
        <v>3620</v>
      </c>
      <c r="B43" s="18">
        <v>20002976736</v>
      </c>
      <c r="C43" s="18" t="s">
        <v>3618</v>
      </c>
      <c r="D43" s="19">
        <v>45906.595833333333</v>
      </c>
      <c r="E43" s="18" t="s">
        <v>10</v>
      </c>
      <c r="F43" s="18">
        <v>5</v>
      </c>
      <c r="G43" s="18" t="s">
        <v>10</v>
      </c>
      <c r="H43" s="18" t="s">
        <v>189</v>
      </c>
      <c r="I43" s="18" t="s">
        <v>10</v>
      </c>
      <c r="J43" s="18" t="s">
        <v>186</v>
      </c>
      <c r="K43" s="20"/>
    </row>
    <row r="44" spans="1:11" ht="36.75" thickBot="1">
      <c r="A44" s="18" t="s">
        <v>3621</v>
      </c>
      <c r="B44" s="18">
        <v>20028639775</v>
      </c>
      <c r="C44" s="18" t="s">
        <v>3622</v>
      </c>
      <c r="D44" s="19">
        <v>45916.862500000003</v>
      </c>
      <c r="E44" s="18" t="s">
        <v>10</v>
      </c>
      <c r="F44" s="18">
        <v>5</v>
      </c>
      <c r="G44" s="19">
        <v>45933.5</v>
      </c>
      <c r="H44" s="18" t="s">
        <v>236</v>
      </c>
      <c r="I44" s="18" t="s">
        <v>10</v>
      </c>
      <c r="J44" s="18" t="s">
        <v>765</v>
      </c>
      <c r="K44" s="20"/>
    </row>
    <row r="45" spans="1:11" ht="54.75" thickBot="1">
      <c r="A45" s="18" t="s">
        <v>3623</v>
      </c>
      <c r="B45" s="18">
        <v>20017375802</v>
      </c>
      <c r="C45" s="18" t="s">
        <v>3624</v>
      </c>
      <c r="D45" s="19">
        <v>45918.874305555553</v>
      </c>
      <c r="E45" s="18" t="s">
        <v>10</v>
      </c>
      <c r="F45" s="18">
        <v>15</v>
      </c>
      <c r="G45" s="19">
        <v>45940.461111111108</v>
      </c>
      <c r="H45" s="18" t="s">
        <v>236</v>
      </c>
      <c r="I45" s="18" t="s">
        <v>10</v>
      </c>
      <c r="J45" s="18" t="s">
        <v>186</v>
      </c>
      <c r="K45" s="20"/>
    </row>
    <row r="46" spans="1:11" ht="36.75" thickBot="1">
      <c r="A46" s="18" t="s">
        <v>3625</v>
      </c>
      <c r="B46" s="18">
        <v>20028362567</v>
      </c>
      <c r="C46" s="18" t="s">
        <v>3626</v>
      </c>
      <c r="D46" s="19">
        <v>45924.456250000003</v>
      </c>
      <c r="E46" s="18" t="s">
        <v>10</v>
      </c>
      <c r="F46" s="18">
        <v>8</v>
      </c>
      <c r="G46" s="18" t="s">
        <v>10</v>
      </c>
      <c r="H46" s="18" t="s">
        <v>178</v>
      </c>
      <c r="I46" s="18" t="s">
        <v>10</v>
      </c>
      <c r="J46" s="18" t="s">
        <v>353</v>
      </c>
      <c r="K46" s="20"/>
    </row>
    <row r="47" spans="1:11" ht="36.75" thickBot="1">
      <c r="A47" s="18" t="s">
        <v>3627</v>
      </c>
      <c r="B47" s="18">
        <v>20003502307</v>
      </c>
      <c r="C47" s="18" t="s">
        <v>3628</v>
      </c>
      <c r="D47" s="19">
        <v>45925.642361111109</v>
      </c>
      <c r="E47" s="18" t="s">
        <v>10</v>
      </c>
      <c r="F47" s="18">
        <v>2</v>
      </c>
      <c r="G47" s="18" t="s">
        <v>10</v>
      </c>
      <c r="H47" s="18" t="s">
        <v>189</v>
      </c>
      <c r="I47" s="18" t="s">
        <v>10</v>
      </c>
      <c r="J47" s="18" t="s">
        <v>353</v>
      </c>
      <c r="K47" s="20"/>
    </row>
    <row r="48" spans="1:11" ht="36.75" thickBot="1">
      <c r="A48" s="18" t="s">
        <v>3629</v>
      </c>
      <c r="B48" s="18">
        <v>20028362567</v>
      </c>
      <c r="C48" s="18" t="s">
        <v>3626</v>
      </c>
      <c r="D48" s="19">
        <v>45926.711111111108</v>
      </c>
      <c r="E48" s="18" t="s">
        <v>10</v>
      </c>
      <c r="F48" s="18">
        <v>8</v>
      </c>
      <c r="G48" s="19">
        <v>45946.493750000001</v>
      </c>
      <c r="H48" s="18" t="s">
        <v>236</v>
      </c>
      <c r="I48" s="18" t="s">
        <v>10</v>
      </c>
      <c r="J48" s="18" t="s">
        <v>353</v>
      </c>
      <c r="K48" s="20"/>
    </row>
    <row r="49" spans="1:11" ht="36.75" thickBot="1">
      <c r="A49" s="18" t="s">
        <v>3630</v>
      </c>
      <c r="B49" s="18">
        <v>20025628725</v>
      </c>
      <c r="C49" s="18" t="s">
        <v>3631</v>
      </c>
      <c r="D49" s="19">
        <v>45929.42083333333</v>
      </c>
      <c r="E49" s="18" t="s">
        <v>10</v>
      </c>
      <c r="F49" s="18">
        <v>10</v>
      </c>
      <c r="G49" s="19">
        <v>45947.570833333331</v>
      </c>
      <c r="H49" s="18" t="s">
        <v>236</v>
      </c>
      <c r="I49" s="18" t="s">
        <v>10</v>
      </c>
      <c r="J49" s="18" t="s">
        <v>186</v>
      </c>
      <c r="K49" s="20"/>
    </row>
    <row r="50" spans="1:11" ht="36.75" thickBot="1">
      <c r="A50" s="18" t="s">
        <v>3632</v>
      </c>
      <c r="B50" s="18">
        <v>20003360755</v>
      </c>
      <c r="C50" s="18" t="s">
        <v>3633</v>
      </c>
      <c r="D50" s="19">
        <v>45944.456250000003</v>
      </c>
      <c r="E50" s="18" t="s">
        <v>10</v>
      </c>
      <c r="F50" s="18">
        <v>5</v>
      </c>
      <c r="G50" s="19">
        <v>45947.381249999999</v>
      </c>
      <c r="H50" s="18" t="s">
        <v>236</v>
      </c>
      <c r="I50" s="18" t="s">
        <v>10</v>
      </c>
      <c r="J50" s="18" t="s">
        <v>353</v>
      </c>
      <c r="K50" s="20"/>
    </row>
    <row r="51" spans="1:11" ht="36.75" thickBot="1">
      <c r="A51" s="18" t="s">
        <v>3634</v>
      </c>
      <c r="B51" s="18">
        <v>20021061366</v>
      </c>
      <c r="C51" s="18" t="s">
        <v>3635</v>
      </c>
      <c r="D51" s="19">
        <v>45944.579861111109</v>
      </c>
      <c r="E51" s="18" t="s">
        <v>10</v>
      </c>
      <c r="F51" s="18">
        <v>3.8</v>
      </c>
      <c r="G51" s="19">
        <v>45952.447916666664</v>
      </c>
      <c r="H51" s="18" t="s">
        <v>236</v>
      </c>
      <c r="I51" s="18" t="s">
        <v>10</v>
      </c>
      <c r="J51" s="18" t="s">
        <v>186</v>
      </c>
      <c r="K51" s="20"/>
    </row>
    <row r="52" spans="1:11" ht="36.75" thickBot="1">
      <c r="A52" s="18" t="s">
        <v>3636</v>
      </c>
      <c r="B52" s="18">
        <v>20027623004</v>
      </c>
      <c r="C52" s="18" t="s">
        <v>3637</v>
      </c>
      <c r="D52" s="19">
        <v>45944.590277777781</v>
      </c>
      <c r="E52" s="18" t="s">
        <v>10</v>
      </c>
      <c r="F52" s="18">
        <v>5</v>
      </c>
      <c r="G52" s="18" t="s">
        <v>10</v>
      </c>
      <c r="H52" s="18" t="s">
        <v>189</v>
      </c>
      <c r="I52" s="18" t="s">
        <v>10</v>
      </c>
      <c r="J52" s="18" t="s">
        <v>186</v>
      </c>
      <c r="K52" s="20"/>
    </row>
    <row r="53" spans="1:11" ht="36.75" thickBot="1">
      <c r="A53" s="18" t="s">
        <v>3638</v>
      </c>
      <c r="B53" s="18">
        <v>20003068026</v>
      </c>
      <c r="C53" s="18" t="s">
        <v>3639</v>
      </c>
      <c r="D53" s="19">
        <v>45950.448611111111</v>
      </c>
      <c r="E53" s="18" t="s">
        <v>10</v>
      </c>
      <c r="F53" s="18">
        <v>5</v>
      </c>
      <c r="G53" s="18" t="s">
        <v>10</v>
      </c>
      <c r="H53" s="18" t="s">
        <v>178</v>
      </c>
      <c r="I53" s="18" t="s">
        <v>10</v>
      </c>
      <c r="J53" s="18" t="s">
        <v>186</v>
      </c>
      <c r="K53" s="20"/>
    </row>
    <row r="54" spans="1:11" ht="36.75" thickBot="1">
      <c r="A54" s="18" t="s">
        <v>3640</v>
      </c>
      <c r="B54" s="18">
        <v>20003068026</v>
      </c>
      <c r="C54" s="18" t="s">
        <v>3639</v>
      </c>
      <c r="D54" s="19">
        <v>45962.405555555553</v>
      </c>
      <c r="E54" s="18" t="s">
        <v>10</v>
      </c>
      <c r="F54" s="18">
        <v>10</v>
      </c>
      <c r="G54" s="19">
        <v>45967.443055555559</v>
      </c>
      <c r="H54" s="18" t="s">
        <v>2657</v>
      </c>
      <c r="I54" s="18" t="s">
        <v>10</v>
      </c>
      <c r="J54" s="18" t="s">
        <v>186</v>
      </c>
      <c r="K54" s="20"/>
    </row>
    <row r="55" spans="1:11" ht="36.75" thickBot="1">
      <c r="A55" s="21" t="s">
        <v>7925</v>
      </c>
      <c r="B55" s="21">
        <v>20017996664</v>
      </c>
      <c r="C55" s="21" t="s">
        <v>7926</v>
      </c>
      <c r="D55" s="22">
        <v>45975.604166666664</v>
      </c>
      <c r="E55" s="21" t="s">
        <v>10</v>
      </c>
      <c r="F55" s="21">
        <v>5</v>
      </c>
      <c r="G55" s="21" t="s">
        <v>10</v>
      </c>
      <c r="H55" s="21" t="s">
        <v>189</v>
      </c>
      <c r="I55" s="21" t="s">
        <v>10</v>
      </c>
      <c r="J55" s="21" t="s">
        <v>186</v>
      </c>
      <c r="K55" s="1"/>
    </row>
    <row r="56" spans="1:11" ht="18.75" thickBot="1">
      <c r="A56" s="18"/>
      <c r="B56" s="18"/>
      <c r="C56" s="18"/>
      <c r="D56" s="19"/>
      <c r="E56" s="19"/>
      <c r="F56" s="18"/>
      <c r="G56" s="19"/>
      <c r="H56" s="18"/>
      <c r="I56" s="18"/>
      <c r="J56" s="18"/>
    </row>
    <row r="57" spans="1:11" ht="18.75" thickBot="1">
      <c r="A57" s="18"/>
      <c r="B57" s="18"/>
      <c r="C57" s="18"/>
      <c r="D57" s="19"/>
      <c r="E57" s="19"/>
      <c r="F57" s="18"/>
      <c r="G57" s="19"/>
      <c r="H57" s="18"/>
      <c r="I57" s="18"/>
      <c r="J57" s="18"/>
    </row>
    <row r="58" spans="1:11" ht="18.75" thickBot="1">
      <c r="A58" s="18"/>
      <c r="B58" s="18"/>
      <c r="C58" s="18"/>
      <c r="D58" s="19"/>
      <c r="E58" s="18"/>
      <c r="F58" s="18"/>
      <c r="G58" s="18"/>
      <c r="H58" s="18"/>
      <c r="I58" s="18"/>
      <c r="J58" s="18"/>
    </row>
    <row r="59" spans="1:11" ht="18.75" thickBot="1">
      <c r="A59" s="18"/>
      <c r="B59" s="18"/>
      <c r="C59" s="18"/>
      <c r="D59" s="19"/>
      <c r="E59" s="18"/>
      <c r="F59" s="18"/>
      <c r="G59" s="18"/>
      <c r="H59" s="18"/>
      <c r="I59" s="18"/>
      <c r="J59" s="18"/>
    </row>
    <row r="60" spans="1:11" ht="18.75" thickBot="1">
      <c r="A60" s="18"/>
      <c r="B60" s="18"/>
      <c r="C60" s="18"/>
      <c r="D60" s="19"/>
      <c r="E60" s="19"/>
      <c r="F60" s="18"/>
      <c r="G60" s="19"/>
      <c r="H60" s="18"/>
      <c r="I60" s="18"/>
      <c r="J60" s="18"/>
    </row>
    <row r="61" spans="1:11" ht="18.75" thickBot="1">
      <c r="A61" s="18"/>
      <c r="B61" s="18"/>
      <c r="C61" s="18"/>
      <c r="D61" s="19"/>
      <c r="E61" s="18"/>
      <c r="F61" s="18"/>
      <c r="G61" s="19"/>
      <c r="H61" s="18"/>
      <c r="I61" s="18"/>
      <c r="J61" s="18"/>
    </row>
    <row r="62" spans="1:11" ht="18.75" thickBot="1">
      <c r="A62" s="18"/>
      <c r="B62" s="18"/>
      <c r="C62" s="18"/>
      <c r="D62" s="19"/>
      <c r="E62" s="18"/>
      <c r="F62" s="18"/>
      <c r="G62" s="18"/>
      <c r="H62" s="18"/>
      <c r="I62" s="18"/>
      <c r="J62" s="18"/>
    </row>
    <row r="63" spans="1:11" ht="18.75" thickBot="1">
      <c r="A63" s="18"/>
      <c r="B63" s="18"/>
      <c r="C63" s="18"/>
      <c r="D63" s="19"/>
      <c r="E63" s="18"/>
      <c r="F63" s="18"/>
      <c r="G63" s="19"/>
      <c r="H63" s="18"/>
      <c r="I63" s="18"/>
      <c r="J63" s="18"/>
    </row>
    <row r="64" spans="1:11" ht="18.75" thickBot="1">
      <c r="A64" s="18"/>
      <c r="B64" s="18"/>
      <c r="C64" s="18"/>
      <c r="D64" s="19"/>
      <c r="E64" s="19"/>
      <c r="F64" s="18"/>
      <c r="G64" s="19"/>
      <c r="H64" s="18"/>
      <c r="I64" s="18"/>
      <c r="J64" s="18"/>
    </row>
    <row r="65" spans="1:10" ht="18.75" thickBot="1">
      <c r="A65" s="18"/>
      <c r="B65" s="18"/>
      <c r="C65" s="18"/>
      <c r="D65" s="19"/>
      <c r="E65" s="19"/>
      <c r="F65" s="18"/>
      <c r="G65" s="19"/>
      <c r="H65" s="18"/>
      <c r="I65" s="18"/>
      <c r="J65" s="18"/>
    </row>
    <row r="66" spans="1:10" ht="18.75" thickBot="1">
      <c r="A66" s="18"/>
      <c r="B66" s="18"/>
      <c r="C66" s="18"/>
      <c r="D66" s="19"/>
      <c r="E66" s="18"/>
      <c r="F66" s="18"/>
      <c r="G66" s="19"/>
      <c r="H66" s="18"/>
      <c r="I66" s="18"/>
      <c r="J66" s="18"/>
    </row>
    <row r="67" spans="1:10" ht="18.75" thickBot="1">
      <c r="A67" s="18"/>
      <c r="B67" s="18"/>
      <c r="C67" s="18"/>
      <c r="D67" s="19"/>
      <c r="E67" s="19"/>
      <c r="F67" s="18"/>
      <c r="G67" s="18"/>
      <c r="H67" s="18"/>
      <c r="I67" s="18"/>
      <c r="J67" s="18"/>
    </row>
    <row r="68" spans="1:10" ht="18.75" thickBot="1">
      <c r="A68" s="18"/>
      <c r="B68" s="18"/>
      <c r="C68" s="18"/>
      <c r="D68" s="19"/>
      <c r="E68" s="19"/>
      <c r="F68" s="18"/>
      <c r="G68" s="19"/>
      <c r="H68" s="18"/>
      <c r="I68" s="18"/>
      <c r="J68" s="18"/>
    </row>
    <row r="69" spans="1:10" ht="18.75" thickBot="1">
      <c r="A69" s="18"/>
      <c r="B69" s="18"/>
      <c r="C69" s="18"/>
      <c r="D69" s="19"/>
      <c r="E69" s="18"/>
      <c r="F69" s="18"/>
      <c r="G69" s="18"/>
      <c r="H69" s="18"/>
      <c r="I69" s="18"/>
      <c r="J69" s="18"/>
    </row>
    <row r="70" spans="1:10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0" ht="18.75" thickBot="1">
      <c r="A71" s="18"/>
      <c r="B71" s="18"/>
      <c r="C71" s="18"/>
      <c r="D71" s="19"/>
      <c r="E71" s="19"/>
      <c r="F71" s="18"/>
      <c r="G71" s="19"/>
      <c r="H71" s="18"/>
      <c r="I71" s="18"/>
      <c r="J71" s="18"/>
    </row>
    <row r="72" spans="1:10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0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0" ht="18.75" thickBot="1">
      <c r="A74" s="18"/>
      <c r="B74" s="18"/>
      <c r="C74" s="18"/>
      <c r="D74" s="19"/>
      <c r="E74" s="18"/>
      <c r="F74" s="18"/>
      <c r="G74" s="18"/>
      <c r="H74" s="18"/>
      <c r="I74" s="18"/>
      <c r="J74" s="18"/>
    </row>
    <row r="75" spans="1:10" ht="18.75" thickBot="1">
      <c r="A75" s="18"/>
      <c r="B75" s="18"/>
      <c r="C75" s="18"/>
      <c r="D75" s="19"/>
      <c r="E75" s="18"/>
      <c r="F75" s="18"/>
      <c r="G75" s="19"/>
      <c r="H75" s="18"/>
      <c r="I75" s="18"/>
      <c r="J75" s="18"/>
    </row>
    <row r="76" spans="1:10" ht="18.75" thickBot="1">
      <c r="A76" s="18"/>
      <c r="B76" s="18"/>
      <c r="C76" s="18"/>
      <c r="D76" s="19"/>
      <c r="E76" s="19"/>
      <c r="F76" s="18"/>
      <c r="G76" s="19"/>
      <c r="H76" s="18"/>
      <c r="I76" s="18"/>
      <c r="J76" s="18"/>
    </row>
    <row r="77" spans="1:10" ht="18.75" thickBot="1">
      <c r="A77" s="18"/>
      <c r="B77" s="18"/>
      <c r="C77" s="18"/>
      <c r="D77" s="19"/>
      <c r="E77" s="18"/>
      <c r="F77" s="18"/>
      <c r="G77" s="19"/>
      <c r="H77" s="18"/>
      <c r="I77" s="18"/>
      <c r="J77" s="18"/>
    </row>
    <row r="78" spans="1:10" ht="18.75" thickBot="1">
      <c r="A78" s="18"/>
      <c r="B78" s="18"/>
      <c r="C78" s="18"/>
      <c r="D78" s="19"/>
      <c r="E78" s="19"/>
      <c r="F78" s="18"/>
      <c r="G78" s="19"/>
      <c r="H78" s="18"/>
      <c r="I78" s="18"/>
      <c r="J78" s="18"/>
    </row>
    <row r="79" spans="1:10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0" ht="18.75" thickBot="1">
      <c r="A80" s="18"/>
      <c r="B80" s="18"/>
      <c r="C80" s="18"/>
      <c r="D80" s="19"/>
      <c r="E80" s="18"/>
      <c r="F80" s="18"/>
      <c r="G80" s="19"/>
      <c r="H80" s="18"/>
      <c r="I80" s="18"/>
      <c r="J80" s="18"/>
    </row>
    <row r="81" spans="1:10" ht="18.75" thickBot="1">
      <c r="A81" s="18"/>
      <c r="B81" s="18"/>
      <c r="C81" s="18"/>
      <c r="D81" s="19"/>
      <c r="E81" s="19"/>
      <c r="F81" s="18"/>
      <c r="G81" s="18"/>
      <c r="H81" s="18"/>
      <c r="I81" s="18"/>
      <c r="J81" s="18"/>
    </row>
    <row r="82" spans="1:10" ht="18.75" thickBot="1">
      <c r="A82" s="18"/>
      <c r="B82" s="18"/>
      <c r="C82" s="18"/>
      <c r="D82" s="19"/>
      <c r="E82" s="18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9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8"/>
      <c r="H85" s="18"/>
      <c r="I85" s="18"/>
      <c r="J85" s="18"/>
    </row>
    <row r="86" spans="1:10" ht="18.75" thickBot="1">
      <c r="A86" s="18"/>
      <c r="B86" s="18"/>
      <c r="C86" s="18"/>
      <c r="D86" s="19"/>
      <c r="E86" s="19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8"/>
      <c r="F88" s="18"/>
      <c r="G88" s="19"/>
      <c r="H88" s="18"/>
      <c r="I88" s="18"/>
      <c r="J88" s="18"/>
    </row>
    <row r="89" spans="1:10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6" priority="1"/>
  </conditionalFormatting>
  <hyperlinks>
    <hyperlink ref="K3" r:id="rId1" display="https://ppim-intra.pea.co.th:4434/request/PPIM1850011B" xr:uid="{E49DD3C9-B266-40E1-9487-F88AA28E8079}"/>
    <hyperlink ref="K4" r:id="rId2" display="https://ppim-intra.pea.co.th:4434/request/PPIM18500449" xr:uid="{F4F7C564-9BB0-47DC-A3AB-AC3374CF2CC0}"/>
    <hyperlink ref="K5" r:id="rId3" display="https://ppim-intra.pea.co.th:4434/request/PPIM18500E3E" xr:uid="{81D92882-0603-4CC7-97A4-AA408C156385}"/>
    <hyperlink ref="K6" r:id="rId4" display="https://ppim-intra.pea.co.th:4434/request/PPIM185010E7" xr:uid="{5B1061EF-AD1D-487E-B5E5-F3D6AAD4ECDB}"/>
    <hyperlink ref="K7" r:id="rId5" display="https://ppim-intra.pea.co.th:4434/request/PPIM1850185C" xr:uid="{7295B029-F04E-40BB-A733-186A37177034}"/>
    <hyperlink ref="K8" r:id="rId6" display="https://ppim-intra.pea.co.th:4434/request/PPIM18501889" xr:uid="{31C4DF88-4857-470E-8F26-62C1245D508F}"/>
    <hyperlink ref="K9" r:id="rId7" display="https://ppim-intra.pea.co.th:4434/request/PPIM185010D8" xr:uid="{B78ACAAC-EB13-468F-9187-092B82ED04AC}"/>
    <hyperlink ref="K10" r:id="rId8" display="https://ppim-intra.pea.co.th:4434/request/PPIM185018CB" xr:uid="{73F69FE3-A321-49D5-AC96-93A77DEE8505}"/>
    <hyperlink ref="K11" r:id="rId9" display="https://ppim-intra.pea.co.th:4434/request/PPIM1850198E" xr:uid="{83213041-FB1A-47F2-BF4E-1392FF5014F6}"/>
    <hyperlink ref="K12" r:id="rId10" display="https://ppim-intra.pea.co.th:4434/request/PPIM18501A4C" xr:uid="{3EB622BA-5EB8-48D5-B71B-D73C4745551C}"/>
    <hyperlink ref="K13" r:id="rId11" display="https://ppim-intra.pea.co.th:4434/request/PPIM18501A7B" xr:uid="{1085EA07-8D5C-4FF6-98FF-3109053ECFC3}"/>
    <hyperlink ref="K14" r:id="rId12" display="https://ppim-intra.pea.co.th:4434/request/PPIM18502015" xr:uid="{D1D87B57-3DD8-4DDF-A087-265A04B472E7}"/>
    <hyperlink ref="K15" r:id="rId13" display="https://ppim-intra.pea.co.th:4434/request/PPIM18502240" xr:uid="{34AA3C7D-C7A4-4A85-9325-4EB372BE85E8}"/>
    <hyperlink ref="K16" r:id="rId14" display="https://ppim-intra.pea.co.th:4434/request/PPIM18502925" xr:uid="{B1C3BD3E-7885-4597-AB93-C4F15957BC71}"/>
    <hyperlink ref="K17" r:id="rId15" display="https://ppim-intra.pea.co.th:4434/request/PPIM18502B1D" xr:uid="{F918D1CF-5538-43AF-9E0D-07437FAC4098}"/>
    <hyperlink ref="K18" r:id="rId16" display="https://ppim-intra.pea.co.th:4434/request/PPIM18502562" xr:uid="{8470E095-7967-4367-B620-94BEA3AFE93A}"/>
    <hyperlink ref="K19" r:id="rId17" display="https://ppim-intra.pea.co.th:4434/request/PPIM185030BD" xr:uid="{53940ADD-888D-43ED-B7D0-CAD6FE80BC1D}"/>
    <hyperlink ref="K20" r:id="rId18" display="https://ppim-intra.pea.co.th:4434/request/PPIM185034BC" xr:uid="{1329E724-60C3-4E1E-A471-FDD5AF4A4B91}"/>
    <hyperlink ref="K21" r:id="rId19" display="https://ppim-intra.pea.co.th:4434/request/PPIM185037BF" xr:uid="{DC7A0163-BD61-43A5-946E-D27EC6CD57A9}"/>
    <hyperlink ref="K22" r:id="rId20" display="https://ppim-intra.pea.co.th:4434/request/PPIM185039E9" xr:uid="{BD0E3B26-09E6-435F-A2D7-047EA475CD74}"/>
    <hyperlink ref="K23" r:id="rId21" display="https://ppim-intra.pea.co.th:4434/request/PPIM18503A1D" xr:uid="{232E5C04-56D8-42C0-AE5A-E48AA20549DC}"/>
    <hyperlink ref="K24" r:id="rId22" display="https://ppim-intra.pea.co.th:4434/request/PPIM195000BD" xr:uid="{24A0D25F-8A6E-4D91-A389-22B0D1F9D517}"/>
    <hyperlink ref="K25" r:id="rId23" display="https://ppim-intra.pea.co.th:4434/request/PPIM1950078C" xr:uid="{B3A0A422-57D5-4CD4-9C36-43E45B7FDA02}"/>
    <hyperlink ref="K26" r:id="rId24" display="https://ppim-intra.pea.co.th:4434/request/PPIM195012C0" xr:uid="{89CDB13C-BBEA-4CC4-A3A6-2966C2F20DD2}"/>
    <hyperlink ref="K27" r:id="rId25" display="https://ppim-intra.pea.co.th:4434/request/PPIM19500353" xr:uid="{53D54D9C-DB52-4931-8CC8-2A128A5BE81E}"/>
    <hyperlink ref="K28" r:id="rId26" display="https://ppim-intra.pea.co.th:4434/request/PPIM19501962" xr:uid="{01B85A48-E4AC-4EBD-A2DB-700190725E94}"/>
    <hyperlink ref="K29" r:id="rId27" display="https://ppim-intra.pea.co.th:4434/request/PPIM19503242" xr:uid="{2DFDD56D-0914-450A-879F-763641C7E603}"/>
    <hyperlink ref="K30" r:id="rId28" display="https://ppim-intra.pea.co.th:4434/request/PPIM19503354" xr:uid="{57CA9DAC-8F32-454D-A6FB-139CE5306343}"/>
    <hyperlink ref="K31" r:id="rId29" display="https://ppim-intra.pea.co.th:4434/request/PPIM19502EEC" xr:uid="{38EB0498-5607-4857-9951-540A60F9E7D8}"/>
    <hyperlink ref="K32" r:id="rId30" display="https://ppim-intra.pea.co.th:4434/request/PPIM19503705" xr:uid="{19AB1CD9-8279-4BFD-A7C2-CB4DFB29B336}"/>
    <hyperlink ref="K33" r:id="rId31" display="https://ppim-intra.pea.co.th:4434/request/PPIM195036A6" xr:uid="{B4766112-7281-42AC-AFB9-BBB7ADDE39ED}"/>
    <hyperlink ref="K34" r:id="rId32" display="https://ppim-intra.pea.co.th:4434/request/PPIM19503861" xr:uid="{9D55BE83-BF8D-47E9-839E-87F501A61B45}"/>
    <hyperlink ref="K35" r:id="rId33" display="https://ppim-intra.pea.co.th:4434/request/PPIM1950395E" xr:uid="{43EEE746-1EE9-465E-8097-468A5BB58704}"/>
    <hyperlink ref="K36" r:id="rId34" display="https://ppim-intra.pea.co.th:4434/request/PPIM195039F8" xr:uid="{6783AD40-1E0E-4F3A-8FF1-A6423E27E499}"/>
    <hyperlink ref="K37" r:id="rId35" display="https://ppim-intra.pea.co.th:4434/request/PPIM19503A89" xr:uid="{1B88C5FE-C140-4C20-9044-DCA04B34001D}"/>
    <hyperlink ref="K38" r:id="rId36" display="https://ppim-intra.pea.co.th:4434/request/PPIM19503BF0" xr:uid="{0E425048-2F29-46F8-B425-8E3B22907B64}"/>
    <hyperlink ref="K39" r:id="rId37" display="https://ppim-intra.pea.co.th:4434/request/PPIM19503C47" xr:uid="{C425F8AE-09D4-4BE7-AD2B-2B44D811A67B}"/>
    <hyperlink ref="K40" r:id="rId38" display="https://ppim-intra.pea.co.th:4434/request/PPIM19504312" xr:uid="{570BBCF2-2326-46DD-AEE8-F310FDAF8682}"/>
    <hyperlink ref="K41" r:id="rId39" display="https://ppim-intra.pea.co.th:4434/request/PPIM19504406" xr:uid="{CCBAC21B-CA0A-406A-B24A-4B319B43E9C4}"/>
    <hyperlink ref="K42" r:id="rId40" display="https://ppim-intra.pea.co.th:4434/request/PPIM1950444C" xr:uid="{D60D4568-C1F2-43CF-83FA-E0209699D921}"/>
    <hyperlink ref="K43" r:id="rId41" display="https://ppim-intra.pea.co.th:4434/request/PPIM195044DE" xr:uid="{590BE118-5509-4931-849F-581B6AB8EE1E}"/>
    <hyperlink ref="K44" r:id="rId42" display="https://ppim-intra.pea.co.th:4434/request/PPIM195047F6" xr:uid="{74DDBC09-F029-46CE-8D18-18625F8C3EB7}"/>
    <hyperlink ref="K45" r:id="rId43" display="https://ppim-intra.pea.co.th:4434/request/PPIM19504897" xr:uid="{BF6B39B2-9833-4DC1-8A4E-179A8B036825}"/>
    <hyperlink ref="K46" r:id="rId44" display="https://ppim-intra.pea.co.th:4434/request/PPIM19504A42" xr:uid="{EDB03C93-B062-4A11-B1A1-81187F94BCA6}"/>
    <hyperlink ref="K47" r:id="rId45" display="https://ppim-intra.pea.co.th:4434/request/PPIM19504ACD" xr:uid="{4CAA84A9-D5B5-4BA7-91B7-6F755726D3D7}"/>
    <hyperlink ref="K48" r:id="rId46" display="https://ppim-intra.pea.co.th:4434/request/PPIM19504B35" xr:uid="{216964A2-550E-4685-BDC3-41AEA3C32070}"/>
    <hyperlink ref="K49" r:id="rId47" display="https://ppim-intra.pea.co.th:4434/request/PPIM19504B74" xr:uid="{A2A8D6B7-2698-4DC9-9F68-2A531C3ACA21}"/>
    <hyperlink ref="K50" r:id="rId48" display="https://ppim-intra.pea.co.th:4434/request/PPIM19504FCC" xr:uid="{E61EE6B3-B430-4603-B829-274FAF04BD11}"/>
    <hyperlink ref="K51" r:id="rId49" display="https://ppim-intra.pea.co.th:4434/request/PPIM19504FE3" xr:uid="{8DB41616-F226-418E-B095-B1DDC9C5C515}"/>
    <hyperlink ref="K52" r:id="rId50" display="https://ppim-intra.pea.co.th:4434/request/PPIM19504FE9" xr:uid="{43C43480-E7C0-4DF6-836F-B6183F276A05}"/>
    <hyperlink ref="K53" r:id="rId51" display="https://ppim-intra.pea.co.th:4434/request/PPIM19505150" xr:uid="{355FDE43-C8B6-4225-9A9B-B50326FE7E49}"/>
    <hyperlink ref="K54" r:id="rId52" display="https://ppim-intra.pea.co.th:4434/request/PPIM195054D6" xr:uid="{E473DC9E-33DE-4F0A-889C-C7F115AB804D}"/>
  </hyperlinks>
  <pageMargins left="0.7" right="0.7" top="0.75" bottom="0.75" header="0.3" footer="0.3"/>
  <drawing r:id="rId53"/>
  <legacyDrawing r:id="rId54"/>
  <controls>
    <mc:AlternateContent xmlns:mc="http://schemas.openxmlformats.org/markup-compatibility/2006">
      <mc:Choice Requires="x14">
        <control shapeId="17409" r:id="rId55" name="Control 1">
          <controlPr defaultSize="0" r:id="rId56">
            <anchor moveWithCells="1">
              <from>
                <xdr:col>0</xdr:col>
                <xdr:colOff>0</xdr:colOff>
                <xdr:row>7</xdr:row>
                <xdr:rowOff>447675</xdr:rowOff>
              </from>
              <to>
                <xdr:col>0</xdr:col>
                <xdr:colOff>161925</xdr:colOff>
                <xdr:row>8</xdr:row>
                <xdr:rowOff>142875</xdr:rowOff>
              </to>
            </anchor>
          </controlPr>
        </control>
      </mc:Choice>
      <mc:Fallback>
        <control shapeId="17409" r:id="rId55" name="Control 1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9C77-7F91-450F-892B-650BA1483160}">
  <sheetPr codeName="Sheet12">
    <tabColor theme="0" tint="-0.34998626667073579"/>
  </sheetPr>
  <dimension ref="A2:O168"/>
  <sheetViews>
    <sheetView tabSelected="1" topLeftCell="A101" zoomScale="85" zoomScaleNormal="85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110</v>
      </c>
      <c r="N2" s="13" t="s">
        <v>214</v>
      </c>
    </row>
    <row r="3" spans="1:15" ht="37.5" thickTop="1" thickBot="1">
      <c r="A3" s="18" t="s">
        <v>195</v>
      </c>
      <c r="B3" s="18">
        <v>20021290770</v>
      </c>
      <c r="C3" s="18" t="s">
        <v>196</v>
      </c>
      <c r="D3" s="19">
        <v>45308.448611111111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192</v>
      </c>
      <c r="K3" s="20"/>
      <c r="L3" s="7" t="s">
        <v>2656</v>
      </c>
      <c r="M3" s="7">
        <f>COUNTIF(H:H,"รอตรวจสอบคำขอ")</f>
        <v>2</v>
      </c>
      <c r="N3" s="11" t="s">
        <v>214</v>
      </c>
    </row>
    <row r="4" spans="1:15" ht="36.75" thickBot="1">
      <c r="A4" s="18" t="s">
        <v>193</v>
      </c>
      <c r="B4" s="18">
        <v>20021610770</v>
      </c>
      <c r="C4" s="18" t="s">
        <v>194</v>
      </c>
      <c r="D4" s="19">
        <v>45322.692361111112</v>
      </c>
      <c r="E4" s="18" t="s">
        <v>10</v>
      </c>
      <c r="F4" s="18">
        <v>10</v>
      </c>
      <c r="G4" s="18" t="s">
        <v>10</v>
      </c>
      <c r="H4" s="18" t="s">
        <v>178</v>
      </c>
      <c r="I4" s="18" t="s">
        <v>10</v>
      </c>
      <c r="J4" s="18" t="s">
        <v>192</v>
      </c>
      <c r="K4" s="20"/>
      <c r="L4" s="7" t="s">
        <v>178</v>
      </c>
      <c r="M4" s="7">
        <f>COUNTIF(H:H,"ยกเลิก")</f>
        <v>21</v>
      </c>
      <c r="N4" s="11" t="s">
        <v>214</v>
      </c>
    </row>
    <row r="5" spans="1:15" ht="36.75" thickBot="1">
      <c r="A5" s="18" t="s">
        <v>190</v>
      </c>
      <c r="B5" s="18">
        <v>20020268326</v>
      </c>
      <c r="C5" s="18" t="s">
        <v>191</v>
      </c>
      <c r="D5" s="19">
        <v>45390.457638888889</v>
      </c>
      <c r="E5" s="18" t="s">
        <v>10</v>
      </c>
      <c r="F5" s="18">
        <v>20</v>
      </c>
      <c r="G5" s="18" t="s">
        <v>10</v>
      </c>
      <c r="H5" s="18" t="s">
        <v>178</v>
      </c>
      <c r="I5" s="18" t="s">
        <v>10</v>
      </c>
      <c r="J5" s="18" t="s">
        <v>192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319</v>
      </c>
      <c r="B6" s="18">
        <v>20020268326</v>
      </c>
      <c r="C6" s="18" t="s">
        <v>191</v>
      </c>
      <c r="D6" s="19">
        <v>45401.671527777777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192</v>
      </c>
      <c r="K6" s="20"/>
      <c r="L6" s="7" t="s">
        <v>189</v>
      </c>
      <c r="M6" s="14">
        <f>COUNTIF(H:H,"รอชำระเงิน")</f>
        <v>5</v>
      </c>
      <c r="N6" s="11" t="s">
        <v>214</v>
      </c>
      <c r="O6" s="7" t="s">
        <v>359</v>
      </c>
    </row>
    <row r="7" spans="1:15" ht="36.75" thickBot="1">
      <c r="A7" s="18" t="s">
        <v>320</v>
      </c>
      <c r="B7" s="18">
        <v>20020268326</v>
      </c>
      <c r="C7" s="18" t="s">
        <v>321</v>
      </c>
      <c r="D7" s="19">
        <v>45404.381249999999</v>
      </c>
      <c r="E7" s="18" t="s">
        <v>10</v>
      </c>
      <c r="F7" s="18">
        <v>20</v>
      </c>
      <c r="G7" s="18" t="s">
        <v>10</v>
      </c>
      <c r="H7" s="18" t="s">
        <v>178</v>
      </c>
      <c r="I7" s="18" t="s">
        <v>10</v>
      </c>
      <c r="J7" s="18" t="s">
        <v>192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5" ht="36.75" thickBot="1">
      <c r="A8" s="18" t="s">
        <v>322</v>
      </c>
      <c r="B8" s="18">
        <v>20020268326</v>
      </c>
      <c r="C8" s="18" t="s">
        <v>323</v>
      </c>
      <c r="D8" s="19">
        <v>45404.393750000003</v>
      </c>
      <c r="E8" s="18" t="s">
        <v>10</v>
      </c>
      <c r="F8" s="18">
        <v>20</v>
      </c>
      <c r="G8" s="19">
        <v>45490.529166666667</v>
      </c>
      <c r="H8" s="18" t="s">
        <v>236</v>
      </c>
      <c r="I8" s="18" t="s">
        <v>10</v>
      </c>
      <c r="J8" s="18" t="s">
        <v>192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7</v>
      </c>
      <c r="N8" s="11" t="s">
        <v>214</v>
      </c>
    </row>
    <row r="9" spans="1:15" ht="36.75" thickBot="1">
      <c r="A9" s="18" t="s">
        <v>324</v>
      </c>
      <c r="B9" s="18">
        <v>20021610770</v>
      </c>
      <c r="C9" s="18" t="s">
        <v>325</v>
      </c>
      <c r="D9" s="19">
        <v>45402.451388888891</v>
      </c>
      <c r="E9" s="19">
        <v>45404.704861111109</v>
      </c>
      <c r="F9" s="18">
        <v>10</v>
      </c>
      <c r="G9" s="19">
        <v>45462.611111111109</v>
      </c>
      <c r="H9" s="18" t="s">
        <v>236</v>
      </c>
      <c r="I9" s="18" t="s">
        <v>10</v>
      </c>
      <c r="J9" s="18" t="s">
        <v>192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326</v>
      </c>
      <c r="B10" s="18">
        <v>20027290486</v>
      </c>
      <c r="C10" s="18" t="s">
        <v>327</v>
      </c>
      <c r="D10" s="19">
        <v>45409.734722222223</v>
      </c>
      <c r="E10" s="18" t="s">
        <v>10</v>
      </c>
      <c r="F10" s="18">
        <v>5</v>
      </c>
      <c r="G10" s="19">
        <v>45457.556250000001</v>
      </c>
      <c r="H10" s="18" t="s">
        <v>236</v>
      </c>
      <c r="I10" s="18" t="s">
        <v>10</v>
      </c>
      <c r="J10" s="18" t="s">
        <v>192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355</v>
      </c>
      <c r="B11" s="18">
        <v>20026347545</v>
      </c>
      <c r="C11" s="18" t="s">
        <v>356</v>
      </c>
      <c r="D11" s="19">
        <v>45422.743750000001</v>
      </c>
      <c r="E11" s="18" t="s">
        <v>10</v>
      </c>
      <c r="F11" s="18">
        <v>5</v>
      </c>
      <c r="G11" s="19">
        <v>45468.400694444441</v>
      </c>
      <c r="H11" s="18" t="s">
        <v>236</v>
      </c>
      <c r="I11" s="18" t="s">
        <v>10</v>
      </c>
      <c r="J11" s="18" t="s">
        <v>192</v>
      </c>
      <c r="K11" s="20"/>
      <c r="L11" t="s">
        <v>2654</v>
      </c>
      <c r="M11">
        <f>COUNTIF(H:H,"รอตรวจสอบระบบผลิต")</f>
        <v>3</v>
      </c>
      <c r="N11" t="s">
        <v>214</v>
      </c>
    </row>
    <row r="12" spans="1:15" ht="36.75" thickBot="1">
      <c r="A12" s="18" t="s">
        <v>328</v>
      </c>
      <c r="B12" s="18">
        <v>20025146068</v>
      </c>
      <c r="C12" s="18" t="s">
        <v>329</v>
      </c>
      <c r="D12" s="19">
        <v>45414.924305555556</v>
      </c>
      <c r="E12" s="19">
        <v>45454.351388888892</v>
      </c>
      <c r="F12" s="18">
        <v>10</v>
      </c>
      <c r="G12" s="19">
        <v>45510.554861111108</v>
      </c>
      <c r="H12" s="18" t="s">
        <v>236</v>
      </c>
      <c r="I12" s="18" t="s">
        <v>10</v>
      </c>
      <c r="J12" s="18" t="s">
        <v>192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552</v>
      </c>
      <c r="B13" s="18">
        <v>22223388408</v>
      </c>
      <c r="C13" s="18" t="s">
        <v>553</v>
      </c>
      <c r="D13" s="19">
        <v>45456.744444444441</v>
      </c>
      <c r="E13" s="18" t="s">
        <v>10</v>
      </c>
      <c r="F13" s="18">
        <v>6</v>
      </c>
      <c r="G13" s="18" t="s">
        <v>10</v>
      </c>
      <c r="H13" s="18" t="s">
        <v>178</v>
      </c>
      <c r="I13" s="18" t="s">
        <v>10</v>
      </c>
      <c r="J13" s="18" t="s">
        <v>192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554</v>
      </c>
      <c r="B14" s="18">
        <v>20026891697</v>
      </c>
      <c r="C14" s="18" t="s">
        <v>555</v>
      </c>
      <c r="D14" s="19">
        <v>45460.84652777778</v>
      </c>
      <c r="E14" s="18" t="s">
        <v>10</v>
      </c>
      <c r="F14" s="18">
        <v>20</v>
      </c>
      <c r="G14" s="19">
        <v>45510.554861111108</v>
      </c>
      <c r="H14" s="18" t="s">
        <v>236</v>
      </c>
      <c r="I14" s="18" t="s">
        <v>10</v>
      </c>
      <c r="J14" s="18" t="s">
        <v>192</v>
      </c>
      <c r="K14" s="20"/>
      <c r="L14" t="s">
        <v>236</v>
      </c>
      <c r="M14">
        <f>COUNTIF(H:H,"เชื่อมต่อเรียบร้อยแล้ว")</f>
        <v>72</v>
      </c>
      <c r="N14" t="s">
        <v>214</v>
      </c>
    </row>
    <row r="15" spans="1:15" ht="36.75" thickBot="1">
      <c r="A15" s="18" t="s">
        <v>558</v>
      </c>
      <c r="B15" s="18">
        <v>20021229444</v>
      </c>
      <c r="C15" s="18" t="s">
        <v>559</v>
      </c>
      <c r="D15" s="19">
        <v>45463.774305555555</v>
      </c>
      <c r="E15" s="18" t="s">
        <v>10</v>
      </c>
      <c r="F15" s="18">
        <v>10</v>
      </c>
      <c r="G15" s="19">
        <v>45485.412499999999</v>
      </c>
      <c r="H15" s="18" t="s">
        <v>2657</v>
      </c>
      <c r="I15" s="18" t="s">
        <v>10</v>
      </c>
      <c r="J15" s="18" t="s">
        <v>192</v>
      </c>
      <c r="K15" s="20"/>
    </row>
    <row r="16" spans="1:15" ht="36.75" thickBot="1">
      <c r="A16" s="18" t="s">
        <v>560</v>
      </c>
      <c r="B16" s="18">
        <v>20020135747</v>
      </c>
      <c r="C16" s="18" t="s">
        <v>561</v>
      </c>
      <c r="D16" s="19">
        <v>45473.859027777777</v>
      </c>
      <c r="E16" s="18" t="s">
        <v>10</v>
      </c>
      <c r="F16" s="18">
        <v>5</v>
      </c>
      <c r="G16" s="19">
        <v>45506.455555555556</v>
      </c>
      <c r="H16" s="18" t="s">
        <v>236</v>
      </c>
      <c r="I16" s="18" t="s">
        <v>10</v>
      </c>
      <c r="J16" s="18" t="s">
        <v>192</v>
      </c>
      <c r="K16" s="20"/>
    </row>
    <row r="17" spans="1:11" ht="36.75" thickBot="1">
      <c r="A17" s="18" t="s">
        <v>674</v>
      </c>
      <c r="B17" s="18">
        <v>20027750272</v>
      </c>
      <c r="C17" s="18" t="s">
        <v>675</v>
      </c>
      <c r="D17" s="19">
        <v>45481.696527777778</v>
      </c>
      <c r="E17" s="19">
        <v>45482.433333333334</v>
      </c>
      <c r="F17" s="18">
        <v>5</v>
      </c>
      <c r="G17" s="19">
        <v>45490.527083333334</v>
      </c>
      <c r="H17" s="18" t="s">
        <v>236</v>
      </c>
      <c r="I17" s="18" t="s">
        <v>10</v>
      </c>
      <c r="J17" s="18" t="s">
        <v>192</v>
      </c>
      <c r="K17" s="20"/>
    </row>
    <row r="18" spans="1:11" ht="36.75" thickBot="1">
      <c r="A18" s="18" t="s">
        <v>676</v>
      </c>
      <c r="B18" s="18">
        <v>20025748586</v>
      </c>
      <c r="C18" s="18" t="s">
        <v>677</v>
      </c>
      <c r="D18" s="19">
        <v>45474.706944444442</v>
      </c>
      <c r="E18" s="19">
        <v>45482.45</v>
      </c>
      <c r="F18" s="18">
        <v>10</v>
      </c>
      <c r="G18" s="18" t="s">
        <v>10</v>
      </c>
      <c r="H18" s="18" t="s">
        <v>178</v>
      </c>
      <c r="I18" s="18" t="s">
        <v>10</v>
      </c>
      <c r="J18" s="18" t="s">
        <v>192</v>
      </c>
      <c r="K18" s="20"/>
    </row>
    <row r="19" spans="1:11" ht="36.75" thickBot="1">
      <c r="A19" s="18" t="s">
        <v>556</v>
      </c>
      <c r="B19" s="18">
        <v>20003238422</v>
      </c>
      <c r="C19" s="18" t="s">
        <v>557</v>
      </c>
      <c r="D19" s="19">
        <v>45462.645138888889</v>
      </c>
      <c r="E19" s="19">
        <v>45489.690972222219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192</v>
      </c>
      <c r="K19" s="20"/>
    </row>
    <row r="20" spans="1:11" ht="36.75" thickBot="1">
      <c r="A20" s="18" t="s">
        <v>766</v>
      </c>
      <c r="B20" s="18">
        <v>20002954023</v>
      </c>
      <c r="C20" s="18" t="s">
        <v>767</v>
      </c>
      <c r="D20" s="19">
        <v>45491.970138888886</v>
      </c>
      <c r="E20" s="19">
        <v>45493.428472222222</v>
      </c>
      <c r="F20" s="18">
        <v>10</v>
      </c>
      <c r="G20" s="19">
        <v>45520.415972222225</v>
      </c>
      <c r="H20" s="18" t="s">
        <v>236</v>
      </c>
      <c r="I20" s="18" t="s">
        <v>10</v>
      </c>
      <c r="J20" s="18" t="s">
        <v>192</v>
      </c>
      <c r="K20" s="20"/>
    </row>
    <row r="21" spans="1:11" ht="36.75" thickBot="1">
      <c r="A21" s="18" t="s">
        <v>768</v>
      </c>
      <c r="B21" s="18">
        <v>20003388408</v>
      </c>
      <c r="C21" s="18" t="s">
        <v>769</v>
      </c>
      <c r="D21" s="19">
        <v>45497.383333333331</v>
      </c>
      <c r="E21" s="18" t="s">
        <v>10</v>
      </c>
      <c r="F21" s="18">
        <v>6</v>
      </c>
      <c r="G21" s="19">
        <v>45503.627083333333</v>
      </c>
      <c r="H21" s="18" t="s">
        <v>236</v>
      </c>
      <c r="I21" s="18" t="s">
        <v>10</v>
      </c>
      <c r="J21" s="18" t="s">
        <v>192</v>
      </c>
      <c r="K21" s="20"/>
    </row>
    <row r="22" spans="1:11" ht="36.75" thickBot="1">
      <c r="A22" s="18" t="s">
        <v>923</v>
      </c>
      <c r="B22" s="18">
        <v>20025483094</v>
      </c>
      <c r="C22" s="18" t="s">
        <v>924</v>
      </c>
      <c r="D22" s="19">
        <v>45507.388888888891</v>
      </c>
      <c r="E22" s="18" t="s">
        <v>10</v>
      </c>
      <c r="F22" s="18">
        <v>5</v>
      </c>
      <c r="G22" s="19">
        <v>45539.645138888889</v>
      </c>
      <c r="H22" s="18" t="s">
        <v>236</v>
      </c>
      <c r="I22" s="18" t="s">
        <v>10</v>
      </c>
      <c r="J22" s="18" t="s">
        <v>192</v>
      </c>
      <c r="K22" s="20"/>
    </row>
    <row r="23" spans="1:11" ht="36.75" thickBot="1">
      <c r="A23" s="18" t="s">
        <v>925</v>
      </c>
      <c r="B23" s="18">
        <v>20021290770</v>
      </c>
      <c r="C23" s="18" t="s">
        <v>926</v>
      </c>
      <c r="D23" s="19">
        <v>45519.588194444441</v>
      </c>
      <c r="E23" s="19">
        <v>45519.638194444444</v>
      </c>
      <c r="F23" s="18">
        <v>5</v>
      </c>
      <c r="G23" s="19">
        <v>45520.486805555556</v>
      </c>
      <c r="H23" s="18" t="s">
        <v>236</v>
      </c>
      <c r="I23" s="18" t="s">
        <v>10</v>
      </c>
      <c r="J23" s="18" t="s">
        <v>192</v>
      </c>
      <c r="K23" s="20"/>
    </row>
    <row r="24" spans="1:11" ht="36.75" thickBot="1">
      <c r="A24" s="18" t="s">
        <v>927</v>
      </c>
      <c r="B24" s="18">
        <v>20027059920</v>
      </c>
      <c r="C24" s="18" t="s">
        <v>928</v>
      </c>
      <c r="D24" s="19">
        <v>45519.704861111109</v>
      </c>
      <c r="E24" s="18" t="s">
        <v>10</v>
      </c>
      <c r="F24" s="18">
        <v>10</v>
      </c>
      <c r="G24" s="19">
        <v>45524.61041666667</v>
      </c>
      <c r="H24" s="18" t="s">
        <v>236</v>
      </c>
      <c r="I24" s="18" t="s">
        <v>10</v>
      </c>
      <c r="J24" s="18" t="s">
        <v>192</v>
      </c>
      <c r="K24" s="20"/>
    </row>
    <row r="25" spans="1:11" ht="36.75" thickBot="1">
      <c r="A25" s="18" t="s">
        <v>929</v>
      </c>
      <c r="B25" s="18">
        <v>20023906206</v>
      </c>
      <c r="C25" s="18" t="s">
        <v>930</v>
      </c>
      <c r="D25" s="19">
        <v>45532.688888888886</v>
      </c>
      <c r="E25" s="18" t="s">
        <v>10</v>
      </c>
      <c r="F25" s="18">
        <v>10</v>
      </c>
      <c r="G25" s="19">
        <v>45562.371527777781</v>
      </c>
      <c r="H25" s="18" t="s">
        <v>236</v>
      </c>
      <c r="I25" s="18" t="s">
        <v>10</v>
      </c>
      <c r="J25" s="18" t="s">
        <v>192</v>
      </c>
      <c r="K25" s="20"/>
    </row>
    <row r="26" spans="1:11" ht="54.75" thickBot="1">
      <c r="A26" s="18" t="s">
        <v>931</v>
      </c>
      <c r="B26" s="18">
        <v>20003514669</v>
      </c>
      <c r="C26" s="18" t="s">
        <v>932</v>
      </c>
      <c r="D26" s="19">
        <v>45532.696527777778</v>
      </c>
      <c r="E26" s="18" t="s">
        <v>10</v>
      </c>
      <c r="F26" s="18">
        <v>15</v>
      </c>
      <c r="G26" s="19">
        <v>45562.371527777781</v>
      </c>
      <c r="H26" s="18" t="s">
        <v>236</v>
      </c>
      <c r="I26" s="18" t="s">
        <v>10</v>
      </c>
      <c r="J26" s="18" t="s">
        <v>192</v>
      </c>
      <c r="K26" s="20"/>
    </row>
    <row r="27" spans="1:11" ht="36.75" thickBot="1">
      <c r="A27" s="18" t="s">
        <v>933</v>
      </c>
      <c r="B27" s="18">
        <v>20024607849</v>
      </c>
      <c r="C27" s="18" t="s">
        <v>934</v>
      </c>
      <c r="D27" s="19">
        <v>45533.427777777775</v>
      </c>
      <c r="E27" s="18" t="s">
        <v>10</v>
      </c>
      <c r="F27" s="18">
        <v>10</v>
      </c>
      <c r="G27" s="19">
        <v>45558.615277777775</v>
      </c>
      <c r="H27" s="18" t="s">
        <v>236</v>
      </c>
      <c r="I27" s="18" t="s">
        <v>10</v>
      </c>
      <c r="J27" s="18" t="s">
        <v>192</v>
      </c>
      <c r="K27" s="20"/>
    </row>
    <row r="28" spans="1:11" ht="36.75" thickBot="1">
      <c r="A28" s="18" t="s">
        <v>935</v>
      </c>
      <c r="B28" s="18">
        <v>20003040569</v>
      </c>
      <c r="C28" s="18" t="s">
        <v>936</v>
      </c>
      <c r="D28" s="19">
        <v>45534.384722222225</v>
      </c>
      <c r="E28" s="18" t="s">
        <v>10</v>
      </c>
      <c r="F28" s="18">
        <v>15</v>
      </c>
      <c r="G28" s="19">
        <v>45562.371527777781</v>
      </c>
      <c r="H28" s="18" t="s">
        <v>236</v>
      </c>
      <c r="I28" s="18" t="s">
        <v>10</v>
      </c>
      <c r="J28" s="18" t="s">
        <v>192</v>
      </c>
      <c r="K28" s="20"/>
    </row>
    <row r="29" spans="1:11" ht="36.75" thickBot="1">
      <c r="A29" s="18" t="s">
        <v>1106</v>
      </c>
      <c r="B29" s="18">
        <v>20019587505</v>
      </c>
      <c r="C29" s="18" t="s">
        <v>1107</v>
      </c>
      <c r="D29" s="19">
        <v>45547.739583333336</v>
      </c>
      <c r="E29" s="18" t="s">
        <v>10</v>
      </c>
      <c r="F29" s="18">
        <v>5</v>
      </c>
      <c r="G29" s="19">
        <v>45681.546527777777</v>
      </c>
      <c r="H29" s="18" t="s">
        <v>236</v>
      </c>
      <c r="I29" s="18" t="s">
        <v>10</v>
      </c>
      <c r="J29" s="18" t="s">
        <v>192</v>
      </c>
      <c r="K29" s="20"/>
    </row>
    <row r="30" spans="1:11" ht="36.75" thickBot="1">
      <c r="A30" s="18" t="s">
        <v>1108</v>
      </c>
      <c r="B30" s="18">
        <v>20027012526</v>
      </c>
      <c r="C30" s="18" t="s">
        <v>1109</v>
      </c>
      <c r="D30" s="19">
        <v>45547.752083333333</v>
      </c>
      <c r="E30" s="18" t="s">
        <v>10</v>
      </c>
      <c r="F30" s="18">
        <v>5</v>
      </c>
      <c r="G30" s="19">
        <v>45608.486111111109</v>
      </c>
      <c r="H30" s="18" t="s">
        <v>236</v>
      </c>
      <c r="I30" s="18" t="s">
        <v>10</v>
      </c>
      <c r="J30" s="18" t="s">
        <v>192</v>
      </c>
      <c r="K30" s="20"/>
    </row>
    <row r="31" spans="1:11" ht="36.75" thickBot="1">
      <c r="A31" s="18" t="s">
        <v>1242</v>
      </c>
      <c r="B31" s="18">
        <v>20003461593</v>
      </c>
      <c r="C31" s="18" t="s">
        <v>1243</v>
      </c>
      <c r="D31" s="19">
        <v>45555.495833333334</v>
      </c>
      <c r="E31" s="18" t="s">
        <v>10</v>
      </c>
      <c r="F31" s="18">
        <v>5</v>
      </c>
      <c r="G31" s="19">
        <v>45560.520833333336</v>
      </c>
      <c r="H31" s="18" t="s">
        <v>236</v>
      </c>
      <c r="I31" s="18" t="s">
        <v>10</v>
      </c>
      <c r="J31" s="18" t="s">
        <v>192</v>
      </c>
      <c r="K31" s="20"/>
    </row>
    <row r="32" spans="1:11" ht="36.75" thickBot="1">
      <c r="A32" s="18" t="s">
        <v>1244</v>
      </c>
      <c r="B32" s="18">
        <v>20026477726</v>
      </c>
      <c r="C32" s="18" t="s">
        <v>1245</v>
      </c>
      <c r="D32" s="19">
        <v>45558.583333333336</v>
      </c>
      <c r="E32" s="18" t="s">
        <v>10</v>
      </c>
      <c r="F32" s="18">
        <v>5</v>
      </c>
      <c r="G32" s="19">
        <v>45573.459722222222</v>
      </c>
      <c r="H32" s="18" t="s">
        <v>236</v>
      </c>
      <c r="I32" s="18" t="s">
        <v>10</v>
      </c>
      <c r="J32" s="18" t="s">
        <v>192</v>
      </c>
      <c r="K32" s="20"/>
    </row>
    <row r="33" spans="1:11" ht="36.75" thickBot="1">
      <c r="A33" s="18" t="s">
        <v>1246</v>
      </c>
      <c r="B33" s="18">
        <v>20018351236</v>
      </c>
      <c r="C33" s="18" t="s">
        <v>1247</v>
      </c>
      <c r="D33" s="19">
        <v>45559.651388888888</v>
      </c>
      <c r="E33" s="18" t="s">
        <v>10</v>
      </c>
      <c r="F33" s="18">
        <v>5</v>
      </c>
      <c r="G33" s="19">
        <v>45573.459722222222</v>
      </c>
      <c r="H33" s="18" t="s">
        <v>236</v>
      </c>
      <c r="I33" s="18" t="s">
        <v>10</v>
      </c>
      <c r="J33" s="18" t="s">
        <v>192</v>
      </c>
      <c r="K33" s="20"/>
    </row>
    <row r="34" spans="1:11" ht="36.75" thickBot="1">
      <c r="A34" s="18" t="s">
        <v>1248</v>
      </c>
      <c r="B34" s="18">
        <v>20027961870</v>
      </c>
      <c r="C34" s="18" t="s">
        <v>1249</v>
      </c>
      <c r="D34" s="19">
        <v>45566.459027777775</v>
      </c>
      <c r="E34" s="18" t="s">
        <v>10</v>
      </c>
      <c r="F34" s="18">
        <v>3</v>
      </c>
      <c r="G34" s="19">
        <v>45573.459722222222</v>
      </c>
      <c r="H34" s="18" t="s">
        <v>236</v>
      </c>
      <c r="I34" s="18" t="s">
        <v>10</v>
      </c>
      <c r="J34" s="18" t="s">
        <v>192</v>
      </c>
      <c r="K34" s="20"/>
    </row>
    <row r="35" spans="1:11" ht="36.75" thickBot="1">
      <c r="A35" s="18" t="s">
        <v>1335</v>
      </c>
      <c r="B35" s="18">
        <v>20027007513</v>
      </c>
      <c r="C35" s="18" t="s">
        <v>1336</v>
      </c>
      <c r="D35" s="19">
        <v>45567.490972222222</v>
      </c>
      <c r="E35" s="18" t="s">
        <v>10</v>
      </c>
      <c r="F35" s="18">
        <v>10</v>
      </c>
      <c r="G35" s="19">
        <v>45580.565972222219</v>
      </c>
      <c r="H35" s="18" t="s">
        <v>236</v>
      </c>
      <c r="I35" s="18" t="s">
        <v>10</v>
      </c>
      <c r="J35" s="18" t="s">
        <v>192</v>
      </c>
      <c r="K35" s="20"/>
    </row>
    <row r="36" spans="1:11" ht="36.75" thickBot="1">
      <c r="A36" s="18" t="s">
        <v>1337</v>
      </c>
      <c r="B36" s="18">
        <v>20024648282</v>
      </c>
      <c r="C36" s="18" t="s">
        <v>1338</v>
      </c>
      <c r="D36" s="19">
        <v>45574.386805555558</v>
      </c>
      <c r="E36" s="18" t="s">
        <v>10</v>
      </c>
      <c r="F36" s="18">
        <v>5</v>
      </c>
      <c r="G36" s="19">
        <v>45583.617361111108</v>
      </c>
      <c r="H36" s="18" t="s">
        <v>2657</v>
      </c>
      <c r="I36" s="18" t="s">
        <v>10</v>
      </c>
      <c r="J36" s="18" t="s">
        <v>192</v>
      </c>
      <c r="K36" s="20"/>
    </row>
    <row r="37" spans="1:11" ht="36.75" thickBot="1">
      <c r="A37" s="18" t="s">
        <v>1339</v>
      </c>
      <c r="B37" s="18">
        <v>20027343498</v>
      </c>
      <c r="C37" s="18" t="s">
        <v>1340</v>
      </c>
      <c r="D37" s="19">
        <v>45569.617361111108</v>
      </c>
      <c r="E37" s="19">
        <v>45581.683333333334</v>
      </c>
      <c r="F37" s="18">
        <v>3</v>
      </c>
      <c r="G37" s="19">
        <v>45603.431250000001</v>
      </c>
      <c r="H37" s="18" t="s">
        <v>236</v>
      </c>
      <c r="I37" s="18" t="s">
        <v>10</v>
      </c>
      <c r="J37" s="18" t="s">
        <v>192</v>
      </c>
      <c r="K37" s="20"/>
    </row>
    <row r="38" spans="1:11" ht="36.75" thickBot="1">
      <c r="A38" s="18" t="s">
        <v>1448</v>
      </c>
      <c r="B38" s="18">
        <v>20003541082</v>
      </c>
      <c r="C38" s="18" t="s">
        <v>1449</v>
      </c>
      <c r="D38" s="19">
        <v>45583.441666666666</v>
      </c>
      <c r="E38" s="18" t="s">
        <v>10</v>
      </c>
      <c r="F38" s="18">
        <v>20</v>
      </c>
      <c r="G38" s="19">
        <v>45614.61041666667</v>
      </c>
      <c r="H38" s="18" t="s">
        <v>178</v>
      </c>
      <c r="I38" s="18" t="s">
        <v>10</v>
      </c>
      <c r="J38" s="18" t="s">
        <v>192</v>
      </c>
      <c r="K38" s="20"/>
    </row>
    <row r="39" spans="1:11" ht="36.75" thickBot="1">
      <c r="A39" s="18" t="s">
        <v>1454</v>
      </c>
      <c r="B39" s="18">
        <v>20023652537</v>
      </c>
      <c r="C39" s="18" t="s">
        <v>1455</v>
      </c>
      <c r="D39" s="19">
        <v>45593.392361111109</v>
      </c>
      <c r="E39" s="19">
        <v>45595.55</v>
      </c>
      <c r="F39" s="18">
        <v>5</v>
      </c>
      <c r="G39" s="19">
        <v>45651.421527777777</v>
      </c>
      <c r="H39" s="18" t="s">
        <v>236</v>
      </c>
      <c r="I39" s="18" t="s">
        <v>10</v>
      </c>
      <c r="J39" s="18" t="s">
        <v>192</v>
      </c>
      <c r="K39" s="20"/>
    </row>
    <row r="40" spans="1:11" ht="36.75" thickBot="1">
      <c r="A40" s="18" t="s">
        <v>1450</v>
      </c>
      <c r="B40" s="18">
        <v>20027203431</v>
      </c>
      <c r="C40" s="18" t="s">
        <v>1451</v>
      </c>
      <c r="D40" s="19">
        <v>45583.613194444442</v>
      </c>
      <c r="E40" s="19">
        <v>45596.634722222225</v>
      </c>
      <c r="F40" s="18">
        <v>5</v>
      </c>
      <c r="G40" s="19">
        <v>45685.564583333333</v>
      </c>
      <c r="H40" s="18" t="s">
        <v>2657</v>
      </c>
      <c r="I40" s="18" t="s">
        <v>10</v>
      </c>
      <c r="J40" s="18" t="s">
        <v>192</v>
      </c>
      <c r="K40" s="20"/>
    </row>
    <row r="41" spans="1:11" ht="36.75" thickBot="1">
      <c r="A41" s="18" t="s">
        <v>1656</v>
      </c>
      <c r="B41" s="18">
        <v>20028077341</v>
      </c>
      <c r="C41" s="18" t="s">
        <v>1657</v>
      </c>
      <c r="D41" s="19">
        <v>45596.724305555559</v>
      </c>
      <c r="E41" s="18" t="s">
        <v>10</v>
      </c>
      <c r="F41" s="18">
        <v>10</v>
      </c>
      <c r="G41" s="18" t="s">
        <v>10</v>
      </c>
      <c r="H41" s="18" t="s">
        <v>178</v>
      </c>
      <c r="I41" s="18" t="s">
        <v>10</v>
      </c>
      <c r="J41" s="18" t="s">
        <v>192</v>
      </c>
      <c r="K41" s="20"/>
    </row>
    <row r="42" spans="1:11" ht="36.75" thickBot="1">
      <c r="A42" s="18" t="s">
        <v>1658</v>
      </c>
      <c r="B42" s="18">
        <v>20025748586</v>
      </c>
      <c r="C42" s="18" t="s">
        <v>677</v>
      </c>
      <c r="D42" s="19">
        <v>45604.375</v>
      </c>
      <c r="E42" s="18" t="s">
        <v>10</v>
      </c>
      <c r="F42" s="18">
        <v>10</v>
      </c>
      <c r="G42" s="18" t="s">
        <v>10</v>
      </c>
      <c r="H42" s="18" t="s">
        <v>178</v>
      </c>
      <c r="I42" s="18" t="s">
        <v>10</v>
      </c>
      <c r="J42" s="18" t="s">
        <v>192</v>
      </c>
      <c r="K42" s="20"/>
    </row>
    <row r="43" spans="1:11" ht="36.75" thickBot="1">
      <c r="A43" s="18" t="s">
        <v>1452</v>
      </c>
      <c r="B43" s="18">
        <v>20017606676</v>
      </c>
      <c r="C43" s="18" t="s">
        <v>1453</v>
      </c>
      <c r="D43" s="19">
        <v>45583.727777777778</v>
      </c>
      <c r="E43" s="19">
        <v>45607.48333333333</v>
      </c>
      <c r="F43" s="18">
        <v>10</v>
      </c>
      <c r="G43" s="18" t="s">
        <v>10</v>
      </c>
      <c r="H43" s="18" t="s">
        <v>178</v>
      </c>
      <c r="I43" s="18" t="s">
        <v>10</v>
      </c>
      <c r="J43" s="18" t="s">
        <v>192</v>
      </c>
      <c r="K43" s="20"/>
    </row>
    <row r="44" spans="1:11" ht="36.75" thickBot="1">
      <c r="A44" s="18" t="s">
        <v>1659</v>
      </c>
      <c r="B44" s="18">
        <v>20028053200</v>
      </c>
      <c r="C44" s="18" t="s">
        <v>677</v>
      </c>
      <c r="D44" s="19">
        <v>45614.42083333333</v>
      </c>
      <c r="E44" s="18" t="s">
        <v>10</v>
      </c>
      <c r="F44" s="18">
        <v>10</v>
      </c>
      <c r="G44" s="18" t="s">
        <v>10</v>
      </c>
      <c r="H44" s="18" t="s">
        <v>178</v>
      </c>
      <c r="I44" s="18" t="s">
        <v>10</v>
      </c>
      <c r="J44" s="18" t="s">
        <v>192</v>
      </c>
      <c r="K44" s="20"/>
    </row>
    <row r="45" spans="1:11" ht="36.75" thickBot="1">
      <c r="A45" s="18" t="s">
        <v>1660</v>
      </c>
      <c r="B45" s="18">
        <v>20003541082</v>
      </c>
      <c r="C45" s="18" t="s">
        <v>1449</v>
      </c>
      <c r="D45" s="19">
        <v>45616.51458333333</v>
      </c>
      <c r="E45" s="18" t="s">
        <v>10</v>
      </c>
      <c r="F45" s="18">
        <v>20</v>
      </c>
      <c r="G45" s="19">
        <v>45649.518750000003</v>
      </c>
      <c r="H45" s="18" t="s">
        <v>236</v>
      </c>
      <c r="I45" s="18" t="s">
        <v>10</v>
      </c>
      <c r="J45" s="18" t="s">
        <v>192</v>
      </c>
      <c r="K45" s="20"/>
    </row>
    <row r="46" spans="1:11" ht="36.75" thickBot="1">
      <c r="A46" s="18" t="s">
        <v>1661</v>
      </c>
      <c r="B46" s="18">
        <v>20027984806</v>
      </c>
      <c r="C46" s="18" t="s">
        <v>1662</v>
      </c>
      <c r="D46" s="19">
        <v>45626.470833333333</v>
      </c>
      <c r="E46" s="18" t="s">
        <v>10</v>
      </c>
      <c r="F46" s="18">
        <v>5</v>
      </c>
      <c r="G46" s="19">
        <v>45643.589583333334</v>
      </c>
      <c r="H46" s="18" t="s">
        <v>236</v>
      </c>
      <c r="I46" s="18" t="s">
        <v>10</v>
      </c>
      <c r="J46" s="18" t="s">
        <v>192</v>
      </c>
      <c r="K46" s="20"/>
    </row>
    <row r="47" spans="1:11" ht="36.75" thickBot="1">
      <c r="A47" s="18" t="s">
        <v>1663</v>
      </c>
      <c r="B47" s="18">
        <v>20027748344</v>
      </c>
      <c r="C47" s="18" t="s">
        <v>1664</v>
      </c>
      <c r="D47" s="19">
        <v>45627.768750000003</v>
      </c>
      <c r="E47" s="18" t="s">
        <v>10</v>
      </c>
      <c r="F47" s="18">
        <v>10</v>
      </c>
      <c r="G47" s="19">
        <v>45666.539583333331</v>
      </c>
      <c r="H47" s="18" t="s">
        <v>236</v>
      </c>
      <c r="I47" s="18" t="s">
        <v>10</v>
      </c>
      <c r="J47" s="18" t="s">
        <v>192</v>
      </c>
      <c r="K47" s="20"/>
    </row>
    <row r="48" spans="1:11" ht="36.75" thickBot="1">
      <c r="A48" s="18" t="s">
        <v>1837</v>
      </c>
      <c r="B48" s="18">
        <v>20027314906</v>
      </c>
      <c r="C48" s="18" t="s">
        <v>1838</v>
      </c>
      <c r="D48" s="19">
        <v>45635.691666666666</v>
      </c>
      <c r="E48" s="18" t="s">
        <v>10</v>
      </c>
      <c r="F48" s="18">
        <v>5</v>
      </c>
      <c r="G48" s="19">
        <v>45637.477777777778</v>
      </c>
      <c r="H48" s="18" t="s">
        <v>236</v>
      </c>
      <c r="I48" s="18" t="s">
        <v>10</v>
      </c>
      <c r="J48" s="18" t="s">
        <v>192</v>
      </c>
      <c r="K48" s="20"/>
    </row>
    <row r="49" spans="1:11" ht="36.75" thickBot="1">
      <c r="A49" s="18" t="s">
        <v>1980</v>
      </c>
      <c r="B49" s="18">
        <v>20002980931</v>
      </c>
      <c r="C49" s="18" t="s">
        <v>1981</v>
      </c>
      <c r="D49" s="19">
        <v>45663.647222222222</v>
      </c>
      <c r="E49" s="18" t="s">
        <v>10</v>
      </c>
      <c r="F49" s="18">
        <v>10</v>
      </c>
      <c r="G49" s="19">
        <v>45667.622916666667</v>
      </c>
      <c r="H49" s="18" t="s">
        <v>236</v>
      </c>
      <c r="I49" s="18" t="s">
        <v>10</v>
      </c>
      <c r="J49" s="18" t="s">
        <v>192</v>
      </c>
      <c r="K49" s="20"/>
    </row>
    <row r="50" spans="1:11" ht="36.75" thickBot="1">
      <c r="A50" s="18" t="s">
        <v>1982</v>
      </c>
      <c r="B50" s="18">
        <v>20021115576</v>
      </c>
      <c r="C50" s="18" t="s">
        <v>1820</v>
      </c>
      <c r="D50" s="19">
        <v>45666.963888888888</v>
      </c>
      <c r="E50" s="18" t="s">
        <v>10</v>
      </c>
      <c r="F50" s="18">
        <v>20</v>
      </c>
      <c r="G50" s="18" t="s">
        <v>10</v>
      </c>
      <c r="H50" s="18" t="s">
        <v>178</v>
      </c>
      <c r="I50" s="18" t="s">
        <v>10</v>
      </c>
      <c r="J50" s="18" t="s">
        <v>192</v>
      </c>
      <c r="K50" s="20"/>
    </row>
    <row r="51" spans="1:11" ht="36.75" thickBot="1">
      <c r="A51" s="18" t="s">
        <v>2052</v>
      </c>
      <c r="B51" s="18">
        <v>20028053200</v>
      </c>
      <c r="C51" s="18">
        <v>3100700047267</v>
      </c>
      <c r="D51" s="19">
        <v>45672.671527777777</v>
      </c>
      <c r="E51" s="18" t="s">
        <v>10</v>
      </c>
      <c r="F51" s="18">
        <v>10</v>
      </c>
      <c r="G51" s="18" t="s">
        <v>10</v>
      </c>
      <c r="H51" s="18" t="s">
        <v>178</v>
      </c>
      <c r="I51" s="18" t="s">
        <v>10</v>
      </c>
      <c r="J51" s="18" t="s">
        <v>192</v>
      </c>
      <c r="K51" s="20"/>
    </row>
    <row r="52" spans="1:11" ht="36.75" thickBot="1">
      <c r="A52" s="18" t="s">
        <v>2053</v>
      </c>
      <c r="B52" s="18">
        <v>20028053200</v>
      </c>
      <c r="C52" s="18" t="s">
        <v>677</v>
      </c>
      <c r="D52" s="19">
        <v>45673.42083333333</v>
      </c>
      <c r="E52" s="18" t="s">
        <v>10</v>
      </c>
      <c r="F52" s="18">
        <v>10</v>
      </c>
      <c r="G52" s="19">
        <v>45674.551388888889</v>
      </c>
      <c r="H52" s="18" t="s">
        <v>236</v>
      </c>
      <c r="I52" s="18" t="s">
        <v>10</v>
      </c>
      <c r="J52" s="18" t="s">
        <v>192</v>
      </c>
      <c r="K52" s="20"/>
    </row>
    <row r="53" spans="1:11" ht="36.75" thickBot="1">
      <c r="A53" s="18" t="s">
        <v>2054</v>
      </c>
      <c r="B53" s="18">
        <v>20003498618</v>
      </c>
      <c r="C53" s="18" t="s">
        <v>1664</v>
      </c>
      <c r="D53" s="19">
        <v>45673.458333333336</v>
      </c>
      <c r="E53" s="18" t="s">
        <v>10</v>
      </c>
      <c r="F53" s="18">
        <v>10</v>
      </c>
      <c r="G53" s="19">
        <v>45728.594444444447</v>
      </c>
      <c r="H53" s="18" t="s">
        <v>236</v>
      </c>
      <c r="I53" s="18" t="s">
        <v>10</v>
      </c>
      <c r="J53" s="18" t="s">
        <v>192</v>
      </c>
      <c r="K53" s="20"/>
    </row>
    <row r="54" spans="1:11" ht="36.75" thickBot="1">
      <c r="A54" s="18" t="s">
        <v>2055</v>
      </c>
      <c r="B54" s="18">
        <v>20002878852</v>
      </c>
      <c r="C54" s="18" t="s">
        <v>2056</v>
      </c>
      <c r="D54" s="19">
        <v>45677.707638888889</v>
      </c>
      <c r="E54" s="18" t="s">
        <v>10</v>
      </c>
      <c r="F54" s="18">
        <v>20</v>
      </c>
      <c r="G54" s="19">
        <v>45716.390277777777</v>
      </c>
      <c r="H54" s="18" t="s">
        <v>236</v>
      </c>
      <c r="I54" s="18" t="s">
        <v>10</v>
      </c>
      <c r="J54" s="18" t="s">
        <v>192</v>
      </c>
      <c r="K54" s="20"/>
    </row>
    <row r="55" spans="1:11" ht="36.75" thickBot="1">
      <c r="A55" s="18" t="s">
        <v>2057</v>
      </c>
      <c r="B55" s="18">
        <v>20003271536</v>
      </c>
      <c r="C55" s="18" t="s">
        <v>2058</v>
      </c>
      <c r="D55" s="19">
        <v>45680.466666666667</v>
      </c>
      <c r="E55" s="18" t="s">
        <v>10</v>
      </c>
      <c r="F55" s="18">
        <v>6</v>
      </c>
      <c r="G55" s="18" t="s">
        <v>10</v>
      </c>
      <c r="H55" s="18" t="s">
        <v>189</v>
      </c>
      <c r="I55" s="18" t="s">
        <v>10</v>
      </c>
      <c r="J55" s="18" t="s">
        <v>192</v>
      </c>
      <c r="K55" s="20"/>
    </row>
    <row r="56" spans="1:11" ht="36.75" thickBot="1">
      <c r="A56" s="18" t="s">
        <v>2059</v>
      </c>
      <c r="B56" s="18">
        <v>20003540323</v>
      </c>
      <c r="C56" s="18" t="s">
        <v>2060</v>
      </c>
      <c r="D56" s="19">
        <v>45684.390277777777</v>
      </c>
      <c r="E56" s="18" t="s">
        <v>10</v>
      </c>
      <c r="F56" s="18">
        <v>3</v>
      </c>
      <c r="G56" s="18" t="s">
        <v>10</v>
      </c>
      <c r="H56" s="18" t="s">
        <v>178</v>
      </c>
      <c r="I56" s="18" t="s">
        <v>10</v>
      </c>
      <c r="J56" s="18" t="s">
        <v>192</v>
      </c>
      <c r="K56" s="20"/>
    </row>
    <row r="57" spans="1:11" ht="36.75" thickBot="1">
      <c r="A57" s="18" t="s">
        <v>2061</v>
      </c>
      <c r="B57" s="18">
        <v>20027964807</v>
      </c>
      <c r="C57" s="18" t="s">
        <v>2062</v>
      </c>
      <c r="D57" s="19">
        <v>45686.425694444442</v>
      </c>
      <c r="E57" s="18" t="s">
        <v>10</v>
      </c>
      <c r="F57" s="18">
        <v>10</v>
      </c>
      <c r="G57" s="19">
        <v>45812.6</v>
      </c>
      <c r="H57" s="18" t="s">
        <v>236</v>
      </c>
      <c r="I57" s="18" t="s">
        <v>10</v>
      </c>
      <c r="J57" s="18" t="s">
        <v>192</v>
      </c>
      <c r="K57" s="20"/>
    </row>
    <row r="58" spans="1:11" ht="36.75" thickBot="1">
      <c r="A58" s="18" t="s">
        <v>2156</v>
      </c>
      <c r="B58" s="18">
        <v>20018611009</v>
      </c>
      <c r="C58" s="18" t="s">
        <v>2157</v>
      </c>
      <c r="D58" s="19">
        <v>45692.709027777775</v>
      </c>
      <c r="E58" s="18" t="s">
        <v>10</v>
      </c>
      <c r="F58" s="18">
        <v>5</v>
      </c>
      <c r="G58" s="19">
        <v>45734.498611111114</v>
      </c>
      <c r="H58" s="18" t="s">
        <v>236</v>
      </c>
      <c r="I58" s="18" t="s">
        <v>10</v>
      </c>
      <c r="J58" s="18" t="s">
        <v>192</v>
      </c>
      <c r="K58" s="20"/>
    </row>
    <row r="59" spans="1:11" ht="36.75" thickBot="1">
      <c r="A59" s="18" t="s">
        <v>2158</v>
      </c>
      <c r="B59" s="18">
        <v>20027867202</v>
      </c>
      <c r="C59" s="18" t="s">
        <v>2159</v>
      </c>
      <c r="D59" s="19">
        <v>45694.981944444444</v>
      </c>
      <c r="E59" s="18" t="s">
        <v>10</v>
      </c>
      <c r="F59" s="18">
        <v>20</v>
      </c>
      <c r="G59" s="19">
        <v>45748.593055555553</v>
      </c>
      <c r="H59" s="18" t="s">
        <v>236</v>
      </c>
      <c r="I59" s="18" t="s">
        <v>10</v>
      </c>
      <c r="J59" s="18" t="s">
        <v>192</v>
      </c>
      <c r="K59" s="20"/>
    </row>
    <row r="60" spans="1:11" ht="36.75" thickBot="1">
      <c r="A60" s="18" t="s">
        <v>2160</v>
      </c>
      <c r="B60" s="18">
        <v>20028077341</v>
      </c>
      <c r="C60" s="18" t="s">
        <v>2161</v>
      </c>
      <c r="D60" s="19">
        <v>45698.505555555559</v>
      </c>
      <c r="E60" s="18" t="s">
        <v>10</v>
      </c>
      <c r="F60" s="18">
        <v>10</v>
      </c>
      <c r="G60" s="18" t="s">
        <v>10</v>
      </c>
      <c r="H60" s="18" t="s">
        <v>189</v>
      </c>
      <c r="I60" s="18" t="s">
        <v>10</v>
      </c>
      <c r="J60" s="18" t="s">
        <v>192</v>
      </c>
      <c r="K60" s="20"/>
    </row>
    <row r="61" spans="1:11" ht="36.75" thickBot="1">
      <c r="A61" s="18" t="s">
        <v>2162</v>
      </c>
      <c r="B61" s="18">
        <v>20028174352</v>
      </c>
      <c r="C61" s="18" t="s">
        <v>2163</v>
      </c>
      <c r="D61" s="19">
        <v>45702.925694444442</v>
      </c>
      <c r="E61" s="18" t="s">
        <v>10</v>
      </c>
      <c r="F61" s="18">
        <v>5</v>
      </c>
      <c r="G61" s="19">
        <v>45730.46597222222</v>
      </c>
      <c r="H61" s="18" t="s">
        <v>236</v>
      </c>
      <c r="I61" s="18" t="s">
        <v>10</v>
      </c>
      <c r="J61" s="18" t="s">
        <v>192</v>
      </c>
      <c r="K61" s="20"/>
    </row>
    <row r="62" spans="1:11" ht="36.75" thickBot="1">
      <c r="A62" s="18" t="s">
        <v>2166</v>
      </c>
      <c r="B62" s="18">
        <v>20028093423</v>
      </c>
      <c r="C62" s="18" t="s">
        <v>2163</v>
      </c>
      <c r="D62" s="19">
        <v>45702.938888888886</v>
      </c>
      <c r="E62" s="18" t="s">
        <v>10</v>
      </c>
      <c r="F62" s="18">
        <v>5</v>
      </c>
      <c r="G62" s="19">
        <v>45730.46597222222</v>
      </c>
      <c r="H62" s="18" t="s">
        <v>236</v>
      </c>
      <c r="I62" s="18" t="s">
        <v>10</v>
      </c>
      <c r="J62" s="18" t="s">
        <v>192</v>
      </c>
      <c r="K62" s="20"/>
    </row>
    <row r="63" spans="1:11" ht="36.75" thickBot="1">
      <c r="A63" s="18" t="s">
        <v>2167</v>
      </c>
      <c r="B63" s="18">
        <v>20028093427</v>
      </c>
      <c r="C63" s="18" t="s">
        <v>2163</v>
      </c>
      <c r="D63" s="19">
        <v>45702.943055555559</v>
      </c>
      <c r="E63" s="18" t="s">
        <v>10</v>
      </c>
      <c r="F63" s="18">
        <v>5</v>
      </c>
      <c r="G63" s="19">
        <v>45730.46597222222</v>
      </c>
      <c r="H63" s="18" t="s">
        <v>236</v>
      </c>
      <c r="I63" s="18" t="s">
        <v>10</v>
      </c>
      <c r="J63" s="18" t="s">
        <v>192</v>
      </c>
      <c r="K63" s="20"/>
    </row>
    <row r="64" spans="1:11" ht="36.75" thickBot="1">
      <c r="A64" s="18" t="s">
        <v>2239</v>
      </c>
      <c r="B64" s="18">
        <v>20003263716</v>
      </c>
      <c r="C64" s="18" t="s">
        <v>2240</v>
      </c>
      <c r="D64" s="19">
        <v>45709.656944444447</v>
      </c>
      <c r="E64" s="18" t="s">
        <v>10</v>
      </c>
      <c r="F64" s="18">
        <v>5</v>
      </c>
      <c r="G64" s="19">
        <v>45734.498611111114</v>
      </c>
      <c r="H64" s="18" t="s">
        <v>236</v>
      </c>
      <c r="I64" s="18" t="s">
        <v>10</v>
      </c>
      <c r="J64" s="18" t="s">
        <v>192</v>
      </c>
      <c r="K64" s="20"/>
    </row>
    <row r="65" spans="1:11" ht="36.75" thickBot="1">
      <c r="A65" s="18" t="s">
        <v>2164</v>
      </c>
      <c r="B65" s="18">
        <v>20028093413</v>
      </c>
      <c r="C65" s="18" t="s">
        <v>2163</v>
      </c>
      <c r="D65" s="19">
        <v>45702.929861111108</v>
      </c>
      <c r="E65" s="19">
        <v>45715.334027777775</v>
      </c>
      <c r="F65" s="18">
        <v>3</v>
      </c>
      <c r="G65" s="19">
        <v>45730.46597222222</v>
      </c>
      <c r="H65" s="18" t="s">
        <v>236</v>
      </c>
      <c r="I65" s="18" t="s">
        <v>10</v>
      </c>
      <c r="J65" s="18" t="s">
        <v>192</v>
      </c>
      <c r="K65" s="20"/>
    </row>
    <row r="66" spans="1:11" ht="36.75" thickBot="1">
      <c r="A66" s="18" t="s">
        <v>2165</v>
      </c>
      <c r="B66" s="18">
        <v>20028093415</v>
      </c>
      <c r="C66" s="18" t="s">
        <v>2163</v>
      </c>
      <c r="D66" s="19">
        <v>45702.93472222222</v>
      </c>
      <c r="E66" s="19">
        <v>45715.334722222222</v>
      </c>
      <c r="F66" s="18">
        <v>3</v>
      </c>
      <c r="G66" s="19">
        <v>45730.46597222222</v>
      </c>
      <c r="H66" s="18" t="s">
        <v>236</v>
      </c>
      <c r="I66" s="18" t="s">
        <v>10</v>
      </c>
      <c r="J66" s="18" t="s">
        <v>192</v>
      </c>
      <c r="K66" s="20"/>
    </row>
    <row r="67" spans="1:11" ht="36.75" thickBot="1">
      <c r="A67" s="18" t="s">
        <v>2241</v>
      </c>
      <c r="B67" s="18">
        <v>20027563198</v>
      </c>
      <c r="C67" s="18" t="s">
        <v>2242</v>
      </c>
      <c r="D67" s="19">
        <v>45715.722916666666</v>
      </c>
      <c r="E67" s="18" t="s">
        <v>10</v>
      </c>
      <c r="F67" s="18">
        <v>10</v>
      </c>
      <c r="G67" s="18" t="s">
        <v>10</v>
      </c>
      <c r="H67" s="18" t="s">
        <v>178</v>
      </c>
      <c r="I67" s="18" t="s">
        <v>10</v>
      </c>
      <c r="J67" s="18" t="s">
        <v>192</v>
      </c>
      <c r="K67" s="20"/>
    </row>
    <row r="68" spans="1:11" ht="36.75" thickBot="1">
      <c r="A68" s="18" t="s">
        <v>2346</v>
      </c>
      <c r="B68" s="18">
        <v>20003201450</v>
      </c>
      <c r="C68" s="18" t="s">
        <v>2347</v>
      </c>
      <c r="D68" s="19">
        <v>45720.567361111112</v>
      </c>
      <c r="E68" s="18" t="s">
        <v>10</v>
      </c>
      <c r="F68" s="18">
        <v>2</v>
      </c>
      <c r="G68" s="18" t="s">
        <v>10</v>
      </c>
      <c r="H68" s="18" t="s">
        <v>189</v>
      </c>
      <c r="I68" s="18" t="s">
        <v>10</v>
      </c>
      <c r="J68" s="18" t="s">
        <v>192</v>
      </c>
      <c r="K68" s="20"/>
    </row>
    <row r="69" spans="1:11" ht="36.75" thickBot="1">
      <c r="A69" s="18" t="s">
        <v>2348</v>
      </c>
      <c r="B69" s="18">
        <v>20028304022</v>
      </c>
      <c r="C69" s="18" t="s">
        <v>2349</v>
      </c>
      <c r="D69" s="19">
        <v>45729.474999999999</v>
      </c>
      <c r="E69" s="18" t="s">
        <v>10</v>
      </c>
      <c r="F69" s="18">
        <v>8</v>
      </c>
      <c r="G69" s="19">
        <v>45805.55</v>
      </c>
      <c r="H69" s="18" t="s">
        <v>236</v>
      </c>
      <c r="I69" s="18" t="s">
        <v>10</v>
      </c>
      <c r="J69" s="18" t="s">
        <v>192</v>
      </c>
      <c r="K69" s="20"/>
    </row>
    <row r="70" spans="1:11" ht="36.75" thickBot="1">
      <c r="A70" s="18" t="s">
        <v>2424</v>
      </c>
      <c r="B70" s="18">
        <v>20003510669</v>
      </c>
      <c r="C70" s="18" t="s">
        <v>2425</v>
      </c>
      <c r="D70" s="19">
        <v>45733.647222222222</v>
      </c>
      <c r="E70" s="18" t="s">
        <v>10</v>
      </c>
      <c r="F70" s="18">
        <v>10</v>
      </c>
      <c r="G70" s="19">
        <v>45737.446527777778</v>
      </c>
      <c r="H70" s="18" t="s">
        <v>236</v>
      </c>
      <c r="I70" s="18" t="s">
        <v>10</v>
      </c>
      <c r="J70" s="18" t="s">
        <v>192</v>
      </c>
      <c r="K70" s="20"/>
    </row>
    <row r="71" spans="1:11" ht="36.75" thickBot="1">
      <c r="A71" s="18" t="s">
        <v>2426</v>
      </c>
      <c r="B71" s="18">
        <v>20019153494</v>
      </c>
      <c r="C71" s="18" t="s">
        <v>2427</v>
      </c>
      <c r="D71" s="19">
        <v>45737.824999999997</v>
      </c>
      <c r="E71" s="18" t="s">
        <v>10</v>
      </c>
      <c r="F71" s="18">
        <v>5</v>
      </c>
      <c r="G71" s="18" t="s">
        <v>10</v>
      </c>
      <c r="H71" s="18" t="s">
        <v>178</v>
      </c>
      <c r="I71" s="18" t="s">
        <v>10</v>
      </c>
      <c r="J71" s="18" t="s">
        <v>192</v>
      </c>
      <c r="K71" s="20"/>
    </row>
    <row r="72" spans="1:11" ht="36.75" thickBot="1">
      <c r="A72" s="18" t="s">
        <v>2428</v>
      </c>
      <c r="B72" s="18">
        <v>20019153494</v>
      </c>
      <c r="C72" s="18" t="s">
        <v>2427</v>
      </c>
      <c r="D72" s="19">
        <v>45738.369444444441</v>
      </c>
      <c r="E72" s="18" t="s">
        <v>10</v>
      </c>
      <c r="F72" s="18">
        <v>5</v>
      </c>
      <c r="G72" s="19">
        <v>45777.634722222225</v>
      </c>
      <c r="H72" s="18" t="s">
        <v>236</v>
      </c>
      <c r="I72" s="18" t="s">
        <v>10</v>
      </c>
      <c r="J72" s="18" t="s">
        <v>192</v>
      </c>
      <c r="K72" s="20"/>
    </row>
    <row r="73" spans="1:11" ht="36.75" thickBot="1">
      <c r="A73" s="18" t="s">
        <v>2606</v>
      </c>
      <c r="B73" s="18">
        <v>20002836406</v>
      </c>
      <c r="C73" s="18" t="s">
        <v>2607</v>
      </c>
      <c r="D73" s="19">
        <v>45775.713888888888</v>
      </c>
      <c r="E73" s="18" t="s">
        <v>10</v>
      </c>
      <c r="F73" s="18">
        <v>5</v>
      </c>
      <c r="G73" s="19">
        <v>45824.455555555556</v>
      </c>
      <c r="H73" s="18" t="s">
        <v>236</v>
      </c>
      <c r="I73" s="18" t="s">
        <v>10</v>
      </c>
      <c r="J73" s="18" t="s">
        <v>192</v>
      </c>
      <c r="K73" s="20"/>
    </row>
    <row r="74" spans="1:11" ht="36.75" thickBot="1">
      <c r="A74" s="18" t="s">
        <v>2817</v>
      </c>
      <c r="B74" s="18">
        <v>20028306204</v>
      </c>
      <c r="C74" s="18" t="s">
        <v>2818</v>
      </c>
      <c r="D74" s="19">
        <v>45777.672222222223</v>
      </c>
      <c r="E74" s="18" t="s">
        <v>10</v>
      </c>
      <c r="F74" s="18">
        <v>10</v>
      </c>
      <c r="G74" s="19">
        <v>45961.445138888892</v>
      </c>
      <c r="H74" s="18" t="s">
        <v>2654</v>
      </c>
      <c r="I74" s="18" t="s">
        <v>10</v>
      </c>
      <c r="J74" s="18" t="s">
        <v>192</v>
      </c>
      <c r="K74" s="20"/>
    </row>
    <row r="75" spans="1:11" ht="36.75" thickBot="1">
      <c r="A75" s="18" t="s">
        <v>2819</v>
      </c>
      <c r="B75" s="18">
        <v>20024796356</v>
      </c>
      <c r="C75" s="18" t="s">
        <v>2820</v>
      </c>
      <c r="D75" s="19">
        <v>45783.510416666664</v>
      </c>
      <c r="E75" s="18" t="s">
        <v>10</v>
      </c>
      <c r="F75" s="18">
        <v>2</v>
      </c>
      <c r="G75" s="19">
        <v>45803.488888888889</v>
      </c>
      <c r="H75" s="18" t="s">
        <v>236</v>
      </c>
      <c r="I75" s="18" t="s">
        <v>10</v>
      </c>
      <c r="J75" s="18" t="s">
        <v>192</v>
      </c>
      <c r="K75" s="20"/>
    </row>
    <row r="76" spans="1:11" ht="54.75" thickBot="1">
      <c r="A76" s="18" t="s">
        <v>2821</v>
      </c>
      <c r="B76" s="18">
        <v>20025999360</v>
      </c>
      <c r="C76" s="18" t="s">
        <v>2822</v>
      </c>
      <c r="D76" s="19">
        <v>45789.830555555556</v>
      </c>
      <c r="E76" s="18" t="s">
        <v>10</v>
      </c>
      <c r="F76" s="18">
        <v>5</v>
      </c>
      <c r="G76" s="19">
        <v>45798.567361111112</v>
      </c>
      <c r="H76" s="18" t="s">
        <v>2657</v>
      </c>
      <c r="I76" s="18" t="s">
        <v>10</v>
      </c>
      <c r="J76" s="18" t="s">
        <v>192</v>
      </c>
      <c r="K76" s="20"/>
    </row>
    <row r="77" spans="1:11" ht="36.75" thickBot="1">
      <c r="A77" s="18" t="s">
        <v>2823</v>
      </c>
      <c r="B77" s="18">
        <v>20003531672</v>
      </c>
      <c r="C77" s="18" t="s">
        <v>2824</v>
      </c>
      <c r="D77" s="19">
        <v>45791.640972222223</v>
      </c>
      <c r="E77" s="18" t="s">
        <v>10</v>
      </c>
      <c r="F77" s="18">
        <v>8</v>
      </c>
      <c r="G77" s="19">
        <v>45814.479166666664</v>
      </c>
      <c r="H77" s="18" t="s">
        <v>236</v>
      </c>
      <c r="I77" s="18" t="s">
        <v>10</v>
      </c>
      <c r="J77" s="18" t="s">
        <v>192</v>
      </c>
      <c r="K77" s="20"/>
    </row>
    <row r="78" spans="1:11" ht="36.75" thickBot="1">
      <c r="A78" s="18" t="s">
        <v>2825</v>
      </c>
      <c r="B78" s="18">
        <v>20003271536</v>
      </c>
      <c r="C78" s="18" t="s">
        <v>2058</v>
      </c>
      <c r="D78" s="19">
        <v>45819.705555555556</v>
      </c>
      <c r="E78" s="18" t="s">
        <v>10</v>
      </c>
      <c r="F78" s="18">
        <v>6</v>
      </c>
      <c r="G78" s="19">
        <v>45854.495833333334</v>
      </c>
      <c r="H78" s="18" t="s">
        <v>236</v>
      </c>
      <c r="I78" s="18" t="s">
        <v>10</v>
      </c>
      <c r="J78" s="18" t="s">
        <v>192</v>
      </c>
      <c r="K78" s="20"/>
    </row>
    <row r="79" spans="1:11" ht="36.75" thickBot="1">
      <c r="A79" s="18" t="s">
        <v>3641</v>
      </c>
      <c r="B79" s="18">
        <v>20019795899</v>
      </c>
      <c r="C79" s="18" t="s">
        <v>3642</v>
      </c>
      <c r="D79" s="19">
        <v>45825.425000000003</v>
      </c>
      <c r="E79" s="18" t="s">
        <v>10</v>
      </c>
      <c r="F79" s="18">
        <v>10</v>
      </c>
      <c r="G79" s="19">
        <v>45832.54791666667</v>
      </c>
      <c r="H79" s="18" t="s">
        <v>236</v>
      </c>
      <c r="I79" s="18" t="s">
        <v>10</v>
      </c>
      <c r="J79" s="18" t="s">
        <v>192</v>
      </c>
      <c r="K79" s="20"/>
    </row>
    <row r="80" spans="1:11" ht="36.75" thickBot="1">
      <c r="A80" s="18" t="s">
        <v>3643</v>
      </c>
      <c r="B80" s="18">
        <v>20019394167</v>
      </c>
      <c r="C80" s="18" t="s">
        <v>3644</v>
      </c>
      <c r="D80" s="19">
        <v>45827.487500000003</v>
      </c>
      <c r="E80" s="18" t="s">
        <v>10</v>
      </c>
      <c r="F80" s="18">
        <v>5</v>
      </c>
      <c r="G80" s="18" t="s">
        <v>10</v>
      </c>
      <c r="H80" s="18" t="s">
        <v>189</v>
      </c>
      <c r="I80" s="18" t="s">
        <v>10</v>
      </c>
      <c r="J80" s="18" t="s">
        <v>192</v>
      </c>
      <c r="K80" s="20"/>
    </row>
    <row r="81" spans="1:11" ht="36.75" thickBot="1">
      <c r="A81" s="18" t="s">
        <v>3645</v>
      </c>
      <c r="B81" s="18">
        <v>20026066765</v>
      </c>
      <c r="C81" s="18" t="s">
        <v>3646</v>
      </c>
      <c r="D81" s="19">
        <v>45828.486805555556</v>
      </c>
      <c r="E81" s="18" t="s">
        <v>10</v>
      </c>
      <c r="F81" s="18">
        <v>10</v>
      </c>
      <c r="G81" s="19">
        <v>45854.495833333334</v>
      </c>
      <c r="H81" s="18" t="s">
        <v>236</v>
      </c>
      <c r="I81" s="18" t="s">
        <v>10</v>
      </c>
      <c r="J81" s="18" t="s">
        <v>192</v>
      </c>
      <c r="K81" s="20"/>
    </row>
    <row r="82" spans="1:11" ht="36.75" thickBot="1">
      <c r="A82" s="18" t="s">
        <v>3647</v>
      </c>
      <c r="B82" s="18">
        <v>20020556138</v>
      </c>
      <c r="C82" s="18" t="s">
        <v>3648</v>
      </c>
      <c r="D82" s="19">
        <v>45828.511805555558</v>
      </c>
      <c r="E82" s="18" t="s">
        <v>10</v>
      </c>
      <c r="F82" s="18">
        <v>8</v>
      </c>
      <c r="G82" s="19">
        <v>45841.44027777778</v>
      </c>
      <c r="H82" s="18" t="s">
        <v>236</v>
      </c>
      <c r="I82" s="18" t="s">
        <v>10</v>
      </c>
      <c r="J82" s="18" t="s">
        <v>192</v>
      </c>
      <c r="K82" s="20"/>
    </row>
    <row r="83" spans="1:11" ht="36.75" thickBot="1">
      <c r="A83" s="18" t="s">
        <v>3649</v>
      </c>
      <c r="B83" s="18">
        <v>20027351077</v>
      </c>
      <c r="C83" s="18" t="s">
        <v>3650</v>
      </c>
      <c r="D83" s="19">
        <v>45845.697916666664</v>
      </c>
      <c r="E83" s="18" t="s">
        <v>10</v>
      </c>
      <c r="F83" s="18">
        <v>5</v>
      </c>
      <c r="G83" s="19">
        <v>45877.620138888888</v>
      </c>
      <c r="H83" s="18" t="s">
        <v>236</v>
      </c>
      <c r="I83" s="18" t="s">
        <v>10</v>
      </c>
      <c r="J83" s="18" t="s">
        <v>192</v>
      </c>
      <c r="K83" s="20"/>
    </row>
    <row r="84" spans="1:11" ht="36.75" thickBot="1">
      <c r="A84" s="18" t="s">
        <v>3651</v>
      </c>
      <c r="B84" s="18">
        <v>20024217361</v>
      </c>
      <c r="C84" s="18" t="s">
        <v>3652</v>
      </c>
      <c r="D84" s="19">
        <v>45855.55</v>
      </c>
      <c r="E84" s="18" t="s">
        <v>10</v>
      </c>
      <c r="F84" s="18">
        <v>10</v>
      </c>
      <c r="G84" s="19">
        <v>45897.445833333331</v>
      </c>
      <c r="H84" s="18" t="s">
        <v>236</v>
      </c>
      <c r="I84" s="18" t="s">
        <v>10</v>
      </c>
      <c r="J84" s="18" t="s">
        <v>192</v>
      </c>
      <c r="K84" s="20"/>
    </row>
    <row r="85" spans="1:11" ht="36.75" thickBot="1">
      <c r="A85" s="18" t="s">
        <v>3653</v>
      </c>
      <c r="B85" s="18">
        <v>20020701289</v>
      </c>
      <c r="C85" s="18" t="s">
        <v>3654</v>
      </c>
      <c r="D85" s="19">
        <v>45859.487500000003</v>
      </c>
      <c r="E85" s="18" t="s">
        <v>10</v>
      </c>
      <c r="F85" s="18">
        <v>4</v>
      </c>
      <c r="G85" s="19">
        <v>45889.420138888891</v>
      </c>
      <c r="H85" s="18" t="s">
        <v>236</v>
      </c>
      <c r="I85" s="18" t="s">
        <v>10</v>
      </c>
      <c r="J85" s="18" t="s">
        <v>192</v>
      </c>
      <c r="K85" s="20"/>
    </row>
    <row r="86" spans="1:11" ht="36.75" thickBot="1">
      <c r="A86" s="18" t="s">
        <v>3655</v>
      </c>
      <c r="B86" s="18">
        <v>20003205473</v>
      </c>
      <c r="C86" s="18" t="s">
        <v>3656</v>
      </c>
      <c r="D86" s="19">
        <v>45862.677083333336</v>
      </c>
      <c r="E86" s="18" t="s">
        <v>10</v>
      </c>
      <c r="F86" s="18">
        <v>3</v>
      </c>
      <c r="G86" s="19">
        <v>45895.581944444442</v>
      </c>
      <c r="H86" s="18" t="s">
        <v>2657</v>
      </c>
      <c r="I86" s="18" t="s">
        <v>10</v>
      </c>
      <c r="J86" s="18" t="s">
        <v>192</v>
      </c>
      <c r="K86" s="20"/>
    </row>
    <row r="87" spans="1:11" ht="36.75" thickBot="1">
      <c r="A87" s="18" t="s">
        <v>3657</v>
      </c>
      <c r="B87" s="18">
        <v>20018753389</v>
      </c>
      <c r="C87" s="18" t="s">
        <v>3658</v>
      </c>
      <c r="D87" s="19">
        <v>45863.488888888889</v>
      </c>
      <c r="E87" s="18" t="s">
        <v>10</v>
      </c>
      <c r="F87" s="18">
        <v>5</v>
      </c>
      <c r="G87" s="19">
        <v>45870.600694444445</v>
      </c>
      <c r="H87" s="18" t="s">
        <v>236</v>
      </c>
      <c r="I87" s="18" t="s">
        <v>10</v>
      </c>
      <c r="J87" s="18" t="s">
        <v>192</v>
      </c>
      <c r="K87" s="20"/>
    </row>
    <row r="88" spans="1:11" ht="36.75" thickBot="1">
      <c r="A88" s="18" t="s">
        <v>3659</v>
      </c>
      <c r="B88" s="18">
        <v>20003498541</v>
      </c>
      <c r="C88" s="18" t="s">
        <v>3660</v>
      </c>
      <c r="D88" s="19">
        <v>45863.570833333331</v>
      </c>
      <c r="E88" s="18" t="s">
        <v>10</v>
      </c>
      <c r="F88" s="18">
        <v>5</v>
      </c>
      <c r="G88" s="19">
        <v>45873.401388888888</v>
      </c>
      <c r="H88" s="18" t="s">
        <v>236</v>
      </c>
      <c r="I88" s="18" t="s">
        <v>10</v>
      </c>
      <c r="J88" s="18" t="s">
        <v>192</v>
      </c>
      <c r="K88" s="20"/>
    </row>
    <row r="89" spans="1:11" ht="36.75" thickBot="1">
      <c r="A89" s="18" t="s">
        <v>3661</v>
      </c>
      <c r="B89" s="18">
        <v>20003157220</v>
      </c>
      <c r="C89" s="18" t="s">
        <v>3662</v>
      </c>
      <c r="D89" s="19">
        <v>45863.686111111114</v>
      </c>
      <c r="E89" s="18" t="s">
        <v>10</v>
      </c>
      <c r="F89" s="18">
        <v>6</v>
      </c>
      <c r="G89" s="19">
        <v>45889.570138888892</v>
      </c>
      <c r="H89" s="18" t="s">
        <v>236</v>
      </c>
      <c r="I89" s="18" t="s">
        <v>10</v>
      </c>
      <c r="J89" s="18" t="s">
        <v>192</v>
      </c>
      <c r="K89" s="20"/>
    </row>
    <row r="90" spans="1:11" ht="36.75" thickBot="1">
      <c r="A90" s="18" t="s">
        <v>3663</v>
      </c>
      <c r="B90" s="18">
        <v>20023230359</v>
      </c>
      <c r="C90" s="18" t="s">
        <v>3664</v>
      </c>
      <c r="D90" s="19">
        <v>45872.820138888892</v>
      </c>
      <c r="E90" s="18" t="s">
        <v>10</v>
      </c>
      <c r="F90" s="18">
        <v>5</v>
      </c>
      <c r="G90" s="19">
        <v>45912.413194444445</v>
      </c>
      <c r="H90" s="18" t="s">
        <v>2657</v>
      </c>
      <c r="I90" s="18" t="s">
        <v>10</v>
      </c>
      <c r="J90" s="18" t="s">
        <v>192</v>
      </c>
      <c r="K90" s="20"/>
    </row>
    <row r="91" spans="1:11" ht="36.75" thickBot="1">
      <c r="A91" s="18" t="s">
        <v>3665</v>
      </c>
      <c r="B91" s="18">
        <v>20023499665</v>
      </c>
      <c r="C91" s="18" t="s">
        <v>3666</v>
      </c>
      <c r="D91" s="19">
        <v>45875.493750000001</v>
      </c>
      <c r="E91" s="18" t="s">
        <v>10</v>
      </c>
      <c r="F91" s="18">
        <v>5</v>
      </c>
      <c r="G91" s="19">
        <v>45894.43472222222</v>
      </c>
      <c r="H91" s="18" t="s">
        <v>236</v>
      </c>
      <c r="I91" s="18" t="s">
        <v>10</v>
      </c>
      <c r="J91" s="18" t="s">
        <v>192</v>
      </c>
      <c r="K91" s="20"/>
    </row>
    <row r="92" spans="1:11" ht="36.75" thickBot="1">
      <c r="A92" s="18" t="s">
        <v>3667</v>
      </c>
      <c r="B92" s="18">
        <v>20000558196</v>
      </c>
      <c r="C92" s="18" t="s">
        <v>3668</v>
      </c>
      <c r="D92" s="19">
        <v>45885.611111111109</v>
      </c>
      <c r="E92" s="18" t="s">
        <v>10</v>
      </c>
      <c r="F92" s="18">
        <v>5</v>
      </c>
      <c r="G92" s="18" t="s">
        <v>10</v>
      </c>
      <c r="H92" s="18" t="s">
        <v>178</v>
      </c>
      <c r="I92" s="18" t="s">
        <v>10</v>
      </c>
      <c r="J92" s="18" t="s">
        <v>192</v>
      </c>
      <c r="K92" s="20"/>
    </row>
    <row r="93" spans="1:11" ht="36.75" thickBot="1">
      <c r="A93" s="18" t="s">
        <v>3669</v>
      </c>
      <c r="B93" s="18">
        <v>20028508427</v>
      </c>
      <c r="C93" s="18" t="s">
        <v>3670</v>
      </c>
      <c r="D93" s="19">
        <v>45885.699305555558</v>
      </c>
      <c r="E93" s="18" t="s">
        <v>10</v>
      </c>
      <c r="F93" s="18">
        <v>20</v>
      </c>
      <c r="G93" s="19">
        <v>45904.349305555559</v>
      </c>
      <c r="H93" s="18" t="s">
        <v>236</v>
      </c>
      <c r="I93" s="18" t="s">
        <v>10</v>
      </c>
      <c r="J93" s="18" t="s">
        <v>192</v>
      </c>
      <c r="K93" s="20"/>
    </row>
    <row r="94" spans="1:11" ht="36.75" thickBot="1">
      <c r="A94" s="18" t="s">
        <v>3671</v>
      </c>
      <c r="B94" s="18">
        <v>20020249308</v>
      </c>
      <c r="C94" s="18" t="s">
        <v>3672</v>
      </c>
      <c r="D94" s="19">
        <v>45891.530555555553</v>
      </c>
      <c r="E94" s="18" t="s">
        <v>10</v>
      </c>
      <c r="F94" s="18">
        <v>5</v>
      </c>
      <c r="G94" s="19">
        <v>45911.600694444445</v>
      </c>
      <c r="H94" s="18" t="s">
        <v>236</v>
      </c>
      <c r="I94" s="18" t="s">
        <v>10</v>
      </c>
      <c r="J94" s="18" t="s">
        <v>192</v>
      </c>
      <c r="K94" s="20"/>
    </row>
    <row r="95" spans="1:11" ht="36.75" thickBot="1">
      <c r="A95" s="18" t="s">
        <v>3673</v>
      </c>
      <c r="B95" s="18">
        <v>20028215684</v>
      </c>
      <c r="C95" s="18" t="s">
        <v>3674</v>
      </c>
      <c r="D95" s="19">
        <v>45895.707638888889</v>
      </c>
      <c r="E95" s="18" t="s">
        <v>10</v>
      </c>
      <c r="F95" s="18">
        <v>15</v>
      </c>
      <c r="G95" s="19">
        <v>45912.439583333333</v>
      </c>
      <c r="H95" s="18" t="s">
        <v>236</v>
      </c>
      <c r="I95" s="18" t="s">
        <v>10</v>
      </c>
      <c r="J95" s="18" t="s">
        <v>192</v>
      </c>
      <c r="K95" s="20"/>
    </row>
    <row r="96" spans="1:11" ht="36.75" thickBot="1">
      <c r="A96" s="18" t="s">
        <v>3675</v>
      </c>
      <c r="B96" s="18">
        <v>20002835274</v>
      </c>
      <c r="C96" s="18" t="s">
        <v>3676</v>
      </c>
      <c r="D96" s="19">
        <v>45897.602083333331</v>
      </c>
      <c r="E96" s="18" t="s">
        <v>10</v>
      </c>
      <c r="F96" s="18">
        <v>5</v>
      </c>
      <c r="G96" s="19">
        <v>45952.371527777781</v>
      </c>
      <c r="H96" s="18" t="s">
        <v>236</v>
      </c>
      <c r="I96" s="18" t="s">
        <v>10</v>
      </c>
      <c r="J96" s="18" t="s">
        <v>192</v>
      </c>
      <c r="K96" s="20"/>
    </row>
    <row r="97" spans="1:11" ht="54.75" thickBot="1">
      <c r="A97" s="18" t="s">
        <v>3677</v>
      </c>
      <c r="B97" s="18">
        <v>20003494046</v>
      </c>
      <c r="C97" s="18" t="s">
        <v>3678</v>
      </c>
      <c r="D97" s="19">
        <v>45910.627083333333</v>
      </c>
      <c r="E97" s="18" t="s">
        <v>10</v>
      </c>
      <c r="F97" s="18">
        <v>10</v>
      </c>
      <c r="G97" s="18" t="s">
        <v>10</v>
      </c>
      <c r="H97" s="18" t="s">
        <v>178</v>
      </c>
      <c r="I97" s="18" t="s">
        <v>10</v>
      </c>
      <c r="J97" s="18" t="s">
        <v>192</v>
      </c>
      <c r="K97" s="20"/>
    </row>
    <row r="98" spans="1:11" ht="54.75" thickBot="1">
      <c r="A98" s="18" t="s">
        <v>3679</v>
      </c>
      <c r="B98" s="18">
        <v>20003494046</v>
      </c>
      <c r="C98" s="18" t="s">
        <v>3678</v>
      </c>
      <c r="D98" s="19">
        <v>45910.636805555558</v>
      </c>
      <c r="E98" s="18" t="s">
        <v>10</v>
      </c>
      <c r="F98" s="18">
        <v>10</v>
      </c>
      <c r="G98" s="19">
        <v>45912.35833333333</v>
      </c>
      <c r="H98" s="18" t="s">
        <v>236</v>
      </c>
      <c r="I98" s="18" t="s">
        <v>10</v>
      </c>
      <c r="J98" s="18" t="s">
        <v>192</v>
      </c>
      <c r="K98" s="20"/>
    </row>
    <row r="99" spans="1:11" ht="36.75" thickBot="1">
      <c r="A99" s="18" t="s">
        <v>3680</v>
      </c>
      <c r="B99" s="18">
        <v>20027689554</v>
      </c>
      <c r="C99" s="18" t="s">
        <v>3681</v>
      </c>
      <c r="D99" s="19">
        <v>45911.566666666666</v>
      </c>
      <c r="E99" s="18" t="s">
        <v>10</v>
      </c>
      <c r="F99" s="18">
        <v>10</v>
      </c>
      <c r="G99" s="19">
        <v>45957.515277777777</v>
      </c>
      <c r="H99" s="18" t="s">
        <v>236</v>
      </c>
      <c r="I99" s="18" t="s">
        <v>10</v>
      </c>
      <c r="J99" s="18" t="s">
        <v>192</v>
      </c>
      <c r="K99" s="20"/>
    </row>
    <row r="100" spans="1:11" ht="36.75" thickBot="1">
      <c r="A100" s="18" t="s">
        <v>3682</v>
      </c>
      <c r="B100" s="18">
        <v>20003619990</v>
      </c>
      <c r="C100" s="18" t="s">
        <v>3683</v>
      </c>
      <c r="D100" s="19">
        <v>45924.538888888892</v>
      </c>
      <c r="E100" s="18" t="s">
        <v>10</v>
      </c>
      <c r="F100" s="18">
        <v>5</v>
      </c>
      <c r="G100" s="19">
        <v>45924.548611111109</v>
      </c>
      <c r="H100" s="18" t="s">
        <v>236</v>
      </c>
      <c r="I100" s="18" t="s">
        <v>10</v>
      </c>
      <c r="J100" s="18" t="s">
        <v>192</v>
      </c>
      <c r="K100" s="20"/>
    </row>
    <row r="101" spans="1:11" ht="36.75" thickBot="1">
      <c r="A101" s="18" t="s">
        <v>3684</v>
      </c>
      <c r="B101" s="18">
        <v>20003232359</v>
      </c>
      <c r="C101" s="18" t="s">
        <v>3685</v>
      </c>
      <c r="D101" s="19">
        <v>45926.5625</v>
      </c>
      <c r="E101" s="18" t="s">
        <v>10</v>
      </c>
      <c r="F101" s="18">
        <v>5</v>
      </c>
      <c r="G101" s="19">
        <v>45972.482638888891</v>
      </c>
      <c r="H101" s="18" t="s">
        <v>236</v>
      </c>
      <c r="I101" s="18" t="s">
        <v>10</v>
      </c>
      <c r="J101" s="18" t="s">
        <v>192</v>
      </c>
      <c r="K101" s="20"/>
    </row>
    <row r="102" spans="1:11" ht="36.75" thickBot="1">
      <c r="A102" s="21" t="s">
        <v>3686</v>
      </c>
      <c r="B102" s="21">
        <v>20027724400</v>
      </c>
      <c r="C102" s="21" t="s">
        <v>3687</v>
      </c>
      <c r="D102" s="22">
        <v>45927.57916666667</v>
      </c>
      <c r="E102" s="21" t="s">
        <v>10</v>
      </c>
      <c r="F102" s="21">
        <v>10</v>
      </c>
      <c r="G102" s="21" t="s">
        <v>10</v>
      </c>
      <c r="H102" s="21" t="s">
        <v>178</v>
      </c>
      <c r="I102" s="21" t="s">
        <v>10</v>
      </c>
      <c r="J102" s="21" t="s">
        <v>192</v>
      </c>
      <c r="K102" s="1"/>
    </row>
    <row r="103" spans="1:11" ht="36.75" thickBot="1">
      <c r="A103" s="18" t="s">
        <v>3688</v>
      </c>
      <c r="B103" s="18">
        <v>20028630246</v>
      </c>
      <c r="C103" s="18" t="s">
        <v>3689</v>
      </c>
      <c r="D103" s="19">
        <v>45944.587500000001</v>
      </c>
      <c r="E103" s="18" t="s">
        <v>10</v>
      </c>
      <c r="F103" s="18">
        <v>5</v>
      </c>
      <c r="G103" s="19">
        <v>45974.380555555559</v>
      </c>
      <c r="H103" s="18" t="s">
        <v>236</v>
      </c>
      <c r="I103" s="18" t="s">
        <v>10</v>
      </c>
      <c r="J103" s="18" t="s">
        <v>192</v>
      </c>
      <c r="K103" s="20"/>
    </row>
    <row r="104" spans="1:11" ht="36.75" thickBot="1">
      <c r="A104" s="18" t="s">
        <v>3690</v>
      </c>
      <c r="B104" s="18">
        <v>20025044167</v>
      </c>
      <c r="C104" s="18" t="s">
        <v>3691</v>
      </c>
      <c r="D104" s="19">
        <v>45950.614583333336</v>
      </c>
      <c r="E104" s="18" t="s">
        <v>10</v>
      </c>
      <c r="F104" s="18">
        <v>10</v>
      </c>
      <c r="G104" s="19">
        <v>45982.414583333331</v>
      </c>
      <c r="H104" s="18" t="s">
        <v>2657</v>
      </c>
      <c r="I104" s="18" t="s">
        <v>10</v>
      </c>
      <c r="J104" s="18" t="s">
        <v>192</v>
      </c>
      <c r="K104" s="20"/>
    </row>
    <row r="105" spans="1:11" ht="36.75" thickBot="1">
      <c r="A105" s="18" t="s">
        <v>3692</v>
      </c>
      <c r="B105" s="18">
        <v>20003525767</v>
      </c>
      <c r="C105" s="18" t="s">
        <v>3693</v>
      </c>
      <c r="D105" s="19">
        <v>45951.866666666669</v>
      </c>
      <c r="E105" s="18" t="s">
        <v>10</v>
      </c>
      <c r="F105" s="18">
        <v>15</v>
      </c>
      <c r="G105" s="19">
        <v>45974.456944444442</v>
      </c>
      <c r="H105" s="18" t="s">
        <v>236</v>
      </c>
      <c r="I105" s="18" t="s">
        <v>10</v>
      </c>
      <c r="J105" s="18" t="s">
        <v>192</v>
      </c>
      <c r="K105" s="20"/>
    </row>
    <row r="106" spans="1:11" ht="36.75" thickBot="1">
      <c r="A106" s="18" t="s">
        <v>3694</v>
      </c>
      <c r="B106" s="18">
        <v>20018125543</v>
      </c>
      <c r="C106" s="18" t="s">
        <v>3695</v>
      </c>
      <c r="D106" s="19">
        <v>45953.425694444442</v>
      </c>
      <c r="E106" s="18" t="s">
        <v>10</v>
      </c>
      <c r="F106" s="18">
        <v>10</v>
      </c>
      <c r="G106" s="19">
        <v>45971.45</v>
      </c>
      <c r="H106" s="18" t="s">
        <v>236</v>
      </c>
      <c r="I106" s="18" t="s">
        <v>10</v>
      </c>
      <c r="J106" s="18" t="s">
        <v>192</v>
      </c>
      <c r="K106" s="20"/>
    </row>
    <row r="107" spans="1:11" ht="36.75" thickBot="1">
      <c r="A107" s="18" t="s">
        <v>3696</v>
      </c>
      <c r="B107" s="18">
        <v>20002887261</v>
      </c>
      <c r="C107" s="18" t="s">
        <v>3697</v>
      </c>
      <c r="D107" s="19">
        <v>45959.367361111108</v>
      </c>
      <c r="E107" s="18" t="s">
        <v>10</v>
      </c>
      <c r="F107" s="18">
        <v>5</v>
      </c>
      <c r="G107" s="19">
        <v>45966.547222222223</v>
      </c>
      <c r="H107" s="18" t="s">
        <v>2654</v>
      </c>
      <c r="I107" s="18" t="s">
        <v>10</v>
      </c>
      <c r="J107" s="18" t="s">
        <v>192</v>
      </c>
      <c r="K107" s="20"/>
    </row>
    <row r="108" spans="1:11" ht="36.75" thickBot="1">
      <c r="A108" s="18" t="s">
        <v>3698</v>
      </c>
      <c r="B108" s="18">
        <v>20028906317</v>
      </c>
      <c r="C108" s="18" t="s">
        <v>3699</v>
      </c>
      <c r="D108" s="19">
        <v>45964.67291666667</v>
      </c>
      <c r="E108" s="18" t="s">
        <v>10</v>
      </c>
      <c r="F108" s="18">
        <v>10</v>
      </c>
      <c r="G108" s="19">
        <v>45966.479861111111</v>
      </c>
      <c r="H108" s="18" t="s">
        <v>236</v>
      </c>
      <c r="I108" s="18" t="s">
        <v>10</v>
      </c>
      <c r="J108" s="18" t="s">
        <v>192</v>
      </c>
      <c r="K108" s="20"/>
    </row>
    <row r="109" spans="1:11" ht="36.75" thickBot="1">
      <c r="A109" s="18" t="s">
        <v>7927</v>
      </c>
      <c r="B109" s="18">
        <v>20026546547</v>
      </c>
      <c r="C109" s="18" t="s">
        <v>7928</v>
      </c>
      <c r="D109" s="19">
        <v>45976.404166666667</v>
      </c>
      <c r="E109" s="18" t="s">
        <v>10</v>
      </c>
      <c r="F109" s="18">
        <v>20</v>
      </c>
      <c r="G109" s="19">
        <v>45979.521527777775</v>
      </c>
      <c r="H109" s="18" t="s">
        <v>2654</v>
      </c>
      <c r="I109" s="18" t="s">
        <v>10</v>
      </c>
      <c r="J109" s="18" t="s">
        <v>192</v>
      </c>
      <c r="K109" s="20"/>
    </row>
    <row r="110" spans="1:11" ht="36.75" thickBot="1">
      <c r="A110" s="18" t="s">
        <v>7929</v>
      </c>
      <c r="B110" s="18">
        <v>20023845679</v>
      </c>
      <c r="C110" s="18" t="s">
        <v>7930</v>
      </c>
      <c r="D110" s="19">
        <v>45979.375694444447</v>
      </c>
      <c r="E110" s="18" t="s">
        <v>10</v>
      </c>
      <c r="F110" s="18">
        <v>5</v>
      </c>
      <c r="G110" s="18" t="s">
        <v>10</v>
      </c>
      <c r="H110" s="18" t="s">
        <v>189</v>
      </c>
      <c r="I110" s="18" t="s">
        <v>10</v>
      </c>
      <c r="J110" s="18" t="s">
        <v>192</v>
      </c>
      <c r="K110" s="20"/>
    </row>
    <row r="111" spans="1:11" ht="36.75" thickBot="1">
      <c r="A111" s="18" t="s">
        <v>7931</v>
      </c>
      <c r="B111" s="18">
        <v>20029018709</v>
      </c>
      <c r="C111" s="18" t="s">
        <v>7932</v>
      </c>
      <c r="D111" s="19">
        <v>45982.577777777777</v>
      </c>
      <c r="E111" s="18" t="s">
        <v>10</v>
      </c>
      <c r="F111" s="18">
        <v>10</v>
      </c>
      <c r="G111" s="18" t="s">
        <v>10</v>
      </c>
      <c r="H111" s="25" t="s">
        <v>2656</v>
      </c>
      <c r="I111" s="18" t="s">
        <v>10</v>
      </c>
      <c r="J111" s="18" t="s">
        <v>192</v>
      </c>
      <c r="K111" s="20"/>
    </row>
    <row r="112" spans="1:11" ht="36.75" thickBot="1">
      <c r="A112" s="21" t="s">
        <v>7933</v>
      </c>
      <c r="B112" s="21">
        <v>20023631438</v>
      </c>
      <c r="C112" s="21" t="s">
        <v>7934</v>
      </c>
      <c r="D112" s="22">
        <v>45982.656944444447</v>
      </c>
      <c r="E112" s="21" t="s">
        <v>10</v>
      </c>
      <c r="F112" s="21">
        <v>5</v>
      </c>
      <c r="G112" s="21" t="s">
        <v>10</v>
      </c>
      <c r="H112" s="25" t="s">
        <v>2656</v>
      </c>
      <c r="I112" s="21" t="s">
        <v>10</v>
      </c>
      <c r="J112" s="21" t="s">
        <v>192</v>
      </c>
      <c r="K112" s="1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7" priority="1"/>
  </conditionalFormatting>
  <hyperlinks>
    <hyperlink ref="K3" r:id="rId1" display="https://ppim-intra.pea.co.th:4434/request/PPIM18500047" xr:uid="{B5D41593-8CD8-42D1-B3C7-CD7851E4BF7A}"/>
    <hyperlink ref="K4" r:id="rId2" display="https://ppim-intra.pea.co.th:4434/request/PPIM18500249" xr:uid="{7D1CF847-2BEB-4227-9FB3-A2B2720F98C4}"/>
    <hyperlink ref="K5" r:id="rId3" display="https://ppim-intra.pea.co.th:4434/request/PPIM18500CA6" xr:uid="{913EBBC4-8D04-450F-93EA-01E07FE0FDAF}"/>
    <hyperlink ref="K6" r:id="rId4" display="https://ppim-intra.pea.co.th:4434/request/PPIM18500DD1" xr:uid="{71BFF21A-9E4F-412F-9C0B-C173E498F819}"/>
    <hyperlink ref="K7" r:id="rId5" display="https://ppim-intra.pea.co.th:4434/request/PPIM18500DFB" xr:uid="{57995E56-6212-4298-8E44-D44C7C65A453}"/>
    <hyperlink ref="K8" r:id="rId6" display="https://ppim-intra.pea.co.th:4434/request/PPIM18500DFC" xr:uid="{9CA415FD-ACD1-42D1-9D18-C97492CA55CF}"/>
    <hyperlink ref="K9" r:id="rId7" display="https://ppim-intra.pea.co.th:4434/request/PPIM18500DDD" xr:uid="{01580123-89F6-402B-A6CD-2D06321D7C50}"/>
    <hyperlink ref="K10" r:id="rId8" display="https://ppim-intra.pea.co.th:4434/request/PPIM18500EF4" xr:uid="{FF222DB8-D3BB-42D2-A20D-46F3C330F367}"/>
    <hyperlink ref="K11" r:id="rId9" display="https://ppim-intra.pea.co.th:4434/request/PPIM1850110D" xr:uid="{4DB8BB31-D580-4BE2-BBE0-1E2BBE47DBF9}"/>
    <hyperlink ref="K12" r:id="rId10" display="https://ppim-intra.pea.co.th:4434/request/PPIM18500FCA" xr:uid="{33664403-7EF8-4B87-8892-6189170446C8}"/>
    <hyperlink ref="K13" r:id="rId11" display="https://ppim-intra.pea.co.th:4434/request/PPIM185017B0" xr:uid="{356442A1-73FC-44C4-A9C0-9F5DBDB33E54}"/>
    <hyperlink ref="K14" r:id="rId12" display="https://ppim-intra.pea.co.th:4434/request/PPIM18501873" xr:uid="{EFA6AC5C-0911-467C-BE06-24F551B18E59}"/>
    <hyperlink ref="K15" r:id="rId13" display="https://ppim-intra.pea.co.th:4434/request/PPIM18501930" xr:uid="{945F1874-292F-46F3-BFB5-EB63E633EE2D}"/>
    <hyperlink ref="K16" r:id="rId14" display="https://ppim-intra.pea.co.th:4434/request/PPIM18501B51" xr:uid="{1D9A3D6D-876B-4440-A3F6-B8A43EC190DE}"/>
    <hyperlink ref="K17" r:id="rId15" display="https://ppim-intra.pea.co.th:4434/request/PPIM18501D28" xr:uid="{B6459471-04F9-4C91-BAC4-50E6D937796D}"/>
    <hyperlink ref="K18" r:id="rId16" display="https://ppim-intra.pea.co.th:4434/request/PPIM18501B82" xr:uid="{5CE8EA1C-A337-4F85-9449-FFBB8CE30F64}"/>
    <hyperlink ref="K19" r:id="rId17" display="https://ppim-intra.pea.co.th:4434/request/PPIM185018DE" xr:uid="{AEDFA97B-FCA7-4A72-8E2C-2C46096E24AD}"/>
    <hyperlink ref="K20" r:id="rId18" display="https://ppim-intra.pea.co.th:4434/request/PPIM1850202C" xr:uid="{BB92E68A-6E80-486B-909D-18416548B05D}"/>
    <hyperlink ref="K21" r:id="rId19" display="https://ppim-intra.pea.co.th:4434/request/PPIM18502130" xr:uid="{E46E4291-E0E9-4C5B-9E2A-7F5789E2B6D7}"/>
    <hyperlink ref="K22" r:id="rId20" display="https://ppim-intra.pea.co.th:4434/request/PPIM1850237E" xr:uid="{8FA046BC-7D5C-4E1A-A89B-6722D92AD5AF}"/>
    <hyperlink ref="K23" r:id="rId21" display="https://ppim-intra.pea.co.th:4434/request/PPIM18502636" xr:uid="{5F99F126-5FED-48C9-A956-9697C9F192D6}"/>
    <hyperlink ref="K24" r:id="rId22" display="https://ppim-intra.pea.co.th:4434/request/PPIM1850265B" xr:uid="{7E92A8B3-4461-43E8-8F31-0A0D21545EFC}"/>
    <hyperlink ref="K25" r:id="rId23" display="https://ppim-intra.pea.co.th:4434/request/PPIM18502A10" xr:uid="{F69A6317-7F6C-4765-AA52-A8B5B8521169}"/>
    <hyperlink ref="K26" r:id="rId24" display="https://ppim-intra.pea.co.th:4434/request/PPIM18502A17" xr:uid="{362ADF2B-F576-4979-981F-8BB6B4244947}"/>
    <hyperlink ref="K27" r:id="rId25" display="https://ppim-intra.pea.co.th:4434/request/PPIM18502A45" xr:uid="{CDAB8A3E-F93D-4961-9FD8-C2464499E162}"/>
    <hyperlink ref="K28" r:id="rId26" display="https://ppim-intra.pea.co.th:4434/request/PPIM18502A92" xr:uid="{7BC01719-E601-466C-85C7-4BCAA4B6A909}"/>
    <hyperlink ref="K29" r:id="rId27" display="https://ppim-intra.pea.co.th:4434/request/PPIM18502E6E" xr:uid="{C76776A8-0F3A-4119-9468-F0580B275985}"/>
    <hyperlink ref="K30" r:id="rId28" display="https://ppim-intra.pea.co.th:4434/request/PPIM18502E71" xr:uid="{7BC39566-AA04-4A24-B6BD-D83192F0676D}"/>
    <hyperlink ref="K31" r:id="rId29" display="https://ppim-intra.pea.co.th:4434/request/PPIM185030AE" xr:uid="{B70D83C0-2833-4429-9146-0F8702625C72}"/>
    <hyperlink ref="K32" r:id="rId30" display="https://ppim-intra.pea.co.th:4434/request/PPIM18503165" xr:uid="{CFAEA0EB-6EC2-4CC4-A91C-BF77512790CE}"/>
    <hyperlink ref="K33" r:id="rId31" display="https://ppim-intra.pea.co.th:4434/request/PPIM185031E5" xr:uid="{00EF0E51-84B9-4204-A8A2-7A8BEBC6B609}"/>
    <hyperlink ref="K34" r:id="rId32" display="https://ppim-intra.pea.co.th:4434/request/PPIM185033C9" xr:uid="{E689CE1F-968F-4CC0-9B88-539586B0BC0C}"/>
    <hyperlink ref="K35" r:id="rId33" display="https://ppim-intra.pea.co.th:4434/request/PPIM1850341D" xr:uid="{F29CFC31-FE99-4747-B817-DACFA58DA6EE}"/>
    <hyperlink ref="K36" r:id="rId34" display="https://ppim-intra.pea.co.th:4434/request/PPIM18503668" xr:uid="{A032694D-AE46-49C5-B9D5-C2848F2D9FE8}"/>
    <hyperlink ref="K37" r:id="rId35" display="https://ppim-intra.pea.co.th:4434/request/PPIM18503506" xr:uid="{B96BC9DE-2645-45E7-BE6E-5F6B3C5DCE6B}"/>
    <hyperlink ref="K38" r:id="rId36" display="https://ppim-intra.pea.co.th:4434/request/PPIM185038D1" xr:uid="{84979C23-5D96-4DE9-9E14-673C18C89948}"/>
    <hyperlink ref="K39" r:id="rId37" display="https://ppim-intra.pea.co.th:4434/request/PPIM18503B19" xr:uid="{714AE089-9C93-41DB-A897-6DF2402CFCF3}"/>
    <hyperlink ref="K40" r:id="rId38" display="https://ppim-intra.pea.co.th:4434/request/PPIM185038F1" xr:uid="{436CAD37-1AD1-4EA5-AFB1-82A9E1C23AEB}"/>
    <hyperlink ref="K41" r:id="rId39" display="https://ppim-intra.pea.co.th:4434/request/PPIM18503C48" xr:uid="{B2FA4CF3-EBF3-4863-9794-187558376092}"/>
    <hyperlink ref="K42" r:id="rId40" display="https://ppim-intra.pea.co.th:4434/request/PPIM18503E6A" xr:uid="{BF2201A6-445D-4126-8C1E-B3AA084BA51D}"/>
    <hyperlink ref="K43" r:id="rId41" display="https://ppim-intra.pea.co.th:4434/request/PPIM1850390E" xr:uid="{1A820F98-0430-4E98-8984-A612CFD1692C}"/>
    <hyperlink ref="K44" r:id="rId42" display="https://ppim-intra.pea.co.th:4434/request/PPIM1850411F" xr:uid="{66C139B0-9E01-4256-9197-F12CDF6D2A8E}"/>
    <hyperlink ref="K45" r:id="rId43" display="https://ppim-intra.pea.co.th:4434/request/PPIM185041DE" xr:uid="{5EF89AD4-7C4E-4D7D-9D20-434ECA988B38}"/>
    <hyperlink ref="K46" r:id="rId44" display="https://ppim-intra.pea.co.th:4434/request/PPIM18504485" xr:uid="{6C295CBF-3374-47E0-8291-60415AD7C28D}"/>
    <hyperlink ref="K47" r:id="rId45" display="https://ppim-intra.pea.co.th:4434/request/PPIM185044A6" xr:uid="{CAFC0C6D-57E9-43F1-BAD7-D90DBDF87326}"/>
    <hyperlink ref="K48" r:id="rId46" display="https://ppim-intra.pea.co.th:4434/request/PPIM1850462C" xr:uid="{0E83A1BA-D6D0-471D-8661-4229353075E0}"/>
    <hyperlink ref="K49" r:id="rId47" display="https://ppim-intra.pea.co.th:4434/request/PPIM195000C2" xr:uid="{7131ACA7-8898-4E40-8BBE-9E72C5EC58DB}"/>
    <hyperlink ref="K50" r:id="rId48" display="https://ppim-intra.pea.co.th:4434/request/PPIM195001D1" xr:uid="{206EC384-3AD5-40C5-9B99-CE3C151C784D}"/>
    <hyperlink ref="K51" r:id="rId49" display="https://ppim-intra.pea.co.th:4434/request/PPIM19500348" xr:uid="{DF94A528-7BC2-4DA6-8331-54BB68EB5DB7}"/>
    <hyperlink ref="K52" r:id="rId50" display="https://ppim-intra.pea.co.th:4434/request/PPIM1950036B" xr:uid="{10ADB493-1548-4A41-98FF-042BE45C67C1}"/>
    <hyperlink ref="K53" r:id="rId51" display="https://ppim-intra.pea.co.th:4434/request/PPIM19500373" xr:uid="{6222FC0A-E357-4CB3-98DB-C9317F73E5E8}"/>
    <hyperlink ref="K54" r:id="rId52" display="https://ppim-intra.pea.co.th:4434/request/PPIM19500480" xr:uid="{5799ECCB-5CED-45EC-A428-A2BF73017ED0}"/>
    <hyperlink ref="K55" r:id="rId53" display="https://ppim-intra.pea.co.th:4434/request/PPIM1950057B" xr:uid="{CBCC8A41-D738-42A6-8344-0FDCA83447E8}"/>
    <hyperlink ref="K56" r:id="rId54" display="https://ppim-intra.pea.co.th:4434/request/PPIM19500634" xr:uid="{D7496D80-7DAA-4EF9-8D10-4A3195C077A9}"/>
    <hyperlink ref="K57" r:id="rId55" display="https://ppim-intra.pea.co.th:4434/request/PPIM195006CE" xr:uid="{DD525DE5-3EBC-492D-96D8-08D7CA62142C}"/>
    <hyperlink ref="K58" r:id="rId56" display="https://ppim-intra.pea.co.th:4434/request/PPIM19500863" xr:uid="{C6A9C506-3EE3-4D77-9AB8-8357F30EEC49}"/>
    <hyperlink ref="K59" r:id="rId57" display="https://ppim-intra.pea.co.th:4434/request/PPIM1950091F" xr:uid="{A0A62DE5-E1B0-46E7-920C-9BA0F735A231}"/>
    <hyperlink ref="K60" r:id="rId58" display="https://ppim-intra.pea.co.th:4434/request/PPIM195009B7" xr:uid="{67249662-F28A-4D3C-A317-E13EBE2D04FB}"/>
    <hyperlink ref="K61" r:id="rId59" display="https://ppim-intra.pea.co.th:4434/request/PPIM19500B0F" xr:uid="{5AE6BB6B-0F0D-4B59-BC34-B60D4F02CAC4}"/>
    <hyperlink ref="K62" r:id="rId60" display="https://ppim-intra.pea.co.th:4434/request/PPIM19500B12" xr:uid="{4FE481A3-0146-43E6-A301-7D12A2A52DAD}"/>
    <hyperlink ref="K63" r:id="rId61" display="https://ppim-intra.pea.co.th:4434/request/PPIM19500B13" xr:uid="{7D755C24-158D-42FF-9FD7-30CE27385FD6}"/>
    <hyperlink ref="K64" r:id="rId62" display="https://ppim-intra.pea.co.th:4434/request/PPIM19500CB0" xr:uid="{C898CC59-3412-4B21-83DC-2FBB2696972D}"/>
    <hyperlink ref="K65" r:id="rId63" display="https://ppim-intra.pea.co.th:4434/request/PPIM19500B10" xr:uid="{6528DDD2-3B86-4A6F-BAE2-8267D8095109}"/>
    <hyperlink ref="K66" r:id="rId64" display="https://ppim-intra.pea.co.th:4434/request/PPIM19500B11" xr:uid="{3CAFCA86-4E71-4517-87F8-F096CF1CDAFA}"/>
    <hyperlink ref="K67" r:id="rId65" display="https://ppim-intra.pea.co.th:4434/request/PPIM19500E68" xr:uid="{8FBEAFAC-3F11-4D09-983E-D8F08E9A6CFB}"/>
    <hyperlink ref="K68" r:id="rId66" display="https://ppim-intra.pea.co.th:4434/request/PPIM19500FB3" xr:uid="{5BEB2204-130F-40C2-A011-42A53FAAC4B1}"/>
    <hyperlink ref="K69" r:id="rId67" display="https://ppim-intra.pea.co.th:4434/request/PPIM19501287" xr:uid="{61533C62-FBBE-405F-85B8-EE19B9AA3448}"/>
    <hyperlink ref="K70" r:id="rId68" display="https://ppim-intra.pea.co.th:4434/request/PPIM19501390" xr:uid="{60E56031-B2BA-44CA-96B7-E88BFBE7C774}"/>
    <hyperlink ref="K71" r:id="rId69" display="https://ppim-intra.pea.co.th:4434/request/PPIM19501579" xr:uid="{A49E872A-4930-4729-B2C3-137CC238B0AE}"/>
    <hyperlink ref="K72" r:id="rId70" display="https://ppim-intra.pea.co.th:4434/request/PPIM19501583" xr:uid="{9AF4BEDE-AD19-4E91-B1D8-7F51B721AE0E}"/>
    <hyperlink ref="K73" r:id="rId71" display="https://ppim-intra.pea.co.th:4434/request/PPIM19501F7E" xr:uid="{92954B1B-72D9-4DE6-B80F-803A6265FBF9}"/>
    <hyperlink ref="K74" r:id="rId72" display="https://ppim-intra.pea.co.th:4434/request/PPIM19502022" xr:uid="{7D53429B-8AE4-4C57-828A-800772FBDBB9}"/>
    <hyperlink ref="K75" r:id="rId73" display="https://ppim-intra.pea.co.th:4434/request/PPIM1950211F" xr:uid="{310194AA-0117-47FB-BF09-E8C85F16634B}"/>
    <hyperlink ref="K76" r:id="rId74" display="https://ppim-intra.pea.co.th:4434/request/PPIM19502317" xr:uid="{C8539607-7E5D-4BDA-A650-A442345836B1}"/>
    <hyperlink ref="K77" r:id="rId75" display="https://ppim-intra.pea.co.th:4434/request/PPIM195023BB" xr:uid="{131FB580-F9CB-4E0A-B165-7EC03E460205}"/>
    <hyperlink ref="K78" r:id="rId76" display="https://ppim-intra.pea.co.th:4434/request/PPIM19502C1A" xr:uid="{2723DF72-1DDA-4345-B5AF-BA117520FE1F}"/>
    <hyperlink ref="K79" r:id="rId77" display="https://ppim-intra.pea.co.th:4434/request/PPIM19502DAE" xr:uid="{A0BC43BF-48D4-4632-BA77-BA2B27AB1290}"/>
    <hyperlink ref="K80" r:id="rId78" display="https://ppim-intra.pea.co.th:4434/request/PPIM19502E61" xr:uid="{87444397-E604-44EF-8623-35C2DAA9CA61}"/>
    <hyperlink ref="K81" r:id="rId79" display="https://ppim-intra.pea.co.th:4434/request/PPIM19502EBD" xr:uid="{D8EABAD2-3AEC-4567-BD96-600DFB09FC2C}"/>
    <hyperlink ref="K82" r:id="rId80" display="https://ppim-intra.pea.co.th:4434/request/PPIM19502EC2" xr:uid="{368AD115-C443-40DF-89C1-630663877DA3}"/>
    <hyperlink ref="K83" r:id="rId81" display="https://ppim-intra.pea.co.th:4434/request/PPIM195033DC" xr:uid="{E8762282-E7B1-4A8B-A35B-31CC026347AF}"/>
    <hyperlink ref="K84" r:id="rId82" display="https://ppim-intra.pea.co.th:4434/request/PPIM1950369C" xr:uid="{87BCE2A3-0785-444C-8AA3-22ECC86BF416}"/>
    <hyperlink ref="K85" r:id="rId83" display="https://ppim-intra.pea.co.th:4434/request/PPIM195037A6" xr:uid="{467081BC-54BD-4079-917B-8BCFB01D36FC}"/>
    <hyperlink ref="K86" r:id="rId84" display="https://ppim-intra.pea.co.th:4434/request/PPIM195038FA" xr:uid="{154CC180-AAFC-4B54-B988-9F7635E45497}"/>
    <hyperlink ref="K87" r:id="rId85" display="https://ppim-intra.pea.co.th:4434/request/PPIM19503924" xr:uid="{AC760B25-2E03-4E4A-8453-8E85493D7D8E}"/>
    <hyperlink ref="K88" r:id="rId86" display="https://ppim-intra.pea.co.th:4434/request/PPIM1950392B" xr:uid="{73AA34B7-7943-43E6-B840-C649D7BC10E6}"/>
    <hyperlink ref="K89" r:id="rId87" display="https://ppim-intra.pea.co.th:4434/request/PPIM19503941" xr:uid="{A21075E0-2472-4088-8897-3E55B7EB3781}"/>
    <hyperlink ref="K90" r:id="rId88" display="https://ppim-intra.pea.co.th:4434/request/PPIM19503B1F" xr:uid="{46BFD090-A5B8-4C35-A71E-EA5C2F7A6264}"/>
    <hyperlink ref="K91" r:id="rId89" display="https://ppim-intra.pea.co.th:4434/request/PPIM19503BF8" xr:uid="{85ECA72B-35BD-403A-B441-17D9C133B754}"/>
    <hyperlink ref="K92" r:id="rId90" display="https://ppim-intra.pea.co.th:4434/request/PPIM19503E83" xr:uid="{08EDAD63-6B08-43D9-8679-4DC52C0306E5}"/>
    <hyperlink ref="K93" r:id="rId91" display="https://ppim-intra.pea.co.th:4434/request/PPIM19503E9A" xr:uid="{F6CB3C39-4440-49F9-B770-BD40A686419C}"/>
    <hyperlink ref="K94" r:id="rId92" display="https://ppim-intra.pea.co.th:4434/request/PPIM1950409A" xr:uid="{C49568FF-935D-410E-88E0-4FCBA7258159}"/>
    <hyperlink ref="K95" r:id="rId93" display="https://ppim-intra.pea.co.th:4434/request/PPIM195041DD" xr:uid="{4218F762-8FAF-41E8-87FA-C0086C1C7B6D}"/>
    <hyperlink ref="K96" r:id="rId94" display="https://ppim-intra.pea.co.th:4434/request/PPIM1950426C" xr:uid="{70F9A9DB-C192-41B6-BEE3-300B8344F0CE}"/>
    <hyperlink ref="K97" r:id="rId95" display="https://ppim-intra.pea.co.th:4434/request/PPIM195045DE" xr:uid="{185260E6-6C39-495E-804A-58A36576A8BD}"/>
    <hyperlink ref="K98" r:id="rId96" display="https://ppim-intra.pea.co.th:4434/request/PPIM195045E5" xr:uid="{0C3F9238-9950-4B00-B35B-DF5FB5DDEA4D}"/>
    <hyperlink ref="K99" r:id="rId97" display="https://ppim-intra.pea.co.th:4434/request/PPIM1950463C" xr:uid="{85C7BFCD-A9E9-4743-A688-69BE3AC82765}"/>
    <hyperlink ref="K100" r:id="rId98" display="https://ppim-intra.pea.co.th:4434/request/PPIM19504A4F" xr:uid="{8321F605-816C-4F84-BA45-E18B4CFD6D0E}"/>
    <hyperlink ref="K101" r:id="rId99" display="https://ppim-intra.pea.co.th:4434/request/PPIM19504B07" xr:uid="{8E8A0F6C-7BDD-49D0-B3A8-9109BAC3A312}"/>
    <hyperlink ref="K103" r:id="rId100" display="https://ppim-intra.pea.co.th:4434/request/PPIM19504FE7" xr:uid="{D74A30E9-9780-4245-B614-FFC65F401277}"/>
    <hyperlink ref="K104" r:id="rId101" display="https://ppim-intra.pea.co.th:4434/request/PPIM1950516F" xr:uid="{13047CD5-1D4E-4931-AFD5-1B399C880C12}"/>
    <hyperlink ref="K105" r:id="rId102" display="https://ppim-intra.pea.co.th:4434/request/PPIM195051EA" xr:uid="{1C6CFDF1-BBA3-419B-9424-CF6488B1547C}"/>
    <hyperlink ref="K106" r:id="rId103" display="https://ppim-intra.pea.co.th:4434/request/PPIM19505262" xr:uid="{F716C885-439E-4667-96B9-526120985B0E}"/>
    <hyperlink ref="K107" r:id="rId104" display="https://ppim-intra.pea.co.th:4434/request/PPIM195053BF" xr:uid="{FBB54AA1-AB66-40C1-8B1A-D75630F1A4B2}"/>
    <hyperlink ref="K108" r:id="rId105" display="https://ppim-intra.pea.co.th:4434/request/PPIM1950555B" xr:uid="{12A96736-8BEA-425B-86B7-5752F9C48133}"/>
    <hyperlink ref="K109" r:id="rId106" display="https://ppim-intra.pea.co.th:4434/request/PPIM195058DB" xr:uid="{F59364D0-F118-4346-AFF3-DB760466B1A1}"/>
    <hyperlink ref="K110" r:id="rId107" display="https://ppim-intra.pea.co.th:4434/request/PPIM19505983" xr:uid="{4754795B-661D-4848-9E41-6F2D58FEE025}"/>
    <hyperlink ref="K111" r:id="rId108" display="https://ppim-intra.pea.co.th:4434/request/PPIM19505A9B" xr:uid="{D535C644-AAE1-436B-9E99-975362D8EDAA}"/>
  </hyperlinks>
  <pageMargins left="0.7" right="0.7" top="0.75" bottom="0.75" header="0.3" footer="0.3"/>
  <drawing r:id="rId109"/>
  <legacyDrawing r:id="rId110"/>
  <controls>
    <mc:AlternateContent xmlns:mc="http://schemas.openxmlformats.org/markup-compatibility/2006">
      <mc:Choice Requires="x14">
        <control shapeId="18433" r:id="rId111" name="Control 1">
          <controlPr defaultSize="0" r:id="rId112">
            <anchor moveWithCells="1">
              <from>
                <xdr:col>0</xdr:col>
                <xdr:colOff>0</xdr:colOff>
                <xdr:row>11</xdr:row>
                <xdr:rowOff>57150</xdr:rowOff>
              </from>
              <to>
                <xdr:col>0</xdr:col>
                <xdr:colOff>190500</xdr:colOff>
                <xdr:row>11</xdr:row>
                <xdr:rowOff>247650</xdr:rowOff>
              </to>
            </anchor>
          </controlPr>
        </control>
      </mc:Choice>
      <mc:Fallback>
        <control shapeId="18433" r:id="rId111" name="Control 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4E64-F548-4A83-BC3A-E2DA305B55E3}">
  <sheetPr codeName="Sheet13">
    <tabColor theme="9" tint="0.39997558519241921"/>
  </sheetPr>
  <dimension ref="A2:O296"/>
  <sheetViews>
    <sheetView tabSelected="1" topLeftCell="A29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37" style="6" customWidth="1"/>
    <col min="4" max="5" width="24.71093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294</v>
      </c>
      <c r="N2" s="13" t="s">
        <v>214</v>
      </c>
    </row>
    <row r="3" spans="1:15" ht="37.5" thickTop="1" thickBot="1">
      <c r="A3" s="18" t="s">
        <v>254</v>
      </c>
      <c r="B3" s="18">
        <v>20003166738</v>
      </c>
      <c r="C3" s="18" t="s">
        <v>255</v>
      </c>
      <c r="D3" s="19">
        <v>45311.549305555556</v>
      </c>
      <c r="E3" s="18" t="s">
        <v>10</v>
      </c>
      <c r="F3" s="18">
        <v>5</v>
      </c>
      <c r="G3" s="19">
        <v>45366.634027777778</v>
      </c>
      <c r="H3" s="18" t="s">
        <v>2657</v>
      </c>
      <c r="I3" s="18" t="s">
        <v>10</v>
      </c>
      <c r="J3" s="18" t="s">
        <v>43</v>
      </c>
      <c r="K3" s="20"/>
      <c r="L3" s="7" t="s">
        <v>2656</v>
      </c>
      <c r="M3" s="7">
        <f>COUNTIF(H:H,"รอตรวจสอบคำขอ")</f>
        <v>0</v>
      </c>
      <c r="N3" s="11" t="s">
        <v>214</v>
      </c>
    </row>
    <row r="4" spans="1:15" ht="36.75" thickBot="1">
      <c r="A4" s="18" t="s">
        <v>252</v>
      </c>
      <c r="B4" s="18">
        <v>20002748911</v>
      </c>
      <c r="C4" s="18" t="s">
        <v>253</v>
      </c>
      <c r="D4" s="19">
        <v>45316.837500000001</v>
      </c>
      <c r="E4" s="18" t="s">
        <v>10</v>
      </c>
      <c r="F4" s="18">
        <v>5</v>
      </c>
      <c r="G4" s="19">
        <v>45421.479166666664</v>
      </c>
      <c r="H4" s="18" t="s">
        <v>2657</v>
      </c>
      <c r="I4" s="18" t="s">
        <v>10</v>
      </c>
      <c r="J4" s="18" t="s">
        <v>40</v>
      </c>
      <c r="K4" s="20"/>
      <c r="L4" s="7" t="s">
        <v>178</v>
      </c>
      <c r="M4" s="7">
        <f>COUNTIF(H:H,"ยกเลิก")</f>
        <v>146</v>
      </c>
      <c r="N4" s="11" t="s">
        <v>214</v>
      </c>
    </row>
    <row r="5" spans="1:15" ht="36.75" thickBot="1">
      <c r="A5" s="18" t="s">
        <v>67</v>
      </c>
      <c r="B5" s="18">
        <v>20023582976</v>
      </c>
      <c r="C5" s="18" t="s">
        <v>68</v>
      </c>
      <c r="D5" s="19">
        <v>45327.573611111111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46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63</v>
      </c>
      <c r="B6" s="18">
        <v>20024770022</v>
      </c>
      <c r="C6" s="18" t="s">
        <v>64</v>
      </c>
      <c r="D6" s="19">
        <v>45338.490277777775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43</v>
      </c>
      <c r="K6" s="20"/>
      <c r="L6" s="7" t="s">
        <v>189</v>
      </c>
      <c r="M6" s="14">
        <f>COUNTIF(H:H,"รอชำระเงิน")</f>
        <v>16</v>
      </c>
      <c r="N6" s="11" t="s">
        <v>214</v>
      </c>
      <c r="O6" s="7" t="s">
        <v>359</v>
      </c>
    </row>
    <row r="7" spans="1:15" ht="36.75" thickBot="1">
      <c r="A7" s="18" t="s">
        <v>61</v>
      </c>
      <c r="B7" s="18">
        <v>20021923020</v>
      </c>
      <c r="C7" s="18" t="s">
        <v>62</v>
      </c>
      <c r="D7" s="19">
        <v>45341.682638888888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43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2</v>
      </c>
      <c r="N7" s="11" t="s">
        <v>214</v>
      </c>
    </row>
    <row r="8" spans="1:15" ht="36.75" thickBot="1">
      <c r="A8" s="18" t="s">
        <v>60</v>
      </c>
      <c r="B8" s="18">
        <v>20017752291</v>
      </c>
      <c r="C8" s="18" t="s">
        <v>57</v>
      </c>
      <c r="D8" s="19">
        <v>45342.429166666669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40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14</v>
      </c>
      <c r="N8" s="11" t="s">
        <v>214</v>
      </c>
    </row>
    <row r="9" spans="1:15" ht="36.75" thickBot="1">
      <c r="A9" s="18" t="s">
        <v>58</v>
      </c>
      <c r="B9" s="18">
        <v>20019766745</v>
      </c>
      <c r="C9" s="18" t="s">
        <v>59</v>
      </c>
      <c r="D9" s="19">
        <v>45345.65625</v>
      </c>
      <c r="E9" s="18" t="s">
        <v>10</v>
      </c>
      <c r="F9" s="18">
        <v>10</v>
      </c>
      <c r="G9" s="19">
        <v>45513.436111111114</v>
      </c>
      <c r="H9" s="18" t="s">
        <v>236</v>
      </c>
      <c r="I9" s="18" t="s">
        <v>10</v>
      </c>
      <c r="J9" s="18" t="s">
        <v>53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2</v>
      </c>
      <c r="N9" t="s">
        <v>214</v>
      </c>
    </row>
    <row r="10" spans="1:15" ht="36.75" thickBot="1">
      <c r="A10" s="18" t="s">
        <v>51</v>
      </c>
      <c r="B10" s="18">
        <v>2001413706</v>
      </c>
      <c r="C10" s="18" t="s">
        <v>52</v>
      </c>
      <c r="D10" s="19">
        <v>45370.921527777777</v>
      </c>
      <c r="E10" s="18" t="s">
        <v>10</v>
      </c>
      <c r="F10" s="18">
        <v>10</v>
      </c>
      <c r="G10" s="18" t="s">
        <v>10</v>
      </c>
      <c r="H10" s="18" t="s">
        <v>178</v>
      </c>
      <c r="I10" s="18" t="s">
        <v>10</v>
      </c>
      <c r="J10" s="18" t="s">
        <v>53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49</v>
      </c>
      <c r="B11" s="18">
        <v>20017774126</v>
      </c>
      <c r="C11" s="18" t="s">
        <v>50</v>
      </c>
      <c r="D11" s="19">
        <v>45372.727777777778</v>
      </c>
      <c r="E11" s="18" t="s">
        <v>10</v>
      </c>
      <c r="F11" s="18">
        <v>3</v>
      </c>
      <c r="G11" s="18" t="s">
        <v>10</v>
      </c>
      <c r="H11" s="18" t="s">
        <v>178</v>
      </c>
      <c r="I11" s="18" t="s">
        <v>10</v>
      </c>
      <c r="J11" s="18" t="s">
        <v>43</v>
      </c>
      <c r="K11" s="20"/>
      <c r="L11" t="s">
        <v>2654</v>
      </c>
      <c r="M11">
        <f>COUNTIF(H:H,"รอตรวจสอบระบบผลิต")</f>
        <v>0</v>
      </c>
      <c r="N11" t="s">
        <v>214</v>
      </c>
    </row>
    <row r="12" spans="1:15" ht="36.75" thickBot="1">
      <c r="A12" s="18" t="s">
        <v>47</v>
      </c>
      <c r="B12" s="18">
        <v>20023664494</v>
      </c>
      <c r="C12" s="18" t="s">
        <v>48</v>
      </c>
      <c r="D12" s="19">
        <v>45373.601388888892</v>
      </c>
      <c r="E12" s="18" t="s">
        <v>10</v>
      </c>
      <c r="F12" s="18">
        <v>3</v>
      </c>
      <c r="G12" s="18" t="s">
        <v>10</v>
      </c>
      <c r="H12" s="18" t="s">
        <v>178</v>
      </c>
      <c r="I12" s="18" t="s">
        <v>10</v>
      </c>
      <c r="J12" s="18" t="s">
        <v>43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44</v>
      </c>
      <c r="B13" s="18">
        <v>20025491820</v>
      </c>
      <c r="C13" s="18" t="s">
        <v>45</v>
      </c>
      <c r="D13" s="19">
        <v>45373.644444444442</v>
      </c>
      <c r="E13" s="18" t="s">
        <v>10</v>
      </c>
      <c r="F13" s="18">
        <v>3</v>
      </c>
      <c r="G13" s="18" t="s">
        <v>10</v>
      </c>
      <c r="H13" s="18" t="s">
        <v>178</v>
      </c>
      <c r="I13" s="18" t="s">
        <v>10</v>
      </c>
      <c r="J13" s="18" t="s">
        <v>46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41</v>
      </c>
      <c r="B14" s="18">
        <v>20023013391</v>
      </c>
      <c r="C14" s="18" t="s">
        <v>42</v>
      </c>
      <c r="D14" s="19">
        <v>45374.68472222222</v>
      </c>
      <c r="E14" s="18" t="s">
        <v>10</v>
      </c>
      <c r="F14" s="18">
        <v>3</v>
      </c>
      <c r="G14" s="18" t="s">
        <v>10</v>
      </c>
      <c r="H14" s="18" t="s">
        <v>178</v>
      </c>
      <c r="I14" s="18" t="s">
        <v>10</v>
      </c>
      <c r="J14" s="18" t="s">
        <v>43</v>
      </c>
      <c r="K14" s="20"/>
      <c r="L14" t="s">
        <v>236</v>
      </c>
      <c r="M14">
        <f>COUNTIF(H:H,"เชื่อมต่อเรียบร้อยแล้ว")</f>
        <v>114</v>
      </c>
      <c r="N14" t="s">
        <v>214</v>
      </c>
    </row>
    <row r="15" spans="1:15" ht="36.75" thickBot="1">
      <c r="A15" s="18" t="s">
        <v>38</v>
      </c>
      <c r="B15" s="18">
        <v>20002936844</v>
      </c>
      <c r="C15" s="18" t="s">
        <v>39</v>
      </c>
      <c r="D15" s="19">
        <v>45378.392361111109</v>
      </c>
      <c r="E15" s="18" t="s">
        <v>10</v>
      </c>
      <c r="F15" s="18">
        <v>5</v>
      </c>
      <c r="G15" s="19">
        <v>45517.45208333333</v>
      </c>
      <c r="H15" s="18" t="s">
        <v>236</v>
      </c>
      <c r="I15" s="18" t="s">
        <v>10</v>
      </c>
      <c r="J15" s="18" t="s">
        <v>40</v>
      </c>
      <c r="K15" s="20"/>
    </row>
    <row r="16" spans="1:15" ht="36.75" thickBot="1">
      <c r="A16" s="18" t="s">
        <v>330</v>
      </c>
      <c r="B16" s="18">
        <v>20021923020</v>
      </c>
      <c r="C16" s="18" t="s">
        <v>62</v>
      </c>
      <c r="D16" s="19">
        <v>45404.419444444444</v>
      </c>
      <c r="E16" s="18" t="s">
        <v>10</v>
      </c>
      <c r="F16" s="18">
        <v>5</v>
      </c>
      <c r="G16" s="19">
        <v>45513.435416666667</v>
      </c>
      <c r="H16" s="18" t="s">
        <v>236</v>
      </c>
      <c r="I16" s="18" t="s">
        <v>10</v>
      </c>
      <c r="J16" s="18" t="s">
        <v>43</v>
      </c>
      <c r="K16" s="20"/>
    </row>
    <row r="17" spans="1:11" ht="36.75" thickBot="1">
      <c r="A17" s="18" t="s">
        <v>331</v>
      </c>
      <c r="B17" s="18">
        <v>20003432365</v>
      </c>
      <c r="C17" s="18" t="s">
        <v>332</v>
      </c>
      <c r="D17" s="19">
        <v>45405.36041666667</v>
      </c>
      <c r="E17" s="18" t="s">
        <v>10</v>
      </c>
      <c r="F17" s="18">
        <v>5</v>
      </c>
      <c r="G17" s="19">
        <v>45526.585416666669</v>
      </c>
      <c r="H17" s="18" t="s">
        <v>236</v>
      </c>
      <c r="I17" s="18" t="s">
        <v>10</v>
      </c>
      <c r="J17" s="18" t="s">
        <v>53</v>
      </c>
      <c r="K17" s="20"/>
    </row>
    <row r="18" spans="1:11" ht="36.75" thickBot="1">
      <c r="A18" s="18" t="s">
        <v>562</v>
      </c>
      <c r="B18" s="18">
        <v>20002784110</v>
      </c>
      <c r="C18" s="18" t="s">
        <v>220</v>
      </c>
      <c r="D18" s="19">
        <v>45456.459027777775</v>
      </c>
      <c r="E18" s="18" t="s">
        <v>10</v>
      </c>
      <c r="F18" s="18">
        <v>15</v>
      </c>
      <c r="G18" s="19">
        <v>45538.488888888889</v>
      </c>
      <c r="H18" s="18" t="s">
        <v>236</v>
      </c>
      <c r="I18" s="18" t="s">
        <v>10</v>
      </c>
      <c r="J18" s="18" t="s">
        <v>46</v>
      </c>
      <c r="K18" s="20"/>
    </row>
    <row r="19" spans="1:11" ht="36.75" thickBot="1">
      <c r="A19" s="18" t="s">
        <v>563</v>
      </c>
      <c r="B19" s="18">
        <v>20021971350</v>
      </c>
      <c r="C19" s="18" t="s">
        <v>564</v>
      </c>
      <c r="D19" s="19">
        <v>45465.691666666666</v>
      </c>
      <c r="E19" s="18" t="s">
        <v>10</v>
      </c>
      <c r="F19" s="18">
        <v>5</v>
      </c>
      <c r="G19" s="18" t="s">
        <v>10</v>
      </c>
      <c r="H19" s="18" t="s">
        <v>178</v>
      </c>
      <c r="I19" s="18" t="s">
        <v>10</v>
      </c>
      <c r="J19" s="18" t="s">
        <v>565</v>
      </c>
      <c r="K19" s="20"/>
    </row>
    <row r="20" spans="1:11" ht="36.75" thickBot="1">
      <c r="A20" s="18" t="s">
        <v>678</v>
      </c>
      <c r="B20" s="18">
        <v>20002786479</v>
      </c>
      <c r="C20" s="18" t="s">
        <v>219</v>
      </c>
      <c r="D20" s="19">
        <v>45475.554166666669</v>
      </c>
      <c r="E20" s="18" t="s">
        <v>10</v>
      </c>
      <c r="F20" s="18">
        <v>15</v>
      </c>
      <c r="G20" s="18" t="s">
        <v>10</v>
      </c>
      <c r="H20" s="18" t="s">
        <v>178</v>
      </c>
      <c r="I20" s="18" t="s">
        <v>10</v>
      </c>
      <c r="J20" s="18" t="s">
        <v>46</v>
      </c>
      <c r="K20" s="20"/>
    </row>
    <row r="21" spans="1:11" ht="36.75" thickBot="1">
      <c r="A21" s="18" t="s">
        <v>679</v>
      </c>
      <c r="B21" s="18">
        <v>20025861090</v>
      </c>
      <c r="C21" s="18" t="s">
        <v>215</v>
      </c>
      <c r="D21" s="19">
        <v>45476.420138888891</v>
      </c>
      <c r="E21" s="18" t="s">
        <v>10</v>
      </c>
      <c r="F21" s="18">
        <v>20</v>
      </c>
      <c r="G21" s="19">
        <v>45509.543749999997</v>
      </c>
      <c r="H21" s="18" t="s">
        <v>2688</v>
      </c>
      <c r="I21" s="18" t="s">
        <v>10</v>
      </c>
      <c r="J21" s="18" t="s">
        <v>43</v>
      </c>
      <c r="K21" s="20"/>
    </row>
    <row r="22" spans="1:11" ht="36.75" thickBot="1">
      <c r="A22" s="18" t="s">
        <v>680</v>
      </c>
      <c r="B22" s="18">
        <v>20002806508</v>
      </c>
      <c r="C22" s="18" t="s">
        <v>681</v>
      </c>
      <c r="D22" s="19">
        <v>45487.597222222219</v>
      </c>
      <c r="E22" s="18" t="s">
        <v>10</v>
      </c>
      <c r="F22" s="18">
        <v>10</v>
      </c>
      <c r="G22" s="18" t="s">
        <v>10</v>
      </c>
      <c r="H22" s="18" t="s">
        <v>178</v>
      </c>
      <c r="I22" s="18" t="s">
        <v>10</v>
      </c>
      <c r="J22" s="18" t="s">
        <v>46</v>
      </c>
      <c r="K22" s="20"/>
    </row>
    <row r="23" spans="1:11" ht="36.75" thickBot="1">
      <c r="A23" s="18" t="s">
        <v>770</v>
      </c>
      <c r="B23" s="18">
        <v>20026924626</v>
      </c>
      <c r="C23" s="18" t="s">
        <v>771</v>
      </c>
      <c r="D23" s="19">
        <v>45489.583333333336</v>
      </c>
      <c r="E23" s="18" t="s">
        <v>10</v>
      </c>
      <c r="F23" s="18">
        <v>10</v>
      </c>
      <c r="G23" s="18" t="s">
        <v>10</v>
      </c>
      <c r="H23" s="18" t="s">
        <v>178</v>
      </c>
      <c r="I23" s="18" t="s">
        <v>10</v>
      </c>
      <c r="J23" s="18" t="s">
        <v>40</v>
      </c>
      <c r="K23" s="20"/>
    </row>
    <row r="24" spans="1:11" ht="36.75" thickBot="1">
      <c r="A24" s="18" t="s">
        <v>774</v>
      </c>
      <c r="B24" s="18">
        <v>20017422499</v>
      </c>
      <c r="C24" s="18" t="s">
        <v>775</v>
      </c>
      <c r="D24" s="19">
        <v>45497.646527777775</v>
      </c>
      <c r="E24" s="18" t="s">
        <v>10</v>
      </c>
      <c r="F24" s="18">
        <v>15</v>
      </c>
      <c r="G24" s="19">
        <v>45560.445833333331</v>
      </c>
      <c r="H24" s="18" t="s">
        <v>236</v>
      </c>
      <c r="I24" s="18" t="s">
        <v>10</v>
      </c>
      <c r="J24" s="18" t="s">
        <v>40</v>
      </c>
      <c r="K24" s="20"/>
    </row>
    <row r="25" spans="1:11" ht="36.75" thickBot="1">
      <c r="A25" s="18" t="s">
        <v>403</v>
      </c>
      <c r="B25" s="18">
        <v>20003071961</v>
      </c>
      <c r="C25" s="18" t="s">
        <v>404</v>
      </c>
      <c r="D25" s="19">
        <v>45435.906944444447</v>
      </c>
      <c r="E25" s="19">
        <v>45498.477083333331</v>
      </c>
      <c r="F25" s="18">
        <v>3</v>
      </c>
      <c r="G25" s="19">
        <v>45524.570833333331</v>
      </c>
      <c r="H25" s="18" t="s">
        <v>236</v>
      </c>
      <c r="I25" s="18" t="s">
        <v>10</v>
      </c>
      <c r="J25" s="18" t="s">
        <v>43</v>
      </c>
      <c r="K25" s="20"/>
    </row>
    <row r="26" spans="1:11" ht="36.75" thickBot="1">
      <c r="A26" s="18" t="s">
        <v>54</v>
      </c>
      <c r="B26" s="18">
        <v>20003349658</v>
      </c>
      <c r="C26" s="18" t="s">
        <v>55</v>
      </c>
      <c r="D26" s="19">
        <v>45350.910416666666</v>
      </c>
      <c r="E26" s="19">
        <v>45498.676388888889</v>
      </c>
      <c r="F26" s="18">
        <v>3</v>
      </c>
      <c r="G26" s="18" t="s">
        <v>10</v>
      </c>
      <c r="H26" s="18" t="s">
        <v>178</v>
      </c>
      <c r="I26" s="18" t="s">
        <v>10</v>
      </c>
      <c r="J26" s="18" t="s">
        <v>53</v>
      </c>
      <c r="K26" s="20"/>
    </row>
    <row r="27" spans="1:11" ht="36.75" thickBot="1">
      <c r="A27" s="18" t="s">
        <v>56</v>
      </c>
      <c r="B27" s="18">
        <v>20017752291</v>
      </c>
      <c r="C27" s="18" t="s">
        <v>57</v>
      </c>
      <c r="D27" s="19">
        <v>45350.737500000003</v>
      </c>
      <c r="E27" s="19">
        <v>45498.760416666664</v>
      </c>
      <c r="F27" s="18">
        <v>5</v>
      </c>
      <c r="G27" s="18" t="s">
        <v>10</v>
      </c>
      <c r="H27" s="18" t="s">
        <v>236</v>
      </c>
      <c r="I27" s="18" t="s">
        <v>10</v>
      </c>
      <c r="J27" s="18" t="s">
        <v>40</v>
      </c>
      <c r="K27" s="20"/>
    </row>
    <row r="28" spans="1:11" ht="36.75" thickBot="1">
      <c r="A28" s="18" t="s">
        <v>777</v>
      </c>
      <c r="B28" s="18">
        <v>20025103990</v>
      </c>
      <c r="C28" s="18" t="s">
        <v>778</v>
      </c>
      <c r="D28" s="19">
        <v>45499.490972222222</v>
      </c>
      <c r="E28" s="18" t="s">
        <v>10</v>
      </c>
      <c r="F28" s="18">
        <v>3</v>
      </c>
      <c r="G28" s="18" t="s">
        <v>10</v>
      </c>
      <c r="H28" s="18" t="s">
        <v>178</v>
      </c>
      <c r="I28" s="18" t="s">
        <v>10</v>
      </c>
      <c r="J28" s="18" t="s">
        <v>779</v>
      </c>
      <c r="K28" s="20"/>
    </row>
    <row r="29" spans="1:11" ht="36.75" thickBot="1">
      <c r="A29" s="18" t="s">
        <v>937</v>
      </c>
      <c r="B29" s="18">
        <v>20027653069</v>
      </c>
      <c r="C29" s="18" t="s">
        <v>938</v>
      </c>
      <c r="D29" s="19">
        <v>45507.462500000001</v>
      </c>
      <c r="E29" s="18" t="s">
        <v>10</v>
      </c>
      <c r="F29" s="18">
        <v>5</v>
      </c>
      <c r="G29" s="19">
        <v>45555.551388888889</v>
      </c>
      <c r="H29" s="18" t="s">
        <v>2657</v>
      </c>
      <c r="I29" s="18" t="s">
        <v>10</v>
      </c>
      <c r="J29" s="18" t="s">
        <v>43</v>
      </c>
      <c r="K29" s="20"/>
    </row>
    <row r="30" spans="1:11" ht="36.75" thickBot="1">
      <c r="A30" s="18" t="s">
        <v>939</v>
      </c>
      <c r="B30" s="18">
        <v>20002737945</v>
      </c>
      <c r="C30" s="18" t="s">
        <v>940</v>
      </c>
      <c r="D30" s="19">
        <v>45512.696527777778</v>
      </c>
      <c r="E30" s="18" t="s">
        <v>10</v>
      </c>
      <c r="F30" s="18">
        <v>10</v>
      </c>
      <c r="G30" s="18" t="s">
        <v>10</v>
      </c>
      <c r="H30" s="18" t="s">
        <v>178</v>
      </c>
      <c r="I30" s="18" t="s">
        <v>10</v>
      </c>
      <c r="J30" s="18" t="s">
        <v>783</v>
      </c>
      <c r="K30" s="20"/>
    </row>
    <row r="31" spans="1:11" ht="36.75" thickBot="1">
      <c r="A31" s="18" t="s">
        <v>65</v>
      </c>
      <c r="B31" s="18">
        <v>20020110415</v>
      </c>
      <c r="C31" s="18" t="s">
        <v>66</v>
      </c>
      <c r="D31" s="19">
        <v>45333.693055555559</v>
      </c>
      <c r="E31" s="19">
        <v>45517.372916666667</v>
      </c>
      <c r="F31" s="18">
        <v>10</v>
      </c>
      <c r="G31" s="19">
        <v>45547.36041666667</v>
      </c>
      <c r="H31" s="18" t="s">
        <v>236</v>
      </c>
      <c r="I31" s="18" t="s">
        <v>10</v>
      </c>
      <c r="J31" s="18" t="s">
        <v>46</v>
      </c>
      <c r="K31" s="20"/>
    </row>
    <row r="32" spans="1:11" ht="36.75" thickBot="1">
      <c r="A32" s="18" t="s">
        <v>941</v>
      </c>
      <c r="B32" s="18">
        <v>20002786479</v>
      </c>
      <c r="C32" s="18" t="s">
        <v>942</v>
      </c>
      <c r="D32" s="19">
        <v>45517.845833333333</v>
      </c>
      <c r="E32" s="18" t="s">
        <v>10</v>
      </c>
      <c r="F32" s="18">
        <v>15</v>
      </c>
      <c r="G32" s="19">
        <v>45538.488888888889</v>
      </c>
      <c r="H32" s="18" t="s">
        <v>236</v>
      </c>
      <c r="I32" s="18" t="s">
        <v>10</v>
      </c>
      <c r="J32" s="18" t="s">
        <v>46</v>
      </c>
      <c r="K32" s="20"/>
    </row>
    <row r="33" spans="1:11" ht="36.75" thickBot="1">
      <c r="A33" s="18" t="s">
        <v>943</v>
      </c>
      <c r="B33" s="18">
        <v>20003025956</v>
      </c>
      <c r="C33" s="18" t="s">
        <v>944</v>
      </c>
      <c r="D33" s="19">
        <v>45519.433333333334</v>
      </c>
      <c r="E33" s="18" t="s">
        <v>10</v>
      </c>
      <c r="F33" s="18">
        <v>20</v>
      </c>
      <c r="G33" s="18" t="s">
        <v>10</v>
      </c>
      <c r="H33" s="18" t="s">
        <v>178</v>
      </c>
      <c r="I33" s="18" t="s">
        <v>10</v>
      </c>
      <c r="J33" s="18" t="s">
        <v>43</v>
      </c>
      <c r="K33" s="20"/>
    </row>
    <row r="34" spans="1:11" ht="36.75" thickBot="1">
      <c r="A34" s="18" t="s">
        <v>945</v>
      </c>
      <c r="B34" s="18">
        <v>20016841721</v>
      </c>
      <c r="C34" s="18" t="s">
        <v>946</v>
      </c>
      <c r="D34" s="19">
        <v>45519.496527777781</v>
      </c>
      <c r="E34" s="18" t="s">
        <v>10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947</v>
      </c>
      <c r="K34" s="20"/>
    </row>
    <row r="35" spans="1:11" ht="36.75" thickBot="1">
      <c r="A35" s="18" t="s">
        <v>780</v>
      </c>
      <c r="B35" s="18">
        <v>20025103990</v>
      </c>
      <c r="C35" s="18" t="s">
        <v>778</v>
      </c>
      <c r="D35" s="19">
        <v>45499.513888888891</v>
      </c>
      <c r="E35" s="19">
        <v>45520.407638888886</v>
      </c>
      <c r="F35" s="18">
        <v>3</v>
      </c>
      <c r="G35" s="19">
        <v>45530.413194444445</v>
      </c>
      <c r="H35" s="18" t="s">
        <v>236</v>
      </c>
      <c r="I35" s="18" t="s">
        <v>10</v>
      </c>
      <c r="J35" s="18" t="s">
        <v>779</v>
      </c>
      <c r="K35" s="20"/>
    </row>
    <row r="36" spans="1:11" ht="36.75" thickBot="1">
      <c r="A36" s="18" t="s">
        <v>776</v>
      </c>
      <c r="B36" s="18">
        <v>20003349658</v>
      </c>
      <c r="C36" s="18" t="s">
        <v>55</v>
      </c>
      <c r="D36" s="19">
        <v>45498.746527777781</v>
      </c>
      <c r="E36" s="19">
        <v>45522.497916666667</v>
      </c>
      <c r="F36" s="18">
        <v>3</v>
      </c>
      <c r="G36" s="19">
        <v>45546.425694444442</v>
      </c>
      <c r="H36" s="18" t="s">
        <v>236</v>
      </c>
      <c r="I36" s="18" t="s">
        <v>10</v>
      </c>
      <c r="J36" s="18" t="s">
        <v>53</v>
      </c>
      <c r="K36" s="20"/>
    </row>
    <row r="37" spans="1:11" ht="36.75" thickBot="1">
      <c r="A37" s="18" t="s">
        <v>948</v>
      </c>
      <c r="B37" s="18">
        <v>20002772572</v>
      </c>
      <c r="C37" s="18" t="s">
        <v>949</v>
      </c>
      <c r="D37" s="19">
        <v>45523.526388888888</v>
      </c>
      <c r="E37" s="18" t="s">
        <v>10</v>
      </c>
      <c r="F37" s="18">
        <v>5</v>
      </c>
      <c r="G37" s="18" t="s">
        <v>10</v>
      </c>
      <c r="H37" s="18" t="s">
        <v>178</v>
      </c>
      <c r="I37" s="18" t="s">
        <v>10</v>
      </c>
      <c r="J37" s="18" t="s">
        <v>783</v>
      </c>
      <c r="K37" s="20"/>
    </row>
    <row r="38" spans="1:11" ht="36.75" thickBot="1">
      <c r="A38" s="18" t="s">
        <v>950</v>
      </c>
      <c r="B38" s="18">
        <v>20026652115</v>
      </c>
      <c r="C38" s="18" t="s">
        <v>951</v>
      </c>
      <c r="D38" s="19">
        <v>45520.786805555559</v>
      </c>
      <c r="E38" s="19">
        <v>45524.624305555553</v>
      </c>
      <c r="F38" s="18">
        <v>6</v>
      </c>
      <c r="G38" s="18" t="s">
        <v>10</v>
      </c>
      <c r="H38" s="18" t="s">
        <v>178</v>
      </c>
      <c r="I38" s="18" t="s">
        <v>10</v>
      </c>
      <c r="J38" s="18" t="s">
        <v>40</v>
      </c>
      <c r="K38" s="20"/>
    </row>
    <row r="39" spans="1:11" ht="36.75" thickBot="1">
      <c r="A39" s="18" t="s">
        <v>952</v>
      </c>
      <c r="B39" s="18">
        <v>20026652172</v>
      </c>
      <c r="C39" s="18" t="s">
        <v>951</v>
      </c>
      <c r="D39" s="19">
        <v>45520.90347222222</v>
      </c>
      <c r="E39" s="19">
        <v>45524.636111111111</v>
      </c>
      <c r="F39" s="18">
        <v>6</v>
      </c>
      <c r="G39" s="18" t="s">
        <v>10</v>
      </c>
      <c r="H39" s="18" t="s">
        <v>178</v>
      </c>
      <c r="I39" s="18" t="s">
        <v>10</v>
      </c>
      <c r="J39" s="18" t="s">
        <v>43</v>
      </c>
      <c r="K39" s="20"/>
    </row>
    <row r="40" spans="1:11" ht="36.75" thickBot="1">
      <c r="A40" s="18" t="s">
        <v>953</v>
      </c>
      <c r="B40" s="18">
        <v>20026652171</v>
      </c>
      <c r="C40" s="18" t="s">
        <v>951</v>
      </c>
      <c r="D40" s="19">
        <v>45520.913194444445</v>
      </c>
      <c r="E40" s="19">
        <v>45524.674305555556</v>
      </c>
      <c r="F40" s="18">
        <v>6</v>
      </c>
      <c r="G40" s="18" t="s">
        <v>10</v>
      </c>
      <c r="H40" s="18" t="s">
        <v>178</v>
      </c>
      <c r="I40" s="18" t="s">
        <v>10</v>
      </c>
      <c r="J40" s="18" t="s">
        <v>43</v>
      </c>
      <c r="K40" s="20"/>
    </row>
    <row r="41" spans="1:11" ht="36.75" thickBot="1">
      <c r="A41" s="18" t="s">
        <v>954</v>
      </c>
      <c r="B41" s="18">
        <v>20026651651</v>
      </c>
      <c r="C41" s="18" t="s">
        <v>951</v>
      </c>
      <c r="D41" s="19">
        <v>45520.920138888891</v>
      </c>
      <c r="E41" s="19">
        <v>45524.679166666669</v>
      </c>
      <c r="F41" s="18">
        <v>6</v>
      </c>
      <c r="G41" s="18" t="s">
        <v>10</v>
      </c>
      <c r="H41" s="18" t="s">
        <v>178</v>
      </c>
      <c r="I41" s="18" t="s">
        <v>10</v>
      </c>
      <c r="J41" s="18" t="s">
        <v>46</v>
      </c>
      <c r="K41" s="20"/>
    </row>
    <row r="42" spans="1:11" ht="36.75" thickBot="1">
      <c r="A42" s="18" t="s">
        <v>772</v>
      </c>
      <c r="B42" s="18">
        <v>20002818446</v>
      </c>
      <c r="C42" s="18" t="s">
        <v>773</v>
      </c>
      <c r="D42" s="19">
        <v>45490.46875</v>
      </c>
      <c r="E42" s="19">
        <v>45526.591666666667</v>
      </c>
      <c r="F42" s="18">
        <v>10</v>
      </c>
      <c r="G42" s="19">
        <v>45558.506944444445</v>
      </c>
      <c r="H42" s="18" t="s">
        <v>236</v>
      </c>
      <c r="I42" s="18" t="s">
        <v>10</v>
      </c>
      <c r="J42" s="18" t="s">
        <v>43</v>
      </c>
      <c r="K42" s="20"/>
    </row>
    <row r="43" spans="1:11" ht="36.75" thickBot="1">
      <c r="A43" s="18" t="s">
        <v>955</v>
      </c>
      <c r="B43" s="18">
        <v>20003025956</v>
      </c>
      <c r="C43" s="18" t="s">
        <v>956</v>
      </c>
      <c r="D43" s="19">
        <v>45528.651388888888</v>
      </c>
      <c r="E43" s="18" t="s">
        <v>10</v>
      </c>
      <c r="F43" s="18">
        <v>20</v>
      </c>
      <c r="G43" s="19">
        <v>45586.418749999997</v>
      </c>
      <c r="H43" s="18" t="s">
        <v>236</v>
      </c>
      <c r="I43" s="18" t="s">
        <v>10</v>
      </c>
      <c r="J43" s="18" t="s">
        <v>43</v>
      </c>
      <c r="K43" s="20"/>
    </row>
    <row r="44" spans="1:11" ht="36.75" thickBot="1">
      <c r="A44" s="18" t="s">
        <v>957</v>
      </c>
      <c r="B44" s="18">
        <v>20002806508</v>
      </c>
      <c r="C44" s="18" t="s">
        <v>681</v>
      </c>
      <c r="D44" s="19">
        <v>45528.905555555553</v>
      </c>
      <c r="E44" s="18" t="s">
        <v>10</v>
      </c>
      <c r="F44" s="18">
        <v>10</v>
      </c>
      <c r="G44" s="19">
        <v>45573.652777777781</v>
      </c>
      <c r="H44" s="18" t="s">
        <v>236</v>
      </c>
      <c r="I44" s="18" t="s">
        <v>10</v>
      </c>
      <c r="J44" s="18" t="s">
        <v>46</v>
      </c>
      <c r="K44" s="20"/>
    </row>
    <row r="45" spans="1:11" ht="36.75" thickBot="1">
      <c r="A45" s="18" t="s">
        <v>958</v>
      </c>
      <c r="B45" s="18">
        <v>20024779022</v>
      </c>
      <c r="C45" s="18" t="s">
        <v>64</v>
      </c>
      <c r="D45" s="19">
        <v>45530.441666666666</v>
      </c>
      <c r="E45" s="18" t="s">
        <v>10</v>
      </c>
      <c r="F45" s="18">
        <v>10</v>
      </c>
      <c r="G45" s="18" t="s">
        <v>10</v>
      </c>
      <c r="H45" s="18" t="s">
        <v>178</v>
      </c>
      <c r="I45" s="18" t="s">
        <v>10</v>
      </c>
      <c r="J45" s="18" t="s">
        <v>43</v>
      </c>
      <c r="K45" s="20"/>
    </row>
    <row r="46" spans="1:11" ht="36.75" thickBot="1">
      <c r="A46" s="18" t="s">
        <v>1110</v>
      </c>
      <c r="B46" s="18">
        <v>20003333203</v>
      </c>
      <c r="C46" s="18" t="s">
        <v>1111</v>
      </c>
      <c r="D46" s="19">
        <v>45536.660416666666</v>
      </c>
      <c r="E46" s="18" t="s">
        <v>10</v>
      </c>
      <c r="F46" s="18">
        <v>10</v>
      </c>
      <c r="G46" s="18" t="s">
        <v>10</v>
      </c>
      <c r="H46" s="18" t="s">
        <v>178</v>
      </c>
      <c r="I46" s="18" t="s">
        <v>10</v>
      </c>
      <c r="J46" s="18" t="s">
        <v>43</v>
      </c>
      <c r="K46" s="20"/>
    </row>
    <row r="47" spans="1:11" ht="36.75" thickBot="1">
      <c r="A47" s="18" t="s">
        <v>1112</v>
      </c>
      <c r="B47" s="18">
        <v>20003212575</v>
      </c>
      <c r="C47" s="18" t="s">
        <v>1113</v>
      </c>
      <c r="D47" s="19">
        <v>45539.404166666667</v>
      </c>
      <c r="E47" s="18" t="s">
        <v>10</v>
      </c>
      <c r="F47" s="18">
        <v>10</v>
      </c>
      <c r="G47" s="18" t="s">
        <v>10</v>
      </c>
      <c r="H47" s="18" t="s">
        <v>178</v>
      </c>
      <c r="I47" s="18" t="s">
        <v>10</v>
      </c>
      <c r="J47" s="18" t="s">
        <v>779</v>
      </c>
      <c r="K47" s="20"/>
    </row>
    <row r="48" spans="1:11" ht="36.75" thickBot="1">
      <c r="A48" s="18" t="s">
        <v>1114</v>
      </c>
      <c r="B48" s="18">
        <v>20002772572</v>
      </c>
      <c r="C48" s="18" t="s">
        <v>949</v>
      </c>
      <c r="D48" s="19">
        <v>45539.566666666666</v>
      </c>
      <c r="E48" s="18" t="s">
        <v>10</v>
      </c>
      <c r="F48" s="18">
        <v>5</v>
      </c>
      <c r="G48" s="18" t="s">
        <v>10</v>
      </c>
      <c r="H48" s="18" t="s">
        <v>178</v>
      </c>
      <c r="I48" s="18" t="s">
        <v>10</v>
      </c>
      <c r="J48" s="18" t="s">
        <v>783</v>
      </c>
      <c r="K48" s="20"/>
    </row>
    <row r="49" spans="1:11" ht="36.75" thickBot="1">
      <c r="A49" s="18" t="s">
        <v>1115</v>
      </c>
      <c r="B49" s="18">
        <v>20020039603</v>
      </c>
      <c r="C49" s="18" t="s">
        <v>1116</v>
      </c>
      <c r="D49" s="19">
        <v>45543.818749999999</v>
      </c>
      <c r="E49" s="18" t="s">
        <v>10</v>
      </c>
      <c r="F49" s="18">
        <v>3</v>
      </c>
      <c r="G49" s="18" t="s">
        <v>10</v>
      </c>
      <c r="H49" s="18" t="s">
        <v>178</v>
      </c>
      <c r="I49" s="18" t="s">
        <v>10</v>
      </c>
      <c r="J49" s="18" t="s">
        <v>43</v>
      </c>
      <c r="K49" s="20"/>
    </row>
    <row r="50" spans="1:11" ht="36.75" thickBot="1">
      <c r="A50" s="18" t="s">
        <v>1117</v>
      </c>
      <c r="B50" s="18">
        <v>20018651826</v>
      </c>
      <c r="C50" s="18" t="s">
        <v>1118</v>
      </c>
      <c r="D50" s="19">
        <v>45544.543749999997</v>
      </c>
      <c r="E50" s="18" t="s">
        <v>10</v>
      </c>
      <c r="F50" s="18">
        <v>15</v>
      </c>
      <c r="G50" s="18" t="s">
        <v>10</v>
      </c>
      <c r="H50" s="18" t="s">
        <v>178</v>
      </c>
      <c r="I50" s="18" t="s">
        <v>10</v>
      </c>
      <c r="J50" s="18" t="s">
        <v>1119</v>
      </c>
      <c r="K50" s="20"/>
    </row>
    <row r="51" spans="1:11" ht="36.75" thickBot="1">
      <c r="A51" s="18" t="s">
        <v>1120</v>
      </c>
      <c r="B51" s="18">
        <v>20020339453</v>
      </c>
      <c r="C51" s="18" t="s">
        <v>1121</v>
      </c>
      <c r="D51" s="19">
        <v>45548.428472222222</v>
      </c>
      <c r="E51" s="18" t="s">
        <v>10</v>
      </c>
      <c r="F51" s="18">
        <v>2</v>
      </c>
      <c r="G51" s="18" t="s">
        <v>10</v>
      </c>
      <c r="H51" s="18" t="s">
        <v>178</v>
      </c>
      <c r="I51" s="18" t="s">
        <v>10</v>
      </c>
      <c r="J51" s="18" t="s">
        <v>565</v>
      </c>
      <c r="K51" s="20"/>
    </row>
    <row r="52" spans="1:11" ht="36.75" thickBot="1">
      <c r="A52" s="18" t="s">
        <v>1122</v>
      </c>
      <c r="B52" s="18">
        <v>20024146541</v>
      </c>
      <c r="C52" s="18" t="s">
        <v>1123</v>
      </c>
      <c r="D52" s="19">
        <v>45548.7</v>
      </c>
      <c r="E52" s="18" t="s">
        <v>10</v>
      </c>
      <c r="F52" s="18">
        <v>15</v>
      </c>
      <c r="G52" s="19">
        <v>45560.445833333331</v>
      </c>
      <c r="H52" s="18" t="s">
        <v>236</v>
      </c>
      <c r="I52" s="18" t="s">
        <v>10</v>
      </c>
      <c r="J52" s="18" t="s">
        <v>40</v>
      </c>
      <c r="K52" s="20"/>
    </row>
    <row r="53" spans="1:11" ht="36.75" thickBot="1">
      <c r="A53" s="18" t="s">
        <v>1124</v>
      </c>
      <c r="B53" s="18">
        <v>20002877360</v>
      </c>
      <c r="C53" s="18" t="s">
        <v>1125</v>
      </c>
      <c r="D53" s="19">
        <v>45539.594444444447</v>
      </c>
      <c r="E53" s="19">
        <v>45548.722222222219</v>
      </c>
      <c r="F53" s="18">
        <v>15</v>
      </c>
      <c r="G53" s="19">
        <v>45560.59097222222</v>
      </c>
      <c r="H53" s="18" t="s">
        <v>236</v>
      </c>
      <c r="I53" s="18" t="s">
        <v>10</v>
      </c>
      <c r="J53" s="18" t="s">
        <v>43</v>
      </c>
      <c r="K53" s="20"/>
    </row>
    <row r="54" spans="1:11" ht="36.75" thickBot="1">
      <c r="A54" s="18" t="s">
        <v>1126</v>
      </c>
      <c r="B54" s="18">
        <v>20020339453</v>
      </c>
      <c r="C54" s="18" t="s">
        <v>1121</v>
      </c>
      <c r="D54" s="19">
        <v>45552.513194444444</v>
      </c>
      <c r="E54" s="18" t="s">
        <v>10</v>
      </c>
      <c r="F54" s="18">
        <v>2</v>
      </c>
      <c r="G54" s="19">
        <v>45559.494444444441</v>
      </c>
      <c r="H54" s="18" t="s">
        <v>236</v>
      </c>
      <c r="I54" s="18" t="s">
        <v>10</v>
      </c>
      <c r="J54" s="18" t="s">
        <v>565</v>
      </c>
      <c r="K54" s="20"/>
    </row>
    <row r="55" spans="1:11" ht="36.75" thickBot="1">
      <c r="A55" s="18" t="s">
        <v>1127</v>
      </c>
      <c r="B55" s="18">
        <v>20024779022</v>
      </c>
      <c r="C55" s="18" t="s">
        <v>64</v>
      </c>
      <c r="D55" s="19">
        <v>45553.574999999997</v>
      </c>
      <c r="E55" s="18" t="s">
        <v>10</v>
      </c>
      <c r="F55" s="18">
        <v>10</v>
      </c>
      <c r="G55" s="18" t="s">
        <v>10</v>
      </c>
      <c r="H55" s="18" t="s">
        <v>178</v>
      </c>
      <c r="I55" s="18" t="s">
        <v>10</v>
      </c>
      <c r="J55" s="18" t="s">
        <v>43</v>
      </c>
      <c r="K55" s="20"/>
    </row>
    <row r="56" spans="1:11" ht="36.75" thickBot="1">
      <c r="A56" s="18" t="s">
        <v>781</v>
      </c>
      <c r="B56" s="18">
        <v>20021752393</v>
      </c>
      <c r="C56" s="18" t="s">
        <v>782</v>
      </c>
      <c r="D56" s="19">
        <v>45499.572916666664</v>
      </c>
      <c r="E56" s="19">
        <v>45554.934027777781</v>
      </c>
      <c r="F56" s="18">
        <v>3</v>
      </c>
      <c r="G56" s="19">
        <v>45582.593055555553</v>
      </c>
      <c r="H56" s="18" t="s">
        <v>236</v>
      </c>
      <c r="I56" s="18" t="s">
        <v>10</v>
      </c>
      <c r="J56" s="18" t="s">
        <v>783</v>
      </c>
      <c r="K56" s="20"/>
    </row>
    <row r="57" spans="1:11" ht="36.75" thickBot="1">
      <c r="A57" s="18" t="s">
        <v>1250</v>
      </c>
      <c r="B57" s="18">
        <v>20002737945</v>
      </c>
      <c r="C57" s="18" t="s">
        <v>1251</v>
      </c>
      <c r="D57" s="19">
        <v>45555.496527777781</v>
      </c>
      <c r="E57" s="19">
        <v>45558.436111111114</v>
      </c>
      <c r="F57" s="18">
        <v>10</v>
      </c>
      <c r="G57" s="19">
        <v>45560.476388888892</v>
      </c>
      <c r="H57" s="18" t="s">
        <v>178</v>
      </c>
      <c r="I57" s="18" t="s">
        <v>10</v>
      </c>
      <c r="J57" s="18" t="s">
        <v>783</v>
      </c>
      <c r="K57" s="20"/>
    </row>
    <row r="58" spans="1:11" ht="36.75" thickBot="1">
      <c r="A58" s="18" t="s">
        <v>1252</v>
      </c>
      <c r="B58" s="18">
        <v>20020541386</v>
      </c>
      <c r="C58" s="18" t="s">
        <v>1253</v>
      </c>
      <c r="D58" s="19">
        <v>45560.976388888892</v>
      </c>
      <c r="E58" s="18" t="s">
        <v>10</v>
      </c>
      <c r="F58" s="18">
        <v>10</v>
      </c>
      <c r="G58" s="19">
        <v>45595.569444444445</v>
      </c>
      <c r="H58" s="18" t="s">
        <v>236</v>
      </c>
      <c r="I58" s="18" t="s">
        <v>10</v>
      </c>
      <c r="J58" s="18" t="s">
        <v>43</v>
      </c>
      <c r="K58" s="20"/>
    </row>
    <row r="59" spans="1:11" ht="36.75" thickBot="1">
      <c r="A59" s="18" t="s">
        <v>1254</v>
      </c>
      <c r="B59" s="18">
        <v>20024876709</v>
      </c>
      <c r="C59" s="18" t="s">
        <v>1255</v>
      </c>
      <c r="D59" s="19">
        <v>45565.727083333331</v>
      </c>
      <c r="E59" s="19">
        <v>45565.809027777781</v>
      </c>
      <c r="F59" s="18">
        <v>10</v>
      </c>
      <c r="G59" s="19">
        <v>45581.548611111109</v>
      </c>
      <c r="H59" s="18" t="s">
        <v>236</v>
      </c>
      <c r="I59" s="18" t="s">
        <v>10</v>
      </c>
      <c r="J59" s="18" t="s">
        <v>43</v>
      </c>
      <c r="K59" s="20"/>
    </row>
    <row r="60" spans="1:11" ht="36.75" thickBot="1">
      <c r="A60" s="18" t="s">
        <v>1258</v>
      </c>
      <c r="B60" s="18">
        <v>20003621310</v>
      </c>
      <c r="C60" s="18" t="s">
        <v>1259</v>
      </c>
      <c r="D60" s="19">
        <v>45565.39166666667</v>
      </c>
      <c r="E60" s="19">
        <v>45566.361111111109</v>
      </c>
      <c r="F60" s="18">
        <v>10</v>
      </c>
      <c r="G60" s="18" t="s">
        <v>10</v>
      </c>
      <c r="H60" s="18" t="s">
        <v>178</v>
      </c>
      <c r="I60" s="18" t="s">
        <v>10</v>
      </c>
      <c r="J60" s="18" t="s">
        <v>40</v>
      </c>
      <c r="K60" s="20"/>
    </row>
    <row r="61" spans="1:11" ht="36.75" thickBot="1">
      <c r="A61" s="18" t="s">
        <v>1256</v>
      </c>
      <c r="B61" s="18">
        <v>20026287774</v>
      </c>
      <c r="C61" s="18" t="s">
        <v>1257</v>
      </c>
      <c r="D61" s="19">
        <v>45561.677083333336</v>
      </c>
      <c r="E61" s="19">
        <v>45566.490277777775</v>
      </c>
      <c r="F61" s="18">
        <v>10</v>
      </c>
      <c r="G61" s="19">
        <v>45581.548611111109</v>
      </c>
      <c r="H61" s="18" t="s">
        <v>236</v>
      </c>
      <c r="I61" s="18" t="s">
        <v>10</v>
      </c>
      <c r="J61" s="18" t="s">
        <v>43</v>
      </c>
      <c r="K61" s="20"/>
    </row>
    <row r="62" spans="1:11" ht="36.75" thickBot="1">
      <c r="A62" s="18" t="s">
        <v>1341</v>
      </c>
      <c r="B62" s="18">
        <v>20018651826</v>
      </c>
      <c r="C62" s="18" t="s">
        <v>1118</v>
      </c>
      <c r="D62" s="19">
        <v>45567.690972222219</v>
      </c>
      <c r="E62" s="18" t="s">
        <v>10</v>
      </c>
      <c r="F62" s="18">
        <v>15</v>
      </c>
      <c r="G62" s="18" t="s">
        <v>10</v>
      </c>
      <c r="H62" s="18" t="s">
        <v>178</v>
      </c>
      <c r="I62" s="18" t="s">
        <v>10</v>
      </c>
      <c r="J62" s="18" t="s">
        <v>1119</v>
      </c>
      <c r="K62" s="20"/>
    </row>
    <row r="63" spans="1:11" ht="36.75" thickBot="1">
      <c r="A63" s="18" t="s">
        <v>1342</v>
      </c>
      <c r="B63" s="18">
        <v>20024516307</v>
      </c>
      <c r="C63" s="18" t="s">
        <v>1343</v>
      </c>
      <c r="D63" s="19">
        <v>45568.631944444445</v>
      </c>
      <c r="E63" s="18" t="s">
        <v>10</v>
      </c>
      <c r="F63" s="18">
        <v>10</v>
      </c>
      <c r="G63" s="19">
        <v>45610.582638888889</v>
      </c>
      <c r="H63" s="18" t="s">
        <v>236</v>
      </c>
      <c r="I63" s="18" t="s">
        <v>10</v>
      </c>
      <c r="J63" s="18" t="s">
        <v>40</v>
      </c>
      <c r="K63" s="20"/>
    </row>
    <row r="64" spans="1:11" ht="36.75" thickBot="1">
      <c r="A64" s="18" t="s">
        <v>1344</v>
      </c>
      <c r="B64" s="18">
        <v>20018651826</v>
      </c>
      <c r="C64" s="18" t="s">
        <v>1118</v>
      </c>
      <c r="D64" s="19">
        <v>45569.925694444442</v>
      </c>
      <c r="E64" s="18" t="s">
        <v>10</v>
      </c>
      <c r="F64" s="18">
        <v>15</v>
      </c>
      <c r="G64" s="18" t="s">
        <v>10</v>
      </c>
      <c r="H64" s="18" t="s">
        <v>178</v>
      </c>
      <c r="I64" s="18" t="s">
        <v>10</v>
      </c>
      <c r="J64" s="18" t="s">
        <v>1119</v>
      </c>
      <c r="K64" s="20"/>
    </row>
    <row r="65" spans="1:11" ht="36.75" thickBot="1">
      <c r="A65" s="18" t="s">
        <v>1345</v>
      </c>
      <c r="B65" s="18">
        <v>20023296166</v>
      </c>
      <c r="C65" s="18" t="s">
        <v>1346</v>
      </c>
      <c r="D65" s="19">
        <v>45572.59652777778</v>
      </c>
      <c r="E65" s="18" t="s">
        <v>10</v>
      </c>
      <c r="F65" s="18">
        <v>5</v>
      </c>
      <c r="G65" s="18" t="s">
        <v>10</v>
      </c>
      <c r="H65" s="18" t="s">
        <v>178</v>
      </c>
      <c r="I65" s="18" t="s">
        <v>10</v>
      </c>
      <c r="J65" s="18" t="s">
        <v>40</v>
      </c>
      <c r="K65" s="20"/>
    </row>
    <row r="66" spans="1:11" ht="36.75" thickBot="1">
      <c r="A66" s="18" t="s">
        <v>1347</v>
      </c>
      <c r="B66" s="18">
        <v>20002738784</v>
      </c>
      <c r="C66" s="18" t="s">
        <v>1348</v>
      </c>
      <c r="D66" s="19">
        <v>45572.606944444444</v>
      </c>
      <c r="E66" s="18" t="s">
        <v>10</v>
      </c>
      <c r="F66" s="18">
        <v>5</v>
      </c>
      <c r="G66" s="18" t="s">
        <v>10</v>
      </c>
      <c r="H66" s="18" t="s">
        <v>178</v>
      </c>
      <c r="I66" s="18" t="s">
        <v>10</v>
      </c>
      <c r="J66" s="18" t="s">
        <v>1119</v>
      </c>
      <c r="K66" s="20"/>
    </row>
    <row r="67" spans="1:11" ht="36.75" thickBot="1">
      <c r="A67" s="18" t="s">
        <v>1349</v>
      </c>
      <c r="B67" s="18">
        <v>20017206148</v>
      </c>
      <c r="C67" s="18" t="s">
        <v>1350</v>
      </c>
      <c r="D67" s="19">
        <v>45572.67083333333</v>
      </c>
      <c r="E67" s="18" t="s">
        <v>10</v>
      </c>
      <c r="F67" s="18">
        <v>5</v>
      </c>
      <c r="G67" s="18" t="s">
        <v>10</v>
      </c>
      <c r="H67" s="18" t="s">
        <v>178</v>
      </c>
      <c r="I67" s="18" t="s">
        <v>10</v>
      </c>
      <c r="J67" s="18" t="s">
        <v>1119</v>
      </c>
      <c r="K67" s="20"/>
    </row>
    <row r="68" spans="1:11" ht="36.75" thickBot="1">
      <c r="A68" s="18" t="s">
        <v>1351</v>
      </c>
      <c r="B68" s="18">
        <v>20003281175</v>
      </c>
      <c r="C68" s="18" t="s">
        <v>1352</v>
      </c>
      <c r="D68" s="19">
        <v>45570.936111111114</v>
      </c>
      <c r="E68" s="19">
        <v>45572.729166666664</v>
      </c>
      <c r="F68" s="18">
        <v>10</v>
      </c>
      <c r="G68" s="19">
        <v>45581.401388888888</v>
      </c>
      <c r="H68" s="18" t="s">
        <v>236</v>
      </c>
      <c r="I68" s="18" t="s">
        <v>10</v>
      </c>
      <c r="J68" s="18" t="s">
        <v>565</v>
      </c>
      <c r="K68" s="20"/>
    </row>
    <row r="69" spans="1:11" ht="36.75" thickBot="1">
      <c r="A69" s="18" t="s">
        <v>1353</v>
      </c>
      <c r="B69" s="18">
        <v>20018651826</v>
      </c>
      <c r="C69" s="18" t="s">
        <v>1354</v>
      </c>
      <c r="D69" s="19">
        <v>45572.677777777775</v>
      </c>
      <c r="E69" s="19">
        <v>45572.738194444442</v>
      </c>
      <c r="F69" s="18">
        <v>15</v>
      </c>
      <c r="G69" s="18" t="s">
        <v>10</v>
      </c>
      <c r="H69" s="18" t="s">
        <v>178</v>
      </c>
      <c r="I69" s="18" t="s">
        <v>10</v>
      </c>
      <c r="J69" s="18" t="s">
        <v>1119</v>
      </c>
      <c r="K69" s="20"/>
    </row>
    <row r="70" spans="1:11" ht="36.75" thickBot="1">
      <c r="A70" s="18" t="s">
        <v>1355</v>
      </c>
      <c r="B70" s="18">
        <v>20024159973</v>
      </c>
      <c r="C70" s="18" t="s">
        <v>1356</v>
      </c>
      <c r="D70" s="19">
        <v>45573.479861111111</v>
      </c>
      <c r="E70" s="18" t="s">
        <v>10</v>
      </c>
      <c r="F70" s="18">
        <v>5</v>
      </c>
      <c r="G70" s="18" t="s">
        <v>10</v>
      </c>
      <c r="H70" s="18" t="s">
        <v>178</v>
      </c>
      <c r="I70" s="18" t="s">
        <v>10</v>
      </c>
      <c r="J70" s="18" t="s">
        <v>565</v>
      </c>
      <c r="K70" s="20"/>
    </row>
    <row r="71" spans="1:11" ht="36.75" thickBot="1">
      <c r="A71" s="18" t="s">
        <v>1357</v>
      </c>
      <c r="B71" s="18">
        <v>20002737945</v>
      </c>
      <c r="C71" s="18" t="s">
        <v>1251</v>
      </c>
      <c r="D71" s="19">
        <v>45574.669444444444</v>
      </c>
      <c r="E71" s="19">
        <v>45575.472916666666</v>
      </c>
      <c r="F71" s="18">
        <v>10</v>
      </c>
      <c r="G71" s="19">
        <v>45581.617361111108</v>
      </c>
      <c r="H71" s="18" t="s">
        <v>236</v>
      </c>
      <c r="I71" s="18" t="s">
        <v>10</v>
      </c>
      <c r="J71" s="18" t="s">
        <v>783</v>
      </c>
      <c r="K71" s="20"/>
    </row>
    <row r="72" spans="1:11" ht="36.75" thickBot="1">
      <c r="A72" s="18" t="s">
        <v>1358</v>
      </c>
      <c r="B72" s="18">
        <v>20027788510</v>
      </c>
      <c r="C72" s="18" t="s">
        <v>1359</v>
      </c>
      <c r="D72" s="19">
        <v>45575.768055555556</v>
      </c>
      <c r="E72" s="18" t="s">
        <v>10</v>
      </c>
      <c r="F72" s="18">
        <v>5</v>
      </c>
      <c r="G72" s="18" t="s">
        <v>10</v>
      </c>
      <c r="H72" s="18" t="s">
        <v>178</v>
      </c>
      <c r="I72" s="18" t="s">
        <v>10</v>
      </c>
      <c r="J72" s="18" t="s">
        <v>40</v>
      </c>
      <c r="K72" s="20"/>
    </row>
    <row r="73" spans="1:11" ht="36.75" thickBot="1">
      <c r="A73" s="18" t="s">
        <v>1360</v>
      </c>
      <c r="B73" s="18">
        <v>20003215429</v>
      </c>
      <c r="C73" s="18" t="s">
        <v>1361</v>
      </c>
      <c r="D73" s="19">
        <v>45577.561111111114</v>
      </c>
      <c r="E73" s="18" t="s">
        <v>10</v>
      </c>
      <c r="F73" s="18">
        <v>10</v>
      </c>
      <c r="G73" s="18" t="s">
        <v>10</v>
      </c>
      <c r="H73" s="18" t="s">
        <v>178</v>
      </c>
      <c r="I73" s="18" t="s">
        <v>10</v>
      </c>
      <c r="J73" s="18" t="s">
        <v>779</v>
      </c>
      <c r="K73" s="20"/>
    </row>
    <row r="74" spans="1:11" ht="36.75" thickBot="1">
      <c r="A74" s="18" t="s">
        <v>1362</v>
      </c>
      <c r="B74" s="18">
        <v>20002995404</v>
      </c>
      <c r="C74" s="18" t="s">
        <v>1363</v>
      </c>
      <c r="D74" s="19">
        <v>45570.464583333334</v>
      </c>
      <c r="E74" s="19">
        <v>45577.569444444445</v>
      </c>
      <c r="F74" s="18">
        <v>5</v>
      </c>
      <c r="G74" s="18" t="s">
        <v>10</v>
      </c>
      <c r="H74" s="18" t="s">
        <v>178</v>
      </c>
      <c r="I74" s="18" t="s">
        <v>10</v>
      </c>
      <c r="J74" s="18" t="s">
        <v>43</v>
      </c>
      <c r="K74" s="20"/>
    </row>
    <row r="75" spans="1:11" ht="36.75" thickBot="1">
      <c r="A75" s="18" t="s">
        <v>1366</v>
      </c>
      <c r="B75" s="18">
        <v>20025183461</v>
      </c>
      <c r="C75" s="18" t="s">
        <v>1367</v>
      </c>
      <c r="D75" s="19">
        <v>45569.572222222225</v>
      </c>
      <c r="E75" s="19">
        <v>45580.421527777777</v>
      </c>
      <c r="F75" s="18">
        <v>5</v>
      </c>
      <c r="G75" s="18" t="s">
        <v>10</v>
      </c>
      <c r="H75" s="18" t="s">
        <v>178</v>
      </c>
      <c r="I75" s="18" t="s">
        <v>10</v>
      </c>
      <c r="J75" s="18" t="s">
        <v>43</v>
      </c>
      <c r="K75" s="20"/>
    </row>
    <row r="76" spans="1:11" ht="36.75" thickBot="1">
      <c r="A76" s="18" t="s">
        <v>1368</v>
      </c>
      <c r="B76" s="18">
        <v>20016841794</v>
      </c>
      <c r="C76" s="18" t="s">
        <v>1369</v>
      </c>
      <c r="D76" s="19">
        <v>45572.638194444444</v>
      </c>
      <c r="E76" s="19">
        <v>45580.696527777778</v>
      </c>
      <c r="F76" s="18">
        <v>10</v>
      </c>
      <c r="G76" s="19">
        <v>45582.429166666669</v>
      </c>
      <c r="H76" s="18" t="s">
        <v>236</v>
      </c>
      <c r="I76" s="18" t="s">
        <v>10</v>
      </c>
      <c r="J76" s="18" t="s">
        <v>947</v>
      </c>
      <c r="K76" s="20"/>
    </row>
    <row r="77" spans="1:11" ht="36.75" thickBot="1">
      <c r="A77" s="18" t="s">
        <v>1370</v>
      </c>
      <c r="B77" s="18">
        <v>20024807141</v>
      </c>
      <c r="C77" s="18" t="s">
        <v>1371</v>
      </c>
      <c r="D77" s="19">
        <v>45573.517361111109</v>
      </c>
      <c r="E77" s="19">
        <v>45581.491666666669</v>
      </c>
      <c r="F77" s="18">
        <v>5</v>
      </c>
      <c r="G77" s="19">
        <v>45652.604166666664</v>
      </c>
      <c r="H77" s="18" t="s">
        <v>2657</v>
      </c>
      <c r="I77" s="18" t="s">
        <v>10</v>
      </c>
      <c r="J77" s="18" t="s">
        <v>1372</v>
      </c>
      <c r="K77" s="20"/>
    </row>
    <row r="78" spans="1:11" ht="36.75" thickBot="1">
      <c r="A78" s="18" t="s">
        <v>1373</v>
      </c>
      <c r="B78" s="18">
        <v>20018651826</v>
      </c>
      <c r="C78" s="18" t="s">
        <v>1118</v>
      </c>
      <c r="D78" s="19">
        <v>45581.546527777777</v>
      </c>
      <c r="E78" s="18" t="s">
        <v>10</v>
      </c>
      <c r="F78" s="18">
        <v>15</v>
      </c>
      <c r="G78" s="19">
        <v>45583.428472222222</v>
      </c>
      <c r="H78" s="18" t="s">
        <v>236</v>
      </c>
      <c r="I78" s="18" t="s">
        <v>10</v>
      </c>
      <c r="J78" s="18" t="s">
        <v>1119</v>
      </c>
      <c r="K78" s="20"/>
    </row>
    <row r="79" spans="1:11" ht="36.75" thickBot="1">
      <c r="A79" s="18" t="s">
        <v>1456</v>
      </c>
      <c r="B79" s="18">
        <v>20003139136</v>
      </c>
      <c r="C79" s="18" t="s">
        <v>1457</v>
      </c>
      <c r="D79" s="19">
        <v>45582.359027777777</v>
      </c>
      <c r="E79" s="18" t="s">
        <v>10</v>
      </c>
      <c r="F79" s="18">
        <v>3</v>
      </c>
      <c r="G79" s="18" t="s">
        <v>10</v>
      </c>
      <c r="H79" s="18" t="s">
        <v>178</v>
      </c>
      <c r="I79" s="18" t="s">
        <v>10</v>
      </c>
      <c r="J79" s="18" t="s">
        <v>46</v>
      </c>
      <c r="K79" s="20"/>
    </row>
    <row r="80" spans="1:11" ht="36.75" thickBot="1">
      <c r="A80" s="18" t="s">
        <v>1364</v>
      </c>
      <c r="B80" s="18">
        <v>20018938212</v>
      </c>
      <c r="C80" s="18" t="s">
        <v>1365</v>
      </c>
      <c r="D80" s="19">
        <v>45578.447916666664</v>
      </c>
      <c r="E80" s="19">
        <v>45584.699305555558</v>
      </c>
      <c r="F80" s="18">
        <v>10</v>
      </c>
      <c r="G80" s="19">
        <v>45687.430555555555</v>
      </c>
      <c r="H80" s="18" t="s">
        <v>236</v>
      </c>
      <c r="I80" s="18" t="s">
        <v>10</v>
      </c>
      <c r="J80" s="18" t="s">
        <v>40</v>
      </c>
      <c r="K80" s="20"/>
    </row>
    <row r="81" spans="1:11" ht="36.75" thickBot="1">
      <c r="A81" s="18" t="s">
        <v>1460</v>
      </c>
      <c r="B81" s="18">
        <v>20018497367</v>
      </c>
      <c r="C81" s="18" t="s">
        <v>1461</v>
      </c>
      <c r="D81" s="19">
        <v>45586.464583333334</v>
      </c>
      <c r="E81" s="18" t="s">
        <v>10</v>
      </c>
      <c r="F81" s="18">
        <v>10</v>
      </c>
      <c r="G81" s="18" t="s">
        <v>10</v>
      </c>
      <c r="H81" s="18" t="s">
        <v>178</v>
      </c>
      <c r="I81" s="18" t="s">
        <v>10</v>
      </c>
      <c r="J81" s="18" t="s">
        <v>43</v>
      </c>
      <c r="K81" s="20"/>
    </row>
    <row r="82" spans="1:11" ht="36.75" thickBot="1">
      <c r="A82" s="18" t="s">
        <v>1462</v>
      </c>
      <c r="B82" s="18">
        <v>20002768829</v>
      </c>
      <c r="C82" s="18" t="s">
        <v>1463</v>
      </c>
      <c r="D82" s="19">
        <v>45586.57708333333</v>
      </c>
      <c r="E82" s="18" t="s">
        <v>10</v>
      </c>
      <c r="F82" s="18">
        <v>5</v>
      </c>
      <c r="G82" s="19">
        <v>45671.543055555558</v>
      </c>
      <c r="H82" s="18" t="s">
        <v>236</v>
      </c>
      <c r="I82" s="18" t="s">
        <v>10</v>
      </c>
      <c r="J82" s="18" t="s">
        <v>43</v>
      </c>
      <c r="K82" s="20"/>
    </row>
    <row r="83" spans="1:11" ht="36.75" thickBot="1">
      <c r="A83" s="18" t="s">
        <v>1464</v>
      </c>
      <c r="B83" s="18">
        <v>20021552766</v>
      </c>
      <c r="C83" s="18" t="s">
        <v>1465</v>
      </c>
      <c r="D83" s="19">
        <v>45586.59097222222</v>
      </c>
      <c r="E83" s="18" t="s">
        <v>10</v>
      </c>
      <c r="F83" s="18">
        <v>20</v>
      </c>
      <c r="G83" s="18" t="s">
        <v>10</v>
      </c>
      <c r="H83" s="18" t="s">
        <v>178</v>
      </c>
      <c r="I83" s="18" t="s">
        <v>10</v>
      </c>
      <c r="J83" s="18" t="s">
        <v>43</v>
      </c>
      <c r="K83" s="20"/>
    </row>
    <row r="84" spans="1:11" ht="36.75" thickBot="1">
      <c r="A84" s="18" t="s">
        <v>1466</v>
      </c>
      <c r="B84" s="18">
        <v>20019665604</v>
      </c>
      <c r="C84" s="18" t="s">
        <v>1467</v>
      </c>
      <c r="D84" s="19">
        <v>45587.479861111111</v>
      </c>
      <c r="E84" s="18" t="s">
        <v>10</v>
      </c>
      <c r="F84" s="18">
        <v>20</v>
      </c>
      <c r="G84" s="18" t="s">
        <v>10</v>
      </c>
      <c r="H84" s="18" t="s">
        <v>178</v>
      </c>
      <c r="I84" s="18" t="s">
        <v>10</v>
      </c>
      <c r="J84" s="18" t="s">
        <v>40</v>
      </c>
      <c r="K84" s="20"/>
    </row>
    <row r="85" spans="1:11" ht="36.75" thickBot="1">
      <c r="A85" s="18" t="s">
        <v>1468</v>
      </c>
      <c r="B85" s="18">
        <v>20027788510</v>
      </c>
      <c r="C85" s="18" t="s">
        <v>1359</v>
      </c>
      <c r="D85" s="19">
        <v>45582.377083333333</v>
      </c>
      <c r="E85" s="19">
        <v>45587.581250000003</v>
      </c>
      <c r="F85" s="18">
        <v>5</v>
      </c>
      <c r="G85" s="19">
        <v>45685.53125</v>
      </c>
      <c r="H85" s="18" t="s">
        <v>236</v>
      </c>
      <c r="I85" s="18" t="s">
        <v>10</v>
      </c>
      <c r="J85" s="18" t="s">
        <v>40</v>
      </c>
      <c r="K85" s="20"/>
    </row>
    <row r="86" spans="1:11" ht="36.75" thickBot="1">
      <c r="A86" s="18" t="s">
        <v>1469</v>
      </c>
      <c r="B86" s="18">
        <v>20002933723</v>
      </c>
      <c r="C86" s="18" t="s">
        <v>1470</v>
      </c>
      <c r="D86" s="19">
        <v>45590.40347222222</v>
      </c>
      <c r="E86" s="18" t="s">
        <v>10</v>
      </c>
      <c r="F86" s="18">
        <v>15</v>
      </c>
      <c r="G86" s="18" t="s">
        <v>10</v>
      </c>
      <c r="H86" s="18" t="s">
        <v>178</v>
      </c>
      <c r="I86" s="18" t="s">
        <v>10</v>
      </c>
      <c r="J86" s="18" t="s">
        <v>1372</v>
      </c>
      <c r="K86" s="20"/>
    </row>
    <row r="87" spans="1:11" ht="36.75" thickBot="1">
      <c r="A87" s="18" t="s">
        <v>1473</v>
      </c>
      <c r="B87" s="18">
        <v>20023007757</v>
      </c>
      <c r="C87" s="18" t="s">
        <v>1474</v>
      </c>
      <c r="D87" s="19">
        <v>45593.625</v>
      </c>
      <c r="E87" s="18" t="s">
        <v>10</v>
      </c>
      <c r="F87" s="18">
        <v>10</v>
      </c>
      <c r="G87" s="18" t="s">
        <v>10</v>
      </c>
      <c r="H87" s="18" t="s">
        <v>178</v>
      </c>
      <c r="I87" s="18" t="s">
        <v>10</v>
      </c>
      <c r="J87" s="18" t="s">
        <v>43</v>
      </c>
      <c r="K87" s="20"/>
    </row>
    <row r="88" spans="1:11" ht="36.75" thickBot="1">
      <c r="A88" s="18" t="s">
        <v>1475</v>
      </c>
      <c r="B88" s="18">
        <v>20027738305</v>
      </c>
      <c r="C88" s="18" t="s">
        <v>1476</v>
      </c>
      <c r="D88" s="19">
        <v>45583.67291666667</v>
      </c>
      <c r="E88" s="19">
        <v>45595.424305555556</v>
      </c>
      <c r="F88" s="18">
        <v>10</v>
      </c>
      <c r="G88" s="19">
        <v>45643.541666666664</v>
      </c>
      <c r="H88" s="18" t="s">
        <v>236</v>
      </c>
      <c r="I88" s="18" t="s">
        <v>10</v>
      </c>
      <c r="J88" s="18" t="s">
        <v>43</v>
      </c>
      <c r="K88" s="20"/>
    </row>
    <row r="89" spans="1:11" ht="36.75" thickBot="1">
      <c r="A89" s="18" t="s">
        <v>1479</v>
      </c>
      <c r="B89" s="18">
        <v>20020952192</v>
      </c>
      <c r="C89" s="18" t="s">
        <v>1480</v>
      </c>
      <c r="D89" s="19">
        <v>45596.453472222223</v>
      </c>
      <c r="E89" s="18" t="s">
        <v>10</v>
      </c>
      <c r="F89" s="18">
        <v>20</v>
      </c>
      <c r="G89" s="18" t="s">
        <v>10</v>
      </c>
      <c r="H89" s="18" t="s">
        <v>178</v>
      </c>
      <c r="I89" s="18" t="s">
        <v>10</v>
      </c>
      <c r="J89" s="18" t="s">
        <v>40</v>
      </c>
      <c r="K89" s="20"/>
    </row>
    <row r="90" spans="1:11" ht="36.75" thickBot="1">
      <c r="A90" s="18" t="s">
        <v>1477</v>
      </c>
      <c r="B90" s="18">
        <v>20027323195</v>
      </c>
      <c r="C90" s="18" t="s">
        <v>1478</v>
      </c>
      <c r="D90" s="19">
        <v>45595.760416666664</v>
      </c>
      <c r="E90" s="19">
        <v>45597.515972222223</v>
      </c>
      <c r="F90" s="18">
        <v>5</v>
      </c>
      <c r="G90" s="19">
        <v>45618.509722222225</v>
      </c>
      <c r="H90" s="18" t="s">
        <v>236</v>
      </c>
      <c r="I90" s="18" t="s">
        <v>10</v>
      </c>
      <c r="J90" s="18" t="s">
        <v>43</v>
      </c>
      <c r="K90" s="20"/>
    </row>
    <row r="91" spans="1:11" ht="36.75" thickBot="1">
      <c r="A91" s="18" t="s">
        <v>1665</v>
      </c>
      <c r="B91" s="18">
        <v>20028053014</v>
      </c>
      <c r="C91" s="18" t="s">
        <v>1666</v>
      </c>
      <c r="D91" s="19">
        <v>45599.500694444447</v>
      </c>
      <c r="E91" s="18" t="s">
        <v>10</v>
      </c>
      <c r="F91" s="18">
        <v>5</v>
      </c>
      <c r="G91" s="19">
        <v>45666.463888888888</v>
      </c>
      <c r="H91" s="18" t="s">
        <v>2657</v>
      </c>
      <c r="I91" s="18" t="s">
        <v>10</v>
      </c>
      <c r="J91" s="18" t="s">
        <v>43</v>
      </c>
      <c r="K91" s="20"/>
    </row>
    <row r="92" spans="1:11" ht="36.75" thickBot="1">
      <c r="A92" s="18" t="s">
        <v>1667</v>
      </c>
      <c r="B92" s="18">
        <v>20003134902</v>
      </c>
      <c r="C92" s="18" t="s">
        <v>1668</v>
      </c>
      <c r="D92" s="19">
        <v>45599.642361111109</v>
      </c>
      <c r="E92" s="18" t="s">
        <v>10</v>
      </c>
      <c r="F92" s="18">
        <v>5</v>
      </c>
      <c r="G92" s="18" t="s">
        <v>10</v>
      </c>
      <c r="H92" s="18" t="s">
        <v>178</v>
      </c>
      <c r="I92" s="18" t="s">
        <v>10</v>
      </c>
      <c r="J92" s="18" t="s">
        <v>40</v>
      </c>
      <c r="K92" s="20"/>
    </row>
    <row r="93" spans="1:11" ht="36.75" thickBot="1">
      <c r="A93" s="18" t="s">
        <v>1669</v>
      </c>
      <c r="B93" s="18">
        <v>20003134869</v>
      </c>
      <c r="C93" s="18" t="s">
        <v>1668</v>
      </c>
      <c r="D93" s="19">
        <v>45600.957638888889</v>
      </c>
      <c r="E93" s="18" t="s">
        <v>10</v>
      </c>
      <c r="F93" s="18">
        <v>5</v>
      </c>
      <c r="G93" s="19">
        <v>45701.503472222219</v>
      </c>
      <c r="H93" s="18" t="s">
        <v>236</v>
      </c>
      <c r="I93" s="18" t="s">
        <v>10</v>
      </c>
      <c r="J93" s="18" t="s">
        <v>40</v>
      </c>
      <c r="K93" s="20"/>
    </row>
    <row r="94" spans="1:11" ht="36.75" thickBot="1">
      <c r="A94" s="18" t="s">
        <v>1670</v>
      </c>
      <c r="B94" s="18">
        <v>20019665604</v>
      </c>
      <c r="C94" s="18" t="s">
        <v>1671</v>
      </c>
      <c r="D94" s="19">
        <v>45601.556944444441</v>
      </c>
      <c r="E94" s="18" t="s">
        <v>10</v>
      </c>
      <c r="F94" s="18">
        <v>20</v>
      </c>
      <c r="G94" s="18" t="s">
        <v>10</v>
      </c>
      <c r="H94" s="18" t="s">
        <v>178</v>
      </c>
      <c r="I94" s="18" t="s">
        <v>10</v>
      </c>
      <c r="J94" s="18" t="s">
        <v>40</v>
      </c>
      <c r="K94" s="20"/>
    </row>
    <row r="95" spans="1:11" ht="36.75" thickBot="1">
      <c r="A95" s="18" t="s">
        <v>1672</v>
      </c>
      <c r="B95" s="18">
        <v>20022575282</v>
      </c>
      <c r="C95" s="18" t="s">
        <v>1673</v>
      </c>
      <c r="D95" s="19">
        <v>45596.630555555559</v>
      </c>
      <c r="E95" s="19">
        <v>45601.640277777777</v>
      </c>
      <c r="F95" s="18">
        <v>20</v>
      </c>
      <c r="G95" s="19">
        <v>45639.636111111111</v>
      </c>
      <c r="H95" s="18" t="s">
        <v>236</v>
      </c>
      <c r="I95" s="18" t="s">
        <v>10</v>
      </c>
      <c r="J95" s="18" t="s">
        <v>43</v>
      </c>
      <c r="K95" s="20"/>
    </row>
    <row r="96" spans="1:11" ht="36.75" thickBot="1">
      <c r="A96" s="18" t="s">
        <v>1674</v>
      </c>
      <c r="B96" s="18">
        <v>20022503006</v>
      </c>
      <c r="C96" s="18" t="s">
        <v>1675</v>
      </c>
      <c r="D96" s="19">
        <v>45596.684027777781</v>
      </c>
      <c r="E96" s="19">
        <v>45601.640277777777</v>
      </c>
      <c r="F96" s="18">
        <v>20</v>
      </c>
      <c r="G96" s="19">
        <v>45639.635416666664</v>
      </c>
      <c r="H96" s="18" t="s">
        <v>236</v>
      </c>
      <c r="I96" s="18" t="s">
        <v>10</v>
      </c>
      <c r="J96" s="18" t="s">
        <v>43</v>
      </c>
      <c r="K96" s="20"/>
    </row>
    <row r="97" spans="1:11" ht="36.75" thickBot="1">
      <c r="A97" s="18" t="s">
        <v>1676</v>
      </c>
      <c r="B97" s="18">
        <v>20002738784</v>
      </c>
      <c r="C97" s="18" t="s">
        <v>1348</v>
      </c>
      <c r="D97" s="19">
        <v>45601.504166666666</v>
      </c>
      <c r="E97" s="19">
        <v>45601.693055555559</v>
      </c>
      <c r="F97" s="18">
        <v>5</v>
      </c>
      <c r="G97" s="19">
        <v>45691.583333333336</v>
      </c>
      <c r="H97" s="18" t="s">
        <v>236</v>
      </c>
      <c r="I97" s="18" t="s">
        <v>10</v>
      </c>
      <c r="J97" s="18" t="s">
        <v>1119</v>
      </c>
      <c r="K97" s="20"/>
    </row>
    <row r="98" spans="1:11" ht="36.75" thickBot="1">
      <c r="A98" s="18" t="s">
        <v>1677</v>
      </c>
      <c r="B98" s="18">
        <v>20003134902</v>
      </c>
      <c r="C98" s="18" t="s">
        <v>1668</v>
      </c>
      <c r="D98" s="19">
        <v>45600.967361111114</v>
      </c>
      <c r="E98" s="19">
        <v>45601.857638888891</v>
      </c>
      <c r="F98" s="18">
        <v>5</v>
      </c>
      <c r="G98" s="19">
        <v>45701.50277777778</v>
      </c>
      <c r="H98" s="18" t="s">
        <v>236</v>
      </c>
      <c r="I98" s="18" t="s">
        <v>10</v>
      </c>
      <c r="J98" s="18" t="s">
        <v>40</v>
      </c>
      <c r="K98" s="20"/>
    </row>
    <row r="99" spans="1:11" ht="36.75" thickBot="1">
      <c r="A99" s="18" t="s">
        <v>1678</v>
      </c>
      <c r="B99" s="18">
        <v>20019665604</v>
      </c>
      <c r="C99" s="18" t="s">
        <v>1671</v>
      </c>
      <c r="D99" s="19">
        <v>45602.625694444447</v>
      </c>
      <c r="E99" s="18" t="s">
        <v>10</v>
      </c>
      <c r="F99" s="18">
        <v>20</v>
      </c>
      <c r="G99" s="19">
        <v>45709.538194444445</v>
      </c>
      <c r="H99" s="18" t="s">
        <v>236</v>
      </c>
      <c r="I99" s="18" t="s">
        <v>10</v>
      </c>
      <c r="J99" s="18" t="s">
        <v>40</v>
      </c>
      <c r="K99" s="20"/>
    </row>
    <row r="100" spans="1:11" ht="36.75" thickBot="1">
      <c r="A100" s="18" t="s">
        <v>1471</v>
      </c>
      <c r="B100" s="18">
        <v>20003220087</v>
      </c>
      <c r="C100" s="18" t="s">
        <v>1472</v>
      </c>
      <c r="D100" s="19">
        <v>45590.416666666664</v>
      </c>
      <c r="E100" s="19">
        <v>45602.914583333331</v>
      </c>
      <c r="F100" s="18">
        <v>15</v>
      </c>
      <c r="G100" s="18" t="s">
        <v>10</v>
      </c>
      <c r="H100" s="18" t="s">
        <v>178</v>
      </c>
      <c r="I100" s="18" t="s">
        <v>10</v>
      </c>
      <c r="J100" s="18" t="s">
        <v>43</v>
      </c>
      <c r="K100" s="20"/>
    </row>
    <row r="101" spans="1:11" ht="36.75" thickBot="1">
      <c r="A101" s="18" t="s">
        <v>1681</v>
      </c>
      <c r="B101" s="18">
        <v>20020798926</v>
      </c>
      <c r="C101" s="18" t="s">
        <v>1682</v>
      </c>
      <c r="D101" s="19">
        <v>45603.484722222223</v>
      </c>
      <c r="E101" s="18" t="s">
        <v>10</v>
      </c>
      <c r="F101" s="18">
        <v>2.85</v>
      </c>
      <c r="G101" s="18" t="s">
        <v>10</v>
      </c>
      <c r="H101" s="18" t="s">
        <v>178</v>
      </c>
      <c r="I101" s="18" t="s">
        <v>10</v>
      </c>
      <c r="J101" s="18" t="s">
        <v>43</v>
      </c>
      <c r="K101" s="20"/>
    </row>
    <row r="102" spans="1:11" ht="36.75" thickBot="1">
      <c r="A102" s="21" t="s">
        <v>1458</v>
      </c>
      <c r="B102" s="21">
        <v>20018524032</v>
      </c>
      <c r="C102" s="21" t="s">
        <v>1459</v>
      </c>
      <c r="D102" s="22">
        <v>45582.677777777775</v>
      </c>
      <c r="E102" s="22">
        <v>45603.597916666666</v>
      </c>
      <c r="F102" s="21">
        <v>20</v>
      </c>
      <c r="G102" s="22">
        <v>45673.618750000001</v>
      </c>
      <c r="H102" s="21" t="s">
        <v>236</v>
      </c>
      <c r="I102" s="21" t="s">
        <v>10</v>
      </c>
      <c r="J102" s="21" t="s">
        <v>43</v>
      </c>
      <c r="K102" s="1"/>
    </row>
    <row r="103" spans="1:11" ht="36.75" thickBot="1">
      <c r="A103" s="18" t="s">
        <v>1683</v>
      </c>
      <c r="B103" s="18">
        <v>20002777142</v>
      </c>
      <c r="C103" s="18" t="s">
        <v>1684</v>
      </c>
      <c r="D103" s="19">
        <v>45604.570833333331</v>
      </c>
      <c r="E103" s="18" t="s">
        <v>10</v>
      </c>
      <c r="F103" s="18">
        <v>10</v>
      </c>
      <c r="G103" s="18" t="s">
        <v>10</v>
      </c>
      <c r="H103" s="18" t="s">
        <v>178</v>
      </c>
      <c r="I103" s="18" t="s">
        <v>10</v>
      </c>
      <c r="J103" s="18" t="s">
        <v>1119</v>
      </c>
      <c r="K103" s="20"/>
    </row>
    <row r="104" spans="1:11" ht="36.75" thickBot="1">
      <c r="A104" s="18" t="s">
        <v>1685</v>
      </c>
      <c r="B104" s="18">
        <v>20002933723</v>
      </c>
      <c r="C104" s="18" t="s">
        <v>1470</v>
      </c>
      <c r="D104" s="19">
        <v>45603.929166666669</v>
      </c>
      <c r="E104" s="19">
        <v>45604.720833333333</v>
      </c>
      <c r="F104" s="18">
        <v>15</v>
      </c>
      <c r="G104" s="19">
        <v>45614.481249999997</v>
      </c>
      <c r="H104" s="18" t="s">
        <v>236</v>
      </c>
      <c r="I104" s="18" t="s">
        <v>10</v>
      </c>
      <c r="J104" s="18" t="s">
        <v>1372</v>
      </c>
      <c r="K104" s="20"/>
    </row>
    <row r="105" spans="1:11" ht="36.75" thickBot="1">
      <c r="A105" s="18" t="s">
        <v>1686</v>
      </c>
      <c r="B105" s="18">
        <v>20020952192</v>
      </c>
      <c r="C105" s="18" t="s">
        <v>1687</v>
      </c>
      <c r="D105" s="19">
        <v>45606.625694444447</v>
      </c>
      <c r="E105" s="18" t="s">
        <v>10</v>
      </c>
      <c r="F105" s="18">
        <v>20</v>
      </c>
      <c r="G105" s="19">
        <v>45615.390277777777</v>
      </c>
      <c r="H105" s="18" t="s">
        <v>236</v>
      </c>
      <c r="I105" s="18" t="s">
        <v>10</v>
      </c>
      <c r="J105" s="18" t="s">
        <v>40</v>
      </c>
      <c r="K105" s="20"/>
    </row>
    <row r="106" spans="1:11" ht="36.75" thickBot="1">
      <c r="A106" s="18" t="s">
        <v>1688</v>
      </c>
      <c r="B106" s="18">
        <v>20028074599</v>
      </c>
      <c r="C106" s="18" t="s">
        <v>1689</v>
      </c>
      <c r="D106" s="19">
        <v>45610.57916666667</v>
      </c>
      <c r="E106" s="18" t="s">
        <v>10</v>
      </c>
      <c r="F106" s="18">
        <v>10</v>
      </c>
      <c r="G106" s="18" t="s">
        <v>10</v>
      </c>
      <c r="H106" s="18" t="s">
        <v>178</v>
      </c>
      <c r="I106" s="18" t="s">
        <v>10</v>
      </c>
      <c r="J106" s="18" t="s">
        <v>43</v>
      </c>
      <c r="K106" s="20"/>
    </row>
    <row r="107" spans="1:11" ht="36.75" thickBot="1">
      <c r="A107" s="18" t="s">
        <v>1690</v>
      </c>
      <c r="B107" s="18">
        <v>20003220087</v>
      </c>
      <c r="C107" s="18" t="s">
        <v>1472</v>
      </c>
      <c r="D107" s="19">
        <v>45611.715277777781</v>
      </c>
      <c r="E107" s="18" t="s">
        <v>10</v>
      </c>
      <c r="F107" s="18">
        <v>15</v>
      </c>
      <c r="G107" s="19">
        <v>45621.589583333334</v>
      </c>
      <c r="H107" s="18" t="s">
        <v>236</v>
      </c>
      <c r="I107" s="18" t="s">
        <v>10</v>
      </c>
      <c r="J107" s="18" t="s">
        <v>43</v>
      </c>
      <c r="K107" s="20"/>
    </row>
    <row r="108" spans="1:11" ht="36.75" thickBot="1">
      <c r="A108" s="18" t="s">
        <v>1691</v>
      </c>
      <c r="B108" s="18">
        <v>20003283467</v>
      </c>
      <c r="C108" s="18" t="s">
        <v>1692</v>
      </c>
      <c r="D108" s="19">
        <v>45611.811111111114</v>
      </c>
      <c r="E108" s="18" t="s">
        <v>10</v>
      </c>
      <c r="F108" s="18">
        <v>20</v>
      </c>
      <c r="G108" s="18" t="s">
        <v>10</v>
      </c>
      <c r="H108" s="18" t="s">
        <v>178</v>
      </c>
      <c r="I108" s="18" t="s">
        <v>10</v>
      </c>
      <c r="J108" s="18" t="s">
        <v>779</v>
      </c>
      <c r="K108" s="20"/>
    </row>
    <row r="109" spans="1:11" ht="36.75" thickBot="1">
      <c r="A109" s="18" t="s">
        <v>1693</v>
      </c>
      <c r="B109" s="18">
        <v>20028074599</v>
      </c>
      <c r="C109" s="18" t="s">
        <v>1689</v>
      </c>
      <c r="D109" s="19">
        <v>45612.593055555553</v>
      </c>
      <c r="E109" s="18" t="s">
        <v>10</v>
      </c>
      <c r="F109" s="18">
        <v>10</v>
      </c>
      <c r="G109" s="18" t="s">
        <v>10</v>
      </c>
      <c r="H109" s="18" t="s">
        <v>189</v>
      </c>
      <c r="I109" s="18" t="s">
        <v>10</v>
      </c>
      <c r="J109" s="18" t="s">
        <v>43</v>
      </c>
      <c r="K109" s="20"/>
    </row>
    <row r="110" spans="1:11" ht="36.75" thickBot="1">
      <c r="A110" s="18" t="s">
        <v>1694</v>
      </c>
      <c r="B110" s="18">
        <v>20024779022</v>
      </c>
      <c r="C110" s="18" t="s">
        <v>1695</v>
      </c>
      <c r="D110" s="19">
        <v>45613.632638888892</v>
      </c>
      <c r="E110" s="18" t="s">
        <v>10</v>
      </c>
      <c r="F110" s="18">
        <v>10</v>
      </c>
      <c r="G110" s="18" t="s">
        <v>10</v>
      </c>
      <c r="H110" s="18" t="s">
        <v>178</v>
      </c>
      <c r="I110" s="18" t="s">
        <v>10</v>
      </c>
      <c r="J110" s="18" t="s">
        <v>43</v>
      </c>
      <c r="K110" s="20"/>
    </row>
    <row r="111" spans="1:11" ht="36.75" thickBot="1">
      <c r="A111" s="18" t="s">
        <v>1696</v>
      </c>
      <c r="B111" s="18">
        <v>20002885055</v>
      </c>
      <c r="C111" s="18" t="s">
        <v>1697</v>
      </c>
      <c r="D111" s="19">
        <v>45614.43472222222</v>
      </c>
      <c r="E111" s="18" t="s">
        <v>10</v>
      </c>
      <c r="F111" s="18">
        <v>3</v>
      </c>
      <c r="G111" s="18" t="s">
        <v>10</v>
      </c>
      <c r="H111" s="18" t="s">
        <v>178</v>
      </c>
      <c r="I111" s="18" t="s">
        <v>10</v>
      </c>
      <c r="J111" s="18" t="s">
        <v>43</v>
      </c>
      <c r="K111" s="20"/>
    </row>
    <row r="112" spans="1:11" ht="36.75" thickBot="1">
      <c r="A112" s="18" t="s">
        <v>1698</v>
      </c>
      <c r="B112" s="18">
        <v>10756400001</v>
      </c>
      <c r="C112" s="18" t="s">
        <v>1695</v>
      </c>
      <c r="D112" s="19">
        <v>45615.431250000001</v>
      </c>
      <c r="E112" s="18" t="s">
        <v>10</v>
      </c>
      <c r="F112" s="18">
        <v>10</v>
      </c>
      <c r="G112" s="18" t="s">
        <v>10</v>
      </c>
      <c r="H112" s="18" t="s">
        <v>178</v>
      </c>
      <c r="I112" s="18" t="s">
        <v>10</v>
      </c>
      <c r="J112" s="18" t="s">
        <v>43</v>
      </c>
      <c r="K112" s="20"/>
    </row>
    <row r="113" spans="1:11" ht="36.75" thickBot="1">
      <c r="A113" s="18" t="s">
        <v>1699</v>
      </c>
      <c r="B113" s="18">
        <v>20003212575</v>
      </c>
      <c r="C113" s="18" t="s">
        <v>1700</v>
      </c>
      <c r="D113" s="19">
        <v>45621.640972222223</v>
      </c>
      <c r="E113" s="18" t="s">
        <v>10</v>
      </c>
      <c r="F113" s="18">
        <v>10</v>
      </c>
      <c r="G113" s="18" t="s">
        <v>10</v>
      </c>
      <c r="H113" s="18" t="s">
        <v>178</v>
      </c>
      <c r="I113" s="18" t="s">
        <v>10</v>
      </c>
      <c r="J113" s="18" t="s">
        <v>779</v>
      </c>
      <c r="K113" s="20"/>
    </row>
    <row r="114" spans="1:11" ht="36.75" thickBot="1">
      <c r="A114" s="18" t="s">
        <v>1703</v>
      </c>
      <c r="B114" s="18">
        <v>20024779022</v>
      </c>
      <c r="C114" s="18" t="s">
        <v>1695</v>
      </c>
      <c r="D114" s="19">
        <v>45621.935416666667</v>
      </c>
      <c r="E114" s="19">
        <v>45623.470138888886</v>
      </c>
      <c r="F114" s="18">
        <v>10</v>
      </c>
      <c r="G114" s="18" t="s">
        <v>10</v>
      </c>
      <c r="H114" s="18" t="s">
        <v>178</v>
      </c>
      <c r="I114" s="18" t="s">
        <v>10</v>
      </c>
      <c r="J114" s="18" t="s">
        <v>43</v>
      </c>
      <c r="K114" s="20"/>
    </row>
    <row r="115" spans="1:11" ht="36.75" thickBot="1">
      <c r="A115" s="18" t="s">
        <v>1704</v>
      </c>
      <c r="B115" s="18">
        <v>20026652115</v>
      </c>
      <c r="C115" s="18" t="s">
        <v>951</v>
      </c>
      <c r="D115" s="19">
        <v>45623.658333333333</v>
      </c>
      <c r="E115" s="18" t="s">
        <v>10</v>
      </c>
      <c r="F115" s="18">
        <v>6</v>
      </c>
      <c r="G115" s="18" t="s">
        <v>10</v>
      </c>
      <c r="H115" s="18" t="s">
        <v>178</v>
      </c>
      <c r="I115" s="18" t="s">
        <v>10</v>
      </c>
      <c r="J115" s="18" t="s">
        <v>40</v>
      </c>
      <c r="K115" s="20"/>
    </row>
    <row r="116" spans="1:11" ht="36.75" thickBot="1">
      <c r="A116" s="18" t="s">
        <v>1705</v>
      </c>
      <c r="B116" s="18">
        <v>20003139136</v>
      </c>
      <c r="C116" s="18" t="s">
        <v>1706</v>
      </c>
      <c r="D116" s="19">
        <v>45624.457638888889</v>
      </c>
      <c r="E116" s="19">
        <v>45624.734722222223</v>
      </c>
      <c r="F116" s="18">
        <v>3</v>
      </c>
      <c r="G116" s="19">
        <v>45637.643055555556</v>
      </c>
      <c r="H116" s="18" t="s">
        <v>236</v>
      </c>
      <c r="I116" s="18" t="s">
        <v>10</v>
      </c>
      <c r="J116" s="18" t="s">
        <v>46</v>
      </c>
      <c r="K116" s="20"/>
    </row>
    <row r="117" spans="1:11" ht="36.75" thickBot="1">
      <c r="A117" s="18" t="s">
        <v>1707</v>
      </c>
      <c r="B117" s="18">
        <v>20024778227</v>
      </c>
      <c r="C117" s="18" t="s">
        <v>1695</v>
      </c>
      <c r="D117" s="19">
        <v>45624.919444444444</v>
      </c>
      <c r="E117" s="18" t="s">
        <v>10</v>
      </c>
      <c r="F117" s="18">
        <v>10</v>
      </c>
      <c r="G117" s="18" t="s">
        <v>10</v>
      </c>
      <c r="H117" s="18" t="s">
        <v>178</v>
      </c>
      <c r="I117" s="18" t="s">
        <v>10</v>
      </c>
      <c r="J117" s="18" t="s">
        <v>43</v>
      </c>
      <c r="K117" s="20"/>
    </row>
    <row r="118" spans="1:11" ht="36.75" thickBot="1">
      <c r="A118" s="18" t="s">
        <v>1708</v>
      </c>
      <c r="B118" s="18">
        <v>20023064428</v>
      </c>
      <c r="C118" s="18" t="s">
        <v>1709</v>
      </c>
      <c r="D118" s="19">
        <v>45625.433333333334</v>
      </c>
      <c r="E118" s="18" t="s">
        <v>10</v>
      </c>
      <c r="F118" s="18">
        <v>5</v>
      </c>
      <c r="G118" s="18" t="s">
        <v>10</v>
      </c>
      <c r="H118" s="18" t="s">
        <v>178</v>
      </c>
      <c r="I118" s="18" t="s">
        <v>10</v>
      </c>
      <c r="J118" s="18" t="s">
        <v>779</v>
      </c>
      <c r="K118" s="20"/>
    </row>
    <row r="119" spans="1:11" ht="36.75" thickBot="1">
      <c r="A119" s="18" t="s">
        <v>1710</v>
      </c>
      <c r="B119" s="18">
        <v>20026651651</v>
      </c>
      <c r="C119" s="18" t="s">
        <v>951</v>
      </c>
      <c r="D119" s="19">
        <v>45625.613888888889</v>
      </c>
      <c r="E119" s="18" t="s">
        <v>10</v>
      </c>
      <c r="F119" s="18">
        <v>6</v>
      </c>
      <c r="G119" s="18" t="s">
        <v>10</v>
      </c>
      <c r="H119" s="18" t="s">
        <v>178</v>
      </c>
      <c r="I119" s="18" t="s">
        <v>10</v>
      </c>
      <c r="J119" s="18" t="s">
        <v>46</v>
      </c>
      <c r="K119" s="20"/>
    </row>
    <row r="120" spans="1:11" ht="36.75" thickBot="1">
      <c r="A120" s="18" t="s">
        <v>1711</v>
      </c>
      <c r="B120" s="18">
        <v>20024779022</v>
      </c>
      <c r="C120" s="18" t="s">
        <v>1695</v>
      </c>
      <c r="D120" s="19">
        <v>45627.793749999997</v>
      </c>
      <c r="E120" s="18" t="s">
        <v>10</v>
      </c>
      <c r="F120" s="18">
        <v>10</v>
      </c>
      <c r="G120" s="19">
        <v>45637.459027777775</v>
      </c>
      <c r="H120" s="18" t="s">
        <v>178</v>
      </c>
      <c r="I120" s="18" t="s">
        <v>10</v>
      </c>
      <c r="J120" s="18" t="s">
        <v>43</v>
      </c>
      <c r="K120" s="20"/>
    </row>
    <row r="121" spans="1:11" ht="36.75" thickBot="1">
      <c r="A121" s="18" t="s">
        <v>1712</v>
      </c>
      <c r="B121" s="18">
        <v>20024778227</v>
      </c>
      <c r="C121" s="18" t="s">
        <v>1695</v>
      </c>
      <c r="D121" s="19">
        <v>45627.8</v>
      </c>
      <c r="E121" s="18" t="s">
        <v>10</v>
      </c>
      <c r="F121" s="18">
        <v>10</v>
      </c>
      <c r="G121" s="19">
        <v>45663.542361111111</v>
      </c>
      <c r="H121" s="18" t="s">
        <v>236</v>
      </c>
      <c r="I121" s="18" t="s">
        <v>10</v>
      </c>
      <c r="J121" s="18" t="s">
        <v>43</v>
      </c>
      <c r="K121" s="20"/>
    </row>
    <row r="122" spans="1:11" ht="36.75" thickBot="1">
      <c r="A122" s="18" t="s">
        <v>1713</v>
      </c>
      <c r="B122" s="18">
        <v>20018463268</v>
      </c>
      <c r="C122" s="18" t="s">
        <v>1714</v>
      </c>
      <c r="D122" s="19">
        <v>45622.949305555558</v>
      </c>
      <c r="E122" s="19">
        <v>45627.97152777778</v>
      </c>
      <c r="F122" s="18">
        <v>10</v>
      </c>
      <c r="G122" s="18" t="s">
        <v>10</v>
      </c>
      <c r="H122" s="18" t="s">
        <v>189</v>
      </c>
      <c r="I122" s="18" t="s">
        <v>10</v>
      </c>
      <c r="J122" s="18" t="s">
        <v>43</v>
      </c>
      <c r="K122" s="20"/>
    </row>
    <row r="123" spans="1:11" ht="36.75" thickBot="1">
      <c r="A123" s="18" t="s">
        <v>1715</v>
      </c>
      <c r="B123" s="18">
        <v>20003212575</v>
      </c>
      <c r="C123" s="18" t="s">
        <v>1700</v>
      </c>
      <c r="D123" s="19">
        <v>45626.695833333331</v>
      </c>
      <c r="E123" s="19">
        <v>45628.410416666666</v>
      </c>
      <c r="F123" s="18">
        <v>10</v>
      </c>
      <c r="G123" s="19">
        <v>45630.584722222222</v>
      </c>
      <c r="H123" s="18" t="s">
        <v>236</v>
      </c>
      <c r="I123" s="18" t="s">
        <v>10</v>
      </c>
      <c r="J123" s="18" t="s">
        <v>779</v>
      </c>
      <c r="K123" s="20"/>
    </row>
    <row r="124" spans="1:11" ht="36.75" thickBot="1">
      <c r="A124" s="18" t="s">
        <v>1839</v>
      </c>
      <c r="B124" s="18">
        <v>20003283467</v>
      </c>
      <c r="C124" s="18" t="s">
        <v>1692</v>
      </c>
      <c r="D124" s="19">
        <v>45628.97152777778</v>
      </c>
      <c r="E124" s="18" t="s">
        <v>10</v>
      </c>
      <c r="F124" s="18">
        <v>20</v>
      </c>
      <c r="G124" s="19">
        <v>45694.405555555553</v>
      </c>
      <c r="H124" s="18" t="s">
        <v>236</v>
      </c>
      <c r="I124" s="18" t="s">
        <v>10</v>
      </c>
      <c r="J124" s="18" t="s">
        <v>779</v>
      </c>
      <c r="K124" s="20"/>
    </row>
    <row r="125" spans="1:11" ht="36.75" thickBot="1">
      <c r="A125" s="18" t="s">
        <v>1840</v>
      </c>
      <c r="B125" s="18">
        <v>20002981548</v>
      </c>
      <c r="C125" s="18" t="s">
        <v>1841</v>
      </c>
      <c r="D125" s="19">
        <v>45630.659722222219</v>
      </c>
      <c r="E125" s="18" t="s">
        <v>10</v>
      </c>
      <c r="F125" s="18">
        <v>5</v>
      </c>
      <c r="G125" s="18" t="s">
        <v>10</v>
      </c>
      <c r="H125" s="18" t="s">
        <v>178</v>
      </c>
      <c r="I125" s="18" t="s">
        <v>10</v>
      </c>
      <c r="J125" s="18" t="s">
        <v>1119</v>
      </c>
      <c r="K125" s="20"/>
    </row>
    <row r="126" spans="1:11" ht="36.75" thickBot="1">
      <c r="A126" s="18" t="s">
        <v>1842</v>
      </c>
      <c r="B126" s="18">
        <v>20020798926</v>
      </c>
      <c r="C126" s="18" t="s">
        <v>1682</v>
      </c>
      <c r="D126" s="19">
        <v>45630.688888888886</v>
      </c>
      <c r="E126" s="18" t="s">
        <v>10</v>
      </c>
      <c r="F126" s="18">
        <v>2.85</v>
      </c>
      <c r="G126" s="18" t="s">
        <v>10</v>
      </c>
      <c r="H126" s="18" t="s">
        <v>178</v>
      </c>
      <c r="I126" s="18" t="s">
        <v>10</v>
      </c>
      <c r="J126" s="18" t="s">
        <v>43</v>
      </c>
      <c r="K126" s="20"/>
    </row>
    <row r="127" spans="1:11" ht="36.75" thickBot="1">
      <c r="A127" s="18" t="s">
        <v>1679</v>
      </c>
      <c r="B127" s="18">
        <v>20003281139</v>
      </c>
      <c r="C127" s="18" t="s">
        <v>1680</v>
      </c>
      <c r="D127" s="19">
        <v>45600.549305555556</v>
      </c>
      <c r="E127" s="19">
        <v>45632.531944444447</v>
      </c>
      <c r="F127" s="18">
        <v>10</v>
      </c>
      <c r="G127" s="19">
        <v>45643.651388888888</v>
      </c>
      <c r="H127" s="18" t="s">
        <v>236</v>
      </c>
      <c r="I127" s="18" t="s">
        <v>10</v>
      </c>
      <c r="J127" s="18" t="s">
        <v>565</v>
      </c>
      <c r="K127" s="20"/>
    </row>
    <row r="128" spans="1:11" ht="36.75" thickBot="1">
      <c r="A128" s="18" t="s">
        <v>1843</v>
      </c>
      <c r="B128" s="18">
        <v>20021501411</v>
      </c>
      <c r="C128" s="18" t="s">
        <v>1844</v>
      </c>
      <c r="D128" s="19">
        <v>45633.568055555559</v>
      </c>
      <c r="E128" s="18" t="s">
        <v>10</v>
      </c>
      <c r="F128" s="18">
        <v>5</v>
      </c>
      <c r="G128" s="18" t="s">
        <v>10</v>
      </c>
      <c r="H128" s="18" t="s">
        <v>178</v>
      </c>
      <c r="I128" s="18" t="s">
        <v>10</v>
      </c>
      <c r="J128" s="18" t="s">
        <v>43</v>
      </c>
      <c r="K128" s="20"/>
    </row>
    <row r="129" spans="1:11" ht="36.75" thickBot="1">
      <c r="A129" s="18" t="s">
        <v>1845</v>
      </c>
      <c r="B129" s="18">
        <v>20003621310</v>
      </c>
      <c r="C129" s="18" t="s">
        <v>1259</v>
      </c>
      <c r="D129" s="19">
        <v>45633.651388888888</v>
      </c>
      <c r="E129" s="18" t="s">
        <v>10</v>
      </c>
      <c r="F129" s="18">
        <v>10</v>
      </c>
      <c r="G129" s="18" t="s">
        <v>10</v>
      </c>
      <c r="H129" s="18" t="s">
        <v>189</v>
      </c>
      <c r="I129" s="18" t="s">
        <v>10</v>
      </c>
      <c r="J129" s="18" t="s">
        <v>40</v>
      </c>
      <c r="K129" s="20"/>
    </row>
    <row r="130" spans="1:11" ht="36.75" thickBot="1">
      <c r="A130" s="18" t="s">
        <v>1846</v>
      </c>
      <c r="B130" s="18">
        <v>20018474007</v>
      </c>
      <c r="C130" s="18" t="s">
        <v>1847</v>
      </c>
      <c r="D130" s="19">
        <v>45635.618750000001</v>
      </c>
      <c r="E130" s="18" t="s">
        <v>10</v>
      </c>
      <c r="F130" s="18">
        <v>3.8</v>
      </c>
      <c r="G130" s="18" t="s">
        <v>10</v>
      </c>
      <c r="H130" s="18" t="s">
        <v>178</v>
      </c>
      <c r="I130" s="18" t="s">
        <v>10</v>
      </c>
      <c r="J130" s="18" t="s">
        <v>1119</v>
      </c>
      <c r="K130" s="20"/>
    </row>
    <row r="131" spans="1:11" ht="36.75" thickBot="1">
      <c r="A131" s="18" t="s">
        <v>1848</v>
      </c>
      <c r="B131" s="18">
        <v>20023007757</v>
      </c>
      <c r="C131" s="18" t="s">
        <v>1474</v>
      </c>
      <c r="D131" s="19">
        <v>45636.489583333336</v>
      </c>
      <c r="E131" s="18" t="s">
        <v>10</v>
      </c>
      <c r="F131" s="18">
        <v>10</v>
      </c>
      <c r="G131" s="18" t="s">
        <v>10</v>
      </c>
      <c r="H131" s="18" t="s">
        <v>178</v>
      </c>
      <c r="I131" s="18" t="s">
        <v>10</v>
      </c>
      <c r="J131" s="18" t="s">
        <v>43</v>
      </c>
      <c r="K131" s="20"/>
    </row>
    <row r="132" spans="1:11" ht="36.75" thickBot="1">
      <c r="A132" s="18" t="s">
        <v>1701</v>
      </c>
      <c r="B132" s="18">
        <v>20018497367</v>
      </c>
      <c r="C132" s="18" t="s">
        <v>1461</v>
      </c>
      <c r="D132" s="19">
        <v>45622.688888888886</v>
      </c>
      <c r="E132" s="19">
        <v>45636.661805555559</v>
      </c>
      <c r="F132" s="18">
        <v>10</v>
      </c>
      <c r="G132" s="18" t="s">
        <v>10</v>
      </c>
      <c r="H132" s="18" t="s">
        <v>178</v>
      </c>
      <c r="I132" s="18" t="s">
        <v>10</v>
      </c>
      <c r="J132" s="18" t="s">
        <v>43</v>
      </c>
      <c r="K132" s="20"/>
    </row>
    <row r="133" spans="1:11" ht="36.75" thickBot="1">
      <c r="A133" s="18" t="s">
        <v>1702</v>
      </c>
      <c r="B133" s="18">
        <v>20021552766</v>
      </c>
      <c r="C133" s="18" t="s">
        <v>1465</v>
      </c>
      <c r="D133" s="19">
        <v>45622.699305555558</v>
      </c>
      <c r="E133" s="19">
        <v>45637.491666666669</v>
      </c>
      <c r="F133" s="18">
        <v>20</v>
      </c>
      <c r="G133" s="18" t="s">
        <v>10</v>
      </c>
      <c r="H133" s="18" t="s">
        <v>178</v>
      </c>
      <c r="I133" s="18" t="s">
        <v>10</v>
      </c>
      <c r="J133" s="18" t="s">
        <v>43</v>
      </c>
      <c r="K133" s="20"/>
    </row>
    <row r="134" spans="1:11" ht="36.75" thickBot="1">
      <c r="A134" s="18" t="s">
        <v>1849</v>
      </c>
      <c r="B134" s="18">
        <v>20002772572</v>
      </c>
      <c r="C134" s="18" t="s">
        <v>949</v>
      </c>
      <c r="D134" s="19">
        <v>45637.54583333333</v>
      </c>
      <c r="E134" s="18" t="s">
        <v>10</v>
      </c>
      <c r="F134" s="18">
        <v>5</v>
      </c>
      <c r="G134" s="18" t="s">
        <v>10</v>
      </c>
      <c r="H134" s="18" t="s">
        <v>178</v>
      </c>
      <c r="I134" s="18" t="s">
        <v>10</v>
      </c>
      <c r="J134" s="18" t="s">
        <v>783</v>
      </c>
      <c r="K134" s="20"/>
    </row>
    <row r="135" spans="1:11" ht="36.75" thickBot="1">
      <c r="A135" s="18" t="s">
        <v>1850</v>
      </c>
      <c r="B135" s="18">
        <v>20020798926</v>
      </c>
      <c r="C135" s="18" t="s">
        <v>1682</v>
      </c>
      <c r="D135" s="19">
        <v>45637.55</v>
      </c>
      <c r="E135" s="19">
        <v>45637.679166666669</v>
      </c>
      <c r="F135" s="18">
        <v>2.85</v>
      </c>
      <c r="G135" s="19">
        <v>45665.488888888889</v>
      </c>
      <c r="H135" s="18" t="s">
        <v>236</v>
      </c>
      <c r="I135" s="18" t="s">
        <v>10</v>
      </c>
      <c r="J135" s="18" t="s">
        <v>43</v>
      </c>
      <c r="K135" s="20"/>
    </row>
    <row r="136" spans="1:11" ht="36.75" thickBot="1">
      <c r="A136" s="18" t="s">
        <v>1851</v>
      </c>
      <c r="B136" s="18">
        <v>20002777142</v>
      </c>
      <c r="C136" s="18" t="s">
        <v>1684</v>
      </c>
      <c r="D136" s="19">
        <v>45637.730555555558</v>
      </c>
      <c r="E136" s="18" t="s">
        <v>10</v>
      </c>
      <c r="F136" s="18">
        <v>10</v>
      </c>
      <c r="G136" s="18" t="s">
        <v>10</v>
      </c>
      <c r="H136" s="18" t="s">
        <v>178</v>
      </c>
      <c r="I136" s="18" t="s">
        <v>10</v>
      </c>
      <c r="J136" s="18" t="s">
        <v>1119</v>
      </c>
      <c r="K136" s="20"/>
    </row>
    <row r="137" spans="1:11" ht="36.75" thickBot="1">
      <c r="A137" s="18" t="s">
        <v>1852</v>
      </c>
      <c r="B137" s="18">
        <v>20021501411</v>
      </c>
      <c r="C137" s="18" t="s">
        <v>1844</v>
      </c>
      <c r="D137" s="19">
        <v>45638.521527777775</v>
      </c>
      <c r="E137" s="18" t="s">
        <v>10</v>
      </c>
      <c r="F137" s="18">
        <v>5</v>
      </c>
      <c r="G137" s="19">
        <v>45720.468055555553</v>
      </c>
      <c r="H137" s="18" t="s">
        <v>236</v>
      </c>
      <c r="I137" s="18" t="s">
        <v>10</v>
      </c>
      <c r="J137" s="18" t="s">
        <v>43</v>
      </c>
      <c r="K137" s="20"/>
    </row>
    <row r="138" spans="1:11" ht="36.75" thickBot="1">
      <c r="A138" s="18" t="s">
        <v>1853</v>
      </c>
      <c r="B138" s="18">
        <v>20028147788</v>
      </c>
      <c r="C138" s="18" t="s">
        <v>1854</v>
      </c>
      <c r="D138" s="19">
        <v>45639.545138888891</v>
      </c>
      <c r="E138" s="18" t="s">
        <v>10</v>
      </c>
      <c r="F138" s="18">
        <v>5</v>
      </c>
      <c r="G138" s="19">
        <v>45685.529166666667</v>
      </c>
      <c r="H138" s="18" t="s">
        <v>236</v>
      </c>
      <c r="I138" s="18" t="s">
        <v>10</v>
      </c>
      <c r="J138" s="18" t="s">
        <v>40</v>
      </c>
      <c r="K138" s="20"/>
    </row>
    <row r="139" spans="1:11" ht="36.75" thickBot="1">
      <c r="A139" s="18" t="s">
        <v>1915</v>
      </c>
      <c r="B139" s="18">
        <v>20023007757</v>
      </c>
      <c r="C139" s="18" t="s">
        <v>1474</v>
      </c>
      <c r="D139" s="19">
        <v>45643.359722222223</v>
      </c>
      <c r="E139" s="19">
        <v>45643.701388888891</v>
      </c>
      <c r="F139" s="18">
        <v>10</v>
      </c>
      <c r="G139" s="18" t="s">
        <v>10</v>
      </c>
      <c r="H139" s="18" t="s">
        <v>178</v>
      </c>
      <c r="I139" s="18" t="s">
        <v>10</v>
      </c>
      <c r="J139" s="18" t="s">
        <v>43</v>
      </c>
      <c r="K139" s="20"/>
    </row>
    <row r="140" spans="1:11" ht="36.75" thickBot="1">
      <c r="A140" s="18" t="s">
        <v>1916</v>
      </c>
      <c r="B140" s="18">
        <v>20002772572</v>
      </c>
      <c r="C140" s="18" t="s">
        <v>949</v>
      </c>
      <c r="D140" s="19">
        <v>45642.868750000001</v>
      </c>
      <c r="E140" s="19">
        <v>45643.838194444441</v>
      </c>
      <c r="F140" s="18">
        <v>5</v>
      </c>
      <c r="G140" s="19">
        <v>45686.605555555558</v>
      </c>
      <c r="H140" s="18" t="s">
        <v>236</v>
      </c>
      <c r="I140" s="18" t="s">
        <v>10</v>
      </c>
      <c r="J140" s="18" t="s">
        <v>783</v>
      </c>
      <c r="K140" s="20"/>
    </row>
    <row r="141" spans="1:11" ht="36.75" thickBot="1">
      <c r="A141" s="18" t="s">
        <v>1917</v>
      </c>
      <c r="B141" s="18">
        <v>20020441007</v>
      </c>
      <c r="C141" s="18" t="s">
        <v>1918</v>
      </c>
      <c r="D141" s="19">
        <v>45644.447916666664</v>
      </c>
      <c r="E141" s="18" t="s">
        <v>10</v>
      </c>
      <c r="F141" s="18">
        <v>5</v>
      </c>
      <c r="G141" s="19">
        <v>45684.493750000001</v>
      </c>
      <c r="H141" s="18" t="s">
        <v>2657</v>
      </c>
      <c r="I141" s="18" t="s">
        <v>10</v>
      </c>
      <c r="J141" s="18" t="s">
        <v>779</v>
      </c>
      <c r="K141" s="20"/>
    </row>
    <row r="142" spans="1:11" ht="36.75" thickBot="1">
      <c r="A142" s="18" t="s">
        <v>1855</v>
      </c>
      <c r="B142" s="18">
        <v>20026924626</v>
      </c>
      <c r="C142" s="18" t="s">
        <v>1856</v>
      </c>
      <c r="D142" s="19">
        <v>45639.70208333333</v>
      </c>
      <c r="E142" s="19">
        <v>45644.481944444444</v>
      </c>
      <c r="F142" s="18">
        <v>10</v>
      </c>
      <c r="G142" s="19">
        <v>45706.495138888888</v>
      </c>
      <c r="H142" s="18" t="s">
        <v>236</v>
      </c>
      <c r="I142" s="18" t="s">
        <v>10</v>
      </c>
      <c r="J142" s="18" t="s">
        <v>40</v>
      </c>
      <c r="K142" s="20"/>
    </row>
    <row r="143" spans="1:11" ht="36.75" thickBot="1">
      <c r="A143" s="18" t="s">
        <v>1919</v>
      </c>
      <c r="B143" s="18">
        <v>20002981548</v>
      </c>
      <c r="C143" s="18" t="s">
        <v>1841</v>
      </c>
      <c r="D143" s="19">
        <v>45653.417361111111</v>
      </c>
      <c r="E143" s="18" t="s">
        <v>10</v>
      </c>
      <c r="F143" s="18">
        <v>5</v>
      </c>
      <c r="G143" s="18" t="s">
        <v>10</v>
      </c>
      <c r="H143" s="18" t="s">
        <v>178</v>
      </c>
      <c r="I143" s="18" t="s">
        <v>10</v>
      </c>
      <c r="J143" s="18" t="s">
        <v>1119</v>
      </c>
      <c r="K143" s="20"/>
    </row>
    <row r="144" spans="1:11" ht="36.75" thickBot="1">
      <c r="A144" s="18" t="s">
        <v>1920</v>
      </c>
      <c r="B144" s="18">
        <v>20003299144</v>
      </c>
      <c r="C144" s="18" t="s">
        <v>1921</v>
      </c>
      <c r="D144" s="19">
        <v>45657.44027777778</v>
      </c>
      <c r="E144" s="18" t="s">
        <v>10</v>
      </c>
      <c r="F144" s="18">
        <v>10</v>
      </c>
      <c r="G144" s="18" t="s">
        <v>10</v>
      </c>
      <c r="H144" s="18" t="s">
        <v>178</v>
      </c>
      <c r="I144" s="18" t="s">
        <v>10</v>
      </c>
      <c r="J144" s="18" t="s">
        <v>779</v>
      </c>
      <c r="K144" s="20"/>
    </row>
    <row r="145" spans="1:11" ht="36.75" thickBot="1">
      <c r="A145" s="18" t="s">
        <v>1922</v>
      </c>
      <c r="B145" s="18">
        <v>20002981548</v>
      </c>
      <c r="C145" s="18" t="s">
        <v>1841</v>
      </c>
      <c r="D145" s="19">
        <v>45653.690972222219</v>
      </c>
      <c r="E145" s="19">
        <v>45660.445138888892</v>
      </c>
      <c r="F145" s="18">
        <v>5</v>
      </c>
      <c r="G145" s="19">
        <v>45708.446527777778</v>
      </c>
      <c r="H145" s="18" t="s">
        <v>236</v>
      </c>
      <c r="I145" s="18" t="s">
        <v>10</v>
      </c>
      <c r="J145" s="18" t="s">
        <v>1119</v>
      </c>
      <c r="K145" s="20"/>
    </row>
    <row r="146" spans="1:11" ht="36.75" thickBot="1">
      <c r="A146" s="18" t="s">
        <v>1983</v>
      </c>
      <c r="B146" s="18">
        <v>20002981548</v>
      </c>
      <c r="C146" s="18" t="s">
        <v>1841</v>
      </c>
      <c r="D146" s="19">
        <v>45665.605555555558</v>
      </c>
      <c r="E146" s="18" t="s">
        <v>10</v>
      </c>
      <c r="F146" s="18">
        <v>5</v>
      </c>
      <c r="G146" s="18" t="s">
        <v>10</v>
      </c>
      <c r="H146" s="18" t="s">
        <v>178</v>
      </c>
      <c r="I146" s="18" t="s">
        <v>10</v>
      </c>
      <c r="J146" s="18" t="s">
        <v>1119</v>
      </c>
      <c r="K146" s="20"/>
    </row>
    <row r="147" spans="1:11" ht="36.75" thickBot="1">
      <c r="A147" s="18" t="s">
        <v>1984</v>
      </c>
      <c r="B147" s="18">
        <v>20002748964</v>
      </c>
      <c r="C147" s="18" t="s">
        <v>216</v>
      </c>
      <c r="D147" s="19">
        <v>45664.7</v>
      </c>
      <c r="E147" s="19">
        <v>45670.401388888888</v>
      </c>
      <c r="F147" s="18">
        <v>14.64</v>
      </c>
      <c r="G147" s="19">
        <v>45702.615972222222</v>
      </c>
      <c r="H147" s="18" t="s">
        <v>236</v>
      </c>
      <c r="I147" s="18" t="s">
        <v>10</v>
      </c>
      <c r="J147" s="18" t="s">
        <v>43</v>
      </c>
      <c r="K147" s="20"/>
    </row>
    <row r="148" spans="1:11" ht="36.75" thickBot="1">
      <c r="A148" s="18" t="s">
        <v>2063</v>
      </c>
      <c r="B148" s="18">
        <v>20018497367</v>
      </c>
      <c r="C148" s="18" t="s">
        <v>1461</v>
      </c>
      <c r="D148" s="19">
        <v>45673.665972222225</v>
      </c>
      <c r="E148" s="18" t="s">
        <v>10</v>
      </c>
      <c r="F148" s="18">
        <v>10</v>
      </c>
      <c r="G148" s="19">
        <v>45686.555555555555</v>
      </c>
      <c r="H148" s="18" t="s">
        <v>236</v>
      </c>
      <c r="I148" s="18" t="s">
        <v>10</v>
      </c>
      <c r="J148" s="18" t="s">
        <v>43</v>
      </c>
      <c r="K148" s="20"/>
    </row>
    <row r="149" spans="1:11" ht="36.75" thickBot="1">
      <c r="A149" s="18" t="s">
        <v>2064</v>
      </c>
      <c r="B149" s="18">
        <v>20021552766</v>
      </c>
      <c r="C149" s="18" t="s">
        <v>1465</v>
      </c>
      <c r="D149" s="19">
        <v>45673.679166666669</v>
      </c>
      <c r="E149" s="18" t="s">
        <v>10</v>
      </c>
      <c r="F149" s="18">
        <v>20</v>
      </c>
      <c r="G149" s="19">
        <v>45686.555555555555</v>
      </c>
      <c r="H149" s="18" t="s">
        <v>236</v>
      </c>
      <c r="I149" s="18" t="s">
        <v>10</v>
      </c>
      <c r="J149" s="18" t="s">
        <v>43</v>
      </c>
      <c r="K149" s="20"/>
    </row>
    <row r="150" spans="1:11" ht="36.75" thickBot="1">
      <c r="A150" s="18" t="s">
        <v>2065</v>
      </c>
      <c r="B150" s="18">
        <v>20024779022</v>
      </c>
      <c r="C150" s="18" t="s">
        <v>1695</v>
      </c>
      <c r="D150" s="19">
        <v>45680.433333333334</v>
      </c>
      <c r="E150" s="18" t="s">
        <v>10</v>
      </c>
      <c r="F150" s="18">
        <v>10</v>
      </c>
      <c r="G150" s="19">
        <v>45707.425694444442</v>
      </c>
      <c r="H150" s="18" t="s">
        <v>236</v>
      </c>
      <c r="I150" s="18" t="s">
        <v>10</v>
      </c>
      <c r="J150" s="18" t="s">
        <v>43</v>
      </c>
      <c r="K150" s="20"/>
    </row>
    <row r="151" spans="1:11" ht="36.75" thickBot="1">
      <c r="A151" s="18" t="s">
        <v>2168</v>
      </c>
      <c r="B151" s="18">
        <v>20026932653</v>
      </c>
      <c r="C151" s="18" t="s">
        <v>2169</v>
      </c>
      <c r="D151" s="19">
        <v>45692.908333333333</v>
      </c>
      <c r="E151" s="18" t="s">
        <v>10</v>
      </c>
      <c r="F151" s="18">
        <v>6</v>
      </c>
      <c r="G151" s="18" t="s">
        <v>10</v>
      </c>
      <c r="H151" s="18" t="s">
        <v>189</v>
      </c>
      <c r="I151" s="18" t="s">
        <v>10</v>
      </c>
      <c r="J151" s="18" t="s">
        <v>40</v>
      </c>
      <c r="K151" s="20"/>
    </row>
    <row r="152" spans="1:11" ht="36.75" thickBot="1">
      <c r="A152" s="18" t="s">
        <v>2170</v>
      </c>
      <c r="B152" s="18">
        <v>20003299144</v>
      </c>
      <c r="C152" s="18" t="s">
        <v>1921</v>
      </c>
      <c r="D152" s="19">
        <v>45693.881944444445</v>
      </c>
      <c r="E152" s="18" t="s">
        <v>10</v>
      </c>
      <c r="F152" s="18">
        <v>10</v>
      </c>
      <c r="G152" s="19">
        <v>45720.636111111111</v>
      </c>
      <c r="H152" s="18" t="s">
        <v>236</v>
      </c>
      <c r="I152" s="18" t="s">
        <v>10</v>
      </c>
      <c r="J152" s="18" t="s">
        <v>779</v>
      </c>
      <c r="K152" s="20"/>
    </row>
    <row r="153" spans="1:11" ht="36.75" thickBot="1">
      <c r="A153" s="18" t="s">
        <v>2171</v>
      </c>
      <c r="B153" s="18">
        <v>20020153651</v>
      </c>
      <c r="C153" s="18" t="s">
        <v>2172</v>
      </c>
      <c r="D153" s="19">
        <v>45693.942361111112</v>
      </c>
      <c r="E153" s="19">
        <v>45694.958333333336</v>
      </c>
      <c r="F153" s="18">
        <v>15</v>
      </c>
      <c r="G153" s="19">
        <v>45707.65625</v>
      </c>
      <c r="H153" s="18" t="s">
        <v>236</v>
      </c>
      <c r="I153" s="18" t="s">
        <v>10</v>
      </c>
      <c r="J153" s="18" t="s">
        <v>40</v>
      </c>
      <c r="K153" s="20"/>
    </row>
    <row r="154" spans="1:11" ht="36.75" thickBot="1">
      <c r="A154" s="18" t="s">
        <v>2243</v>
      </c>
      <c r="B154" s="18">
        <v>20002813743</v>
      </c>
      <c r="C154" s="18" t="s">
        <v>2244</v>
      </c>
      <c r="D154" s="19">
        <v>45710.605555555558</v>
      </c>
      <c r="E154" s="18" t="s">
        <v>10</v>
      </c>
      <c r="F154" s="18">
        <v>5</v>
      </c>
      <c r="G154" s="19">
        <v>45736.48333333333</v>
      </c>
      <c r="H154" s="18" t="s">
        <v>2657</v>
      </c>
      <c r="I154" s="18" t="s">
        <v>10</v>
      </c>
      <c r="J154" s="18" t="s">
        <v>783</v>
      </c>
      <c r="K154" s="20"/>
    </row>
    <row r="155" spans="1:11" ht="36.75" thickBot="1">
      <c r="A155" s="18" t="s">
        <v>2245</v>
      </c>
      <c r="B155" s="18">
        <v>20028122354</v>
      </c>
      <c r="C155" s="18" t="s">
        <v>2246</v>
      </c>
      <c r="D155" s="19">
        <v>45710.615972222222</v>
      </c>
      <c r="E155" s="18" t="s">
        <v>10</v>
      </c>
      <c r="F155" s="18">
        <v>5</v>
      </c>
      <c r="G155" s="19">
        <v>45736.48333333333</v>
      </c>
      <c r="H155" s="18" t="s">
        <v>2657</v>
      </c>
      <c r="I155" s="18" t="s">
        <v>10</v>
      </c>
      <c r="J155" s="18" t="s">
        <v>783</v>
      </c>
      <c r="K155" s="20"/>
    </row>
    <row r="156" spans="1:11" ht="36.75" thickBot="1">
      <c r="A156" s="18" t="s">
        <v>2247</v>
      </c>
      <c r="B156" s="18">
        <v>20002720178</v>
      </c>
      <c r="C156" s="18" t="s">
        <v>2248</v>
      </c>
      <c r="D156" s="19">
        <v>45714.652777777781</v>
      </c>
      <c r="E156" s="18" t="s">
        <v>10</v>
      </c>
      <c r="F156" s="18">
        <v>20</v>
      </c>
      <c r="G156" s="18" t="s">
        <v>10</v>
      </c>
      <c r="H156" s="18" t="s">
        <v>178</v>
      </c>
      <c r="I156" s="18" t="s">
        <v>10</v>
      </c>
      <c r="J156" s="18" t="s">
        <v>40</v>
      </c>
      <c r="K156" s="20"/>
    </row>
    <row r="157" spans="1:11" ht="36.75" thickBot="1">
      <c r="A157" s="18" t="s">
        <v>2249</v>
      </c>
      <c r="B157" s="18">
        <v>20002720178</v>
      </c>
      <c r="C157" s="18" t="s">
        <v>2250</v>
      </c>
      <c r="D157" s="19">
        <v>45715.492361111108</v>
      </c>
      <c r="E157" s="18" t="s">
        <v>10</v>
      </c>
      <c r="F157" s="18">
        <v>20</v>
      </c>
      <c r="G157" s="18" t="s">
        <v>10</v>
      </c>
      <c r="H157" s="18" t="s">
        <v>178</v>
      </c>
      <c r="I157" s="18" t="s">
        <v>10</v>
      </c>
      <c r="J157" s="18" t="s">
        <v>40</v>
      </c>
      <c r="K157" s="20"/>
    </row>
    <row r="158" spans="1:11" ht="36.75" thickBot="1">
      <c r="A158" s="18" t="s">
        <v>2173</v>
      </c>
      <c r="B158" s="18">
        <v>20017954349</v>
      </c>
      <c r="C158" s="18" t="s">
        <v>2174</v>
      </c>
      <c r="D158" s="19">
        <v>45703.435416666667</v>
      </c>
      <c r="E158" s="19">
        <v>45715.555555555555</v>
      </c>
      <c r="F158" s="18">
        <v>6</v>
      </c>
      <c r="G158" s="19">
        <v>45727.383333333331</v>
      </c>
      <c r="H158" s="18" t="s">
        <v>236</v>
      </c>
      <c r="I158" s="18" t="s">
        <v>10</v>
      </c>
      <c r="J158" s="18" t="s">
        <v>1119</v>
      </c>
      <c r="K158" s="20"/>
    </row>
    <row r="159" spans="1:11" ht="36.75" thickBot="1">
      <c r="A159" s="18" t="s">
        <v>2251</v>
      </c>
      <c r="B159" s="18">
        <v>20002720178</v>
      </c>
      <c r="C159" s="18" t="s">
        <v>2252</v>
      </c>
      <c r="D159" s="19">
        <v>45716.624305555553</v>
      </c>
      <c r="E159" s="18" t="s">
        <v>10</v>
      </c>
      <c r="F159" s="18">
        <v>20</v>
      </c>
      <c r="G159" s="19">
        <v>45723.477083333331</v>
      </c>
      <c r="H159" s="18" t="s">
        <v>236</v>
      </c>
      <c r="I159" s="18" t="s">
        <v>10</v>
      </c>
      <c r="J159" s="18" t="s">
        <v>40</v>
      </c>
      <c r="K159" s="20"/>
    </row>
    <row r="160" spans="1:11" ht="36.75" thickBot="1">
      <c r="A160" s="18" t="s">
        <v>2350</v>
      </c>
      <c r="B160" s="18">
        <v>20023054458</v>
      </c>
      <c r="C160" s="18" t="s">
        <v>2351</v>
      </c>
      <c r="D160" s="19">
        <v>45720.966666666667</v>
      </c>
      <c r="E160" s="18" t="s">
        <v>10</v>
      </c>
      <c r="F160" s="18">
        <v>5</v>
      </c>
      <c r="G160" s="18" t="s">
        <v>10</v>
      </c>
      <c r="H160" s="18" t="s">
        <v>178</v>
      </c>
      <c r="I160" s="18" t="s">
        <v>10</v>
      </c>
      <c r="J160" s="18" t="s">
        <v>43</v>
      </c>
      <c r="K160" s="20"/>
    </row>
    <row r="161" spans="1:11" ht="36.75" thickBot="1">
      <c r="A161" s="18" t="s">
        <v>2352</v>
      </c>
      <c r="B161" s="18">
        <v>20023054458</v>
      </c>
      <c r="C161" s="18" t="s">
        <v>2353</v>
      </c>
      <c r="D161" s="19">
        <v>45721.722916666666</v>
      </c>
      <c r="E161" s="18" t="s">
        <v>10</v>
      </c>
      <c r="F161" s="18">
        <v>5</v>
      </c>
      <c r="G161" s="19">
        <v>45726.519444444442</v>
      </c>
      <c r="H161" s="18" t="s">
        <v>236</v>
      </c>
      <c r="I161" s="18" t="s">
        <v>10</v>
      </c>
      <c r="J161" s="18" t="s">
        <v>43</v>
      </c>
      <c r="K161" s="20"/>
    </row>
    <row r="162" spans="1:11" ht="36.75" thickBot="1">
      <c r="A162" s="18" t="s">
        <v>2354</v>
      </c>
      <c r="B162" s="18">
        <v>20022201879</v>
      </c>
      <c r="C162" s="18" t="s">
        <v>2355</v>
      </c>
      <c r="D162" s="19">
        <v>45726.716666666667</v>
      </c>
      <c r="E162" s="18" t="s">
        <v>10</v>
      </c>
      <c r="F162" s="18">
        <v>10</v>
      </c>
      <c r="G162" s="18" t="s">
        <v>10</v>
      </c>
      <c r="H162" s="18" t="s">
        <v>178</v>
      </c>
      <c r="I162" s="18" t="s">
        <v>10</v>
      </c>
      <c r="J162" s="18" t="s">
        <v>46</v>
      </c>
      <c r="K162" s="20"/>
    </row>
    <row r="163" spans="1:11" ht="36.75" thickBot="1">
      <c r="A163" s="18" t="s">
        <v>2356</v>
      </c>
      <c r="B163" s="18">
        <v>20022201879</v>
      </c>
      <c r="C163" s="18" t="s">
        <v>2355</v>
      </c>
      <c r="D163" s="19">
        <v>45730.475694444445</v>
      </c>
      <c r="E163" s="18" t="s">
        <v>10</v>
      </c>
      <c r="F163" s="18">
        <v>10</v>
      </c>
      <c r="G163" s="19">
        <v>45765.470138888886</v>
      </c>
      <c r="H163" s="18" t="s">
        <v>236</v>
      </c>
      <c r="I163" s="18" t="s">
        <v>10</v>
      </c>
      <c r="J163" s="18" t="s">
        <v>46</v>
      </c>
      <c r="K163" s="20"/>
    </row>
    <row r="164" spans="1:11" ht="36.75" thickBot="1">
      <c r="A164" s="18" t="s">
        <v>2357</v>
      </c>
      <c r="B164" s="18">
        <v>20003106842</v>
      </c>
      <c r="C164" s="18" t="s">
        <v>2358</v>
      </c>
      <c r="D164" s="19">
        <v>45730.49722222222</v>
      </c>
      <c r="E164" s="18" t="s">
        <v>10</v>
      </c>
      <c r="F164" s="18">
        <v>20</v>
      </c>
      <c r="G164" s="19">
        <v>45765.470138888886</v>
      </c>
      <c r="H164" s="18" t="s">
        <v>236</v>
      </c>
      <c r="I164" s="18" t="s">
        <v>10</v>
      </c>
      <c r="J164" s="18" t="s">
        <v>2359</v>
      </c>
      <c r="K164" s="20"/>
    </row>
    <row r="165" spans="1:11" ht="36.75" thickBot="1">
      <c r="A165" s="18" t="s">
        <v>2429</v>
      </c>
      <c r="B165" s="18">
        <v>20019265701</v>
      </c>
      <c r="C165" s="18" t="s">
        <v>2430</v>
      </c>
      <c r="D165" s="19">
        <v>45737.75</v>
      </c>
      <c r="E165" s="18" t="s">
        <v>10</v>
      </c>
      <c r="F165" s="18">
        <v>12</v>
      </c>
      <c r="G165" s="18" t="s">
        <v>10</v>
      </c>
      <c r="H165" s="18" t="s">
        <v>178</v>
      </c>
      <c r="I165" s="18" t="s">
        <v>10</v>
      </c>
      <c r="J165" s="18" t="s">
        <v>43</v>
      </c>
      <c r="K165" s="20"/>
    </row>
    <row r="166" spans="1:11" ht="36.75" thickBot="1">
      <c r="A166" s="18" t="s">
        <v>2431</v>
      </c>
      <c r="B166" s="18">
        <v>20019265701</v>
      </c>
      <c r="C166" s="18" t="s">
        <v>2430</v>
      </c>
      <c r="D166" s="19">
        <v>45740.701388888891</v>
      </c>
      <c r="E166" s="18" t="s">
        <v>10</v>
      </c>
      <c r="F166" s="18">
        <v>12</v>
      </c>
      <c r="G166" s="19">
        <v>45751.425000000003</v>
      </c>
      <c r="H166" s="18" t="s">
        <v>236</v>
      </c>
      <c r="I166" s="18" t="s">
        <v>10</v>
      </c>
      <c r="J166" s="18" t="s">
        <v>43</v>
      </c>
      <c r="K166" s="20"/>
    </row>
    <row r="167" spans="1:11" ht="36.75" thickBot="1">
      <c r="A167" s="18" t="s">
        <v>2432</v>
      </c>
      <c r="B167" s="18">
        <v>20025487916</v>
      </c>
      <c r="C167" s="18" t="s">
        <v>2433</v>
      </c>
      <c r="D167" s="19">
        <v>45745.518750000003</v>
      </c>
      <c r="E167" s="18" t="s">
        <v>10</v>
      </c>
      <c r="F167" s="18">
        <v>5</v>
      </c>
      <c r="G167" s="18" t="s">
        <v>10</v>
      </c>
      <c r="H167" s="18" t="s">
        <v>178</v>
      </c>
      <c r="I167" s="18" t="s">
        <v>10</v>
      </c>
      <c r="J167" s="18" t="s">
        <v>565</v>
      </c>
      <c r="K167" s="20"/>
    </row>
    <row r="168" spans="1:11" ht="36.75" thickBot="1">
      <c r="A168" s="18" t="s">
        <v>2434</v>
      </c>
      <c r="B168" s="18">
        <v>20003295505</v>
      </c>
      <c r="C168" s="18" t="s">
        <v>2435</v>
      </c>
      <c r="D168" s="19">
        <v>45745.524305555555</v>
      </c>
      <c r="E168" s="18" t="s">
        <v>10</v>
      </c>
      <c r="F168" s="18">
        <v>5</v>
      </c>
      <c r="G168" s="18" t="s">
        <v>10</v>
      </c>
      <c r="H168" s="18" t="s">
        <v>178</v>
      </c>
      <c r="I168" s="18" t="s">
        <v>10</v>
      </c>
      <c r="J168" s="18" t="s">
        <v>43</v>
      </c>
      <c r="K168" s="20"/>
    </row>
    <row r="169" spans="1:11" ht="36.75" thickBot="1">
      <c r="A169" s="18" t="s">
        <v>2436</v>
      </c>
      <c r="B169" s="18">
        <v>20018367724</v>
      </c>
      <c r="C169" s="18" t="s">
        <v>2437</v>
      </c>
      <c r="D169" s="19">
        <v>45747.551388888889</v>
      </c>
      <c r="E169" s="18" t="s">
        <v>10</v>
      </c>
      <c r="F169" s="18">
        <v>10</v>
      </c>
      <c r="G169" s="18" t="s">
        <v>10</v>
      </c>
      <c r="H169" s="18" t="s">
        <v>178</v>
      </c>
      <c r="I169" s="18" t="s">
        <v>10</v>
      </c>
      <c r="J169" s="18" t="s">
        <v>43</v>
      </c>
      <c r="K169" s="20"/>
    </row>
    <row r="170" spans="1:11" ht="36.75" thickBot="1">
      <c r="A170" s="18" t="s">
        <v>2608</v>
      </c>
      <c r="B170" s="18">
        <v>20018367724</v>
      </c>
      <c r="C170" s="18" t="s">
        <v>2437</v>
      </c>
      <c r="D170" s="19">
        <v>45748.533333333333</v>
      </c>
      <c r="E170" s="18" t="s">
        <v>10</v>
      </c>
      <c r="F170" s="18">
        <v>10</v>
      </c>
      <c r="G170" s="19">
        <v>45756.50277777778</v>
      </c>
      <c r="H170" s="18" t="s">
        <v>236</v>
      </c>
      <c r="I170" s="18" t="s">
        <v>10</v>
      </c>
      <c r="J170" s="18" t="s">
        <v>43</v>
      </c>
      <c r="K170" s="20"/>
    </row>
    <row r="171" spans="1:11" ht="36.75" thickBot="1">
      <c r="A171" s="18" t="s">
        <v>2609</v>
      </c>
      <c r="B171" s="18">
        <v>20002777142</v>
      </c>
      <c r="C171" s="18" t="s">
        <v>1684</v>
      </c>
      <c r="D171" s="19">
        <v>45751.655555555553</v>
      </c>
      <c r="E171" s="18" t="s">
        <v>10</v>
      </c>
      <c r="F171" s="18">
        <v>10</v>
      </c>
      <c r="G171" s="18" t="s">
        <v>10</v>
      </c>
      <c r="H171" s="18" t="s">
        <v>178</v>
      </c>
      <c r="I171" s="18" t="s">
        <v>10</v>
      </c>
      <c r="J171" s="18" t="s">
        <v>1119</v>
      </c>
      <c r="K171" s="20"/>
    </row>
    <row r="172" spans="1:11" ht="36.75" thickBot="1">
      <c r="A172" s="18" t="s">
        <v>2610</v>
      </c>
      <c r="B172" s="18">
        <v>20023605210</v>
      </c>
      <c r="C172" s="18" t="s">
        <v>2611</v>
      </c>
      <c r="D172" s="19">
        <v>45751.791666666664</v>
      </c>
      <c r="E172" s="18" t="s">
        <v>10</v>
      </c>
      <c r="F172" s="18">
        <v>6</v>
      </c>
      <c r="G172" s="18" t="s">
        <v>10</v>
      </c>
      <c r="H172" s="18" t="s">
        <v>178</v>
      </c>
      <c r="I172" s="18" t="s">
        <v>10</v>
      </c>
      <c r="J172" s="18" t="s">
        <v>43</v>
      </c>
      <c r="K172" s="20"/>
    </row>
    <row r="173" spans="1:11" ht="36.75" thickBot="1">
      <c r="A173" s="18" t="s">
        <v>2612</v>
      </c>
      <c r="B173" s="18">
        <v>20002777142</v>
      </c>
      <c r="C173" s="18" t="s">
        <v>1684</v>
      </c>
      <c r="D173" s="19">
        <v>45756.664583333331</v>
      </c>
      <c r="E173" s="18" t="s">
        <v>10</v>
      </c>
      <c r="F173" s="18">
        <v>10</v>
      </c>
      <c r="G173" s="19">
        <v>45813.576388888891</v>
      </c>
      <c r="H173" s="18" t="s">
        <v>236</v>
      </c>
      <c r="I173" s="18" t="s">
        <v>10</v>
      </c>
      <c r="J173" s="18" t="s">
        <v>1119</v>
      </c>
      <c r="K173" s="20"/>
    </row>
    <row r="174" spans="1:11" ht="36.75" thickBot="1">
      <c r="A174" s="18" t="s">
        <v>2613</v>
      </c>
      <c r="B174" s="18">
        <v>20023605210</v>
      </c>
      <c r="C174" s="18" t="s">
        <v>2611</v>
      </c>
      <c r="D174" s="19">
        <v>45757.712500000001</v>
      </c>
      <c r="E174" s="18" t="s">
        <v>10</v>
      </c>
      <c r="F174" s="18">
        <v>6</v>
      </c>
      <c r="G174" s="18" t="s">
        <v>10</v>
      </c>
      <c r="H174" s="18" t="s">
        <v>178</v>
      </c>
      <c r="I174" s="18" t="s">
        <v>10</v>
      </c>
      <c r="J174" s="18" t="s">
        <v>43</v>
      </c>
      <c r="K174" s="20"/>
    </row>
    <row r="175" spans="1:11" ht="36.75" thickBot="1">
      <c r="A175" s="18" t="s">
        <v>2614</v>
      </c>
      <c r="B175" s="18">
        <v>20023605210</v>
      </c>
      <c r="C175" s="18" t="s">
        <v>2615</v>
      </c>
      <c r="D175" s="19">
        <v>45765.566666666666</v>
      </c>
      <c r="E175" s="18" t="s">
        <v>10</v>
      </c>
      <c r="F175" s="18">
        <v>6</v>
      </c>
      <c r="G175" s="18" t="s">
        <v>10</v>
      </c>
      <c r="H175" s="18" t="s">
        <v>178</v>
      </c>
      <c r="I175" s="18" t="s">
        <v>10</v>
      </c>
      <c r="J175" s="18" t="s">
        <v>43</v>
      </c>
      <c r="K175" s="20"/>
    </row>
    <row r="176" spans="1:11" ht="36.75" thickBot="1">
      <c r="A176" s="18" t="s">
        <v>2616</v>
      </c>
      <c r="B176" s="18">
        <v>20027346251</v>
      </c>
      <c r="C176" s="18" t="s">
        <v>2617</v>
      </c>
      <c r="D176" s="19">
        <v>45768.009027777778</v>
      </c>
      <c r="E176" s="18" t="s">
        <v>10</v>
      </c>
      <c r="F176" s="18">
        <v>10</v>
      </c>
      <c r="G176" s="18" t="s">
        <v>10</v>
      </c>
      <c r="H176" s="18" t="s">
        <v>189</v>
      </c>
      <c r="I176" s="18" t="s">
        <v>10</v>
      </c>
      <c r="J176" s="18" t="s">
        <v>43</v>
      </c>
      <c r="K176" s="20"/>
    </row>
    <row r="177" spans="1:11" ht="36.75" thickBot="1">
      <c r="A177" s="18" t="s">
        <v>2618</v>
      </c>
      <c r="B177" s="18">
        <v>20026914684</v>
      </c>
      <c r="C177" s="18" t="s">
        <v>2619</v>
      </c>
      <c r="D177" s="19">
        <v>45768.388194444444</v>
      </c>
      <c r="E177" s="18" t="s">
        <v>10</v>
      </c>
      <c r="F177" s="18">
        <v>10</v>
      </c>
      <c r="G177" s="19">
        <v>45824.350694444445</v>
      </c>
      <c r="H177" s="18" t="s">
        <v>236</v>
      </c>
      <c r="I177" s="18" t="s">
        <v>10</v>
      </c>
      <c r="J177" s="18" t="s">
        <v>783</v>
      </c>
      <c r="K177" s="20"/>
    </row>
    <row r="178" spans="1:11" ht="36.75" thickBot="1">
      <c r="A178" s="18" t="s">
        <v>2622</v>
      </c>
      <c r="B178" s="18">
        <v>20003235261</v>
      </c>
      <c r="C178" s="18" t="s">
        <v>2621</v>
      </c>
      <c r="D178" s="19">
        <v>45769.030555555553</v>
      </c>
      <c r="E178" s="18" t="s">
        <v>10</v>
      </c>
      <c r="F178" s="18">
        <v>5</v>
      </c>
      <c r="G178" s="18" t="s">
        <v>10</v>
      </c>
      <c r="H178" s="18" t="s">
        <v>178</v>
      </c>
      <c r="I178" s="18" t="s">
        <v>10</v>
      </c>
      <c r="J178" s="18" t="s">
        <v>40</v>
      </c>
      <c r="K178" s="20"/>
    </row>
    <row r="179" spans="1:11" ht="36.75" thickBot="1">
      <c r="A179" s="18" t="s">
        <v>2623</v>
      </c>
      <c r="B179" s="18">
        <v>20002853718</v>
      </c>
      <c r="C179" s="18" t="s">
        <v>2624</v>
      </c>
      <c r="D179" s="19">
        <v>45771.994444444441</v>
      </c>
      <c r="E179" s="18" t="s">
        <v>10</v>
      </c>
      <c r="F179" s="18">
        <v>5</v>
      </c>
      <c r="G179" s="18" t="s">
        <v>10</v>
      </c>
      <c r="H179" s="18" t="s">
        <v>178</v>
      </c>
      <c r="I179" s="18" t="s">
        <v>10</v>
      </c>
      <c r="J179" s="18" t="s">
        <v>565</v>
      </c>
      <c r="K179" s="20"/>
    </row>
    <row r="180" spans="1:11" ht="36.75" thickBot="1">
      <c r="A180" s="18" t="s">
        <v>2826</v>
      </c>
      <c r="B180" s="18">
        <v>20022084321</v>
      </c>
      <c r="C180" s="18" t="s">
        <v>1334</v>
      </c>
      <c r="D180" s="19">
        <v>45777.679166666669</v>
      </c>
      <c r="E180" s="18" t="s">
        <v>10</v>
      </c>
      <c r="F180" s="18">
        <v>10</v>
      </c>
      <c r="G180" s="18" t="s">
        <v>10</v>
      </c>
      <c r="H180" s="18" t="s">
        <v>178</v>
      </c>
      <c r="I180" s="18" t="s">
        <v>10</v>
      </c>
      <c r="J180" s="18" t="s">
        <v>43</v>
      </c>
      <c r="K180" s="20"/>
    </row>
    <row r="181" spans="1:11" ht="36.75" thickBot="1">
      <c r="A181" s="18" t="s">
        <v>2620</v>
      </c>
      <c r="B181" s="18">
        <v>20002981441</v>
      </c>
      <c r="C181" s="18" t="s">
        <v>2621</v>
      </c>
      <c r="D181" s="19">
        <v>45769.004861111112</v>
      </c>
      <c r="E181" s="19">
        <v>45778.415277777778</v>
      </c>
      <c r="F181" s="18">
        <v>5</v>
      </c>
      <c r="G181" s="18" t="s">
        <v>10</v>
      </c>
      <c r="H181" s="18" t="s">
        <v>178</v>
      </c>
      <c r="I181" s="18" t="s">
        <v>10</v>
      </c>
      <c r="J181" s="18" t="s">
        <v>40</v>
      </c>
      <c r="K181" s="20"/>
    </row>
    <row r="182" spans="1:11" ht="36.75" thickBot="1">
      <c r="A182" s="18" t="s">
        <v>2827</v>
      </c>
      <c r="B182" s="18">
        <v>20002981441</v>
      </c>
      <c r="C182" s="18" t="s">
        <v>2828</v>
      </c>
      <c r="D182" s="19">
        <v>45778.438194444447</v>
      </c>
      <c r="E182" s="18" t="s">
        <v>10</v>
      </c>
      <c r="F182" s="18">
        <v>5</v>
      </c>
      <c r="G182" s="18" t="s">
        <v>10</v>
      </c>
      <c r="H182" s="18" t="s">
        <v>178</v>
      </c>
      <c r="I182" s="18" t="s">
        <v>10</v>
      </c>
      <c r="J182" s="18" t="s">
        <v>40</v>
      </c>
      <c r="K182" s="20"/>
    </row>
    <row r="183" spans="1:11" ht="36.75" thickBot="1">
      <c r="A183" s="18" t="s">
        <v>2625</v>
      </c>
      <c r="B183" s="18">
        <v>20002755032</v>
      </c>
      <c r="C183" s="18" t="s">
        <v>2626</v>
      </c>
      <c r="D183" s="19">
        <v>45775.481944444444</v>
      </c>
      <c r="E183" s="19">
        <v>45778.668055555558</v>
      </c>
      <c r="F183" s="18">
        <v>6</v>
      </c>
      <c r="G183" s="18" t="s">
        <v>10</v>
      </c>
      <c r="H183" s="18" t="s">
        <v>178</v>
      </c>
      <c r="I183" s="18" t="s">
        <v>10</v>
      </c>
      <c r="J183" s="18" t="s">
        <v>43</v>
      </c>
      <c r="K183" s="20"/>
    </row>
    <row r="184" spans="1:11" ht="36.75" thickBot="1">
      <c r="A184" s="18" t="s">
        <v>2829</v>
      </c>
      <c r="B184" s="18">
        <v>20028424710</v>
      </c>
      <c r="C184" s="18" t="s">
        <v>2830</v>
      </c>
      <c r="D184" s="19">
        <v>45783.599305555559</v>
      </c>
      <c r="E184" s="18" t="s">
        <v>10</v>
      </c>
      <c r="F184" s="18">
        <v>10</v>
      </c>
      <c r="G184" s="18" t="s">
        <v>10</v>
      </c>
      <c r="H184" s="18" t="s">
        <v>178</v>
      </c>
      <c r="I184" s="18" t="s">
        <v>10</v>
      </c>
      <c r="J184" s="18" t="s">
        <v>40</v>
      </c>
      <c r="K184" s="20"/>
    </row>
    <row r="185" spans="1:11" ht="36.75" thickBot="1">
      <c r="A185" s="18" t="s">
        <v>2831</v>
      </c>
      <c r="B185" s="18">
        <v>20002859306</v>
      </c>
      <c r="C185" s="18" t="s">
        <v>2832</v>
      </c>
      <c r="D185" s="19">
        <v>45784.423611111109</v>
      </c>
      <c r="E185" s="18" t="s">
        <v>10</v>
      </c>
      <c r="F185" s="18">
        <v>6</v>
      </c>
      <c r="G185" s="19">
        <v>45912.572916666664</v>
      </c>
      <c r="H185" s="18" t="s">
        <v>236</v>
      </c>
      <c r="I185" s="18" t="s">
        <v>10</v>
      </c>
      <c r="J185" s="18" t="s">
        <v>779</v>
      </c>
      <c r="K185" s="20"/>
    </row>
    <row r="186" spans="1:11" ht="36.75" thickBot="1">
      <c r="A186" s="18" t="s">
        <v>2833</v>
      </c>
      <c r="B186" s="18">
        <v>20003235261</v>
      </c>
      <c r="C186" s="18" t="s">
        <v>2621</v>
      </c>
      <c r="D186" s="19">
        <v>45784.438888888886</v>
      </c>
      <c r="E186" s="18" t="s">
        <v>10</v>
      </c>
      <c r="F186" s="18">
        <v>5</v>
      </c>
      <c r="G186" s="18" t="s">
        <v>10</v>
      </c>
      <c r="H186" s="18" t="s">
        <v>189</v>
      </c>
      <c r="I186" s="18" t="s">
        <v>10</v>
      </c>
      <c r="J186" s="18" t="s">
        <v>40</v>
      </c>
      <c r="K186" s="20"/>
    </row>
    <row r="187" spans="1:11" ht="36.75" thickBot="1">
      <c r="A187" s="18" t="s">
        <v>2834</v>
      </c>
      <c r="B187" s="18">
        <v>20002981441</v>
      </c>
      <c r="C187" s="18" t="s">
        <v>2835</v>
      </c>
      <c r="D187" s="19">
        <v>45784.447222222225</v>
      </c>
      <c r="E187" s="18" t="s">
        <v>10</v>
      </c>
      <c r="F187" s="18">
        <v>5</v>
      </c>
      <c r="G187" s="18" t="s">
        <v>10</v>
      </c>
      <c r="H187" s="18" t="s">
        <v>189</v>
      </c>
      <c r="I187" s="18" t="s">
        <v>10</v>
      </c>
      <c r="J187" s="18" t="s">
        <v>40</v>
      </c>
      <c r="K187" s="20"/>
    </row>
    <row r="188" spans="1:11" ht="36.75" thickBot="1">
      <c r="A188" s="18" t="s">
        <v>2836</v>
      </c>
      <c r="B188" s="18">
        <v>20002724836</v>
      </c>
      <c r="C188" s="18" t="s">
        <v>2837</v>
      </c>
      <c r="D188" s="19">
        <v>45784.461805555555</v>
      </c>
      <c r="E188" s="18" t="s">
        <v>10</v>
      </c>
      <c r="F188" s="18">
        <v>10</v>
      </c>
      <c r="G188" s="18" t="s">
        <v>10</v>
      </c>
      <c r="H188" s="18" t="s">
        <v>189</v>
      </c>
      <c r="I188" s="18" t="s">
        <v>10</v>
      </c>
      <c r="J188" s="18" t="s">
        <v>783</v>
      </c>
      <c r="K188" s="20"/>
    </row>
    <row r="189" spans="1:11" ht="36.75" thickBot="1">
      <c r="A189" s="18" t="s">
        <v>2838</v>
      </c>
      <c r="B189" s="18">
        <v>20023123948</v>
      </c>
      <c r="C189" s="18" t="s">
        <v>2839</v>
      </c>
      <c r="D189" s="19">
        <v>45784.511111111111</v>
      </c>
      <c r="E189" s="18" t="s">
        <v>10</v>
      </c>
      <c r="F189" s="18">
        <v>5</v>
      </c>
      <c r="G189" s="18" t="s">
        <v>10</v>
      </c>
      <c r="H189" s="18" t="s">
        <v>178</v>
      </c>
      <c r="I189" s="18" t="s">
        <v>10</v>
      </c>
      <c r="J189" s="18" t="s">
        <v>40</v>
      </c>
      <c r="K189" s="20"/>
    </row>
    <row r="190" spans="1:11" ht="36.75" thickBot="1">
      <c r="A190" s="18" t="s">
        <v>2840</v>
      </c>
      <c r="B190" s="18">
        <v>20002724836</v>
      </c>
      <c r="C190" s="18" t="s">
        <v>2837</v>
      </c>
      <c r="D190" s="19">
        <v>45785.443055555559</v>
      </c>
      <c r="E190" s="18" t="s">
        <v>10</v>
      </c>
      <c r="F190" s="18">
        <v>10</v>
      </c>
      <c r="G190" s="18" t="s">
        <v>10</v>
      </c>
      <c r="H190" s="18" t="s">
        <v>178</v>
      </c>
      <c r="I190" s="18" t="s">
        <v>10</v>
      </c>
      <c r="J190" s="18" t="s">
        <v>783</v>
      </c>
      <c r="K190" s="20"/>
    </row>
    <row r="191" spans="1:11" ht="36.75" thickBot="1">
      <c r="A191" s="18" t="s">
        <v>2841</v>
      </c>
      <c r="B191" s="18">
        <v>20023123948</v>
      </c>
      <c r="C191" s="18" t="s">
        <v>2839</v>
      </c>
      <c r="D191" s="19">
        <v>45786.509027777778</v>
      </c>
      <c r="E191" s="18" t="s">
        <v>10</v>
      </c>
      <c r="F191" s="18">
        <v>5</v>
      </c>
      <c r="G191" s="18" t="s">
        <v>10</v>
      </c>
      <c r="H191" s="18" t="s">
        <v>178</v>
      </c>
      <c r="I191" s="18" t="s">
        <v>10</v>
      </c>
      <c r="J191" s="18" t="s">
        <v>40</v>
      </c>
      <c r="K191" s="20"/>
    </row>
    <row r="192" spans="1:11" ht="36.75" thickBot="1">
      <c r="A192" s="18" t="s">
        <v>2842</v>
      </c>
      <c r="B192" s="18">
        <v>20022084321</v>
      </c>
      <c r="C192" s="18" t="s">
        <v>1334</v>
      </c>
      <c r="D192" s="19">
        <v>45786.663888888892</v>
      </c>
      <c r="E192" s="18" t="s">
        <v>10</v>
      </c>
      <c r="F192" s="18">
        <v>10</v>
      </c>
      <c r="G192" s="19">
        <v>45798.591666666667</v>
      </c>
      <c r="H192" s="18" t="s">
        <v>236</v>
      </c>
      <c r="I192" s="18" t="s">
        <v>10</v>
      </c>
      <c r="J192" s="18" t="s">
        <v>43</v>
      </c>
      <c r="K192" s="20"/>
    </row>
    <row r="193" spans="1:11" ht="36.75" thickBot="1">
      <c r="A193" s="18" t="s">
        <v>2843</v>
      </c>
      <c r="B193" s="18">
        <v>20023123948</v>
      </c>
      <c r="C193" s="18" t="s">
        <v>2839</v>
      </c>
      <c r="D193" s="19">
        <v>45790.675000000003</v>
      </c>
      <c r="E193" s="18" t="s">
        <v>10</v>
      </c>
      <c r="F193" s="18">
        <v>5</v>
      </c>
      <c r="G193" s="19">
        <v>45824.461111111108</v>
      </c>
      <c r="H193" s="18" t="s">
        <v>236</v>
      </c>
      <c r="I193" s="18" t="s">
        <v>10</v>
      </c>
      <c r="J193" s="18" t="s">
        <v>40</v>
      </c>
      <c r="K193" s="20"/>
    </row>
    <row r="194" spans="1:11" ht="36.75" thickBot="1">
      <c r="A194" s="18" t="s">
        <v>2844</v>
      </c>
      <c r="B194" s="18">
        <v>20028424710</v>
      </c>
      <c r="C194" s="18" t="s">
        <v>2830</v>
      </c>
      <c r="D194" s="19">
        <v>45789.505555555559</v>
      </c>
      <c r="E194" s="19">
        <v>45792.40625</v>
      </c>
      <c r="F194" s="18">
        <v>10</v>
      </c>
      <c r="G194" s="18" t="s">
        <v>10</v>
      </c>
      <c r="H194" s="18" t="s">
        <v>178</v>
      </c>
      <c r="I194" s="18" t="s">
        <v>10</v>
      </c>
      <c r="J194" s="18" t="s">
        <v>40</v>
      </c>
      <c r="K194" s="20"/>
    </row>
    <row r="195" spans="1:11" ht="36.75" thickBot="1">
      <c r="A195" s="18" t="s">
        <v>2845</v>
      </c>
      <c r="B195" s="18">
        <v>20017848859</v>
      </c>
      <c r="C195" s="18" t="s">
        <v>2846</v>
      </c>
      <c r="D195" s="19">
        <v>45792.469444444447</v>
      </c>
      <c r="E195" s="18" t="s">
        <v>10</v>
      </c>
      <c r="F195" s="18">
        <v>5</v>
      </c>
      <c r="G195" s="19">
        <v>45971.568055555559</v>
      </c>
      <c r="H195" s="18" t="s">
        <v>2657</v>
      </c>
      <c r="I195" s="18" t="s">
        <v>10</v>
      </c>
      <c r="J195" s="18" t="s">
        <v>43</v>
      </c>
      <c r="K195" s="20"/>
    </row>
    <row r="196" spans="1:11" ht="36.75" thickBot="1">
      <c r="A196" s="18" t="s">
        <v>2847</v>
      </c>
      <c r="B196" s="18">
        <v>20020749644</v>
      </c>
      <c r="C196" s="18" t="s">
        <v>2848</v>
      </c>
      <c r="D196" s="19">
        <v>45793.518750000003</v>
      </c>
      <c r="E196" s="18" t="s">
        <v>10</v>
      </c>
      <c r="F196" s="18">
        <v>15</v>
      </c>
      <c r="G196" s="18" t="s">
        <v>10</v>
      </c>
      <c r="H196" s="18" t="s">
        <v>178</v>
      </c>
      <c r="I196" s="18" t="s">
        <v>10</v>
      </c>
      <c r="J196" s="18" t="s">
        <v>43</v>
      </c>
      <c r="K196" s="20"/>
    </row>
    <row r="197" spans="1:11" ht="36.75" thickBot="1">
      <c r="A197" s="18" t="s">
        <v>2849</v>
      </c>
      <c r="B197" s="18">
        <v>20020395067</v>
      </c>
      <c r="C197" s="18" t="s">
        <v>2850</v>
      </c>
      <c r="D197" s="19">
        <v>45802.570833333331</v>
      </c>
      <c r="E197" s="18" t="s">
        <v>10</v>
      </c>
      <c r="F197" s="18">
        <v>5</v>
      </c>
      <c r="G197" s="18" t="s">
        <v>10</v>
      </c>
      <c r="H197" s="18" t="s">
        <v>178</v>
      </c>
      <c r="I197" s="18" t="s">
        <v>10</v>
      </c>
      <c r="J197" s="18" t="s">
        <v>43</v>
      </c>
      <c r="K197" s="20"/>
    </row>
    <row r="198" spans="1:11" ht="36.75" thickBot="1">
      <c r="A198" s="18" t="s">
        <v>2851</v>
      </c>
      <c r="B198" s="18">
        <v>20002858574</v>
      </c>
      <c r="C198" s="18" t="s">
        <v>2852</v>
      </c>
      <c r="D198" s="19">
        <v>45804.563194444447</v>
      </c>
      <c r="E198" s="18" t="s">
        <v>10</v>
      </c>
      <c r="F198" s="18">
        <v>20</v>
      </c>
      <c r="G198" s="18" t="s">
        <v>10</v>
      </c>
      <c r="H198" s="18" t="s">
        <v>178</v>
      </c>
      <c r="I198" s="18" t="s">
        <v>10</v>
      </c>
      <c r="J198" s="18" t="s">
        <v>46</v>
      </c>
      <c r="K198" s="20"/>
    </row>
    <row r="199" spans="1:11" ht="36.75" thickBot="1">
      <c r="A199" s="18" t="s">
        <v>2853</v>
      </c>
      <c r="B199" s="18">
        <v>20020749644</v>
      </c>
      <c r="C199" s="18" t="s">
        <v>2848</v>
      </c>
      <c r="D199" s="19">
        <v>45806.436805555553</v>
      </c>
      <c r="E199" s="18" t="s">
        <v>10</v>
      </c>
      <c r="F199" s="18">
        <v>15</v>
      </c>
      <c r="G199" s="19">
        <v>45834.566666666666</v>
      </c>
      <c r="H199" s="18" t="s">
        <v>236</v>
      </c>
      <c r="I199" s="18" t="s">
        <v>10</v>
      </c>
      <c r="J199" s="18" t="s">
        <v>43</v>
      </c>
      <c r="K199" s="20"/>
    </row>
    <row r="200" spans="1:11" ht="36.75" thickBot="1">
      <c r="A200" s="18" t="s">
        <v>2854</v>
      </c>
      <c r="B200" s="18">
        <v>20002858574</v>
      </c>
      <c r="C200" s="18" t="s">
        <v>2855</v>
      </c>
      <c r="D200" s="19">
        <v>45807.40902777778</v>
      </c>
      <c r="E200" s="19">
        <v>45807.563194444447</v>
      </c>
      <c r="F200" s="18">
        <v>20</v>
      </c>
      <c r="G200" s="19">
        <v>45813.405555555553</v>
      </c>
      <c r="H200" s="18" t="s">
        <v>236</v>
      </c>
      <c r="I200" s="18" t="s">
        <v>10</v>
      </c>
      <c r="J200" s="18" t="s">
        <v>46</v>
      </c>
      <c r="K200" s="20"/>
    </row>
    <row r="201" spans="1:11" ht="36.75" thickBot="1">
      <c r="A201" s="18" t="s">
        <v>2856</v>
      </c>
      <c r="B201" s="18">
        <v>20026186889</v>
      </c>
      <c r="C201" s="18" t="s">
        <v>2857</v>
      </c>
      <c r="D201" s="19">
        <v>45810.67083333333</v>
      </c>
      <c r="E201" s="18" t="s">
        <v>10</v>
      </c>
      <c r="F201" s="18">
        <v>10</v>
      </c>
      <c r="G201" s="19">
        <v>45813.480555555558</v>
      </c>
      <c r="H201" s="18" t="s">
        <v>236</v>
      </c>
      <c r="I201" s="18" t="s">
        <v>10</v>
      </c>
      <c r="J201" s="18" t="s">
        <v>43</v>
      </c>
      <c r="K201" s="20"/>
    </row>
    <row r="202" spans="1:11" ht="36.75" thickBot="1">
      <c r="A202" s="21" t="s">
        <v>2860</v>
      </c>
      <c r="B202" s="21">
        <v>20019175870</v>
      </c>
      <c r="C202" s="21" t="s">
        <v>2861</v>
      </c>
      <c r="D202" s="22">
        <v>45812.861111111109</v>
      </c>
      <c r="E202" s="21" t="s">
        <v>10</v>
      </c>
      <c r="F202" s="21">
        <v>5</v>
      </c>
      <c r="G202" s="21" t="s">
        <v>10</v>
      </c>
      <c r="H202" s="21" t="s">
        <v>178</v>
      </c>
      <c r="I202" s="21" t="s">
        <v>10</v>
      </c>
      <c r="J202" s="21" t="s">
        <v>7935</v>
      </c>
      <c r="K202" s="1"/>
    </row>
    <row r="203" spans="1:11" ht="36.75" thickBot="1">
      <c r="A203" s="18" t="s">
        <v>2862</v>
      </c>
      <c r="B203" s="18">
        <v>20016318771</v>
      </c>
      <c r="C203" s="18" t="s">
        <v>2863</v>
      </c>
      <c r="D203" s="19">
        <v>45817.728472222225</v>
      </c>
      <c r="E203" s="18" t="s">
        <v>10</v>
      </c>
      <c r="F203" s="18">
        <v>10</v>
      </c>
      <c r="G203" s="18" t="s">
        <v>10</v>
      </c>
      <c r="H203" s="18" t="s">
        <v>178</v>
      </c>
      <c r="I203" s="18" t="s">
        <v>10</v>
      </c>
      <c r="J203" s="18" t="s">
        <v>40</v>
      </c>
      <c r="K203" s="20"/>
    </row>
    <row r="204" spans="1:11" ht="36.75" thickBot="1">
      <c r="A204" s="18" t="s">
        <v>2864</v>
      </c>
      <c r="B204" s="18">
        <v>20020395067</v>
      </c>
      <c r="C204" s="18" t="s">
        <v>2850</v>
      </c>
      <c r="D204" s="19">
        <v>45815.470138888886</v>
      </c>
      <c r="E204" s="19">
        <v>45818.399305555555</v>
      </c>
      <c r="F204" s="18">
        <v>5</v>
      </c>
      <c r="G204" s="19">
        <v>45838.626388888886</v>
      </c>
      <c r="H204" s="18" t="s">
        <v>236</v>
      </c>
      <c r="I204" s="18" t="s">
        <v>10</v>
      </c>
      <c r="J204" s="18" t="s">
        <v>43</v>
      </c>
      <c r="K204" s="20"/>
    </row>
    <row r="205" spans="1:11" ht="36.75" thickBot="1">
      <c r="A205" s="18" t="s">
        <v>2865</v>
      </c>
      <c r="B205" s="18">
        <v>20026045401</v>
      </c>
      <c r="C205" s="18" t="s">
        <v>2866</v>
      </c>
      <c r="D205" s="19">
        <v>45818.600694444445</v>
      </c>
      <c r="E205" s="19">
        <v>45819.46597222222</v>
      </c>
      <c r="F205" s="18">
        <v>5</v>
      </c>
      <c r="G205" s="18" t="s">
        <v>10</v>
      </c>
      <c r="H205" s="18" t="s">
        <v>189</v>
      </c>
      <c r="I205" s="18" t="s">
        <v>10</v>
      </c>
      <c r="J205" s="18" t="s">
        <v>1119</v>
      </c>
      <c r="K205" s="20"/>
    </row>
    <row r="206" spans="1:11" ht="36.75" thickBot="1">
      <c r="A206" s="18" t="s">
        <v>2867</v>
      </c>
      <c r="B206" s="18">
        <v>20002878343</v>
      </c>
      <c r="C206" s="18" t="s">
        <v>2868</v>
      </c>
      <c r="D206" s="19">
        <v>45800.57708333333</v>
      </c>
      <c r="E206" s="19">
        <v>45819.586111111108</v>
      </c>
      <c r="F206" s="18">
        <v>8</v>
      </c>
      <c r="G206" s="18" t="s">
        <v>10</v>
      </c>
      <c r="H206" s="18" t="s">
        <v>178</v>
      </c>
      <c r="I206" s="18" t="s">
        <v>10</v>
      </c>
      <c r="J206" s="18" t="s">
        <v>43</v>
      </c>
      <c r="K206" s="20"/>
    </row>
    <row r="207" spans="1:11" ht="36.75" thickBot="1">
      <c r="A207" s="18" t="s">
        <v>2869</v>
      </c>
      <c r="B207" s="18">
        <v>20027918556</v>
      </c>
      <c r="C207" s="18" t="s">
        <v>2870</v>
      </c>
      <c r="D207" s="19">
        <v>45800.629166666666</v>
      </c>
      <c r="E207" s="19">
        <v>45819.587500000001</v>
      </c>
      <c r="F207" s="18">
        <v>6</v>
      </c>
      <c r="G207" s="19">
        <v>45912.572916666664</v>
      </c>
      <c r="H207" s="18" t="s">
        <v>236</v>
      </c>
      <c r="I207" s="18" t="s">
        <v>10</v>
      </c>
      <c r="J207" s="18" t="s">
        <v>43</v>
      </c>
      <c r="K207" s="20"/>
    </row>
    <row r="208" spans="1:11" ht="36.75" thickBot="1">
      <c r="A208" s="18" t="s">
        <v>2871</v>
      </c>
      <c r="B208" s="18">
        <v>20002783987</v>
      </c>
      <c r="C208" s="18" t="s">
        <v>2872</v>
      </c>
      <c r="D208" s="19">
        <v>45800.68472222222</v>
      </c>
      <c r="E208" s="19">
        <v>45819.588194444441</v>
      </c>
      <c r="F208" s="18">
        <v>8</v>
      </c>
      <c r="G208" s="18" t="s">
        <v>10</v>
      </c>
      <c r="H208" s="18" t="s">
        <v>178</v>
      </c>
      <c r="I208" s="18" t="s">
        <v>10</v>
      </c>
      <c r="J208" s="18" t="s">
        <v>46</v>
      </c>
      <c r="K208" s="20"/>
    </row>
    <row r="209" spans="1:11" ht="36.75" thickBot="1">
      <c r="A209" s="18" t="s">
        <v>2873</v>
      </c>
      <c r="B209" s="18">
        <v>20002734753</v>
      </c>
      <c r="C209" s="18" t="s">
        <v>2874</v>
      </c>
      <c r="D209" s="19">
        <v>45805.554166666669</v>
      </c>
      <c r="E209" s="19">
        <v>45819.589583333334</v>
      </c>
      <c r="F209" s="18">
        <v>6</v>
      </c>
      <c r="G209" s="18" t="s">
        <v>10</v>
      </c>
      <c r="H209" s="18" t="s">
        <v>178</v>
      </c>
      <c r="I209" s="18" t="s">
        <v>10</v>
      </c>
      <c r="J209" s="18" t="s">
        <v>40</v>
      </c>
      <c r="K209" s="20"/>
    </row>
    <row r="210" spans="1:11" ht="36.75" thickBot="1">
      <c r="A210" s="18" t="s">
        <v>2875</v>
      </c>
      <c r="B210" s="18">
        <v>20023624914</v>
      </c>
      <c r="C210" s="18" t="s">
        <v>2876</v>
      </c>
      <c r="D210" s="19">
        <v>45819.722222222219</v>
      </c>
      <c r="E210" s="18" t="s">
        <v>10</v>
      </c>
      <c r="F210" s="18">
        <v>8</v>
      </c>
      <c r="G210" s="19">
        <v>45846.520138888889</v>
      </c>
      <c r="H210" s="18" t="s">
        <v>236</v>
      </c>
      <c r="I210" s="18" t="s">
        <v>10</v>
      </c>
      <c r="J210" s="18" t="s">
        <v>565</v>
      </c>
      <c r="K210" s="20"/>
    </row>
    <row r="211" spans="1:11" ht="36.75" thickBot="1">
      <c r="A211" s="18" t="s">
        <v>2877</v>
      </c>
      <c r="B211" s="18">
        <v>20021754953</v>
      </c>
      <c r="C211" s="18" t="s">
        <v>2878</v>
      </c>
      <c r="D211" s="19">
        <v>45813.604166666664</v>
      </c>
      <c r="E211" s="19">
        <v>45820.611805555556</v>
      </c>
      <c r="F211" s="18">
        <v>6</v>
      </c>
      <c r="G211" s="19">
        <v>45845.430555555555</v>
      </c>
      <c r="H211" s="18" t="s">
        <v>236</v>
      </c>
      <c r="I211" s="18" t="s">
        <v>10</v>
      </c>
      <c r="J211" s="18" t="s">
        <v>43</v>
      </c>
      <c r="K211" s="20"/>
    </row>
    <row r="212" spans="1:11" ht="36.75" thickBot="1">
      <c r="A212" s="18" t="s">
        <v>2879</v>
      </c>
      <c r="B212" s="18">
        <v>20028251625</v>
      </c>
      <c r="C212" s="18" t="s">
        <v>2880</v>
      </c>
      <c r="D212" s="19">
        <v>45821.634027777778</v>
      </c>
      <c r="E212" s="18" t="s">
        <v>10</v>
      </c>
      <c r="F212" s="18">
        <v>3</v>
      </c>
      <c r="G212" s="18" t="s">
        <v>10</v>
      </c>
      <c r="H212" s="18" t="s">
        <v>178</v>
      </c>
      <c r="I212" s="18" t="s">
        <v>10</v>
      </c>
      <c r="J212" s="18" t="s">
        <v>40</v>
      </c>
      <c r="K212" s="20"/>
    </row>
    <row r="213" spans="1:11" ht="36.75" thickBot="1">
      <c r="A213" s="18" t="s">
        <v>2881</v>
      </c>
      <c r="B213" s="18">
        <v>20003002071</v>
      </c>
      <c r="C213" s="18" t="s">
        <v>2882</v>
      </c>
      <c r="D213" s="19">
        <v>45821.688194444447</v>
      </c>
      <c r="E213" s="18" t="s">
        <v>10</v>
      </c>
      <c r="F213" s="18">
        <v>5</v>
      </c>
      <c r="G213" s="18" t="s">
        <v>10</v>
      </c>
      <c r="H213" s="18" t="s">
        <v>178</v>
      </c>
      <c r="I213" s="18" t="s">
        <v>10</v>
      </c>
      <c r="J213" s="18" t="s">
        <v>40</v>
      </c>
      <c r="K213" s="20"/>
    </row>
    <row r="214" spans="1:11" ht="36.75" thickBot="1">
      <c r="A214" s="18" t="s">
        <v>2858</v>
      </c>
      <c r="B214" s="18">
        <v>20002917239</v>
      </c>
      <c r="C214" s="18" t="s">
        <v>2859</v>
      </c>
      <c r="D214" s="19">
        <v>45812.853472222225</v>
      </c>
      <c r="E214" s="19">
        <v>45825.909722222219</v>
      </c>
      <c r="F214" s="18">
        <v>5</v>
      </c>
      <c r="G214" s="18" t="s">
        <v>10</v>
      </c>
      <c r="H214" s="18" t="s">
        <v>178</v>
      </c>
      <c r="I214" s="18" t="s">
        <v>10</v>
      </c>
      <c r="J214" s="18" t="s">
        <v>40</v>
      </c>
      <c r="K214" s="20"/>
    </row>
    <row r="215" spans="1:11" ht="36.75" thickBot="1">
      <c r="A215" s="18" t="s">
        <v>3754</v>
      </c>
      <c r="B215" s="18">
        <v>20002724836</v>
      </c>
      <c r="C215" s="18" t="s">
        <v>2837</v>
      </c>
      <c r="D215" s="19">
        <v>45827.704861111109</v>
      </c>
      <c r="E215" s="18" t="s">
        <v>10</v>
      </c>
      <c r="F215" s="18">
        <v>10</v>
      </c>
      <c r="G215" s="19">
        <v>45846.558333333334</v>
      </c>
      <c r="H215" s="18" t="s">
        <v>236</v>
      </c>
      <c r="I215" s="18" t="s">
        <v>10</v>
      </c>
      <c r="J215" s="18" t="s">
        <v>783</v>
      </c>
      <c r="K215" s="20"/>
    </row>
    <row r="216" spans="1:11" ht="36.75" thickBot="1">
      <c r="A216" s="18" t="s">
        <v>3700</v>
      </c>
      <c r="B216" s="18">
        <v>20021585030</v>
      </c>
      <c r="C216" s="18" t="s">
        <v>3701</v>
      </c>
      <c r="D216" s="19">
        <v>45827.912499999999</v>
      </c>
      <c r="E216" s="18" t="s">
        <v>10</v>
      </c>
      <c r="F216" s="18">
        <v>5</v>
      </c>
      <c r="G216" s="18" t="s">
        <v>10</v>
      </c>
      <c r="H216" s="18" t="s">
        <v>178</v>
      </c>
      <c r="I216" s="18" t="s">
        <v>10</v>
      </c>
      <c r="J216" s="18" t="s">
        <v>43</v>
      </c>
      <c r="K216" s="20"/>
    </row>
    <row r="217" spans="1:11" ht="36.75" thickBot="1">
      <c r="A217" s="18" t="s">
        <v>3755</v>
      </c>
      <c r="B217" s="18">
        <v>20002917239</v>
      </c>
      <c r="C217" s="18" t="s">
        <v>2859</v>
      </c>
      <c r="D217" s="19">
        <v>45827.933333333334</v>
      </c>
      <c r="E217" s="18" t="s">
        <v>10</v>
      </c>
      <c r="F217" s="18">
        <v>5</v>
      </c>
      <c r="G217" s="18" t="s">
        <v>10</v>
      </c>
      <c r="H217" s="18" t="s">
        <v>178</v>
      </c>
      <c r="I217" s="18" t="s">
        <v>10</v>
      </c>
      <c r="J217" s="18" t="s">
        <v>40</v>
      </c>
      <c r="K217" s="20"/>
    </row>
    <row r="218" spans="1:11" ht="36.75" thickBot="1">
      <c r="A218" s="18" t="s">
        <v>3702</v>
      </c>
      <c r="B218" s="18">
        <v>20019175870</v>
      </c>
      <c r="C218" s="18" t="s">
        <v>2861</v>
      </c>
      <c r="D218" s="19">
        <v>45827.940972222219</v>
      </c>
      <c r="E218" s="18" t="s">
        <v>10</v>
      </c>
      <c r="F218" s="18">
        <v>5</v>
      </c>
      <c r="G218" s="18" t="s">
        <v>10</v>
      </c>
      <c r="H218" s="18" t="s">
        <v>178</v>
      </c>
      <c r="I218" s="18" t="s">
        <v>10</v>
      </c>
      <c r="J218" s="18" t="s">
        <v>43</v>
      </c>
      <c r="K218" s="20"/>
    </row>
    <row r="219" spans="1:11" ht="36.75" thickBot="1">
      <c r="A219" s="18" t="s">
        <v>3756</v>
      </c>
      <c r="B219" s="18">
        <v>20025439908</v>
      </c>
      <c r="C219" s="18" t="s">
        <v>3757</v>
      </c>
      <c r="D219" s="19">
        <v>45828.463888888888</v>
      </c>
      <c r="E219" s="18" t="s">
        <v>10</v>
      </c>
      <c r="F219" s="18">
        <v>3.8</v>
      </c>
      <c r="G219" s="19">
        <v>45854.486111111109</v>
      </c>
      <c r="H219" s="18" t="s">
        <v>236</v>
      </c>
      <c r="I219" s="18" t="s">
        <v>10</v>
      </c>
      <c r="J219" s="18" t="s">
        <v>46</v>
      </c>
      <c r="K219" s="20"/>
    </row>
    <row r="220" spans="1:11" ht="36.75" thickBot="1">
      <c r="A220" s="18" t="s">
        <v>3758</v>
      </c>
      <c r="B220" s="18">
        <v>20027487919</v>
      </c>
      <c r="C220" s="18" t="s">
        <v>3759</v>
      </c>
      <c r="D220" s="19">
        <v>45828.484722222223</v>
      </c>
      <c r="E220" s="18" t="s">
        <v>10</v>
      </c>
      <c r="F220" s="18">
        <v>5</v>
      </c>
      <c r="G220" s="18" t="s">
        <v>10</v>
      </c>
      <c r="H220" s="18" t="s">
        <v>178</v>
      </c>
      <c r="I220" s="18" t="s">
        <v>10</v>
      </c>
      <c r="J220" s="18" t="s">
        <v>40</v>
      </c>
      <c r="K220" s="20"/>
    </row>
    <row r="221" spans="1:11" ht="36.75" thickBot="1">
      <c r="A221" s="18" t="s">
        <v>3760</v>
      </c>
      <c r="B221" s="18">
        <v>20023357674</v>
      </c>
      <c r="C221" s="18" t="s">
        <v>3761</v>
      </c>
      <c r="D221" s="19">
        <v>45828.536805555559</v>
      </c>
      <c r="E221" s="18" t="s">
        <v>10</v>
      </c>
      <c r="F221" s="18">
        <v>6</v>
      </c>
      <c r="G221" s="19">
        <v>45912.572916666664</v>
      </c>
      <c r="H221" s="18" t="s">
        <v>236</v>
      </c>
      <c r="I221" s="18" t="s">
        <v>10</v>
      </c>
      <c r="J221" s="18" t="s">
        <v>3762</v>
      </c>
      <c r="K221" s="20"/>
    </row>
    <row r="222" spans="1:11" ht="36.75" thickBot="1">
      <c r="A222" s="18" t="s">
        <v>3763</v>
      </c>
      <c r="B222" s="18">
        <v>20028424710</v>
      </c>
      <c r="C222" s="18" t="s">
        <v>2830</v>
      </c>
      <c r="D222" s="19">
        <v>45828.578472222223</v>
      </c>
      <c r="E222" s="18" t="s">
        <v>10</v>
      </c>
      <c r="F222" s="18">
        <v>10</v>
      </c>
      <c r="G222" s="19">
        <v>45869.379166666666</v>
      </c>
      <c r="H222" s="18" t="s">
        <v>2657</v>
      </c>
      <c r="I222" s="18" t="s">
        <v>10</v>
      </c>
      <c r="J222" s="18" t="s">
        <v>40</v>
      </c>
      <c r="K222" s="20"/>
    </row>
    <row r="223" spans="1:11" ht="36.75" thickBot="1">
      <c r="A223" s="18" t="s">
        <v>3764</v>
      </c>
      <c r="B223" s="18">
        <v>20028623959</v>
      </c>
      <c r="C223" s="18" t="s">
        <v>2872</v>
      </c>
      <c r="D223" s="19">
        <v>45828.518055555556</v>
      </c>
      <c r="E223" s="19">
        <v>45829.506944444445</v>
      </c>
      <c r="F223" s="18">
        <v>8</v>
      </c>
      <c r="G223" s="19">
        <v>45912.572916666664</v>
      </c>
      <c r="H223" s="18" t="s">
        <v>236</v>
      </c>
      <c r="I223" s="18" t="s">
        <v>10</v>
      </c>
      <c r="J223" s="18" t="s">
        <v>46</v>
      </c>
      <c r="K223" s="20"/>
    </row>
    <row r="224" spans="1:11" ht="36.75" thickBot="1">
      <c r="A224" s="18" t="s">
        <v>3765</v>
      </c>
      <c r="B224" s="18">
        <v>20027487919</v>
      </c>
      <c r="C224" s="18" t="s">
        <v>3759</v>
      </c>
      <c r="D224" s="19">
        <v>45831.65347222222</v>
      </c>
      <c r="E224" s="18" t="s">
        <v>10</v>
      </c>
      <c r="F224" s="18">
        <v>5</v>
      </c>
      <c r="G224" s="19">
        <v>45846.558333333334</v>
      </c>
      <c r="H224" s="18" t="s">
        <v>236</v>
      </c>
      <c r="I224" s="18" t="s">
        <v>10</v>
      </c>
      <c r="J224" s="18" t="s">
        <v>40</v>
      </c>
      <c r="K224" s="20"/>
    </row>
    <row r="225" spans="1:11" ht="36.75" thickBot="1">
      <c r="A225" s="18" t="s">
        <v>3703</v>
      </c>
      <c r="B225" s="18">
        <v>20020039603</v>
      </c>
      <c r="C225" s="18" t="s">
        <v>3704</v>
      </c>
      <c r="D225" s="19">
        <v>45833.73333333333</v>
      </c>
      <c r="E225" s="18" t="s">
        <v>10</v>
      </c>
      <c r="F225" s="18">
        <v>3</v>
      </c>
      <c r="G225" s="18" t="s">
        <v>10</v>
      </c>
      <c r="H225" s="18" t="s">
        <v>178</v>
      </c>
      <c r="I225" s="18" t="s">
        <v>10</v>
      </c>
      <c r="J225" s="18" t="s">
        <v>43</v>
      </c>
      <c r="K225" s="20"/>
    </row>
    <row r="226" spans="1:11" ht="36.75" thickBot="1">
      <c r="A226" s="18" t="s">
        <v>3705</v>
      </c>
      <c r="B226" s="18">
        <v>20002878343</v>
      </c>
      <c r="C226" s="18" t="s">
        <v>2868</v>
      </c>
      <c r="D226" s="19">
        <v>45841.642361111109</v>
      </c>
      <c r="E226" s="18" t="s">
        <v>10</v>
      </c>
      <c r="F226" s="18">
        <v>8</v>
      </c>
      <c r="G226" s="18" t="s">
        <v>10</v>
      </c>
      <c r="H226" s="18" t="s">
        <v>178</v>
      </c>
      <c r="I226" s="18" t="s">
        <v>10</v>
      </c>
      <c r="J226" s="18" t="s">
        <v>43</v>
      </c>
      <c r="K226" s="20"/>
    </row>
    <row r="227" spans="1:11" ht="36.75" thickBot="1">
      <c r="A227" s="18" t="s">
        <v>3766</v>
      </c>
      <c r="B227" s="18">
        <v>20028251625</v>
      </c>
      <c r="C227" s="18" t="s">
        <v>2880</v>
      </c>
      <c r="D227" s="19">
        <v>45842.71875</v>
      </c>
      <c r="E227" s="18" t="s">
        <v>10</v>
      </c>
      <c r="F227" s="18">
        <v>3</v>
      </c>
      <c r="G227" s="19">
        <v>45882.592361111114</v>
      </c>
      <c r="H227" s="18" t="s">
        <v>236</v>
      </c>
      <c r="I227" s="18" t="s">
        <v>10</v>
      </c>
      <c r="J227" s="18" t="s">
        <v>40</v>
      </c>
      <c r="K227" s="20"/>
    </row>
    <row r="228" spans="1:11" ht="36.75" thickBot="1">
      <c r="A228" s="18" t="s">
        <v>3767</v>
      </c>
      <c r="B228" s="18">
        <v>20003002071</v>
      </c>
      <c r="C228" s="18" t="s">
        <v>2882</v>
      </c>
      <c r="D228" s="19">
        <v>45842.729166666664</v>
      </c>
      <c r="E228" s="18" t="s">
        <v>10</v>
      </c>
      <c r="F228" s="18">
        <v>5</v>
      </c>
      <c r="G228" s="19">
        <v>45882.593055555553</v>
      </c>
      <c r="H228" s="18" t="s">
        <v>236</v>
      </c>
      <c r="I228" s="18" t="s">
        <v>10</v>
      </c>
      <c r="J228" s="18" t="s">
        <v>40</v>
      </c>
      <c r="K228" s="20"/>
    </row>
    <row r="229" spans="1:11" ht="36.75" thickBot="1">
      <c r="A229" s="18" t="s">
        <v>3706</v>
      </c>
      <c r="B229" s="18">
        <v>20002878343</v>
      </c>
      <c r="C229" s="18" t="s">
        <v>2868</v>
      </c>
      <c r="D229" s="19">
        <v>45843.382638888892</v>
      </c>
      <c r="E229" s="18" t="s">
        <v>10</v>
      </c>
      <c r="F229" s="18">
        <v>8</v>
      </c>
      <c r="G229" s="19">
        <v>45912.572916666664</v>
      </c>
      <c r="H229" s="18" t="s">
        <v>236</v>
      </c>
      <c r="I229" s="18" t="s">
        <v>10</v>
      </c>
      <c r="J229" s="18" t="s">
        <v>43</v>
      </c>
      <c r="K229" s="20"/>
    </row>
    <row r="230" spans="1:11" ht="36.75" thickBot="1">
      <c r="A230" s="18" t="s">
        <v>3768</v>
      </c>
      <c r="B230" s="18">
        <v>20002917239</v>
      </c>
      <c r="C230" s="18" t="s">
        <v>2859</v>
      </c>
      <c r="D230" s="19">
        <v>45847.25277777778</v>
      </c>
      <c r="E230" s="18" t="s">
        <v>10</v>
      </c>
      <c r="F230" s="18">
        <v>5</v>
      </c>
      <c r="G230" s="19">
        <v>45900.282638888886</v>
      </c>
      <c r="H230" s="18" t="s">
        <v>236</v>
      </c>
      <c r="I230" s="18" t="s">
        <v>10</v>
      </c>
      <c r="J230" s="18" t="s">
        <v>40</v>
      </c>
      <c r="K230" s="20"/>
    </row>
    <row r="231" spans="1:11" ht="36.75" thickBot="1">
      <c r="A231" s="18" t="s">
        <v>3707</v>
      </c>
      <c r="B231" s="18">
        <v>20019175870</v>
      </c>
      <c r="C231" s="18" t="s">
        <v>2861</v>
      </c>
      <c r="D231" s="19">
        <v>45847.258333333331</v>
      </c>
      <c r="E231" s="18" t="s">
        <v>10</v>
      </c>
      <c r="F231" s="18">
        <v>5</v>
      </c>
      <c r="G231" s="19">
        <v>45878.362500000003</v>
      </c>
      <c r="H231" s="18" t="s">
        <v>236</v>
      </c>
      <c r="I231" s="18" t="s">
        <v>10</v>
      </c>
      <c r="J231" s="18" t="s">
        <v>43</v>
      </c>
      <c r="K231" s="20"/>
    </row>
    <row r="232" spans="1:11" ht="36.75" thickBot="1">
      <c r="A232" s="18" t="s">
        <v>3769</v>
      </c>
      <c r="B232" s="18">
        <v>20022043266</v>
      </c>
      <c r="C232" s="18" t="s">
        <v>3770</v>
      </c>
      <c r="D232" s="19">
        <v>45850.619444444441</v>
      </c>
      <c r="E232" s="18" t="s">
        <v>10</v>
      </c>
      <c r="F232" s="18">
        <v>20</v>
      </c>
      <c r="G232" s="18" t="s">
        <v>10</v>
      </c>
      <c r="H232" s="18" t="s">
        <v>178</v>
      </c>
      <c r="I232" s="18" t="s">
        <v>10</v>
      </c>
      <c r="J232" s="18" t="s">
        <v>779</v>
      </c>
      <c r="K232" s="20"/>
    </row>
    <row r="233" spans="1:11" ht="36.75" thickBot="1">
      <c r="A233" s="18" t="s">
        <v>3771</v>
      </c>
      <c r="B233" s="18">
        <v>20026700510</v>
      </c>
      <c r="C233" s="18" t="s">
        <v>2555</v>
      </c>
      <c r="D233" s="19">
        <v>45856.979861111111</v>
      </c>
      <c r="E233" s="18" t="s">
        <v>10</v>
      </c>
      <c r="F233" s="18">
        <v>20</v>
      </c>
      <c r="G233" s="19">
        <v>45883.387499999997</v>
      </c>
      <c r="H233" s="18" t="s">
        <v>236</v>
      </c>
      <c r="I233" s="18" t="s">
        <v>10</v>
      </c>
      <c r="J233" s="18" t="s">
        <v>40</v>
      </c>
      <c r="K233" s="20"/>
    </row>
    <row r="234" spans="1:11" ht="36.75" thickBot="1">
      <c r="A234" s="18" t="s">
        <v>3772</v>
      </c>
      <c r="B234" s="18">
        <v>20028676092</v>
      </c>
      <c r="C234" s="18" t="s">
        <v>2874</v>
      </c>
      <c r="D234" s="19">
        <v>45860.59097222222</v>
      </c>
      <c r="E234" s="18" t="s">
        <v>10</v>
      </c>
      <c r="F234" s="18">
        <v>6</v>
      </c>
      <c r="G234" s="19">
        <v>45912.572916666664</v>
      </c>
      <c r="H234" s="18" t="s">
        <v>236</v>
      </c>
      <c r="I234" s="18" t="s">
        <v>10</v>
      </c>
      <c r="J234" s="18" t="s">
        <v>40</v>
      </c>
      <c r="K234" s="20"/>
    </row>
    <row r="235" spans="1:11" ht="36.75" thickBot="1">
      <c r="A235" s="18" t="s">
        <v>3708</v>
      </c>
      <c r="B235" s="18">
        <v>20003164035</v>
      </c>
      <c r="C235" s="18" t="s">
        <v>3709</v>
      </c>
      <c r="D235" s="19">
        <v>45862.452777777777</v>
      </c>
      <c r="E235" s="18" t="s">
        <v>10</v>
      </c>
      <c r="F235" s="18">
        <v>20</v>
      </c>
      <c r="G235" s="18" t="s">
        <v>10</v>
      </c>
      <c r="H235" s="18" t="s">
        <v>178</v>
      </c>
      <c r="I235" s="18" t="s">
        <v>10</v>
      </c>
      <c r="J235" s="18" t="s">
        <v>43</v>
      </c>
      <c r="K235" s="20"/>
    </row>
    <row r="236" spans="1:11" ht="36.75" thickBot="1">
      <c r="A236" s="18" t="s">
        <v>3773</v>
      </c>
      <c r="B236" s="18">
        <v>20002819929</v>
      </c>
      <c r="C236" s="18" t="s">
        <v>3774</v>
      </c>
      <c r="D236" s="19">
        <v>45863.671527777777</v>
      </c>
      <c r="E236" s="18" t="s">
        <v>10</v>
      </c>
      <c r="F236" s="18">
        <v>5</v>
      </c>
      <c r="G236" s="19">
        <v>45874.481944444444</v>
      </c>
      <c r="H236" s="18" t="s">
        <v>236</v>
      </c>
      <c r="I236" s="18" t="s">
        <v>10</v>
      </c>
      <c r="J236" s="18" t="s">
        <v>1119</v>
      </c>
      <c r="K236" s="20"/>
    </row>
    <row r="237" spans="1:11" ht="36.75" thickBot="1">
      <c r="A237" s="18" t="s">
        <v>3710</v>
      </c>
      <c r="B237" s="18">
        <v>20021585030</v>
      </c>
      <c r="C237" s="18" t="s">
        <v>3711</v>
      </c>
      <c r="D237" s="19">
        <v>45859.269444444442</v>
      </c>
      <c r="E237" s="19">
        <v>45864.345833333333</v>
      </c>
      <c r="F237" s="18">
        <v>5</v>
      </c>
      <c r="G237" s="18" t="s">
        <v>10</v>
      </c>
      <c r="H237" s="18" t="s">
        <v>178</v>
      </c>
      <c r="I237" s="18" t="s">
        <v>10</v>
      </c>
      <c r="J237" s="18" t="s">
        <v>43</v>
      </c>
      <c r="K237" s="20"/>
    </row>
    <row r="238" spans="1:11" ht="36.75" thickBot="1">
      <c r="A238" s="18" t="s">
        <v>3712</v>
      </c>
      <c r="B238" s="18">
        <v>20003164035</v>
      </c>
      <c r="C238" s="18" t="s">
        <v>3713</v>
      </c>
      <c r="D238" s="19">
        <v>45868.39166666667</v>
      </c>
      <c r="E238" s="18" t="s">
        <v>10</v>
      </c>
      <c r="F238" s="18">
        <v>20</v>
      </c>
      <c r="G238" s="18" t="s">
        <v>10</v>
      </c>
      <c r="H238" s="18" t="s">
        <v>178</v>
      </c>
      <c r="I238" s="18" t="s">
        <v>10</v>
      </c>
      <c r="J238" s="18" t="s">
        <v>43</v>
      </c>
      <c r="K238" s="20"/>
    </row>
    <row r="239" spans="1:11" ht="36.75" thickBot="1">
      <c r="A239" s="18" t="s">
        <v>3714</v>
      </c>
      <c r="B239" s="18">
        <v>20023605210</v>
      </c>
      <c r="C239" s="18" t="s">
        <v>2611</v>
      </c>
      <c r="D239" s="19">
        <v>45868.622916666667</v>
      </c>
      <c r="E239" s="18" t="s">
        <v>10</v>
      </c>
      <c r="F239" s="18">
        <v>6</v>
      </c>
      <c r="G239" s="19">
        <v>45912.572916666664</v>
      </c>
      <c r="H239" s="18" t="s">
        <v>236</v>
      </c>
      <c r="I239" s="18" t="s">
        <v>10</v>
      </c>
      <c r="J239" s="18" t="s">
        <v>43</v>
      </c>
      <c r="K239" s="20"/>
    </row>
    <row r="240" spans="1:11" ht="36.75" thickBot="1">
      <c r="A240" s="18" t="s">
        <v>3715</v>
      </c>
      <c r="B240" s="18">
        <v>20002755032</v>
      </c>
      <c r="C240" s="18" t="s">
        <v>2626</v>
      </c>
      <c r="D240" s="19">
        <v>45868.7</v>
      </c>
      <c r="E240" s="19">
        <v>45869.363888888889</v>
      </c>
      <c r="F240" s="18">
        <v>6</v>
      </c>
      <c r="G240" s="19">
        <v>45912.572916666664</v>
      </c>
      <c r="H240" s="18" t="s">
        <v>236</v>
      </c>
      <c r="I240" s="18" t="s">
        <v>10</v>
      </c>
      <c r="J240" s="18" t="s">
        <v>43</v>
      </c>
      <c r="K240" s="20"/>
    </row>
    <row r="241" spans="1:11" ht="36.75" thickBot="1">
      <c r="A241" s="18" t="s">
        <v>3716</v>
      </c>
      <c r="B241" s="18">
        <v>20021585030</v>
      </c>
      <c r="C241" s="18" t="s">
        <v>3711</v>
      </c>
      <c r="D241" s="19">
        <v>45870.895833333336</v>
      </c>
      <c r="E241" s="18" t="s">
        <v>10</v>
      </c>
      <c r="F241" s="18">
        <v>5</v>
      </c>
      <c r="G241" s="18" t="s">
        <v>10</v>
      </c>
      <c r="H241" s="18" t="s">
        <v>178</v>
      </c>
      <c r="I241" s="18" t="s">
        <v>10</v>
      </c>
      <c r="J241" s="18" t="s">
        <v>43</v>
      </c>
      <c r="K241" s="20"/>
    </row>
    <row r="242" spans="1:11" ht="36.75" thickBot="1">
      <c r="A242" s="18" t="s">
        <v>3717</v>
      </c>
      <c r="B242" s="18">
        <v>20003164035</v>
      </c>
      <c r="C242" s="18" t="s">
        <v>3718</v>
      </c>
      <c r="D242" s="19">
        <v>45868.40347222222</v>
      </c>
      <c r="E242" s="19">
        <v>45873.442361111112</v>
      </c>
      <c r="F242" s="18">
        <v>20</v>
      </c>
      <c r="G242" s="18" t="s">
        <v>10</v>
      </c>
      <c r="H242" s="18" t="s">
        <v>189</v>
      </c>
      <c r="I242" s="18" t="s">
        <v>10</v>
      </c>
      <c r="J242" s="18" t="s">
        <v>43</v>
      </c>
      <c r="K242" s="20"/>
    </row>
    <row r="243" spans="1:11" ht="36.75" thickBot="1">
      <c r="A243" s="18" t="s">
        <v>3775</v>
      </c>
      <c r="B243" s="18">
        <v>20026242157</v>
      </c>
      <c r="C243" s="18" t="s">
        <v>3776</v>
      </c>
      <c r="D243" s="19">
        <v>45880.489583333336</v>
      </c>
      <c r="E243" s="18" t="s">
        <v>10</v>
      </c>
      <c r="F243" s="18">
        <v>5</v>
      </c>
      <c r="G243" s="18" t="s">
        <v>10</v>
      </c>
      <c r="H243" s="18" t="s">
        <v>178</v>
      </c>
      <c r="I243" s="18" t="s">
        <v>10</v>
      </c>
      <c r="J243" s="18" t="s">
        <v>40</v>
      </c>
      <c r="K243" s="20"/>
    </row>
    <row r="244" spans="1:11" ht="36.75" thickBot="1">
      <c r="A244" s="18" t="s">
        <v>3777</v>
      </c>
      <c r="B244" s="18">
        <v>20026652115</v>
      </c>
      <c r="C244" s="18" t="s">
        <v>951</v>
      </c>
      <c r="D244" s="19">
        <v>45882.602083333331</v>
      </c>
      <c r="E244" s="18" t="s">
        <v>10</v>
      </c>
      <c r="F244" s="18">
        <v>6</v>
      </c>
      <c r="G244" s="18" t="s">
        <v>10</v>
      </c>
      <c r="H244" s="18" t="s">
        <v>178</v>
      </c>
      <c r="I244" s="18" t="s">
        <v>10</v>
      </c>
      <c r="J244" s="18" t="s">
        <v>40</v>
      </c>
      <c r="K244" s="20"/>
    </row>
    <row r="245" spans="1:11" ht="36.75" thickBot="1">
      <c r="A245" s="18" t="s">
        <v>3778</v>
      </c>
      <c r="B245" s="18">
        <v>20026651651</v>
      </c>
      <c r="C245" s="18" t="s">
        <v>951</v>
      </c>
      <c r="D245" s="19">
        <v>45882.620833333334</v>
      </c>
      <c r="E245" s="18" t="s">
        <v>10</v>
      </c>
      <c r="F245" s="18">
        <v>6</v>
      </c>
      <c r="G245" s="18" t="s">
        <v>10</v>
      </c>
      <c r="H245" s="18" t="s">
        <v>178</v>
      </c>
      <c r="I245" s="18" t="s">
        <v>10</v>
      </c>
      <c r="J245" s="18" t="s">
        <v>40</v>
      </c>
      <c r="K245" s="20"/>
    </row>
    <row r="246" spans="1:11" ht="36.75" thickBot="1">
      <c r="A246" s="18" t="s">
        <v>3779</v>
      </c>
      <c r="B246" s="18">
        <v>20026651651</v>
      </c>
      <c r="C246" s="18" t="s">
        <v>951</v>
      </c>
      <c r="D246" s="19">
        <v>45887.928472222222</v>
      </c>
      <c r="E246" s="18" t="s">
        <v>10</v>
      </c>
      <c r="F246" s="18">
        <v>6</v>
      </c>
      <c r="G246" s="19">
        <v>45972.546527777777</v>
      </c>
      <c r="H246" s="18" t="s">
        <v>236</v>
      </c>
      <c r="I246" s="18" t="s">
        <v>10</v>
      </c>
      <c r="J246" s="18" t="s">
        <v>46</v>
      </c>
      <c r="K246" s="20"/>
    </row>
    <row r="247" spans="1:11" ht="36.75" thickBot="1">
      <c r="A247" s="18" t="s">
        <v>3780</v>
      </c>
      <c r="B247" s="18">
        <v>20026651789</v>
      </c>
      <c r="C247" s="18" t="s">
        <v>951</v>
      </c>
      <c r="D247" s="19">
        <v>45887.933333333334</v>
      </c>
      <c r="E247" s="18" t="s">
        <v>10</v>
      </c>
      <c r="F247" s="18">
        <v>6</v>
      </c>
      <c r="G247" s="19">
        <v>45972.546527777777</v>
      </c>
      <c r="H247" s="18" t="s">
        <v>236</v>
      </c>
      <c r="I247" s="18" t="s">
        <v>10</v>
      </c>
      <c r="J247" s="18" t="s">
        <v>565</v>
      </c>
      <c r="K247" s="20"/>
    </row>
    <row r="248" spans="1:11" ht="36.75" thickBot="1">
      <c r="A248" s="18" t="s">
        <v>3781</v>
      </c>
      <c r="B248" s="18">
        <v>20026652115</v>
      </c>
      <c r="C248" s="18" t="s">
        <v>951</v>
      </c>
      <c r="D248" s="19">
        <v>45887.921527777777</v>
      </c>
      <c r="E248" s="19">
        <v>45888.946527777778</v>
      </c>
      <c r="F248" s="18">
        <v>6</v>
      </c>
      <c r="G248" s="19">
        <v>45972.546527777777</v>
      </c>
      <c r="H248" s="18" t="s">
        <v>236</v>
      </c>
      <c r="I248" s="18" t="s">
        <v>10</v>
      </c>
      <c r="J248" s="18" t="s">
        <v>40</v>
      </c>
      <c r="K248" s="20"/>
    </row>
    <row r="249" spans="1:11" ht="36.75" thickBot="1">
      <c r="A249" s="18" t="s">
        <v>3719</v>
      </c>
      <c r="B249" s="18">
        <v>20026862522</v>
      </c>
      <c r="C249" s="18" t="s">
        <v>3720</v>
      </c>
      <c r="D249" s="19">
        <v>45889.555555555555</v>
      </c>
      <c r="E249" s="18" t="s">
        <v>10</v>
      </c>
      <c r="F249" s="18">
        <v>20</v>
      </c>
      <c r="G249" s="18" t="s">
        <v>10</v>
      </c>
      <c r="H249" s="18" t="s">
        <v>178</v>
      </c>
      <c r="I249" s="18" t="s">
        <v>10</v>
      </c>
      <c r="J249" s="18" t="s">
        <v>43</v>
      </c>
      <c r="K249" s="20"/>
    </row>
    <row r="250" spans="1:11" ht="36.75" thickBot="1">
      <c r="A250" s="18" t="s">
        <v>3721</v>
      </c>
      <c r="B250" s="18">
        <v>20026862522</v>
      </c>
      <c r="C250" s="18" t="s">
        <v>3720</v>
      </c>
      <c r="D250" s="19">
        <v>45890.675000000003</v>
      </c>
      <c r="E250" s="18" t="s">
        <v>10</v>
      </c>
      <c r="F250" s="18">
        <v>20</v>
      </c>
      <c r="G250" s="18" t="s">
        <v>10</v>
      </c>
      <c r="H250" s="18" t="s">
        <v>178</v>
      </c>
      <c r="I250" s="18" t="s">
        <v>10</v>
      </c>
      <c r="J250" s="18" t="s">
        <v>43</v>
      </c>
      <c r="K250" s="20"/>
    </row>
    <row r="251" spans="1:11" ht="36.75" thickBot="1">
      <c r="A251" s="18" t="s">
        <v>3782</v>
      </c>
      <c r="B251" s="18">
        <v>20026933401</v>
      </c>
      <c r="C251" s="18" t="s">
        <v>3783</v>
      </c>
      <c r="D251" s="19">
        <v>45891.648611111108</v>
      </c>
      <c r="E251" s="18" t="s">
        <v>10</v>
      </c>
      <c r="F251" s="18">
        <v>10</v>
      </c>
      <c r="G251" s="19">
        <v>45909.4375</v>
      </c>
      <c r="H251" s="18" t="s">
        <v>236</v>
      </c>
      <c r="I251" s="18" t="s">
        <v>10</v>
      </c>
      <c r="J251" s="18" t="s">
        <v>53</v>
      </c>
      <c r="K251" s="20"/>
    </row>
    <row r="252" spans="1:11" ht="36.75" thickBot="1">
      <c r="A252" s="18" t="s">
        <v>3784</v>
      </c>
      <c r="B252" s="18">
        <v>20022043266</v>
      </c>
      <c r="C252" s="18" t="s">
        <v>3785</v>
      </c>
      <c r="D252" s="19">
        <v>45892.474999999999</v>
      </c>
      <c r="E252" s="18" t="s">
        <v>10</v>
      </c>
      <c r="F252" s="18">
        <v>20</v>
      </c>
      <c r="G252" s="19">
        <v>45904.622916666667</v>
      </c>
      <c r="H252" s="18" t="s">
        <v>236</v>
      </c>
      <c r="I252" s="18" t="s">
        <v>10</v>
      </c>
      <c r="J252" s="18" t="s">
        <v>779</v>
      </c>
      <c r="K252" s="20"/>
    </row>
    <row r="253" spans="1:11" ht="36.75" thickBot="1">
      <c r="A253" s="18" t="s">
        <v>3722</v>
      </c>
      <c r="B253" s="18">
        <v>20026862522</v>
      </c>
      <c r="C253" s="18" t="s">
        <v>3723</v>
      </c>
      <c r="D253" s="19">
        <v>45894.381249999999</v>
      </c>
      <c r="E253" s="18" t="s">
        <v>10</v>
      </c>
      <c r="F253" s="18">
        <v>20</v>
      </c>
      <c r="G253" s="18" t="s">
        <v>10</v>
      </c>
      <c r="H253" s="18" t="s">
        <v>189</v>
      </c>
      <c r="I253" s="18" t="s">
        <v>10</v>
      </c>
      <c r="J253" s="18" t="s">
        <v>43</v>
      </c>
      <c r="K253" s="20"/>
    </row>
    <row r="254" spans="1:11" ht="36.75" thickBot="1">
      <c r="A254" s="18" t="s">
        <v>3724</v>
      </c>
      <c r="B254" s="18">
        <v>20002885055</v>
      </c>
      <c r="C254" s="18" t="s">
        <v>1697</v>
      </c>
      <c r="D254" s="19">
        <v>45897.377083333333</v>
      </c>
      <c r="E254" s="19">
        <v>45897.481944444444</v>
      </c>
      <c r="F254" s="18">
        <v>3</v>
      </c>
      <c r="G254" s="19">
        <v>45904.631944444445</v>
      </c>
      <c r="H254" s="18" t="s">
        <v>236</v>
      </c>
      <c r="I254" s="18" t="s">
        <v>10</v>
      </c>
      <c r="J254" s="18" t="s">
        <v>43</v>
      </c>
      <c r="K254" s="20"/>
    </row>
    <row r="255" spans="1:11" ht="36.75" thickBot="1">
      <c r="A255" s="18" t="s">
        <v>3786</v>
      </c>
      <c r="B255" s="18">
        <v>20026242157</v>
      </c>
      <c r="C255" s="18" t="s">
        <v>3776</v>
      </c>
      <c r="D255" s="19">
        <v>45902.6</v>
      </c>
      <c r="E255" s="18" t="s">
        <v>10</v>
      </c>
      <c r="F255" s="18">
        <v>5</v>
      </c>
      <c r="G255" s="18" t="s">
        <v>10</v>
      </c>
      <c r="H255" s="18" t="s">
        <v>189</v>
      </c>
      <c r="I255" s="18" t="s">
        <v>10</v>
      </c>
      <c r="J255" s="18" t="s">
        <v>40</v>
      </c>
      <c r="K255" s="20"/>
    </row>
    <row r="256" spans="1:11" ht="36.75" thickBot="1">
      <c r="A256" s="18" t="s">
        <v>3787</v>
      </c>
      <c r="B256" s="18">
        <v>20027588539</v>
      </c>
      <c r="C256" s="18" t="s">
        <v>3788</v>
      </c>
      <c r="D256" s="19">
        <v>45898.964583333334</v>
      </c>
      <c r="E256" s="19">
        <v>45902.866666666669</v>
      </c>
      <c r="F256" s="18">
        <v>10</v>
      </c>
      <c r="G256" s="19">
        <v>45908.658333333333</v>
      </c>
      <c r="H256" s="18" t="s">
        <v>236</v>
      </c>
      <c r="I256" s="18" t="s">
        <v>10</v>
      </c>
      <c r="J256" s="18" t="s">
        <v>40</v>
      </c>
      <c r="K256" s="20"/>
    </row>
    <row r="257" spans="1:11" ht="36.75" thickBot="1">
      <c r="A257" s="18" t="s">
        <v>3789</v>
      </c>
      <c r="B257" s="18">
        <v>20022060675</v>
      </c>
      <c r="C257" s="18" t="s">
        <v>3790</v>
      </c>
      <c r="D257" s="19">
        <v>45904.46597222222</v>
      </c>
      <c r="E257" s="18" t="s">
        <v>10</v>
      </c>
      <c r="F257" s="18">
        <v>10</v>
      </c>
      <c r="G257" s="19">
        <v>45933.598611111112</v>
      </c>
      <c r="H257" s="18" t="s">
        <v>236</v>
      </c>
      <c r="I257" s="18" t="s">
        <v>10</v>
      </c>
      <c r="J257" s="18" t="s">
        <v>53</v>
      </c>
      <c r="K257" s="20"/>
    </row>
    <row r="258" spans="1:11" ht="36.75" thickBot="1">
      <c r="A258" s="18" t="s">
        <v>3725</v>
      </c>
      <c r="B258" s="18">
        <v>20002745526</v>
      </c>
      <c r="C258" s="18" t="s">
        <v>3726</v>
      </c>
      <c r="D258" s="19">
        <v>45905.489583333336</v>
      </c>
      <c r="E258" s="18" t="s">
        <v>10</v>
      </c>
      <c r="F258" s="18">
        <v>20</v>
      </c>
      <c r="G258" s="18" t="s">
        <v>10</v>
      </c>
      <c r="H258" s="18" t="s">
        <v>178</v>
      </c>
      <c r="I258" s="18" t="s">
        <v>10</v>
      </c>
      <c r="J258" s="18" t="s">
        <v>43</v>
      </c>
      <c r="K258" s="20"/>
    </row>
    <row r="259" spans="1:11" ht="36.75" thickBot="1">
      <c r="A259" s="18" t="s">
        <v>3727</v>
      </c>
      <c r="B259" s="18">
        <v>20002745526</v>
      </c>
      <c r="C259" s="18" t="s">
        <v>3726</v>
      </c>
      <c r="D259" s="19">
        <v>45908.583333333336</v>
      </c>
      <c r="E259" s="18" t="s">
        <v>10</v>
      </c>
      <c r="F259" s="18">
        <v>20</v>
      </c>
      <c r="G259" s="19">
        <v>45933.598611111112</v>
      </c>
      <c r="H259" s="18" t="s">
        <v>236</v>
      </c>
      <c r="I259" s="18" t="s">
        <v>10</v>
      </c>
      <c r="J259" s="18" t="s">
        <v>43</v>
      </c>
      <c r="K259" s="20"/>
    </row>
    <row r="260" spans="1:11" ht="36.75" thickBot="1">
      <c r="A260" s="18" t="s">
        <v>3728</v>
      </c>
      <c r="B260" s="18">
        <v>20028095320</v>
      </c>
      <c r="C260" s="18" t="s">
        <v>3729</v>
      </c>
      <c r="D260" s="19">
        <v>45908.728472222225</v>
      </c>
      <c r="E260" s="18" t="s">
        <v>10</v>
      </c>
      <c r="F260" s="18">
        <v>5</v>
      </c>
      <c r="G260" s="18" t="s">
        <v>10</v>
      </c>
      <c r="H260" s="18" t="s">
        <v>178</v>
      </c>
      <c r="I260" s="18" t="s">
        <v>10</v>
      </c>
      <c r="J260" s="18" t="s">
        <v>43</v>
      </c>
      <c r="K260" s="20"/>
    </row>
    <row r="261" spans="1:11" ht="36.75" thickBot="1">
      <c r="A261" s="18" t="s">
        <v>3791</v>
      </c>
      <c r="B261" s="18">
        <v>20017909519</v>
      </c>
      <c r="C261" s="18" t="s">
        <v>3792</v>
      </c>
      <c r="D261" s="19">
        <v>45911.386111111111</v>
      </c>
      <c r="E261" s="18" t="s">
        <v>10</v>
      </c>
      <c r="F261" s="18">
        <v>20</v>
      </c>
      <c r="G261" s="18" t="s">
        <v>10</v>
      </c>
      <c r="H261" s="18" t="s">
        <v>178</v>
      </c>
      <c r="I261" s="18" t="s">
        <v>10</v>
      </c>
      <c r="J261" s="18" t="s">
        <v>783</v>
      </c>
      <c r="K261" s="20"/>
    </row>
    <row r="262" spans="1:11" ht="36.75" thickBot="1">
      <c r="A262" s="18" t="s">
        <v>3730</v>
      </c>
      <c r="B262" s="18">
        <v>20028095320</v>
      </c>
      <c r="C262" s="18" t="s">
        <v>3731</v>
      </c>
      <c r="D262" s="19">
        <v>45908.745833333334</v>
      </c>
      <c r="E262" s="19">
        <v>45911.578472222223</v>
      </c>
      <c r="F262" s="18">
        <v>5</v>
      </c>
      <c r="G262" s="19">
        <v>45936.700694444444</v>
      </c>
      <c r="H262" s="18" t="s">
        <v>236</v>
      </c>
      <c r="I262" s="18" t="s">
        <v>10</v>
      </c>
      <c r="J262" s="18" t="s">
        <v>43</v>
      </c>
      <c r="K262" s="20"/>
    </row>
    <row r="263" spans="1:11" ht="36.75" thickBot="1">
      <c r="A263" s="18" t="s">
        <v>3793</v>
      </c>
      <c r="B263" s="18">
        <v>20017909519</v>
      </c>
      <c r="C263" s="18" t="s">
        <v>3792</v>
      </c>
      <c r="D263" s="19">
        <v>45913.517361111109</v>
      </c>
      <c r="E263" s="18" t="s">
        <v>10</v>
      </c>
      <c r="F263" s="18">
        <v>20</v>
      </c>
      <c r="G263" s="19">
        <v>45933.611111111109</v>
      </c>
      <c r="H263" s="18" t="s">
        <v>236</v>
      </c>
      <c r="I263" s="18" t="s">
        <v>10</v>
      </c>
      <c r="J263" s="18" t="s">
        <v>783</v>
      </c>
      <c r="K263" s="20"/>
    </row>
    <row r="264" spans="1:11" ht="36.75" thickBot="1">
      <c r="A264" s="18" t="s">
        <v>3732</v>
      </c>
      <c r="B264" s="18">
        <v>20028797995</v>
      </c>
      <c r="C264" s="18" t="s">
        <v>3711</v>
      </c>
      <c r="D264" s="19">
        <v>45920.39166666667</v>
      </c>
      <c r="E264" s="18" t="s">
        <v>10</v>
      </c>
      <c r="F264" s="18">
        <v>5</v>
      </c>
      <c r="G264" s="18" t="s">
        <v>10</v>
      </c>
      <c r="H264" s="18" t="s">
        <v>178</v>
      </c>
      <c r="I264" s="18" t="s">
        <v>10</v>
      </c>
      <c r="J264" s="18" t="s">
        <v>43</v>
      </c>
      <c r="K264" s="20"/>
    </row>
    <row r="265" spans="1:11" ht="36.75" thickBot="1">
      <c r="A265" s="18" t="s">
        <v>3733</v>
      </c>
      <c r="B265" s="18">
        <v>20002772279</v>
      </c>
      <c r="C265" s="18" t="s">
        <v>3734</v>
      </c>
      <c r="D265" s="19">
        <v>45920.394444444442</v>
      </c>
      <c r="E265" s="19">
        <v>45923.603472222225</v>
      </c>
      <c r="F265" s="18">
        <v>5</v>
      </c>
      <c r="G265" s="18" t="s">
        <v>10</v>
      </c>
      <c r="H265" s="18" t="s">
        <v>189</v>
      </c>
      <c r="I265" s="18" t="s">
        <v>10</v>
      </c>
      <c r="J265" s="18" t="s">
        <v>43</v>
      </c>
      <c r="K265" s="20"/>
    </row>
    <row r="266" spans="1:11" ht="36.75" thickBot="1">
      <c r="A266" s="18" t="s">
        <v>3794</v>
      </c>
      <c r="B266" s="18">
        <v>20028228290</v>
      </c>
      <c r="C266" s="18" t="s">
        <v>3795</v>
      </c>
      <c r="D266" s="19">
        <v>45927.576388888891</v>
      </c>
      <c r="E266" s="18" t="s">
        <v>10</v>
      </c>
      <c r="F266" s="18">
        <v>5</v>
      </c>
      <c r="G266" s="18" t="s">
        <v>10</v>
      </c>
      <c r="H266" s="18" t="s">
        <v>178</v>
      </c>
      <c r="I266" s="18" t="s">
        <v>10</v>
      </c>
      <c r="J266" s="18" t="s">
        <v>40</v>
      </c>
      <c r="K266" s="20"/>
    </row>
    <row r="267" spans="1:11" ht="36.75" thickBot="1">
      <c r="A267" s="18" t="s">
        <v>3796</v>
      </c>
      <c r="B267" s="18">
        <v>20017108766</v>
      </c>
      <c r="C267" s="18" t="s">
        <v>3797</v>
      </c>
      <c r="D267" s="19">
        <v>45929.675694444442</v>
      </c>
      <c r="E267" s="18" t="s">
        <v>10</v>
      </c>
      <c r="F267" s="18">
        <v>5</v>
      </c>
      <c r="G267" s="19">
        <v>45938.488888888889</v>
      </c>
      <c r="H267" s="18" t="s">
        <v>236</v>
      </c>
      <c r="I267" s="18" t="s">
        <v>10</v>
      </c>
      <c r="J267" s="18" t="s">
        <v>779</v>
      </c>
      <c r="K267" s="20"/>
    </row>
    <row r="268" spans="1:11" ht="36.75" thickBot="1">
      <c r="A268" s="18" t="s">
        <v>3735</v>
      </c>
      <c r="B268" s="18">
        <v>20022041219</v>
      </c>
      <c r="C268" s="18" t="s">
        <v>3736</v>
      </c>
      <c r="D268" s="19">
        <v>45931.769444444442</v>
      </c>
      <c r="E268" s="18" t="s">
        <v>10</v>
      </c>
      <c r="F268" s="18">
        <v>20</v>
      </c>
      <c r="G268" s="19">
        <v>45932.552777777775</v>
      </c>
      <c r="H268" s="18" t="s">
        <v>236</v>
      </c>
      <c r="I268" s="18" t="s">
        <v>10</v>
      </c>
      <c r="J268" s="18" t="s">
        <v>43</v>
      </c>
      <c r="K268" s="20"/>
    </row>
    <row r="269" spans="1:11" ht="36.75" thickBot="1">
      <c r="A269" s="18" t="s">
        <v>3798</v>
      </c>
      <c r="B269" s="18">
        <v>20028228290</v>
      </c>
      <c r="C269" s="18" t="s">
        <v>3799</v>
      </c>
      <c r="D269" s="19">
        <v>45933.686805555553</v>
      </c>
      <c r="E269" s="18" t="s">
        <v>10</v>
      </c>
      <c r="F269" s="18">
        <v>5</v>
      </c>
      <c r="G269" s="18" t="s">
        <v>10</v>
      </c>
      <c r="H269" s="18" t="s">
        <v>178</v>
      </c>
      <c r="I269" s="18" t="s">
        <v>10</v>
      </c>
      <c r="J269" s="18" t="s">
        <v>40</v>
      </c>
      <c r="K269" s="20"/>
    </row>
    <row r="270" spans="1:11" ht="36.75" thickBot="1">
      <c r="A270" s="18" t="s">
        <v>3800</v>
      </c>
      <c r="B270" s="18">
        <v>20002949119</v>
      </c>
      <c r="C270" s="18" t="s">
        <v>3801</v>
      </c>
      <c r="D270" s="19">
        <v>45938.484722222223</v>
      </c>
      <c r="E270" s="18" t="s">
        <v>10</v>
      </c>
      <c r="F270" s="18">
        <v>10</v>
      </c>
      <c r="G270" s="18" t="s">
        <v>10</v>
      </c>
      <c r="H270" s="18" t="s">
        <v>178</v>
      </c>
      <c r="I270" s="18" t="s">
        <v>10</v>
      </c>
      <c r="J270" s="18" t="s">
        <v>779</v>
      </c>
      <c r="K270" s="20"/>
    </row>
    <row r="271" spans="1:11" ht="36.75" thickBot="1">
      <c r="A271" s="18" t="s">
        <v>3802</v>
      </c>
      <c r="B271" s="18">
        <v>20002949119</v>
      </c>
      <c r="C271" s="18" t="s">
        <v>3803</v>
      </c>
      <c r="D271" s="19">
        <v>45938.620138888888</v>
      </c>
      <c r="E271" s="18" t="s">
        <v>10</v>
      </c>
      <c r="F271" s="18">
        <v>10</v>
      </c>
      <c r="G271" s="18" t="s">
        <v>10</v>
      </c>
      <c r="H271" s="18" t="s">
        <v>189</v>
      </c>
      <c r="I271" s="18" t="s">
        <v>10</v>
      </c>
      <c r="J271" s="18" t="s">
        <v>779</v>
      </c>
      <c r="K271" s="20"/>
    </row>
    <row r="272" spans="1:11" ht="36.75" thickBot="1">
      <c r="A272" s="18" t="s">
        <v>3804</v>
      </c>
      <c r="B272" s="18">
        <v>20028603418</v>
      </c>
      <c r="C272" s="18" t="s">
        <v>3799</v>
      </c>
      <c r="D272" s="19">
        <v>45938.62222222222</v>
      </c>
      <c r="E272" s="18" t="s">
        <v>10</v>
      </c>
      <c r="F272" s="18">
        <v>5</v>
      </c>
      <c r="G272" s="19">
        <v>45952.545138888891</v>
      </c>
      <c r="H272" s="18" t="s">
        <v>236</v>
      </c>
      <c r="I272" s="18" t="s">
        <v>10</v>
      </c>
      <c r="J272" s="18" t="s">
        <v>40</v>
      </c>
      <c r="K272" s="20"/>
    </row>
    <row r="273" spans="1:11" ht="36.75" thickBot="1">
      <c r="A273" s="18" t="s">
        <v>3737</v>
      </c>
      <c r="B273" s="18">
        <v>20019779443</v>
      </c>
      <c r="C273" s="18" t="s">
        <v>3738</v>
      </c>
      <c r="D273" s="19">
        <v>45938.718055555553</v>
      </c>
      <c r="E273" s="18" t="s">
        <v>10</v>
      </c>
      <c r="F273" s="18">
        <v>6</v>
      </c>
      <c r="G273" s="18" t="s">
        <v>10</v>
      </c>
      <c r="H273" s="18" t="s">
        <v>178</v>
      </c>
      <c r="I273" s="18" t="s">
        <v>10</v>
      </c>
      <c r="J273" s="18" t="s">
        <v>43</v>
      </c>
      <c r="K273" s="20"/>
    </row>
    <row r="274" spans="1:11" ht="36.75" thickBot="1">
      <c r="A274" s="18" t="s">
        <v>3739</v>
      </c>
      <c r="B274" s="18">
        <v>20028223280</v>
      </c>
      <c r="C274" s="18" t="s">
        <v>3740</v>
      </c>
      <c r="D274" s="19">
        <v>45938.732638888891</v>
      </c>
      <c r="E274" s="18" t="s">
        <v>10</v>
      </c>
      <c r="F274" s="18">
        <v>6</v>
      </c>
      <c r="G274" s="18" t="s">
        <v>10</v>
      </c>
      <c r="H274" s="18" t="s">
        <v>178</v>
      </c>
      <c r="I274" s="18" t="s">
        <v>10</v>
      </c>
      <c r="J274" s="18" t="s">
        <v>43</v>
      </c>
      <c r="K274" s="20"/>
    </row>
    <row r="275" spans="1:11" ht="36.75" thickBot="1">
      <c r="A275" s="18" t="s">
        <v>3741</v>
      </c>
      <c r="B275" s="18">
        <v>20028223280</v>
      </c>
      <c r="C275" s="18" t="s">
        <v>3740</v>
      </c>
      <c r="D275" s="19">
        <v>45940.370138888888</v>
      </c>
      <c r="E275" s="18" t="s">
        <v>10</v>
      </c>
      <c r="F275" s="18">
        <v>6</v>
      </c>
      <c r="G275" s="19">
        <v>45964.418055555558</v>
      </c>
      <c r="H275" s="18" t="s">
        <v>236</v>
      </c>
      <c r="I275" s="18" t="s">
        <v>10</v>
      </c>
      <c r="J275" s="18" t="s">
        <v>43</v>
      </c>
      <c r="K275" s="20"/>
    </row>
    <row r="276" spans="1:11" ht="36.75" thickBot="1">
      <c r="A276" s="18" t="s">
        <v>3742</v>
      </c>
      <c r="B276" s="18">
        <v>20019779443</v>
      </c>
      <c r="C276" s="18" t="s">
        <v>3738</v>
      </c>
      <c r="D276" s="19">
        <v>45940.384722222225</v>
      </c>
      <c r="E276" s="18" t="s">
        <v>10</v>
      </c>
      <c r="F276" s="18">
        <v>6</v>
      </c>
      <c r="G276" s="19">
        <v>45964.418055555558</v>
      </c>
      <c r="H276" s="18" t="s">
        <v>236</v>
      </c>
      <c r="I276" s="18" t="s">
        <v>10</v>
      </c>
      <c r="J276" s="18" t="s">
        <v>43</v>
      </c>
      <c r="K276" s="20"/>
    </row>
    <row r="277" spans="1:11" ht="36.75" thickBot="1">
      <c r="A277" s="18" t="s">
        <v>3805</v>
      </c>
      <c r="B277" s="18">
        <v>20002735668</v>
      </c>
      <c r="C277" s="18" t="s">
        <v>3806</v>
      </c>
      <c r="D277" s="19">
        <v>45945.552777777775</v>
      </c>
      <c r="E277" s="18" t="s">
        <v>10</v>
      </c>
      <c r="F277" s="18">
        <v>20</v>
      </c>
      <c r="G277" s="18" t="s">
        <v>10</v>
      </c>
      <c r="H277" s="18" t="s">
        <v>178</v>
      </c>
      <c r="I277" s="18" t="s">
        <v>10</v>
      </c>
      <c r="J277" s="18" t="s">
        <v>40</v>
      </c>
      <c r="K277" s="20"/>
    </row>
    <row r="278" spans="1:11" ht="36.75" thickBot="1">
      <c r="A278" s="18" t="s">
        <v>3807</v>
      </c>
      <c r="B278" s="18">
        <v>20028466885</v>
      </c>
      <c r="C278" s="18" t="s">
        <v>3808</v>
      </c>
      <c r="D278" s="19">
        <v>45945.568749999999</v>
      </c>
      <c r="E278" s="18" t="s">
        <v>10</v>
      </c>
      <c r="F278" s="18">
        <v>10</v>
      </c>
      <c r="G278" s="19">
        <v>45951.588194444441</v>
      </c>
      <c r="H278" s="18" t="s">
        <v>236</v>
      </c>
      <c r="I278" s="18" t="s">
        <v>10</v>
      </c>
      <c r="J278" s="18" t="s">
        <v>40</v>
      </c>
      <c r="K278" s="20"/>
    </row>
    <row r="279" spans="1:11" ht="36.75" thickBot="1">
      <c r="A279" s="18" t="s">
        <v>3809</v>
      </c>
      <c r="B279" s="18">
        <v>20002735668</v>
      </c>
      <c r="C279" s="18" t="s">
        <v>3806</v>
      </c>
      <c r="D279" s="19">
        <v>45945.579861111109</v>
      </c>
      <c r="E279" s="18" t="s">
        <v>10</v>
      </c>
      <c r="F279" s="18">
        <v>20</v>
      </c>
      <c r="G279" s="18" t="s">
        <v>10</v>
      </c>
      <c r="H279" s="18" t="s">
        <v>178</v>
      </c>
      <c r="I279" s="18" t="s">
        <v>10</v>
      </c>
      <c r="J279" s="18" t="s">
        <v>40</v>
      </c>
      <c r="K279" s="20"/>
    </row>
    <row r="280" spans="1:11" ht="36.75" thickBot="1">
      <c r="A280" s="18" t="s">
        <v>3743</v>
      </c>
      <c r="B280" s="18">
        <v>20002720445</v>
      </c>
      <c r="C280" s="18" t="s">
        <v>3744</v>
      </c>
      <c r="D280" s="19">
        <v>45950.396527777775</v>
      </c>
      <c r="E280" s="18" t="s">
        <v>10</v>
      </c>
      <c r="F280" s="18">
        <v>15</v>
      </c>
      <c r="G280" s="18" t="s">
        <v>10</v>
      </c>
      <c r="H280" s="18" t="s">
        <v>189</v>
      </c>
      <c r="I280" s="18" t="s">
        <v>10</v>
      </c>
      <c r="J280" s="18" t="s">
        <v>43</v>
      </c>
      <c r="K280" s="20"/>
    </row>
    <row r="281" spans="1:11" ht="36.75" thickBot="1">
      <c r="A281" s="18" t="s">
        <v>3810</v>
      </c>
      <c r="B281" s="18">
        <v>20002735668</v>
      </c>
      <c r="C281" s="18" t="s">
        <v>3806</v>
      </c>
      <c r="D281" s="19">
        <v>45950.472916666666</v>
      </c>
      <c r="E281" s="18" t="s">
        <v>10</v>
      </c>
      <c r="F281" s="18">
        <v>20</v>
      </c>
      <c r="G281" s="19">
        <v>45967.643055555556</v>
      </c>
      <c r="H281" s="18" t="s">
        <v>236</v>
      </c>
      <c r="I281" s="18" t="s">
        <v>10</v>
      </c>
      <c r="J281" s="18" t="s">
        <v>40</v>
      </c>
      <c r="K281" s="20"/>
    </row>
    <row r="282" spans="1:11" ht="36.75" thickBot="1">
      <c r="A282" s="18" t="s">
        <v>3745</v>
      </c>
      <c r="B282" s="18">
        <v>20024336613</v>
      </c>
      <c r="C282" s="18" t="s">
        <v>3746</v>
      </c>
      <c r="D282" s="19">
        <v>45940.795138888891</v>
      </c>
      <c r="E282" s="19">
        <v>45952.434027777781</v>
      </c>
      <c r="F282" s="18">
        <v>10</v>
      </c>
      <c r="G282" s="19">
        <v>45967.807638888888</v>
      </c>
      <c r="H282" s="18" t="s">
        <v>236</v>
      </c>
      <c r="I282" s="18" t="s">
        <v>10</v>
      </c>
      <c r="J282" s="18" t="s">
        <v>43</v>
      </c>
      <c r="K282" s="20"/>
    </row>
    <row r="283" spans="1:11" ht="36.75" thickBot="1">
      <c r="A283" s="18" t="s">
        <v>3811</v>
      </c>
      <c r="B283" s="18">
        <v>20003293411</v>
      </c>
      <c r="C283" s="18" t="s">
        <v>3812</v>
      </c>
      <c r="D283" s="19">
        <v>45943.999305555553</v>
      </c>
      <c r="E283" s="19">
        <v>45952.863194444442</v>
      </c>
      <c r="F283" s="18">
        <v>15</v>
      </c>
      <c r="G283" s="19">
        <v>45967.564583333333</v>
      </c>
      <c r="H283" s="18" t="s">
        <v>236</v>
      </c>
      <c r="I283" s="18" t="s">
        <v>10</v>
      </c>
      <c r="J283" s="18" t="s">
        <v>783</v>
      </c>
      <c r="K283" s="20"/>
    </row>
    <row r="284" spans="1:11" ht="36.75" thickBot="1">
      <c r="A284" s="18" t="s">
        <v>3747</v>
      </c>
      <c r="B284" s="18">
        <v>20028922542</v>
      </c>
      <c r="C284" s="18" t="s">
        <v>3748</v>
      </c>
      <c r="D284" s="19">
        <v>45958.388888888891</v>
      </c>
      <c r="E284" s="18" t="s">
        <v>10</v>
      </c>
      <c r="F284" s="18">
        <v>10</v>
      </c>
      <c r="G284" s="19">
        <v>45968.591666666667</v>
      </c>
      <c r="H284" s="18" t="s">
        <v>2657</v>
      </c>
      <c r="I284" s="18" t="s">
        <v>10</v>
      </c>
      <c r="J284" s="18" t="s">
        <v>43</v>
      </c>
      <c r="K284" s="20"/>
    </row>
    <row r="285" spans="1:11" ht="36.75" thickBot="1">
      <c r="A285" s="18" t="s">
        <v>3813</v>
      </c>
      <c r="B285" s="18">
        <v>20002793715</v>
      </c>
      <c r="C285" s="18" t="s">
        <v>3814</v>
      </c>
      <c r="D285" s="19">
        <v>45958.961111111108</v>
      </c>
      <c r="E285" s="18" t="s">
        <v>10</v>
      </c>
      <c r="F285" s="18">
        <v>10</v>
      </c>
      <c r="G285" s="19">
        <v>45988.414583333331</v>
      </c>
      <c r="H285" s="18" t="s">
        <v>2657</v>
      </c>
      <c r="I285" s="18" t="s">
        <v>10</v>
      </c>
      <c r="J285" s="18" t="s">
        <v>783</v>
      </c>
      <c r="K285" s="20"/>
    </row>
    <row r="286" spans="1:11" ht="36.75" thickBot="1">
      <c r="A286" s="18" t="s">
        <v>3815</v>
      </c>
      <c r="B286" s="18">
        <v>20003123955</v>
      </c>
      <c r="C286" s="18" t="s">
        <v>3816</v>
      </c>
      <c r="D286" s="19">
        <v>45946.694444444445</v>
      </c>
      <c r="E286" s="19">
        <v>45959.5625</v>
      </c>
      <c r="F286" s="18">
        <v>3</v>
      </c>
      <c r="G286" s="19">
        <v>45967.563888888886</v>
      </c>
      <c r="H286" s="18" t="s">
        <v>236</v>
      </c>
      <c r="I286" s="18" t="s">
        <v>10</v>
      </c>
      <c r="J286" s="18" t="s">
        <v>46</v>
      </c>
      <c r="K286" s="20"/>
    </row>
    <row r="287" spans="1:11" ht="36.75" thickBot="1">
      <c r="A287" s="18" t="s">
        <v>3817</v>
      </c>
      <c r="B287" s="18">
        <v>20002826106</v>
      </c>
      <c r="C287" s="18" t="s">
        <v>3818</v>
      </c>
      <c r="D287" s="19">
        <v>45959.679861111108</v>
      </c>
      <c r="E287" s="18" t="s">
        <v>10</v>
      </c>
      <c r="F287" s="18">
        <v>10</v>
      </c>
      <c r="G287" s="19">
        <v>45968.591666666667</v>
      </c>
      <c r="H287" s="18" t="s">
        <v>2657</v>
      </c>
      <c r="I287" s="18" t="s">
        <v>10</v>
      </c>
      <c r="J287" s="18" t="s">
        <v>40</v>
      </c>
      <c r="K287" s="20"/>
    </row>
    <row r="288" spans="1:11" ht="36.75" thickBot="1">
      <c r="A288" s="18" t="s">
        <v>3749</v>
      </c>
      <c r="B288" s="18">
        <v>20028800177</v>
      </c>
      <c r="C288" s="18" t="s">
        <v>3750</v>
      </c>
      <c r="D288" s="19">
        <v>45960.570138888892</v>
      </c>
      <c r="E288" s="18" t="s">
        <v>10</v>
      </c>
      <c r="F288" s="18">
        <v>7.6</v>
      </c>
      <c r="G288" s="18" t="s">
        <v>10</v>
      </c>
      <c r="H288" s="18" t="s">
        <v>178</v>
      </c>
      <c r="I288" s="18" t="s">
        <v>10</v>
      </c>
      <c r="J288" s="18" t="s">
        <v>43</v>
      </c>
      <c r="K288" s="20"/>
    </row>
    <row r="289" spans="1:11" ht="36.75" thickBot="1">
      <c r="A289" s="18" t="s">
        <v>3751</v>
      </c>
      <c r="B289" s="18">
        <v>20022678454</v>
      </c>
      <c r="C289" s="18" t="s">
        <v>3752</v>
      </c>
      <c r="D289" s="19">
        <v>45950.550694444442</v>
      </c>
      <c r="E289" s="19">
        <v>45960.621527777781</v>
      </c>
      <c r="F289" s="18">
        <v>5</v>
      </c>
      <c r="G289" s="19">
        <v>45968.426388888889</v>
      </c>
      <c r="H289" s="18" t="s">
        <v>2688</v>
      </c>
      <c r="I289" s="18" t="s">
        <v>10</v>
      </c>
      <c r="J289" s="18" t="s">
        <v>43</v>
      </c>
      <c r="K289" s="20"/>
    </row>
    <row r="290" spans="1:11" ht="36.75" thickBot="1">
      <c r="A290" s="18" t="s">
        <v>3753</v>
      </c>
      <c r="B290" s="18">
        <v>20028800177</v>
      </c>
      <c r="C290" s="18" t="s">
        <v>3750</v>
      </c>
      <c r="D290" s="19">
        <v>45960.630555555559</v>
      </c>
      <c r="E290" s="19">
        <v>45961.421527777777</v>
      </c>
      <c r="F290" s="18">
        <v>7.6</v>
      </c>
      <c r="G290" s="18" t="s">
        <v>10</v>
      </c>
      <c r="H290" s="18" t="s">
        <v>189</v>
      </c>
      <c r="I290" s="18" t="s">
        <v>10</v>
      </c>
      <c r="J290" s="18" t="s">
        <v>43</v>
      </c>
      <c r="K290" s="20"/>
    </row>
    <row r="291" spans="1:11" ht="36.75" thickBot="1">
      <c r="A291" s="18" t="s">
        <v>7936</v>
      </c>
      <c r="B291" s="18">
        <v>20024196144</v>
      </c>
      <c r="C291" s="18" t="s">
        <v>7937</v>
      </c>
      <c r="D291" s="19">
        <v>45972.552777777775</v>
      </c>
      <c r="E291" s="18" t="s">
        <v>10</v>
      </c>
      <c r="F291" s="18">
        <v>6</v>
      </c>
      <c r="G291" s="19">
        <v>45987.48541666667</v>
      </c>
      <c r="H291" s="18" t="s">
        <v>2657</v>
      </c>
      <c r="I291" s="18" t="s">
        <v>10</v>
      </c>
      <c r="J291" s="18" t="s">
        <v>43</v>
      </c>
      <c r="K291" s="20"/>
    </row>
    <row r="292" spans="1:11" ht="36.75" thickBot="1">
      <c r="A292" s="18" t="s">
        <v>7938</v>
      </c>
      <c r="B292" s="18">
        <v>20018474007</v>
      </c>
      <c r="C292" s="18" t="s">
        <v>7939</v>
      </c>
      <c r="D292" s="19">
        <v>45979.43472222222</v>
      </c>
      <c r="E292" s="18" t="s">
        <v>10</v>
      </c>
      <c r="F292" s="18">
        <v>3.8</v>
      </c>
      <c r="G292" s="18" t="s">
        <v>10</v>
      </c>
      <c r="H292" s="18" t="s">
        <v>178</v>
      </c>
      <c r="I292" s="18" t="s">
        <v>10</v>
      </c>
      <c r="J292" s="18" t="s">
        <v>1119</v>
      </c>
      <c r="K292" s="20"/>
    </row>
    <row r="293" spans="1:11" ht="36.75" thickBot="1">
      <c r="A293" s="18" t="s">
        <v>7940</v>
      </c>
      <c r="B293" s="18">
        <v>20028684647</v>
      </c>
      <c r="C293" s="18" t="s">
        <v>7941</v>
      </c>
      <c r="D293" s="19">
        <v>45983.698611111111</v>
      </c>
      <c r="E293" s="18" t="s">
        <v>10</v>
      </c>
      <c r="F293" s="18">
        <v>10</v>
      </c>
      <c r="G293" s="18" t="s">
        <v>10</v>
      </c>
      <c r="H293" s="18" t="s">
        <v>2652</v>
      </c>
      <c r="I293" s="18" t="s">
        <v>2699</v>
      </c>
      <c r="J293" s="18" t="s">
        <v>43</v>
      </c>
      <c r="K293" s="20"/>
    </row>
    <row r="294" spans="1:11" ht="36.75" thickBot="1">
      <c r="A294" s="18" t="s">
        <v>7942</v>
      </c>
      <c r="B294" s="18">
        <v>20028977306</v>
      </c>
      <c r="C294" s="18" t="s">
        <v>7943</v>
      </c>
      <c r="D294" s="19">
        <v>45972.621527777781</v>
      </c>
      <c r="E294" s="19">
        <v>45987.576388888891</v>
      </c>
      <c r="F294" s="18">
        <v>6</v>
      </c>
      <c r="G294" s="18" t="s">
        <v>10</v>
      </c>
      <c r="H294" s="18" t="s">
        <v>178</v>
      </c>
      <c r="I294" s="18" t="s">
        <v>10</v>
      </c>
      <c r="J294" s="18" t="s">
        <v>40</v>
      </c>
      <c r="K294" s="20"/>
    </row>
    <row r="295" spans="1:11" ht="36.75" thickBot="1">
      <c r="A295" s="18" t="s">
        <v>7944</v>
      </c>
      <c r="B295" s="18">
        <v>20027754594</v>
      </c>
      <c r="C295" s="18" t="s">
        <v>7945</v>
      </c>
      <c r="D295" s="19">
        <v>45988.756944444445</v>
      </c>
      <c r="E295" s="18" t="s">
        <v>10</v>
      </c>
      <c r="F295" s="18">
        <v>6</v>
      </c>
      <c r="G295" s="18" t="s">
        <v>10</v>
      </c>
      <c r="H295" s="18" t="s">
        <v>178</v>
      </c>
      <c r="I295" s="18" t="s">
        <v>10</v>
      </c>
      <c r="J295" s="18" t="s">
        <v>40</v>
      </c>
      <c r="K295" s="20"/>
    </row>
    <row r="296" spans="1:11" ht="36.75" thickBot="1">
      <c r="A296" s="18" t="s">
        <v>7946</v>
      </c>
      <c r="B296" s="18">
        <v>20023324439</v>
      </c>
      <c r="C296" s="18" t="s">
        <v>7465</v>
      </c>
      <c r="D296" s="19">
        <v>45987.574305555558</v>
      </c>
      <c r="E296" s="19">
        <v>45991.559027777781</v>
      </c>
      <c r="F296" s="18">
        <v>12</v>
      </c>
      <c r="G296" s="18" t="s">
        <v>10</v>
      </c>
      <c r="H296" s="18" t="s">
        <v>2652</v>
      </c>
      <c r="I296" s="18" t="s">
        <v>2699</v>
      </c>
      <c r="J296" s="18" t="s">
        <v>40</v>
      </c>
      <c r="K296" s="1"/>
    </row>
  </sheetData>
  <conditionalFormatting sqref="B2">
    <cfRule type="duplicateValues" dxfId="8" priority="1"/>
  </conditionalFormatting>
  <hyperlinks>
    <hyperlink ref="K3" r:id="rId1" display="https://ppim-intra.pea.co.th:4434/request/PPIM185000AF" xr:uid="{159EAEFD-9B41-41CB-91C2-4C5D8DCCE1B9}"/>
    <hyperlink ref="K4" r:id="rId2" display="https://ppim-intra.pea.co.th:4434/request/PPIM18500171" xr:uid="{86AC93B3-19A4-403E-B1BD-8CB24546526E}"/>
    <hyperlink ref="K5" r:id="rId3" display="https://ppim-intra.pea.co.th:4434/request/PPIM185002E9" xr:uid="{22791E6E-7FEC-431B-AA66-3C1CF0ABAC8D}"/>
    <hyperlink ref="K6" r:id="rId4" display="https://ppim-intra.pea.co.th:4434/request/PPIM185004F1" xr:uid="{98C95F00-F3D2-4014-89DD-EB47D3FBFD56}"/>
    <hyperlink ref="K7" r:id="rId5" display="https://ppim-intra.pea.co.th:4434/request/PPIM18500555" xr:uid="{935547C5-EABB-4D8D-80EA-C04D1AD2A73C}"/>
    <hyperlink ref="K8" r:id="rId6" display="https://ppim-intra.pea.co.th:4434/request/PPIM18500569" xr:uid="{09360B90-6A63-4BDF-AAAB-358585CF45D1}"/>
    <hyperlink ref="K9" r:id="rId7" display="https://ppim-intra.pea.co.th:4434/request/PPIM1850062D" xr:uid="{86F755FA-0D61-4638-8FD7-590E59D79B22}"/>
    <hyperlink ref="K10" r:id="rId8" display="https://ppim-intra.pea.co.th:4434/request/PPIM185009BF" xr:uid="{A532ACEE-EA5A-4FAC-A17B-9D8FE8781A1A}"/>
    <hyperlink ref="K11" r:id="rId9" display="https://ppim-intra.pea.co.th:4434/request/PPIM18500A14" xr:uid="{9D6F1220-6749-436C-B02B-BFF34BEF7C91}"/>
    <hyperlink ref="K12" r:id="rId10" display="https://ppim-intra.pea.co.th:4434/request/PPIM18500A44" xr:uid="{7EDB1F42-2105-46AA-A78C-5A66D656F58A}"/>
    <hyperlink ref="K13" r:id="rId11" display="https://ppim-intra.pea.co.th:4434/request/PPIM18500A4B" xr:uid="{55B2BBF3-4398-4840-99C8-8F981695605E}"/>
    <hyperlink ref="K14" r:id="rId12" display="https://ppim-intra.pea.co.th:4434/request/PPIM18500A89" xr:uid="{043066E2-44B0-43BD-AE39-9A0EBE368A93}"/>
    <hyperlink ref="K15" r:id="rId13" display="https://ppim-intra.pea.co.th:4434/request/PPIM18500AEF" xr:uid="{A4DCE2C9-D560-4AB3-BC89-115BDEDFB1F8}"/>
    <hyperlink ref="K16" r:id="rId14" display="https://ppim-intra.pea.co.th:4434/request/PPIM18500DFD" xr:uid="{D6D91388-4B7C-42DF-A67E-CE41B4E27AA2}"/>
    <hyperlink ref="K17" r:id="rId15" display="https://ppim-intra.pea.co.th:4434/request/PPIM18500E20" xr:uid="{3BB7F497-E858-4E61-A8D0-5994A9ED626C}"/>
    <hyperlink ref="K18" r:id="rId16" display="https://ppim-intra.pea.co.th:4434/request/PPIM18501768" xr:uid="{16012337-C6A5-485A-8622-AF27F5DB7A15}"/>
    <hyperlink ref="K19" r:id="rId17" display="https://ppim-intra.pea.co.th:4434/request/PPIM1850199C" xr:uid="{93A02A87-18D8-4FD2-ABAF-55B5E48BF7E2}"/>
    <hyperlink ref="K20" r:id="rId18" display="https://ppim-intra.pea.co.th:4434/request/PPIM18501BA3" xr:uid="{11024B19-4AF3-450A-BB21-063FCAEE9F06}"/>
    <hyperlink ref="K21" r:id="rId19" display="https://ppim-intra.pea.co.th:4434/request/PPIM18501BD5" xr:uid="{097C0C78-602E-4ED5-9F70-2399B312D9A3}"/>
    <hyperlink ref="K22" r:id="rId20" display="https://ppim-intra.pea.co.th:4434/request/PPIM18501EB6" xr:uid="{AA0EFA12-96E9-48B2-AEAD-37B624E2E09F}"/>
    <hyperlink ref="K23" r:id="rId21" display="https://ppim-intra.pea.co.th:4434/request/PPIM18501F34" xr:uid="{6A5FE783-A96A-49D6-AED4-6823A714AF18}"/>
    <hyperlink ref="K24" r:id="rId22" display="https://ppim-intra.pea.co.th:4434/request/PPIM18502168" xr:uid="{FE294744-4F25-414F-85B3-A2B39B321010}"/>
    <hyperlink ref="K25" r:id="rId23" display="https://ppim-intra.pea.co.th:4434/request/PPIM18501386" xr:uid="{E7569809-2981-42B0-B8E5-A0FB19F653E5}"/>
    <hyperlink ref="K26" r:id="rId24" display="https://ppim-intra.pea.co.th:4434/request/PPIM185006C7" xr:uid="{1C7BFDFA-2B11-442A-B32D-15D3A1775987}"/>
    <hyperlink ref="K27" r:id="rId25" display="https://ppim-intra.pea.co.th:4434/request/PPIM185006C0" xr:uid="{797402D6-BFC0-431D-AA0F-436822A5E78E}"/>
    <hyperlink ref="K28" r:id="rId26" display="https://ppim-intra.pea.co.th:4434/request/PPIM18502215" xr:uid="{02F30A0A-1D5D-4C53-9DF8-67604B68EA6B}"/>
    <hyperlink ref="K29" r:id="rId27" display="https://ppim-intra.pea.co.th:4434/request/PPIM18502382" xr:uid="{08996CF9-B0E4-471B-969A-C3598F2BEADD}"/>
    <hyperlink ref="K30" r:id="rId28" display="https://ppim-intra.pea.co.th:4434/request/PPIM1850247B" xr:uid="{4042EEF2-BDEF-454B-8CF0-C06C5F3F6845}"/>
    <hyperlink ref="K31" r:id="rId29" display="https://ppim-intra.pea.co.th:4434/request/PPIM1850041D" xr:uid="{C3C47213-B59C-409B-BE23-05ECD7E931C1}"/>
    <hyperlink ref="K32" r:id="rId30" display="https://ppim-intra.pea.co.th:4434/request/PPIM185025AF" xr:uid="{12BBF57D-8205-4B62-85DA-93E504E44A8A}"/>
    <hyperlink ref="K33" r:id="rId31" display="https://ppim-intra.pea.co.th:4434/request/PPIM18502621" xr:uid="{59EAB2E6-4166-4A14-B2A7-59C517D52F68}"/>
    <hyperlink ref="K34" r:id="rId32" display="https://ppim-intra.pea.co.th:4434/request/PPIM1850262C" xr:uid="{3C40C956-3D2A-4B99-AABB-5F33F9FBFB2E}"/>
    <hyperlink ref="K35" r:id="rId33" display="https://ppim-intra.pea.co.th:4434/request/PPIM1850221A" xr:uid="{A2E8BDCB-F359-4FC7-AA8F-1D9596DFECCB}"/>
    <hyperlink ref="K36" r:id="rId34" display="https://ppim-intra.pea.co.th:4434/request/PPIM185021EC" xr:uid="{7A54D660-2CC2-4573-B7DF-7196ADF8CF33}"/>
    <hyperlink ref="K37" r:id="rId35" display="https://ppim-intra.pea.co.th:4434/request/PPIM18502733" xr:uid="{514E9321-CF2B-4AAE-B201-41A96F1C19FB}"/>
    <hyperlink ref="K38" r:id="rId36" display="https://ppim-intra.pea.co.th:4434/request/PPIM185026B3" xr:uid="{D203E949-C94B-4A48-9DD5-894076E2E9F0}"/>
    <hyperlink ref="K39" r:id="rId37" display="https://ppim-intra.pea.co.th:4434/request/PPIM185026BA" xr:uid="{8C30ACA9-A03B-48C3-A9B8-FCAC1BF756C2}"/>
    <hyperlink ref="K40" r:id="rId38" display="https://ppim-intra.pea.co.th:4434/request/PPIM185026BC" xr:uid="{39106E7D-E619-43A1-8D71-40149EFDED17}"/>
    <hyperlink ref="K41" r:id="rId39" display="https://ppim-intra.pea.co.th:4434/request/PPIM185026BE" xr:uid="{DA50708C-2F55-4B20-9B6B-66FEFB1889DA}"/>
    <hyperlink ref="K42" r:id="rId40" display="https://ppim-intra.pea.co.th:4434/request/PPIM18501F92" xr:uid="{4833D0F0-2ED3-48E9-B811-706DEA88DDA8}"/>
    <hyperlink ref="K43" r:id="rId41" display="https://ppim-intra.pea.co.th:4434/request/PPIM185028E2" xr:uid="{2B189F7A-5A5E-475B-8425-7BFD3B3D326C}"/>
    <hyperlink ref="K44" r:id="rId42" display="https://ppim-intra.pea.co.th:4434/request/PPIM185028F3" xr:uid="{4FDE5DD6-27A9-4F31-B00E-A1081E69E716}"/>
    <hyperlink ref="K45" r:id="rId43" display="https://ppim-intra.pea.co.th:4434/request/PPIM18502914" xr:uid="{390BEBC1-43B6-45E5-84C0-B79B2AC648F6}"/>
    <hyperlink ref="K46" r:id="rId44" display="https://ppim-intra.pea.co.th:4434/request/PPIM18502B18" xr:uid="{7B6F7055-0458-46A2-B76B-C6313F78ADBE}"/>
    <hyperlink ref="K47" r:id="rId45" display="https://ppim-intra.pea.co.th:4434/request/PPIM18502BE5" xr:uid="{F8339F2B-A83E-43AE-955D-4916149B8A4E}"/>
    <hyperlink ref="K48" r:id="rId46" display="https://ppim-intra.pea.co.th:4434/request/PPIM18502C06" xr:uid="{983159CE-70DC-46FD-AE28-B835DA9DD6A9}"/>
    <hyperlink ref="K49" r:id="rId47" display="https://ppim-intra.pea.co.th:4434/request/PPIM18502D0F" xr:uid="{43A64671-BFE1-470C-BA58-8C13B0C58ADA}"/>
    <hyperlink ref="K50" r:id="rId48" display="https://ppim-intra.pea.co.th:4434/request/PPIM18502D28" xr:uid="{5A996824-3CAF-43B9-B5F0-434C53FBB48C}"/>
    <hyperlink ref="K51" r:id="rId49" display="https://ppim-intra.pea.co.th:4434/request/PPIM18502E86" xr:uid="{19FABF57-B53C-4BBB-9141-83A01A0BD47B}"/>
    <hyperlink ref="K52" r:id="rId50" display="https://ppim-intra.pea.co.th:4434/request/PPIM18502ECC" xr:uid="{AD8E391C-BEE5-4106-AD6F-B8D0915296C8}"/>
    <hyperlink ref="K53" r:id="rId51" display="https://ppim-intra.pea.co.th:4434/request/PPIM18502C0D" xr:uid="{A13E7DA3-9030-4609-B591-31169894BBB4}"/>
    <hyperlink ref="K54" r:id="rId52" display="https://ppim-intra.pea.co.th:4434/request/PPIM18502F8D" xr:uid="{03E8551C-C3AC-46F5-AAFE-F63C6064B113}"/>
    <hyperlink ref="K55" r:id="rId53" display="https://ppim-intra.pea.co.th:4434/request/PPIM18502FEE" xr:uid="{874FBF07-467D-40E6-B7B6-F2F8E147FE07}"/>
    <hyperlink ref="K56" r:id="rId54" display="https://ppim-intra.pea.co.th:4434/request/PPIM18502222" xr:uid="{EB96D5CC-D06A-40E8-B2D9-A99B21E23F93}"/>
    <hyperlink ref="K57" r:id="rId55" display="https://ppim-intra.pea.co.th:4434/request/PPIM185030AF" xr:uid="{5E6C2218-491C-46FF-A7E0-1CE93783FB98}"/>
    <hyperlink ref="K58" r:id="rId56" display="https://ppim-intra.pea.co.th:4434/request/PPIM1850325C" xr:uid="{BD7B4F8A-B1AF-4DD9-892A-16CEE4A0306C}"/>
    <hyperlink ref="K59" r:id="rId57" display="https://ppim-intra.pea.co.th:4434/request/PPIM185033A7" xr:uid="{25E62901-FB2D-48CE-AC14-8BED87486C48}"/>
    <hyperlink ref="K60" r:id="rId58" display="https://ppim-intra.pea.co.th:4434/request/PPIM1850334B" xr:uid="{A7BEB4D6-CF67-4269-8132-2D0B49F3B370}"/>
    <hyperlink ref="K61" r:id="rId59" display="https://ppim-intra.pea.co.th:4434/request/PPIM18503291" xr:uid="{2B2FB220-AC79-4800-ACFF-70AF4CF3D50C}"/>
    <hyperlink ref="K62" r:id="rId60" display="https://ppim-intra.pea.co.th:4434/request/PPIM18503443" xr:uid="{6339F424-0960-49C5-B8EB-5163664923CE}"/>
    <hyperlink ref="K63" r:id="rId61" display="https://ppim-intra.pea.co.th:4434/request/PPIM185034AF" xr:uid="{A48ECBD7-792A-4D3E-BED2-4C9F9A6879DA}"/>
    <hyperlink ref="K64" r:id="rId62" display="https://ppim-intra.pea.co.th:4434/request/PPIM18503520" xr:uid="{A1D1C60D-0F26-498F-BCE7-982152D4B7FE}"/>
    <hyperlink ref="K65" r:id="rId63" display="https://ppim-intra.pea.co.th:4434/request/PPIM18503594" xr:uid="{D8D10702-D98C-4A64-A2BD-ED7AF0DE5883}"/>
    <hyperlink ref="K66" r:id="rId64" display="https://ppim-intra.pea.co.th:4434/request/PPIM18503597" xr:uid="{7714DABD-625F-4F15-9FA6-B5FB61F58ED7}"/>
    <hyperlink ref="K67" r:id="rId65" display="https://ppim-intra.pea.co.th:4434/request/PPIM185035B0" xr:uid="{4C40A935-894A-43F9-A222-D38FEBC45AD0}"/>
    <hyperlink ref="K68" r:id="rId66" display="https://ppim-intra.pea.co.th:4434/request/PPIM18503548" xr:uid="{85B64478-F1B2-4905-B649-C57229CAF546}"/>
    <hyperlink ref="K69" r:id="rId67" display="https://ppim-intra.pea.co.th:4434/request/PPIM185035B3" xr:uid="{3D45AED0-284B-4109-B71E-91CB06ECF53C}"/>
    <hyperlink ref="K70" r:id="rId68" display="https://ppim-intra.pea.co.th:4434/request/PPIM185035FA" xr:uid="{85D6B982-9037-4B63-9F6C-924A5C1A1E88}"/>
    <hyperlink ref="K71" r:id="rId69" display="https://ppim-intra.pea.co.th:4434/request/PPIM18503695" xr:uid="{94EEE6A4-8224-47BD-BE0D-ACA4A9D29B02}"/>
    <hyperlink ref="K72" r:id="rId70" display="https://ppim-intra.pea.co.th:4434/request/PPIM18503707" xr:uid="{3A7553D2-D737-4BA7-B6F2-71A586A64C30}"/>
    <hyperlink ref="K73" r:id="rId71" display="https://ppim-intra.pea.co.th:4434/request/PPIM18503762" xr:uid="{DA1FFB3A-B809-441A-A64B-A5829ACCC46C}"/>
    <hyperlink ref="K74" r:id="rId72" display="https://ppim-intra.pea.co.th:4434/request/PPIM18503528" xr:uid="{C5428E9B-2A6C-4DFD-9DC3-B8DD760BB0DA}"/>
    <hyperlink ref="K75" r:id="rId73" display="https://ppim-intra.pea.co.th:4434/request/PPIM185034FF" xr:uid="{0B5CDFA4-C2CE-4033-8FE5-C0B7E448263B}"/>
    <hyperlink ref="K76" r:id="rId74" display="https://ppim-intra.pea.co.th:4434/request/PPIM185035A4" xr:uid="{7C9059B2-BED2-4A80-84FC-8A3A5FA8C6DB}"/>
    <hyperlink ref="K77" r:id="rId75" display="https://ppim-intra.pea.co.th:4434/request/PPIM185035FF" xr:uid="{4B72CE08-7A2F-4E6B-AE57-9C8649C86EB4}"/>
    <hyperlink ref="K78" r:id="rId76" display="https://ppim-intra.pea.co.th:4434/request/PPIM18503852" xr:uid="{C7C4105B-B5A5-4464-88D9-80361A103F7F}"/>
    <hyperlink ref="K79" r:id="rId77" display="https://ppim-intra.pea.co.th:4434/request/PPIM1850387E" xr:uid="{DB7DC24F-B1D7-4E58-A101-4D6A5B495845}"/>
    <hyperlink ref="K80" r:id="rId78" display="https://ppim-intra.pea.co.th:4434/request/PPIM1850377F" xr:uid="{60CE1F06-CB2A-4DC5-9BF0-842AC101D40D}"/>
    <hyperlink ref="K81" r:id="rId79" display="https://ppim-intra.pea.co.th:4434/request/PPIM18503990" xr:uid="{4983E3BD-F3DD-430D-8CF1-E7F310E332BB}"/>
    <hyperlink ref="K82" r:id="rId80" display="https://ppim-intra.pea.co.th:4434/request/PPIM185039A9" xr:uid="{5A5531A7-BC42-477A-BE3F-30B218CDB763}"/>
    <hyperlink ref="K83" r:id="rId81" display="https://ppim-intra.pea.co.th:4434/request/PPIM185039AD" xr:uid="{37C9CBB0-F270-4CCC-AACC-B670A3343326}"/>
    <hyperlink ref="K84" r:id="rId82" display="https://ppim-intra.pea.co.th:4434/request/PPIM185039F3" xr:uid="{F5618B13-48B0-43A9-9CA8-7037D170E1D2}"/>
    <hyperlink ref="K85" r:id="rId83" display="https://ppim-intra.pea.co.th:4434/request/PPIM1850387F" xr:uid="{F30F2478-A2C9-4F1D-9F4B-83042EE84263}"/>
    <hyperlink ref="K86" r:id="rId84" display="https://ppim-intra.pea.co.th:4434/request/PPIM18503AAF" xr:uid="{D332F916-9697-4C27-8137-B1F2AAAC35E8}"/>
    <hyperlink ref="K87" r:id="rId85" display="https://ppim-intra.pea.co.th:4434/request/PPIM18503B51" xr:uid="{07BCEBB4-EC93-4D62-A2F2-F99E3E697C50}"/>
    <hyperlink ref="K88" r:id="rId86" display="https://ppim-intra.pea.co.th:4434/request/PPIM18503900" xr:uid="{0DA606E6-742D-4295-B44A-5DC6E9066BBD}"/>
    <hyperlink ref="K89" r:id="rId87" display="https://ppim-intra.pea.co.th:4434/request/PPIM18503C22" xr:uid="{5F20E29A-0D43-4382-AA24-14AC740512A8}"/>
    <hyperlink ref="K90" r:id="rId88" display="https://ppim-intra.pea.co.th:4434/request/PPIM18503C14" xr:uid="{E67756CA-FFF6-4723-A30C-0033797B5DEE}"/>
    <hyperlink ref="K91" r:id="rId89" display="https://ppim-intra.pea.co.th:4434/request/PPIM18503CCC" xr:uid="{6F3D46C3-1269-4FFE-95FF-89A19D8E68E6}"/>
    <hyperlink ref="K92" r:id="rId90" display="https://ppim-intra.pea.co.th:4434/request/PPIM18503CD1" xr:uid="{AC3478DE-A7DA-4F02-9404-35CE10716B9D}"/>
    <hyperlink ref="K93" r:id="rId91" display="https://ppim-intra.pea.co.th:4434/request/PPIM18503D54" xr:uid="{694A92EE-4345-4EB4-9175-E042CF79BB15}"/>
    <hyperlink ref="K94" r:id="rId92" display="https://ppim-intra.pea.co.th:4434/request/PPIM18503D7A" xr:uid="{10F3D11D-B26C-4947-88A3-818075280517}"/>
    <hyperlink ref="K95" r:id="rId93" display="https://ppim-intra.pea.co.th:4434/request/PPIM18503C3A" xr:uid="{8F982D4F-9A1D-4980-BD0C-A05DA29B45B6}"/>
    <hyperlink ref="K96" r:id="rId94" display="https://ppim-intra.pea.co.th:4434/request/PPIM18503C43" xr:uid="{63A8D6F1-1E67-4547-978E-9257D7FF160C}"/>
    <hyperlink ref="K97" r:id="rId95" display="https://ppim-intra.pea.co.th:4434/request/PPIM18503D76" xr:uid="{80557848-0291-4F7D-A075-2F799327FC10}"/>
    <hyperlink ref="K98" r:id="rId96" display="https://ppim-intra.pea.co.th:4434/request/PPIM18503D55" xr:uid="{5826D176-067A-4EA0-9703-0B404B6CE641}"/>
    <hyperlink ref="K99" r:id="rId97" display="https://ppim-intra.pea.co.th:4434/request/PPIM18503DDB" xr:uid="{6084D5C2-CED4-491D-AAED-F47E29B9BB4E}"/>
    <hyperlink ref="K100" r:id="rId98" display="https://ppim-intra.pea.co.th:4434/request/PPIM18503AB2" xr:uid="{B1BC11C9-D073-4940-B721-B7087C15810A}"/>
    <hyperlink ref="K101" r:id="rId99" display="https://ppim-intra.pea.co.th:4434/request/PPIM18503E16" xr:uid="{47033EA5-3BFE-446F-BF12-AD8F84851579}"/>
    <hyperlink ref="K103" r:id="rId100" display="https://ppim-intra.pea.co.th:4434/request/PPIM18503E8B" xr:uid="{FF8D7613-D186-4DE6-AB8E-5582F37668BC}"/>
    <hyperlink ref="K104" r:id="rId101" display="https://ppim-intra.pea.co.th:4434/request/PPIM18503E64" xr:uid="{894C5D6F-B236-464E-BF05-A6DE1E496EA6}"/>
    <hyperlink ref="K105" r:id="rId102" display="https://ppim-intra.pea.co.th:4434/request/PPIM18503EE7" xr:uid="{8F531335-C899-4D00-B3B7-5985998104AD}"/>
    <hyperlink ref="K106" r:id="rId103" display="https://ppim-intra.pea.co.th:4434/request/PPIM18504044" xr:uid="{9C189A71-AD56-415E-82BA-0F1AA0A0A96A}"/>
    <hyperlink ref="K107" r:id="rId104" display="https://ppim-intra.pea.co.th:4434/request/PPIM185040D6" xr:uid="{7C2395C8-68ED-4E9F-95A6-4EDCF774DC24}"/>
    <hyperlink ref="K108" r:id="rId105" display="https://ppim-intra.pea.co.th:4434/request/PPIM185040E2" xr:uid="{A5B2DBA7-761E-498B-9C36-6EBFAA628F8B}"/>
    <hyperlink ref="K109" r:id="rId106" display="https://ppim-intra.pea.co.th:4434/request/PPIM185040F5" xr:uid="{D7E769E3-10C0-434B-B2A2-F190294D8538}"/>
    <hyperlink ref="K110" r:id="rId107" display="https://ppim-intra.pea.co.th:4434/request/PPIM1850410D" xr:uid="{246261DE-63F8-4613-8F18-05DB08CF2724}"/>
    <hyperlink ref="K111" r:id="rId108" display="https://ppim-intra.pea.co.th:4434/request/PPIM18504125" xr:uid="{07AEA9CD-7ED2-4235-B6B1-F6D541892573}"/>
    <hyperlink ref="K112" r:id="rId109" display="https://ppim-intra.pea.co.th:4434/request/PPIM18504180" xr:uid="{C44C1461-269C-4E83-8BDE-B9F0AEF81A88}"/>
    <hyperlink ref="K113" r:id="rId110" display="https://ppim-intra.pea.co.th:4434/request/PPIM18504324" xr:uid="{7B3C0C01-1BF0-46AE-B2E0-EA7DA05838F8}"/>
    <hyperlink ref="K114" r:id="rId111" display="https://ppim-intra.pea.co.th:4434/request/PPIM1850433E" xr:uid="{2F9D2ED4-BBD0-4A01-B232-F3C918BFDDAB}"/>
    <hyperlink ref="K115" r:id="rId112" display="https://ppim-intra.pea.co.th:4434/request/PPIM185043A3" xr:uid="{142E57E8-11D3-444B-A7F4-06D8FD9AD9BA}"/>
    <hyperlink ref="K116" r:id="rId113" display="https://ppim-intra.pea.co.th:4434/request/PPIM185043D8" xr:uid="{16DBF192-BD2D-430B-9835-8E8B876D1DFB}"/>
    <hyperlink ref="K117" r:id="rId114" display="https://ppim-intra.pea.co.th:4434/request/PPIM1850441B" xr:uid="{EBEFFDB8-DEE6-4540-AFC5-9557E16ED5DD}"/>
    <hyperlink ref="K118" r:id="rId115" display="https://ppim-intra.pea.co.th:4434/request/PPIM18504431" xr:uid="{BF67ACBB-2D27-46E7-BB7B-E7A1659EE9DC}"/>
    <hyperlink ref="K119" r:id="rId116" display="https://ppim-intra.pea.co.th:4434/request/PPIM18504457" xr:uid="{145D775A-2F28-4FCE-8DFD-A98BE0C1DE6B}"/>
    <hyperlink ref="K120" r:id="rId117" display="https://ppim-intra.pea.co.th:4434/request/PPIM185044A8" xr:uid="{AFA6C351-1BD8-4FD6-8A87-232B5BBDBE23}"/>
    <hyperlink ref="K121" r:id="rId118" display="https://ppim-intra.pea.co.th:4434/request/PPIM185044A9" xr:uid="{D853C8B0-E6C0-45D9-A269-5D0052E00979}"/>
    <hyperlink ref="K122" r:id="rId119" display="https://ppim-intra.pea.co.th:4434/request/PPIM1850437C" xr:uid="{11177E7B-075A-4927-BC77-4A18A7F0B642}"/>
    <hyperlink ref="K123" r:id="rId120" display="https://ppim-intra.pea.co.th:4434/request/PPIM1850448E" xr:uid="{B1D27AB8-518E-4F1A-A6F7-8C1E0E2F501F}"/>
    <hyperlink ref="K124" r:id="rId121" display="https://ppim-intra.pea.co.th:4434/request/PPIM185044FA" xr:uid="{C4FD480E-79A8-4A9D-80BF-9B2799A24E16}"/>
    <hyperlink ref="K125" r:id="rId122" display="https://ppim-intra.pea.co.th:4434/request/PPIM18504576" xr:uid="{3A35D82D-86E3-4466-89CA-36DE1503E62D}"/>
    <hyperlink ref="K126" r:id="rId123" display="https://ppim-intra.pea.co.th:4434/request/PPIM1850457D" xr:uid="{FFC2A356-8DC9-414A-969C-2F3BBCF95C4A}"/>
    <hyperlink ref="K127" r:id="rId124" display="https://ppim-intra.pea.co.th:4434/request/PPIM18503CF4" xr:uid="{E4C70E25-A838-46E3-8C0A-05FBBC2187D6}"/>
    <hyperlink ref="K128" r:id="rId125" display="https://ppim-intra.pea.co.th:4434/request/PPIM185045EA" xr:uid="{E6C89412-8276-4622-BEC3-FD4ABC6E16E0}"/>
    <hyperlink ref="K129" r:id="rId126" display="https://ppim-intra.pea.co.th:4434/request/PPIM185045EE" xr:uid="{D2D3E733-AE13-4A74-A579-DC612E8F27AA}"/>
    <hyperlink ref="K130" r:id="rId127" display="https://ppim-intra.pea.co.th:4434/request/PPIM18504622" xr:uid="{96F77706-69FA-47A7-9230-4D4708DF91DD}"/>
    <hyperlink ref="K131" r:id="rId128" display="https://ppim-intra.pea.co.th:4434/request/PPIM18504657" xr:uid="{13E73850-EA93-475D-AFB1-19E9A763377D}"/>
    <hyperlink ref="K132" r:id="rId129" display="https://ppim-intra.pea.co.th:4434/request/PPIM1850436B" xr:uid="{9DBA4628-962B-4F9F-8591-4D0B8AEDFA7A}"/>
    <hyperlink ref="K133" r:id="rId130" display="https://ppim-intra.pea.co.th:4434/request/PPIM1850436E" xr:uid="{46973C02-B841-4213-8DCC-16307C9F9305}"/>
    <hyperlink ref="K134" r:id="rId131" display="https://ppim-intra.pea.co.th:4434/request/PPIM1850469A" xr:uid="{72D12DE8-BEEB-4900-805B-186B8F054397}"/>
    <hyperlink ref="K135" r:id="rId132" display="https://ppim-intra.pea.co.th:4434/request/PPIM1850469B" xr:uid="{4CCF21AB-28E0-4814-8876-97051ECCD73B}"/>
    <hyperlink ref="K136" r:id="rId133" display="https://ppim-intra.pea.co.th:4434/request/PPIM185046C0" xr:uid="{79FA9FE8-1028-48F5-A1CE-B7CAF56857D3}"/>
    <hyperlink ref="K137" r:id="rId134" display="https://ppim-intra.pea.co.th:4434/request/PPIM185046D9" xr:uid="{8F64B61C-59FF-4F2E-8F3B-670AC6733E10}"/>
    <hyperlink ref="K138" r:id="rId135" display="https://ppim-intra.pea.co.th:4434/request/PPIM18504730" xr:uid="{982FB136-E46E-4944-B66C-B584C1A308D7}"/>
    <hyperlink ref="K139" r:id="rId136" display="https://ppim-intra.pea.co.th:4434/request/PPIM185047FA" xr:uid="{DA95E18E-D819-4623-88FA-9FE3864F4A98}"/>
    <hyperlink ref="K140" r:id="rId137" display="https://ppim-intra.pea.co.th:4434/request/PPIM185047F2" xr:uid="{D0C9C902-5C97-4D76-808A-46833C1519B4}"/>
    <hyperlink ref="K141" r:id="rId138" display="https://ppim-intra.pea.co.th:4434/request/PPIM1850485E" xr:uid="{D7DFDBCF-AD0F-40E9-9C54-FE7BBD725373}"/>
    <hyperlink ref="K142" r:id="rId139" display="https://ppim-intra.pea.co.th:4434/request/PPIM1850475A" xr:uid="{C0B6ACDC-8896-46BB-828B-9F6DBFF4341C}"/>
    <hyperlink ref="K143" r:id="rId140" display="https://ppim-intra.pea.co.th:4434/request/PPIM18504A2B" xr:uid="{3A0A7CCB-44BA-4A8C-A254-2E3FF8914185}"/>
    <hyperlink ref="K144" r:id="rId141" display="https://ppim-intra.pea.co.th:4434/request/PPIM18504A73" xr:uid="{4B84AF0B-20E3-44C3-B09B-A5796E511990}"/>
    <hyperlink ref="K145" r:id="rId142" display="https://ppim-intra.pea.co.th:4434/request/PPIM18504A46" xr:uid="{8CA69262-683F-41F5-91E2-BB47CF243FAE}"/>
    <hyperlink ref="K146" r:id="rId143" display="https://ppim-intra.pea.co.th:4434/request/PPIM19500169" xr:uid="{FCB616F9-ABA3-437D-A884-153D23C4940D}"/>
    <hyperlink ref="K147" r:id="rId144" display="https://ppim-intra.pea.co.th:4434/request/PPIM1950012E" xr:uid="{699AD27A-74E6-4DCE-AE42-0A3A6246D0BD}"/>
    <hyperlink ref="K148" r:id="rId145" display="https://ppim-intra.pea.co.th:4434/request/PPIM19500396" xr:uid="{B98AC6D4-BF57-42BF-926E-40681507E978}"/>
    <hyperlink ref="K149" r:id="rId146" display="https://ppim-intra.pea.co.th:4434/request/PPIM1950039D" xr:uid="{129300A6-1065-4C2E-AB7D-CC6EA0413E4D}"/>
    <hyperlink ref="K150" r:id="rId147" display="https://ppim-intra.pea.co.th:4434/request/PPIM19500573" xr:uid="{6CFFFD49-3A62-4F18-857A-4EF8177B6CD6}"/>
    <hyperlink ref="K151" r:id="rId148" display="https://ppim-intra.pea.co.th:4434/request/PPIM19500870" xr:uid="{4CF999E0-462B-49DA-A9BB-CD2CB7D0CD80}"/>
    <hyperlink ref="K152" r:id="rId149" display="https://ppim-intra.pea.co.th:4434/request/PPIM195008B9" xr:uid="{4E3E4441-B2F7-4486-800A-F3A221FE9997}"/>
    <hyperlink ref="K153" r:id="rId150" display="https://ppim-intra.pea.co.th:4434/request/PPIM195008BC" xr:uid="{3ED2EAB6-65F0-4F06-B2CA-9FD480334303}"/>
    <hyperlink ref="K154" r:id="rId151" display="https://ppim-intra.pea.co.th:4434/request/PPIM19500CD9" xr:uid="{640776F6-C3C5-46B1-B27F-B67EAD69CB0D}"/>
    <hyperlink ref="K155" r:id="rId152" display="https://ppim-intra.pea.co.th:4434/request/PPIM19500CDA" xr:uid="{9269F23B-A7DB-4388-824C-A39BC68AB446}"/>
    <hyperlink ref="K156" r:id="rId153" display="https://ppim-intra.pea.co.th:4434/request/PPIM19500DEE" xr:uid="{94111BEE-EC83-487E-90B4-A49A29DB1790}"/>
    <hyperlink ref="K157" r:id="rId154" display="https://ppim-intra.pea.co.th:4434/request/PPIM19500E26" xr:uid="{5644762D-145A-406A-858E-3217F80C0F95}"/>
    <hyperlink ref="K158" r:id="rId155" display="https://ppim-intra.pea.co.th:4434/request/PPIM19500B19" xr:uid="{72E89CDB-3DCB-435D-97EA-CBD2210EDF4A}"/>
    <hyperlink ref="K159" r:id="rId156" display="https://ppim-intra.pea.co.th:4434/request/PPIM19500EA7" xr:uid="{191F64AB-B3CC-49B7-8E80-7C1E582EB819}"/>
    <hyperlink ref="K160" r:id="rId157" display="https://ppim-intra.pea.co.th:4434/request/PPIM19500FFD" xr:uid="{BCFDC4F9-D694-4D8D-8575-794EA9A76BEF}"/>
    <hyperlink ref="K161" r:id="rId158" display="https://ppim-intra.pea.co.th:4434/request/PPIM1950106F" xr:uid="{6D40BE11-CDEA-477E-865B-5E3D1EEE4D58}"/>
    <hyperlink ref="K162" r:id="rId159" display="https://ppim-intra.pea.co.th:4434/request/PPIM19501189" xr:uid="{48F2AA90-7719-41D1-B3F9-89AAC5D04C20}"/>
    <hyperlink ref="K163" r:id="rId160" display="https://ppim-intra.pea.co.th:4434/request/PPIM195012E4" xr:uid="{A7A8402C-FEAE-445B-8653-F5E11F9767A5}"/>
    <hyperlink ref="K164" r:id="rId161" display="https://ppim-intra.pea.co.th:4434/request/PPIM195012ED" xr:uid="{1C85B784-4FF5-4090-B2E4-F8DAFAF1381F}"/>
    <hyperlink ref="K165" r:id="rId162" display="https://ppim-intra.pea.co.th:4434/request/PPIM19501578" xr:uid="{0CD8D058-70F3-4E3A-A5E8-C976F5EDC438}"/>
    <hyperlink ref="K166" r:id="rId163" display="https://ppim-intra.pea.co.th:4434/request/PPIM19501639" xr:uid="{EA8AF82C-3D70-4889-9ECE-9142E64DE2E8}"/>
    <hyperlink ref="K167" r:id="rId164" display="https://ppim-intra.pea.co.th:4434/request/PPIM19501865" xr:uid="{C2E94D8A-13AC-47F9-967C-2C1B7EE09A7C}"/>
    <hyperlink ref="K168" r:id="rId165" display="https://ppim-intra.pea.co.th:4434/request/PPIM19501867" xr:uid="{4BFFFA61-51C3-43AE-B47C-BDF42D2E260C}"/>
    <hyperlink ref="K169" r:id="rId166" display="https://ppim-intra.pea.co.th:4434/request/PPIM195018BD" xr:uid="{A95A59F3-4FDB-4699-A13E-4AC6ACDBED24}"/>
    <hyperlink ref="K170" r:id="rId167" display="https://ppim-intra.pea.co.th:4434/request/PPIM19501905" xr:uid="{6E646D71-1E91-4924-A852-C530FA85D06C}"/>
    <hyperlink ref="K171" r:id="rId168" display="https://ppim-intra.pea.co.th:4434/request/PPIM19501A0C" xr:uid="{4E3F4D6C-26D3-4E4B-9EFE-876F3EF649CA}"/>
    <hyperlink ref="K172" r:id="rId169" display="https://ppim-intra.pea.co.th:4434/request/PPIM19501A27" xr:uid="{1F5FF2D9-7DFC-4EBA-A965-A5A5FF95C177}"/>
    <hyperlink ref="K173" r:id="rId170" display="https://ppim-intra.pea.co.th:4434/request/PPIM19501B3D" xr:uid="{631CDB1B-4C04-4F87-AC83-33FC3754B9D7}"/>
    <hyperlink ref="K174" r:id="rId171" display="https://ppim-intra.pea.co.th:4434/request/PPIM19501BCF" xr:uid="{F76D6AB6-7306-4BB9-9E0D-672B63EF2510}"/>
    <hyperlink ref="K175" r:id="rId172" display="https://ppim-intra.pea.co.th:4434/request/PPIM19501CAD" xr:uid="{6A3EEB23-328A-441E-8BDD-8EBF6A7B6534}"/>
    <hyperlink ref="K176" r:id="rId173" display="https://ppim-intra.pea.co.th:4434/request/PPIM19501D1D" xr:uid="{45FE389F-C2E2-46FF-B1DE-77D5403ACDB7}"/>
    <hyperlink ref="K177" r:id="rId174" display="https://ppim-intra.pea.co.th:4434/request/PPIM19501D1E" xr:uid="{A6B5A797-1BE0-4F1C-B983-5A88E646BD00}"/>
    <hyperlink ref="K178" r:id="rId175" display="https://ppim-intra.pea.co.th:4434/request/PPIM19501D75" xr:uid="{2FFC944E-9C07-4E4B-B254-6627AC3AB509}"/>
    <hyperlink ref="K179" r:id="rId176" display="https://ppim-intra.pea.co.th:4434/request/PPIM19501E98" xr:uid="{0A7F0D97-8F65-4131-B03D-EB952A55C56C}"/>
    <hyperlink ref="K180" r:id="rId177" display="https://ppim-intra.pea.co.th:4434/request/PPIM19502025" xr:uid="{3F7897E8-F447-4A96-BE59-00898E4D4120}"/>
    <hyperlink ref="K181" r:id="rId178" display="https://ppim-intra.pea.co.th:4434/request/PPIM19501D74" xr:uid="{056E1965-ABDF-4A23-9AED-087A7CDE16AA}"/>
    <hyperlink ref="K182" r:id="rId179" display="https://ppim-intra.pea.co.th:4434/request/PPIM19502044" xr:uid="{EDBB6B7E-AFD4-4156-B182-41F819275C37}"/>
    <hyperlink ref="K183" r:id="rId180" display="https://ppim-intra.pea.co.th:4434/request/PPIM19501F45" xr:uid="{3E3E1CEC-D1AB-4104-8380-56000415D49C}"/>
    <hyperlink ref="K184" r:id="rId181" display="https://ppim-intra.pea.co.th:4434/request/PPIM19502134" xr:uid="{BBA51B2C-5CB5-4746-803F-0BD5E1BADF01}"/>
    <hyperlink ref="K185" r:id="rId182" display="https://ppim-intra.pea.co.th:4434/request/PPIM19502183" xr:uid="{ECAF0BA1-64A6-4983-B85D-4BCF614A1C05}"/>
    <hyperlink ref="K186" r:id="rId183" display="https://ppim-intra.pea.co.th:4434/request/PPIM19502185" xr:uid="{0DE98532-8A1D-4D63-98C9-BB4728B55342}"/>
    <hyperlink ref="K187" r:id="rId184" display="https://ppim-intra.pea.co.th:4434/request/PPIM19502186" xr:uid="{4AE5FCC2-2B57-40A8-AECA-D4241236A98B}"/>
    <hyperlink ref="K188" r:id="rId185" display="https://ppim-intra.pea.co.th:4434/request/PPIM1950218C" xr:uid="{C0A4B86E-3903-49F6-865F-09EBA94FD75E}"/>
    <hyperlink ref="K189" r:id="rId186" display="https://ppim-intra.pea.co.th:4434/request/PPIM1950219D" xr:uid="{C2DC5DB7-0AD0-4E50-AA99-41A82D018624}"/>
    <hyperlink ref="K190" r:id="rId187" display="https://ppim-intra.pea.co.th:4434/request/PPIM195021F5" xr:uid="{6ECD6AC8-C57F-4BBD-A4B7-CE20635C248E}"/>
    <hyperlink ref="K191" r:id="rId188" display="https://ppim-intra.pea.co.th:4434/request/PPIM19502256" xr:uid="{07C21A35-50D0-4482-A4DE-9DD8AFA0BFE0}"/>
    <hyperlink ref="K192" r:id="rId189" display="https://ppim-intra.pea.co.th:4434/request/PPIM1950227E" xr:uid="{27D531D4-8697-4BCB-A6A0-A5FE35766DD4}"/>
    <hyperlink ref="K193" r:id="rId190" display="https://ppim-intra.pea.co.th:4434/request/PPIM19502360" xr:uid="{835A0E7F-BDAD-4CEC-88B7-CEBD807EA483}"/>
    <hyperlink ref="K194" r:id="rId191" display="https://ppim-intra.pea.co.th:4434/request/PPIM195022FD" xr:uid="{EEDB7170-D0D2-4571-B44E-19A87FDBCE28}"/>
    <hyperlink ref="K195" r:id="rId192" display="https://ppim-intra.pea.co.th:4434/request/PPIM195023EA" xr:uid="{8B4A5B35-92B1-4A54-A7C1-00C42B8833C6}"/>
    <hyperlink ref="K196" r:id="rId193" display="https://ppim-intra.pea.co.th:4434/request/PPIM19502476" xr:uid="{DB565D80-7B69-4A7A-B29D-A14417CB14F1}"/>
    <hyperlink ref="K197" r:id="rId194" display="https://ppim-intra.pea.co.th:4434/request/PPIM195026A2" xr:uid="{CF2FBA4F-00D4-45BB-90F0-7D7C3CBD5F2C}"/>
    <hyperlink ref="K198" r:id="rId195" display="https://ppim-intra.pea.co.th:4434/request/PPIM19502777" xr:uid="{ED00485E-2705-4809-B8F7-2C43C89598CC}"/>
    <hyperlink ref="K199" r:id="rId196" display="https://ppim-intra.pea.co.th:4434/request/PPIM1950284C" xr:uid="{5AA72ED5-46F1-4136-A4FE-54514CD93A39}"/>
    <hyperlink ref="K200" r:id="rId197" display="https://ppim-intra.pea.co.th:4434/request/PPIM195028B1" xr:uid="{BA15464E-34E8-424C-AE8B-75CC668DEC5E}"/>
    <hyperlink ref="K201" r:id="rId198" display="https://ppim-intra.pea.co.th:4434/request/PPIM19502968" xr:uid="{C57D3A21-096F-4FF7-9AC0-85283A670539}"/>
    <hyperlink ref="K203" r:id="rId199" display="https://ppim-intra.pea.co.th:4434/request/PPIM19502B50" xr:uid="{53EE860B-025D-45E9-8A5B-901F18E66E3B}"/>
    <hyperlink ref="K204" r:id="rId200" display="https://ppim-intra.pea.co.th:4434/request/PPIM19502AC3" xr:uid="{DA0443A0-048D-468F-8B21-726745705B38}"/>
    <hyperlink ref="K205" r:id="rId201" display="https://ppim-intra.pea.co.th:4434/request/PPIM19502B8A" xr:uid="{F85F42C6-9A96-4C5C-BB1B-12DD2766D8BE}"/>
    <hyperlink ref="K206" r:id="rId202" display="https://ppim-intra.pea.co.th:4434/request/PPIM19502639" xr:uid="{06AD0263-1536-4311-9AA7-DD32E070AF2C}"/>
    <hyperlink ref="K207" r:id="rId203" display="https://ppim-intra.pea.co.th:4434/request/PPIM1950264C" xr:uid="{EC526B46-B6D2-4C1C-B4F5-7E43960C5A93}"/>
    <hyperlink ref="K208" r:id="rId204" display="https://ppim-intra.pea.co.th:4434/request/PPIM19502659" xr:uid="{991D9532-BD77-4B7E-BCEE-305A856260B8}"/>
    <hyperlink ref="K209" r:id="rId205" display="https://ppim-intra.pea.co.th:4434/request/PPIM195027F5" xr:uid="{D958578F-2FA0-47DE-B811-79F249C066D2}"/>
    <hyperlink ref="K210" r:id="rId206" display="https://ppim-intra.pea.co.th:4434/request/PPIM19502C1D" xr:uid="{DF689290-F8D1-4017-8501-38BBBF421459}"/>
    <hyperlink ref="K211" r:id="rId207" display="https://ppim-intra.pea.co.th:4434/request/PPIM19502A34" xr:uid="{C2EC97D6-CCA9-4868-ABC7-0059842666C1}"/>
    <hyperlink ref="K212" r:id="rId208" display="https://ppim-intra.pea.co.th:4434/request/PPIM19502CDC" xr:uid="{398A32C0-50A6-4FD8-81C7-4C20BD81AC41}"/>
    <hyperlink ref="K213" r:id="rId209" display="https://ppim-intra.pea.co.th:4434/request/PPIM19502CED" xr:uid="{2F53F508-8F91-409B-AC55-AD10CE004E5E}"/>
    <hyperlink ref="K214" r:id="rId210" display="https://ppim-intra.pea.co.th:4434/request/PPIM195029F8" xr:uid="{A7895629-FC44-40FF-9493-D91BD59BEF44}"/>
    <hyperlink ref="K215" r:id="rId211" display="https://ppim-intra.pea.co.th:4434/request/PPIM19502E97" xr:uid="{F0AB8124-2510-4B1F-BE5D-97AB0CBC5B1D}"/>
    <hyperlink ref="K216" r:id="rId212" display="https://ppim-intra.pea.co.th:4434/request/PPIM19502EA8" xr:uid="{70B892C3-6F99-4410-AEA5-D3E138A4AB34}"/>
    <hyperlink ref="K217" r:id="rId213" display="https://ppim-intra.pea.co.th:4434/request/PPIM19502EAA" xr:uid="{4C7375A1-01B2-474A-A355-A0C13C04AEC6}"/>
    <hyperlink ref="K218" r:id="rId214" display="https://ppim-intra.pea.co.th:4434/request/PPIM19502EAB" xr:uid="{B1BAA92F-57A5-4D0F-A3B0-504E5B865525}"/>
    <hyperlink ref="K219" r:id="rId215" display="https://ppim-intra.pea.co.th:4434/request/PPIM19502EB7" xr:uid="{A43E0EB7-71DF-40BF-9087-C6ECE99B88F9}"/>
    <hyperlink ref="K220" r:id="rId216" display="https://ppim-intra.pea.co.th:4434/request/PPIM19502EBC" xr:uid="{790255B0-8BF5-4305-98A1-E603CB29A91E}"/>
    <hyperlink ref="K221" r:id="rId217" display="https://ppim-intra.pea.co.th:4434/request/PPIM19502EC6" xr:uid="{91D38325-177F-4472-A2B0-24C27278320C}"/>
    <hyperlink ref="K222" r:id="rId218" display="https://ppim-intra.pea.co.th:4434/request/PPIM19502ECD" xr:uid="{326879DC-1F13-49A0-91E1-D66AFC6F41EA}"/>
    <hyperlink ref="K223" r:id="rId219" display="https://ppim-intra.pea.co.th:4434/request/PPIM19502EC3" xr:uid="{CD605D6B-FCCF-4F39-BD4A-433FDBF3A085}"/>
    <hyperlink ref="K224" r:id="rId220" display="https://ppim-intra.pea.co.th:4434/request/PPIM19502F82" xr:uid="{59F3A2C5-54F9-4B20-9991-59D01D39E57A}"/>
    <hyperlink ref="K225" r:id="rId221" display="https://ppim-intra.pea.co.th:4434/request/PPIM19503089" xr:uid="{F6B44A5E-8F76-45BC-9DFC-63E3705DAF74}"/>
    <hyperlink ref="K226" r:id="rId222" display="https://ppim-intra.pea.co.th:4434/request/PPIM195032E3" xr:uid="{D0D81683-4D7F-4351-96AB-E90D67C973A6}"/>
    <hyperlink ref="K227" r:id="rId223" display="https://ppim-intra.pea.co.th:4434/request/PPIM19503355" xr:uid="{7F3B5725-0C09-4A29-B764-6122965DA778}"/>
    <hyperlink ref="K228" r:id="rId224" display="https://ppim-intra.pea.co.th:4434/request/PPIM19503358" xr:uid="{BBD659AD-260A-4C6B-A1A7-01EFCF886713}"/>
    <hyperlink ref="K229" r:id="rId225" display="https://ppim-intra.pea.co.th:4434/request/PPIM1950336C" xr:uid="{B5C3E97C-53E4-4950-A12F-15A381AFC6A2}"/>
    <hyperlink ref="K230" r:id="rId226" display="https://ppim-intra.pea.co.th:4434/request/PPIM19503452" xr:uid="{BFFB6F21-E1F8-4113-9DA5-4A91A25862DC}"/>
    <hyperlink ref="K231" r:id="rId227" display="https://ppim-intra.pea.co.th:4434/request/PPIM19503453" xr:uid="{F395D46D-B437-4DA5-BC1D-CBFECC947ED2}"/>
    <hyperlink ref="K232" r:id="rId228" display="https://ppim-intra.pea.co.th:4434/request/PPIM19503521" xr:uid="{DE1AD7C7-D4EB-4252-A012-870333FD471C}"/>
    <hyperlink ref="K233" r:id="rId229" display="https://ppim-intra.pea.co.th:4434/request/PPIM19503733" xr:uid="{6359A08E-4991-4C5E-B328-62E0AF6AE34F}"/>
    <hyperlink ref="K234" r:id="rId230" display="https://ppim-intra.pea.co.th:4434/request/PPIM19503817" xr:uid="{D6313AC6-5ABB-4034-841B-C08079B23108}"/>
    <hyperlink ref="K235" r:id="rId231" display="https://ppim-intra.pea.co.th:4434/request/PPIM195038CC" xr:uid="{9C9E0202-0D43-4FF5-8478-2840D11C7314}"/>
    <hyperlink ref="K236" r:id="rId232" display="https://ppim-intra.pea.co.th:4434/request/PPIM1950393D" xr:uid="{56B52DF8-042F-49D9-9B80-70865CB9D4FD}"/>
    <hyperlink ref="K237" r:id="rId233" display="https://ppim-intra.pea.co.th:4434/request/PPIM19503790" xr:uid="{FF8F7820-BC0F-46CD-AA67-36029E74B500}"/>
    <hyperlink ref="K238" r:id="rId234" display="https://ppim-intra.pea.co.th:4434/request/PPIM195039F9" xr:uid="{7AA86542-2A31-458B-9392-2CF798F39A61}"/>
    <hyperlink ref="K239" r:id="rId235" display="https://ppim-intra.pea.co.th:4434/request/PPIM19503A1A" xr:uid="{ACAF1E7B-87BE-4F32-8F21-7A70DDD903AC}"/>
    <hyperlink ref="K240" r:id="rId236" display="https://ppim-intra.pea.co.th:4434/request/PPIM19503A34" xr:uid="{7D0C5DB0-311D-4B53-A583-7879B840FB4E}"/>
    <hyperlink ref="K241" r:id="rId237" display="https://ppim-intra.pea.co.th:4434/request/PPIM19503AEF" xr:uid="{CE95549C-6BBE-4576-8337-99F88EB66E53}"/>
    <hyperlink ref="K242" r:id="rId238" display="https://ppim-intra.pea.co.th:4434/request/PPIM195039FB" xr:uid="{4DC479C1-9522-4726-8CEA-99258E7359E1}"/>
    <hyperlink ref="K243" r:id="rId239" display="https://ppim-intra.pea.co.th:4434/request/PPIM19503D19" xr:uid="{18E6AB48-3E58-4325-B9D0-FBFC777891EB}"/>
    <hyperlink ref="K244" r:id="rId240" display="https://ppim-intra.pea.co.th:4434/request/PPIM19503D7B" xr:uid="{D6B7B76C-558D-4C11-9784-8160BF22C2A4}"/>
    <hyperlink ref="K245" r:id="rId241" display="https://ppim-intra.pea.co.th:4434/request/PPIM19503D84" xr:uid="{9284A3C8-5ECC-490A-83C3-283A5075D351}"/>
    <hyperlink ref="K246" r:id="rId242" display="https://ppim-intra.pea.co.th:4434/request/PPIM19503F35" xr:uid="{E3193084-212B-4BBB-B897-B14908BEA002}"/>
    <hyperlink ref="K247" r:id="rId243" display="https://ppim-intra.pea.co.th:4434/request/PPIM19503F36" xr:uid="{A2F0FE72-8B5F-4517-B6AD-FE34F3D8D669}"/>
    <hyperlink ref="K248" r:id="rId244" display="https://ppim-intra.pea.co.th:4434/request/PPIM19503F34" xr:uid="{7172E187-AAA3-400D-B7F7-858493B62212}"/>
    <hyperlink ref="K249" r:id="rId245" display="https://ppim-intra.pea.co.th:4434/request/PPIM19503FC9" xr:uid="{8E8B0554-CCD3-4852-B184-B28BB31D9442}"/>
    <hyperlink ref="K250" r:id="rId246" display="https://ppim-intra.pea.co.th:4434/request/PPIM1950405F" xr:uid="{838627DA-B0EC-4970-B3C8-7C6248975925}"/>
    <hyperlink ref="K251" r:id="rId247" display="https://ppim-intra.pea.co.th:4434/request/PPIM195040B3" xr:uid="{0E6DE049-CAB2-4AEB-8779-48F1B35EAC6F}"/>
    <hyperlink ref="K252" r:id="rId248" display="https://ppim-intra.pea.co.th:4434/request/PPIM195040DF" xr:uid="{538F2ABF-D8A5-4FE6-83F3-F213058DA07A}"/>
    <hyperlink ref="K253" r:id="rId249" display="https://ppim-intra.pea.co.th:4434/request/PPIM1950412B" xr:uid="{6D65D570-0118-4EF9-8276-3E856C0B63F3}"/>
    <hyperlink ref="K254" r:id="rId250" display="https://ppim-intra.pea.co.th:4434/request/PPIM19504233" xr:uid="{55389100-8E35-491C-8D0B-1196C4EF73BC}"/>
    <hyperlink ref="K255" r:id="rId251" display="https://ppim-intra.pea.co.th:4434/request/PPIM19504382" xr:uid="{35699B85-C74F-4FBF-8FCE-9C342C11AC91}"/>
    <hyperlink ref="K256" r:id="rId252" display="https://ppim-intra.pea.co.th:4434/request/PPIM195042EC" xr:uid="{1C5FA3BC-0571-43DA-A35F-89BD94F05E72}"/>
    <hyperlink ref="K257" r:id="rId253" display="https://ppim-intra.pea.co.th:4434/request/PPIM19504420" xr:uid="{E4BC0478-7D83-4C62-B08B-EFE6E99FD754}"/>
    <hyperlink ref="K258" r:id="rId254" display="https://ppim-intra.pea.co.th:4434/request/PPIM19504480" xr:uid="{065AD4A7-EEEB-4288-8678-5E8FA0FD726D}"/>
    <hyperlink ref="K259" r:id="rId255" display="https://ppim-intra.pea.co.th:4434/request/PPIM1950451E" xr:uid="{67B9284C-D743-4EA3-8910-988E059B5428}"/>
    <hyperlink ref="K260" r:id="rId256" display="https://ppim-intra.pea.co.th:4434/request/PPIM1950453A" xr:uid="{FEA022C1-5F95-4F49-829F-BB6828146308}"/>
    <hyperlink ref="K261" r:id="rId257" display="https://ppim-intra.pea.co.th:4434/request/PPIM19504611" xr:uid="{627217CD-97B1-4508-A348-57A6EF925751}"/>
    <hyperlink ref="K262" r:id="rId258" display="https://ppim-intra.pea.co.th:4434/request/PPIM1950453E" xr:uid="{57E95C95-9819-4239-A67F-4B6E806DD01C}"/>
    <hyperlink ref="K263" r:id="rId259" display="https://ppim-intra.pea.co.th:4434/request/PPIM195046EC" xr:uid="{E6D461A9-F495-4650-AD90-FAD7BE876AFD}"/>
    <hyperlink ref="K264" r:id="rId260" display="https://ppim-intra.pea.co.th:4434/request/PPIM19504914" xr:uid="{C0546FD5-E9D2-426A-A85B-DA4A0502C356}"/>
    <hyperlink ref="K265" r:id="rId261" display="https://ppim-intra.pea.co.th:4434/request/PPIM19504915" xr:uid="{E0A64E64-9D5D-4071-B889-AE8B8C1D0F40}"/>
    <hyperlink ref="K266" r:id="rId262" display="https://ppim-intra.pea.co.th:4434/request/PPIM19504B46" xr:uid="{38DD58F5-E0DA-4404-B87E-1E703DF282B9}"/>
    <hyperlink ref="K267" r:id="rId263" display="https://ppim-intra.pea.co.th:4434/request/PPIM19504BAD" xr:uid="{B8A6C097-877D-4A9C-B176-93BB8640DCE3}"/>
    <hyperlink ref="K268" r:id="rId264" display="https://ppim-intra.pea.co.th:4434/request/PPIM19504C76" xr:uid="{038394CE-C08A-4D7A-8CE4-8F288E3C0FC3}"/>
    <hyperlink ref="K269" r:id="rId265" display="https://ppim-intra.pea.co.th:4434/request/PPIM19504D26" xr:uid="{A2B36CF4-6647-43CF-8182-0DF5E67852A8}"/>
    <hyperlink ref="K270" r:id="rId266" display="https://ppim-intra.pea.co.th:4434/request/PPIM19504E61" xr:uid="{2DA92BE5-798C-4BB1-B51D-B23139C91DBE}"/>
    <hyperlink ref="K271" r:id="rId267" display="https://ppim-intra.pea.co.th:4434/request/PPIM19504E7D" xr:uid="{CA4DC398-E6AA-4082-8AF3-594C6DD72F45}"/>
    <hyperlink ref="K272" r:id="rId268" display="https://ppim-intra.pea.co.th:4434/request/PPIM19504E81" xr:uid="{787693FD-45D4-4E86-8E32-6E371D90F709}"/>
    <hyperlink ref="K273" r:id="rId269" display="https://ppim-intra.pea.co.th:4434/request/PPIM19504EA6" xr:uid="{790A6B14-F977-4A74-9924-24105A2FD24B}"/>
    <hyperlink ref="K274" r:id="rId270" display="https://ppim-intra.pea.co.th:4434/request/PPIM19504EA9" xr:uid="{81ED2610-39F5-4091-BCE4-AB8846AC1791}"/>
    <hyperlink ref="K275" r:id="rId271" display="https://ppim-intra.pea.co.th:4434/request/PPIM19504F1D" xr:uid="{863A1BF7-3CBD-4929-A658-E12C97655139}"/>
    <hyperlink ref="K276" r:id="rId272" display="https://ppim-intra.pea.co.th:4434/request/PPIM19504F1F" xr:uid="{612EAD4A-4453-45A8-B740-8F2F39AB12A8}"/>
    <hyperlink ref="K277" r:id="rId273" display="https://ppim-intra.pea.co.th:4434/request/PPIM19505032" xr:uid="{E8215F5A-32B6-41B2-AFDA-621FCC8591A4}"/>
    <hyperlink ref="K278" r:id="rId274" display="https://ppim-intra.pea.co.th:4434/request/PPIM19505035" xr:uid="{47704622-E5B5-458F-BAF6-1C234669C45A}"/>
    <hyperlink ref="K279" r:id="rId275" display="https://ppim-intra.pea.co.th:4434/request/PPIM1950503C" xr:uid="{1AD02339-7E04-4995-AE34-C92D85E45AAF}"/>
    <hyperlink ref="K280" r:id="rId276" display="https://ppim-intra.pea.co.th:4434/request/PPIM19505141" xr:uid="{606E69FC-60E5-4A8A-A2B1-6BC8C5515E71}"/>
    <hyperlink ref="K281" r:id="rId277" display="https://ppim-intra.pea.co.th:4434/request/PPIM19505159" xr:uid="{8E361155-36AC-4BCC-8556-42ABBB089F7F}"/>
    <hyperlink ref="K282" r:id="rId278" display="https://ppim-intra.pea.co.th:4434/request/PPIM19504F70" xr:uid="{77C855AD-021A-4BFD-B534-1BD5EE8F5671}"/>
    <hyperlink ref="K283" r:id="rId279" display="https://ppim-intra.pea.co.th:4434/request/PPIM19504FBB" xr:uid="{2186BF13-B6C2-4742-ABB5-FD3BE4F83E8D}"/>
    <hyperlink ref="K284" r:id="rId280" display="https://ppim-intra.pea.co.th:4434/request/PPIM1950536D" xr:uid="{9C75BE97-D163-4E34-8E6E-FA20A3FC674D}"/>
    <hyperlink ref="K285" r:id="rId281" display="https://ppim-intra.pea.co.th:4434/request/PPIM195053B7" xr:uid="{75B6B2A6-983A-4DFE-A86F-A4412AB01343}"/>
    <hyperlink ref="K286" r:id="rId282" display="https://ppim-intra.pea.co.th:4434/request/PPIM195050B7" xr:uid="{C9FB9BE4-7529-4E00-8ED0-A5CD6453C8CF}"/>
    <hyperlink ref="K287" r:id="rId283" display="https://ppim-intra.pea.co.th:4434/request/PPIM19505409" xr:uid="{3CE6AC46-4563-4CB5-A67E-89FC6DE4D815}"/>
    <hyperlink ref="K288" r:id="rId284" display="https://ppim-intra.pea.co.th:4434/request/PPIM19505446" xr:uid="{C870C21B-8647-4604-B794-9C4F84F12367}"/>
    <hyperlink ref="K289" r:id="rId285" display="https://ppim-intra.pea.co.th:4434/request/PPIM19505163" xr:uid="{E9888D57-39F8-4442-AC54-D8F73EEB2CF3}"/>
    <hyperlink ref="K290" r:id="rId286" display="https://ppim-intra.pea.co.th:4434/request/PPIM19505452" xr:uid="{B8B88E04-D35C-4CEF-9861-E76E9F877FFA}"/>
    <hyperlink ref="K291" r:id="rId287" display="https://ppim-intra.pea.co.th:4434/request/PPIM1950579A" xr:uid="{61606E89-FC84-4872-9DB9-0EE55550CCC3}"/>
    <hyperlink ref="K292" r:id="rId288" display="https://ppim-intra.pea.co.th:4434/request/PPIM1950598D" xr:uid="{9AF1DA99-BE65-4A1A-B2F0-EF262AC95E89}"/>
    <hyperlink ref="K293" r:id="rId289" display="https://ppim-intra.pea.co.th:4434/request/PPIM19505AE4" xr:uid="{C4B95107-CEEE-438D-A534-A46AEE352D49}"/>
    <hyperlink ref="K294" r:id="rId290" display="https://ppim-intra.pea.co.th:4434/request/PPIM195057AE" xr:uid="{CEE4297F-939F-44F3-BB73-9D99294A4681}"/>
    <hyperlink ref="K295" r:id="rId291" display="https://ppim-intra.pea.co.th:4434/request/PPIM19505C31" xr:uid="{420A0D46-E91D-46F6-8778-1C787A3D6DB3}"/>
  </hyperlinks>
  <pageMargins left="0.7" right="0.7" top="0.75" bottom="0.75" header="0.3" footer="0.3"/>
  <drawing r:id="rId292"/>
  <legacyDrawing r:id="rId293"/>
  <controls>
    <mc:AlternateContent xmlns:mc="http://schemas.openxmlformats.org/markup-compatibility/2006">
      <mc:Choice Requires="x14">
        <control shapeId="19457" r:id="rId294" name="Control 1">
          <controlPr defaultSize="0" r:id="rId295">
            <anchor moveWithCells="1">
              <from>
                <xdr:col>0</xdr:col>
                <xdr:colOff>0</xdr:colOff>
                <xdr:row>21</xdr:row>
                <xdr:rowOff>314325</xdr:rowOff>
              </from>
              <to>
                <xdr:col>0</xdr:col>
                <xdr:colOff>161925</xdr:colOff>
                <xdr:row>22</xdr:row>
                <xdr:rowOff>9525</xdr:rowOff>
              </to>
            </anchor>
          </controlPr>
        </control>
      </mc:Choice>
      <mc:Fallback>
        <control shapeId="19457" r:id="rId294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190E-E7FE-4346-8F20-CFF9A71D88FA}">
  <sheetPr>
    <tabColor theme="9" tint="0.39997558519241921"/>
  </sheetPr>
  <dimension ref="A2:O168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2" spans="1:15" ht="27" customHeight="1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54</v>
      </c>
      <c r="N2" s="13" t="s">
        <v>214</v>
      </c>
    </row>
    <row r="3" spans="1:15" ht="27" customHeight="1" thickTop="1" thickBot="1">
      <c r="A3" s="18" t="s">
        <v>569</v>
      </c>
      <c r="B3" s="18">
        <v>20020801148</v>
      </c>
      <c r="C3" s="18" t="s">
        <v>570</v>
      </c>
      <c r="D3" s="19">
        <v>45457.665972222225</v>
      </c>
      <c r="E3" s="18" t="s">
        <v>10</v>
      </c>
      <c r="F3" s="18">
        <v>4</v>
      </c>
      <c r="G3" s="18" t="s">
        <v>10</v>
      </c>
      <c r="H3" s="18" t="s">
        <v>178</v>
      </c>
      <c r="I3" s="18" t="s">
        <v>10</v>
      </c>
      <c r="J3" s="18" t="s">
        <v>571</v>
      </c>
      <c r="K3" s="20"/>
      <c r="L3" s="7" t="s">
        <v>2656</v>
      </c>
      <c r="M3" s="7">
        <f>COUNTIF(H:H,"รอตรวจสอบคำขอ")</f>
        <v>1</v>
      </c>
      <c r="N3" s="11" t="s">
        <v>214</v>
      </c>
    </row>
    <row r="4" spans="1:15" ht="36.75" thickBot="1">
      <c r="A4" s="18" t="s">
        <v>566</v>
      </c>
      <c r="B4" s="18">
        <v>20027663031</v>
      </c>
      <c r="C4" s="18" t="s">
        <v>567</v>
      </c>
      <c r="D4" s="19">
        <v>45445.921527777777</v>
      </c>
      <c r="E4" s="19">
        <v>45488.977083333331</v>
      </c>
      <c r="F4" s="18">
        <v>5</v>
      </c>
      <c r="G4" s="19">
        <v>45559.556944444441</v>
      </c>
      <c r="H4" s="18" t="s">
        <v>2657</v>
      </c>
      <c r="I4" s="18" t="s">
        <v>10</v>
      </c>
      <c r="J4" s="18" t="s">
        <v>568</v>
      </c>
      <c r="K4" s="20"/>
      <c r="L4" s="7" t="s">
        <v>178</v>
      </c>
      <c r="M4" s="7">
        <f>COUNTIF(H:H,"ยกเลิก")</f>
        <v>25</v>
      </c>
      <c r="N4" s="11" t="s">
        <v>214</v>
      </c>
    </row>
    <row r="5" spans="1:15" ht="36.75" thickBot="1">
      <c r="A5" s="18" t="s">
        <v>784</v>
      </c>
      <c r="B5" s="18">
        <v>20003382287</v>
      </c>
      <c r="C5" s="18" t="s">
        <v>785</v>
      </c>
      <c r="D5" s="19">
        <v>45494.698611111111</v>
      </c>
      <c r="E5" s="18" t="s">
        <v>10</v>
      </c>
      <c r="F5" s="18">
        <v>3</v>
      </c>
      <c r="G5" s="19">
        <v>45524.59652777778</v>
      </c>
      <c r="H5" s="18" t="s">
        <v>236</v>
      </c>
      <c r="I5" s="18" t="s">
        <v>10</v>
      </c>
      <c r="J5" s="18" t="s">
        <v>786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787</v>
      </c>
      <c r="B6" s="18">
        <v>20003390476</v>
      </c>
      <c r="C6" s="18" t="s">
        <v>788</v>
      </c>
      <c r="D6" s="19">
        <v>45494.731249999997</v>
      </c>
      <c r="E6" s="18" t="s">
        <v>10</v>
      </c>
      <c r="F6" s="18">
        <v>3</v>
      </c>
      <c r="G6" s="19">
        <v>45524.59652777778</v>
      </c>
      <c r="H6" s="18" t="s">
        <v>236</v>
      </c>
      <c r="I6" s="18" t="s">
        <v>10</v>
      </c>
      <c r="J6" s="18" t="s">
        <v>786</v>
      </c>
      <c r="K6" s="20"/>
      <c r="L6" s="7" t="s">
        <v>189</v>
      </c>
      <c r="M6" s="14">
        <f>COUNTIF(H:H,"รอชำระเงิน")</f>
        <v>0</v>
      </c>
      <c r="N6" s="11" t="s">
        <v>214</v>
      </c>
      <c r="O6" s="7" t="s">
        <v>359</v>
      </c>
    </row>
    <row r="7" spans="1:15" ht="54.75" thickBot="1">
      <c r="A7" s="18" t="s">
        <v>789</v>
      </c>
      <c r="B7" s="18">
        <v>20003324261</v>
      </c>
      <c r="C7" s="18" t="s">
        <v>790</v>
      </c>
      <c r="D7" s="19">
        <v>45497.728472222225</v>
      </c>
      <c r="E7" s="18" t="s">
        <v>10</v>
      </c>
      <c r="F7" s="18">
        <v>10</v>
      </c>
      <c r="G7" s="18" t="s">
        <v>10</v>
      </c>
      <c r="H7" s="18" t="s">
        <v>178</v>
      </c>
      <c r="I7" s="18" t="s">
        <v>10</v>
      </c>
      <c r="J7" s="18" t="s">
        <v>786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0</v>
      </c>
      <c r="N7" s="11" t="s">
        <v>214</v>
      </c>
    </row>
    <row r="8" spans="1:15" ht="36.75" thickBot="1">
      <c r="A8" s="18" t="s">
        <v>791</v>
      </c>
      <c r="B8" s="18">
        <v>20027877961</v>
      </c>
      <c r="C8" s="18" t="s">
        <v>792</v>
      </c>
      <c r="D8" s="19">
        <v>45502.554166666669</v>
      </c>
      <c r="E8" s="18" t="s">
        <v>10</v>
      </c>
      <c r="F8" s="18">
        <v>3</v>
      </c>
      <c r="G8" s="19">
        <v>45524.59652777778</v>
      </c>
      <c r="H8" s="18" t="s">
        <v>236</v>
      </c>
      <c r="I8" s="18" t="s">
        <v>10</v>
      </c>
      <c r="J8" s="18" t="s">
        <v>786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3</v>
      </c>
      <c r="N8" s="11" t="s">
        <v>214</v>
      </c>
    </row>
    <row r="9" spans="1:15" ht="36.75" thickBot="1">
      <c r="A9" s="18" t="s">
        <v>793</v>
      </c>
      <c r="B9" s="18">
        <v>20027877988</v>
      </c>
      <c r="C9" s="18" t="s">
        <v>794</v>
      </c>
      <c r="D9" s="19">
        <v>45502.581944444442</v>
      </c>
      <c r="E9" s="18" t="s">
        <v>10</v>
      </c>
      <c r="F9" s="18">
        <v>3</v>
      </c>
      <c r="G9" s="19">
        <v>45524.59652777778</v>
      </c>
      <c r="H9" s="18" t="s">
        <v>236</v>
      </c>
      <c r="I9" s="18" t="s">
        <v>10</v>
      </c>
      <c r="J9" s="18" t="s">
        <v>786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1</v>
      </c>
      <c r="N9" t="s">
        <v>214</v>
      </c>
    </row>
    <row r="10" spans="1:15" ht="36.75" thickBot="1">
      <c r="A10" s="18" t="s">
        <v>795</v>
      </c>
      <c r="B10" s="18">
        <v>20027866403</v>
      </c>
      <c r="C10" s="18" t="s">
        <v>796</v>
      </c>
      <c r="D10" s="19">
        <v>45502.606249999997</v>
      </c>
      <c r="E10" s="18" t="s">
        <v>10</v>
      </c>
      <c r="F10" s="18">
        <v>3</v>
      </c>
      <c r="G10" s="19">
        <v>45524.59652777778</v>
      </c>
      <c r="H10" s="18" t="s">
        <v>236</v>
      </c>
      <c r="I10" s="18" t="s">
        <v>10</v>
      </c>
      <c r="J10" s="18" t="s">
        <v>786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959</v>
      </c>
      <c r="B11" s="18">
        <v>20027166737</v>
      </c>
      <c r="C11" s="18" t="s">
        <v>960</v>
      </c>
      <c r="D11" s="19">
        <v>45517.609722222223</v>
      </c>
      <c r="E11" s="18" t="s">
        <v>10</v>
      </c>
      <c r="F11" s="18">
        <v>3</v>
      </c>
      <c r="G11" s="19">
        <v>45524.59652777778</v>
      </c>
      <c r="H11" s="18" t="s">
        <v>236</v>
      </c>
      <c r="I11" s="18" t="s">
        <v>10</v>
      </c>
      <c r="J11" s="18" t="s">
        <v>786</v>
      </c>
      <c r="K11" s="20"/>
      <c r="L11" t="s">
        <v>2654</v>
      </c>
      <c r="M11">
        <f>COUNTIF(H:H,"รอตรวจสอบระบบผลิต")</f>
        <v>1</v>
      </c>
      <c r="N11" t="s">
        <v>214</v>
      </c>
    </row>
    <row r="12" spans="1:15" ht="54.75" thickBot="1">
      <c r="A12" s="18" t="s">
        <v>961</v>
      </c>
      <c r="B12" s="18">
        <v>20020316732</v>
      </c>
      <c r="C12" s="18" t="s">
        <v>790</v>
      </c>
      <c r="D12" s="19">
        <v>45517.712500000001</v>
      </c>
      <c r="E12" s="18" t="s">
        <v>10</v>
      </c>
      <c r="F12" s="18">
        <v>5</v>
      </c>
      <c r="G12" s="18" t="s">
        <v>10</v>
      </c>
      <c r="H12" s="18" t="s">
        <v>178</v>
      </c>
      <c r="I12" s="18" t="s">
        <v>10</v>
      </c>
      <c r="J12" s="18" t="s">
        <v>568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54.75" thickBot="1">
      <c r="A13" s="18" t="s">
        <v>962</v>
      </c>
      <c r="B13" s="18">
        <v>20025295459</v>
      </c>
      <c r="C13" s="18" t="s">
        <v>963</v>
      </c>
      <c r="D13" s="19">
        <v>45517.71875</v>
      </c>
      <c r="E13" s="18" t="s">
        <v>10</v>
      </c>
      <c r="F13" s="18">
        <v>15</v>
      </c>
      <c r="G13" s="18" t="s">
        <v>10</v>
      </c>
      <c r="H13" s="18" t="s">
        <v>236</v>
      </c>
      <c r="I13" s="18" t="s">
        <v>10</v>
      </c>
      <c r="J13" s="18" t="s">
        <v>786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964</v>
      </c>
      <c r="B14" s="18">
        <v>20003074747</v>
      </c>
      <c r="C14" s="18" t="s">
        <v>965</v>
      </c>
      <c r="D14" s="19">
        <v>45518.640972222223</v>
      </c>
      <c r="E14" s="18" t="s">
        <v>10</v>
      </c>
      <c r="F14" s="18">
        <v>3</v>
      </c>
      <c r="G14" s="18" t="s">
        <v>10</v>
      </c>
      <c r="H14" s="18" t="s">
        <v>236</v>
      </c>
      <c r="I14" s="18" t="s">
        <v>10</v>
      </c>
      <c r="J14" s="18" t="s">
        <v>786</v>
      </c>
      <c r="K14" s="20"/>
      <c r="L14" t="s">
        <v>236</v>
      </c>
      <c r="M14">
        <f>COUNTIF(H:H,"เชื่อมต่อเรียบร้อยแล้ว")</f>
        <v>23</v>
      </c>
      <c r="N14" t="s">
        <v>214</v>
      </c>
    </row>
    <row r="15" spans="1:15" ht="36.75" thickBot="1">
      <c r="A15" s="18" t="s">
        <v>966</v>
      </c>
      <c r="B15" s="18">
        <v>20027084055</v>
      </c>
      <c r="C15" s="18" t="s">
        <v>967</v>
      </c>
      <c r="D15" s="19">
        <v>45525.691666666666</v>
      </c>
      <c r="E15" s="18" t="s">
        <v>10</v>
      </c>
      <c r="F15" s="18">
        <v>4</v>
      </c>
      <c r="G15" s="19">
        <v>45534.381944444445</v>
      </c>
      <c r="H15" s="18" t="s">
        <v>236</v>
      </c>
      <c r="I15" s="18" t="s">
        <v>10</v>
      </c>
      <c r="J15" s="18" t="s">
        <v>786</v>
      </c>
      <c r="K15" s="20"/>
    </row>
    <row r="16" spans="1:15" ht="36.75" thickBot="1">
      <c r="A16" s="18" t="s">
        <v>968</v>
      </c>
      <c r="B16" s="18">
        <v>20003324261</v>
      </c>
      <c r="C16" s="18" t="s">
        <v>969</v>
      </c>
      <c r="D16" s="19">
        <v>45532.715277777781</v>
      </c>
      <c r="E16" s="18" t="s">
        <v>10</v>
      </c>
      <c r="F16" s="18">
        <v>10</v>
      </c>
      <c r="G16" s="19">
        <v>45572.467361111114</v>
      </c>
      <c r="H16" s="18" t="s">
        <v>2657</v>
      </c>
      <c r="I16" s="18" t="s">
        <v>10</v>
      </c>
      <c r="J16" s="18" t="s">
        <v>786</v>
      </c>
      <c r="K16" s="20"/>
    </row>
    <row r="17" spans="1:11" ht="36.75" thickBot="1">
      <c r="A17" s="18" t="s">
        <v>970</v>
      </c>
      <c r="B17" s="18">
        <v>20019413159</v>
      </c>
      <c r="C17" s="18" t="s">
        <v>971</v>
      </c>
      <c r="D17" s="19">
        <v>45533.708333333336</v>
      </c>
      <c r="E17" s="19">
        <v>45540.494444444441</v>
      </c>
      <c r="F17" s="18">
        <v>20</v>
      </c>
      <c r="G17" s="19">
        <v>45541.54583333333</v>
      </c>
      <c r="H17" s="18" t="s">
        <v>236</v>
      </c>
      <c r="I17" s="18" t="s">
        <v>10</v>
      </c>
      <c r="J17" s="18" t="s">
        <v>786</v>
      </c>
      <c r="K17" s="20"/>
    </row>
    <row r="18" spans="1:11" ht="36.75" thickBot="1">
      <c r="A18" s="18" t="s">
        <v>1128</v>
      </c>
      <c r="B18" s="18">
        <v>20020316732</v>
      </c>
      <c r="C18" s="18" t="s">
        <v>1129</v>
      </c>
      <c r="D18" s="19">
        <v>45534.661111111112</v>
      </c>
      <c r="E18" s="19">
        <v>45541.443055555559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568</v>
      </c>
      <c r="K18" s="20"/>
    </row>
    <row r="19" spans="1:11" ht="36.75" thickBot="1">
      <c r="A19" s="18" t="s">
        <v>1260</v>
      </c>
      <c r="B19" s="18">
        <v>20025760268</v>
      </c>
      <c r="C19" s="18" t="s">
        <v>1261</v>
      </c>
      <c r="D19" s="19">
        <v>45558.600694444445</v>
      </c>
      <c r="E19" s="18" t="s">
        <v>10</v>
      </c>
      <c r="F19" s="18">
        <v>5</v>
      </c>
      <c r="G19" s="19">
        <v>45573.569444444445</v>
      </c>
      <c r="H19" s="18" t="s">
        <v>236</v>
      </c>
      <c r="I19" s="18" t="s">
        <v>10</v>
      </c>
      <c r="J19" s="18" t="s">
        <v>568</v>
      </c>
      <c r="K19" s="20"/>
    </row>
    <row r="20" spans="1:11" ht="36.75" thickBot="1">
      <c r="A20" s="18" t="s">
        <v>1262</v>
      </c>
      <c r="B20" s="18">
        <v>20020316732</v>
      </c>
      <c r="C20" s="18" t="s">
        <v>1129</v>
      </c>
      <c r="D20" s="19">
        <v>45566.445138888892</v>
      </c>
      <c r="E20" s="18" t="s">
        <v>10</v>
      </c>
      <c r="F20" s="18">
        <v>5</v>
      </c>
      <c r="G20" s="18" t="s">
        <v>10</v>
      </c>
      <c r="H20" s="18" t="s">
        <v>178</v>
      </c>
      <c r="I20" s="18" t="s">
        <v>10</v>
      </c>
      <c r="J20" s="18" t="s">
        <v>568</v>
      </c>
      <c r="K20" s="20"/>
    </row>
    <row r="21" spans="1:11" ht="36.75" thickBot="1">
      <c r="A21" s="18" t="s">
        <v>1374</v>
      </c>
      <c r="B21" s="18">
        <v>20020316732</v>
      </c>
      <c r="C21" s="18" t="s">
        <v>1129</v>
      </c>
      <c r="D21" s="19">
        <v>45567.692361111112</v>
      </c>
      <c r="E21" s="18" t="s">
        <v>10</v>
      </c>
      <c r="F21" s="18">
        <v>5</v>
      </c>
      <c r="G21" s="19">
        <v>45594.550694444442</v>
      </c>
      <c r="H21" s="18" t="s">
        <v>2657</v>
      </c>
      <c r="I21" s="18" t="s">
        <v>10</v>
      </c>
      <c r="J21" s="18" t="s">
        <v>568</v>
      </c>
      <c r="K21" s="20"/>
    </row>
    <row r="22" spans="1:11" ht="36.75" thickBot="1">
      <c r="A22" s="18" t="s">
        <v>1718</v>
      </c>
      <c r="B22" s="18">
        <v>20003121929</v>
      </c>
      <c r="C22" s="18" t="s">
        <v>1719</v>
      </c>
      <c r="D22" s="19">
        <v>45617.602083333331</v>
      </c>
      <c r="E22" s="18" t="s">
        <v>10</v>
      </c>
      <c r="F22" s="18">
        <v>5</v>
      </c>
      <c r="G22" s="18" t="s">
        <v>10</v>
      </c>
      <c r="H22" s="18" t="s">
        <v>178</v>
      </c>
      <c r="I22" s="18" t="s">
        <v>10</v>
      </c>
      <c r="J22" s="18" t="s">
        <v>786</v>
      </c>
      <c r="K22" s="20"/>
    </row>
    <row r="23" spans="1:11" ht="36.75" thickBot="1">
      <c r="A23" s="18" t="s">
        <v>1720</v>
      </c>
      <c r="B23" s="18">
        <v>20020801148</v>
      </c>
      <c r="C23" s="18" t="s">
        <v>570</v>
      </c>
      <c r="D23" s="19">
        <v>45618.515972222223</v>
      </c>
      <c r="E23" s="18" t="s">
        <v>10</v>
      </c>
      <c r="F23" s="18">
        <v>4</v>
      </c>
      <c r="G23" s="18" t="s">
        <v>10</v>
      </c>
      <c r="H23" s="18" t="s">
        <v>178</v>
      </c>
      <c r="I23" s="18" t="s">
        <v>10</v>
      </c>
      <c r="J23" s="18" t="s">
        <v>571</v>
      </c>
      <c r="K23" s="20"/>
    </row>
    <row r="24" spans="1:11" ht="36.75" thickBot="1">
      <c r="A24" s="18" t="s">
        <v>1857</v>
      </c>
      <c r="B24" s="18">
        <v>20003362532</v>
      </c>
      <c r="C24" s="18" t="s">
        <v>1858</v>
      </c>
      <c r="D24" s="19">
        <v>45628.557638888888</v>
      </c>
      <c r="E24" s="18" t="s">
        <v>10</v>
      </c>
      <c r="F24" s="18">
        <v>20</v>
      </c>
      <c r="G24" s="18" t="s">
        <v>10</v>
      </c>
      <c r="H24" s="18" t="s">
        <v>178</v>
      </c>
      <c r="I24" s="18" t="s">
        <v>10</v>
      </c>
      <c r="J24" s="18" t="s">
        <v>786</v>
      </c>
      <c r="K24" s="20"/>
    </row>
    <row r="25" spans="1:11" ht="36.75" thickBot="1">
      <c r="A25" s="18" t="s">
        <v>1859</v>
      </c>
      <c r="B25" s="18">
        <v>20003362532</v>
      </c>
      <c r="C25" s="18" t="s">
        <v>1860</v>
      </c>
      <c r="D25" s="19">
        <v>45638.508333333331</v>
      </c>
      <c r="E25" s="18" t="s">
        <v>10</v>
      </c>
      <c r="F25" s="18">
        <v>20</v>
      </c>
      <c r="G25" s="19">
        <v>45645.381944444445</v>
      </c>
      <c r="H25" s="18" t="s">
        <v>236</v>
      </c>
      <c r="I25" s="18" t="s">
        <v>10</v>
      </c>
      <c r="J25" s="18" t="s">
        <v>786</v>
      </c>
      <c r="K25" s="20"/>
    </row>
    <row r="26" spans="1:11" ht="36.75" thickBot="1">
      <c r="A26" s="18" t="s">
        <v>1481</v>
      </c>
      <c r="B26" s="18">
        <v>20022623423</v>
      </c>
      <c r="C26" s="18" t="s">
        <v>1482</v>
      </c>
      <c r="D26" s="19">
        <v>45595.439583333333</v>
      </c>
      <c r="E26" s="19">
        <v>45642.572222222225</v>
      </c>
      <c r="F26" s="18">
        <v>10</v>
      </c>
      <c r="G26" s="19">
        <v>45699.470833333333</v>
      </c>
      <c r="H26" s="18" t="s">
        <v>236</v>
      </c>
      <c r="I26" s="18" t="s">
        <v>10</v>
      </c>
      <c r="J26" s="18" t="s">
        <v>571</v>
      </c>
      <c r="K26" s="20"/>
    </row>
    <row r="27" spans="1:11" ht="36.75" thickBot="1">
      <c r="A27" s="18" t="s">
        <v>1721</v>
      </c>
      <c r="B27" s="18">
        <v>20003544577</v>
      </c>
      <c r="C27" s="18" t="s">
        <v>1722</v>
      </c>
      <c r="D27" s="19">
        <v>45601.803472222222</v>
      </c>
      <c r="E27" s="19">
        <v>45644.382638888892</v>
      </c>
      <c r="F27" s="18">
        <v>15</v>
      </c>
      <c r="G27" s="18" t="s">
        <v>10</v>
      </c>
      <c r="H27" s="18" t="s">
        <v>178</v>
      </c>
      <c r="I27" s="18" t="s">
        <v>10</v>
      </c>
      <c r="J27" s="18" t="s">
        <v>571</v>
      </c>
      <c r="K27" s="20"/>
    </row>
    <row r="28" spans="1:11" ht="36.75" thickBot="1">
      <c r="A28" s="18" t="s">
        <v>1923</v>
      </c>
      <c r="B28" s="18">
        <v>20003544577</v>
      </c>
      <c r="C28" s="18" t="s">
        <v>1722</v>
      </c>
      <c r="D28" s="19">
        <v>45644.453472222223</v>
      </c>
      <c r="E28" s="18" t="s">
        <v>10</v>
      </c>
      <c r="F28" s="18">
        <v>15</v>
      </c>
      <c r="G28" s="19">
        <v>45646.411111111112</v>
      </c>
      <c r="H28" s="18" t="s">
        <v>236</v>
      </c>
      <c r="I28" s="18" t="s">
        <v>10</v>
      </c>
      <c r="J28" s="18" t="s">
        <v>571</v>
      </c>
      <c r="K28" s="20"/>
    </row>
    <row r="29" spans="1:11" ht="36.75" thickBot="1">
      <c r="A29" s="18" t="s">
        <v>2066</v>
      </c>
      <c r="B29" s="18">
        <v>20019602060</v>
      </c>
      <c r="C29" s="18" t="s">
        <v>2067</v>
      </c>
      <c r="D29" s="19">
        <v>45672.745833333334</v>
      </c>
      <c r="E29" s="18" t="s">
        <v>10</v>
      </c>
      <c r="F29" s="18">
        <v>10</v>
      </c>
      <c r="G29" s="18" t="s">
        <v>10</v>
      </c>
      <c r="H29" s="18" t="s">
        <v>178</v>
      </c>
      <c r="I29" s="18" t="s">
        <v>10</v>
      </c>
      <c r="J29" s="18" t="s">
        <v>568</v>
      </c>
      <c r="K29" s="20"/>
    </row>
    <row r="30" spans="1:11" ht="36.75" thickBot="1">
      <c r="A30" s="18" t="s">
        <v>1716</v>
      </c>
      <c r="B30" s="18">
        <v>20027977505</v>
      </c>
      <c r="C30" s="18" t="s">
        <v>1717</v>
      </c>
      <c r="D30" s="19">
        <v>45608.848611111112</v>
      </c>
      <c r="E30" s="19">
        <v>45701.40347222222</v>
      </c>
      <c r="F30" s="18">
        <v>5</v>
      </c>
      <c r="G30" s="19">
        <v>45716.370833333334</v>
      </c>
      <c r="H30" s="18" t="s">
        <v>236</v>
      </c>
      <c r="I30" s="18" t="s">
        <v>10</v>
      </c>
      <c r="J30" s="18" t="s">
        <v>568</v>
      </c>
      <c r="K30" s="20"/>
    </row>
    <row r="31" spans="1:11" ht="36.75" thickBot="1">
      <c r="A31" s="18" t="s">
        <v>2254</v>
      </c>
      <c r="B31" s="18">
        <v>20022899359</v>
      </c>
      <c r="C31" s="18" t="s">
        <v>2255</v>
      </c>
      <c r="D31" s="19">
        <v>45715.638888888891</v>
      </c>
      <c r="E31" s="18" t="s">
        <v>10</v>
      </c>
      <c r="F31" s="18">
        <v>15</v>
      </c>
      <c r="G31" s="18" t="s">
        <v>10</v>
      </c>
      <c r="H31" s="18" t="s">
        <v>178</v>
      </c>
      <c r="I31" s="18" t="s">
        <v>10</v>
      </c>
      <c r="J31" s="18" t="s">
        <v>568</v>
      </c>
      <c r="K31" s="20"/>
    </row>
    <row r="32" spans="1:11" ht="36.75" thickBot="1">
      <c r="A32" s="18" t="s">
        <v>2360</v>
      </c>
      <c r="B32" s="18">
        <v>20022899359</v>
      </c>
      <c r="C32" s="18" t="s">
        <v>2255</v>
      </c>
      <c r="D32" s="19">
        <v>45719.713194444441</v>
      </c>
      <c r="E32" s="18" t="s">
        <v>10</v>
      </c>
      <c r="F32" s="18">
        <v>15</v>
      </c>
      <c r="G32" s="18" t="s">
        <v>10</v>
      </c>
      <c r="H32" s="18" t="s">
        <v>178</v>
      </c>
      <c r="I32" s="18" t="s">
        <v>10</v>
      </c>
      <c r="J32" s="18" t="s">
        <v>568</v>
      </c>
      <c r="K32" s="20"/>
    </row>
    <row r="33" spans="1:11" ht="36.75" thickBot="1">
      <c r="A33" s="18" t="s">
        <v>2361</v>
      </c>
      <c r="B33" s="18">
        <v>20022899359</v>
      </c>
      <c r="C33" s="18" t="s">
        <v>2255</v>
      </c>
      <c r="D33" s="19">
        <v>45722.449305555558</v>
      </c>
      <c r="E33" s="19">
        <v>45722.589583333334</v>
      </c>
      <c r="F33" s="18">
        <v>15</v>
      </c>
      <c r="G33" s="19">
        <v>45729.583333333336</v>
      </c>
      <c r="H33" s="18" t="s">
        <v>236</v>
      </c>
      <c r="I33" s="18" t="s">
        <v>10</v>
      </c>
      <c r="J33" s="18" t="s">
        <v>568</v>
      </c>
      <c r="K33" s="20"/>
    </row>
    <row r="34" spans="1:11" ht="36.75" thickBot="1">
      <c r="A34" s="18" t="s">
        <v>2253</v>
      </c>
      <c r="B34" s="18">
        <v>20003121929</v>
      </c>
      <c r="C34" s="18" t="s">
        <v>1719</v>
      </c>
      <c r="D34" s="19">
        <v>45707.417361111111</v>
      </c>
      <c r="E34" s="19">
        <v>45727.62777777778</v>
      </c>
      <c r="F34" s="18">
        <v>5</v>
      </c>
      <c r="G34" s="19">
        <v>45729.553472222222</v>
      </c>
      <c r="H34" s="18" t="s">
        <v>236</v>
      </c>
      <c r="I34" s="18" t="s">
        <v>10</v>
      </c>
      <c r="J34" s="18" t="s">
        <v>568</v>
      </c>
      <c r="K34" s="20"/>
    </row>
    <row r="35" spans="1:11" ht="54.75" thickBot="1">
      <c r="A35" s="18" t="s">
        <v>2627</v>
      </c>
      <c r="B35" s="18">
        <v>20020552437</v>
      </c>
      <c r="C35" s="18" t="s">
        <v>2628</v>
      </c>
      <c r="D35" s="19">
        <v>45754.534722222219</v>
      </c>
      <c r="E35" s="18" t="s">
        <v>10</v>
      </c>
      <c r="F35" s="18">
        <v>5</v>
      </c>
      <c r="G35" s="18" t="s">
        <v>10</v>
      </c>
      <c r="H35" s="18" t="s">
        <v>178</v>
      </c>
      <c r="I35" s="18" t="s">
        <v>10</v>
      </c>
      <c r="J35" s="18" t="s">
        <v>786</v>
      </c>
      <c r="K35" s="20"/>
    </row>
    <row r="36" spans="1:11" ht="36.75" thickBot="1">
      <c r="A36" s="18" t="s">
        <v>2629</v>
      </c>
      <c r="B36" s="18">
        <v>20027903203</v>
      </c>
      <c r="C36" s="18" t="s">
        <v>2630</v>
      </c>
      <c r="D36" s="19">
        <v>45756.572222222225</v>
      </c>
      <c r="E36" s="18" t="s">
        <v>10</v>
      </c>
      <c r="F36" s="18">
        <v>5</v>
      </c>
      <c r="G36" s="18" t="s">
        <v>10</v>
      </c>
      <c r="H36" s="18" t="s">
        <v>178</v>
      </c>
      <c r="I36" s="18" t="s">
        <v>10</v>
      </c>
      <c r="J36" s="18" t="s">
        <v>571</v>
      </c>
      <c r="K36" s="20"/>
    </row>
    <row r="37" spans="1:11" ht="54.75" thickBot="1">
      <c r="A37" s="18" t="s">
        <v>2883</v>
      </c>
      <c r="B37" s="18">
        <v>20020552437</v>
      </c>
      <c r="C37" s="18" t="s">
        <v>2884</v>
      </c>
      <c r="D37" s="19">
        <v>45779.634722222225</v>
      </c>
      <c r="E37" s="18" t="s">
        <v>10</v>
      </c>
      <c r="F37" s="18">
        <v>5</v>
      </c>
      <c r="G37" s="18" t="s">
        <v>10</v>
      </c>
      <c r="H37" s="18" t="s">
        <v>178</v>
      </c>
      <c r="I37" s="18" t="s">
        <v>10</v>
      </c>
      <c r="J37" s="18" t="s">
        <v>786</v>
      </c>
      <c r="K37" s="20"/>
    </row>
    <row r="38" spans="1:11" ht="54.75" thickBot="1">
      <c r="A38" s="18" t="s">
        <v>2885</v>
      </c>
      <c r="B38" s="18">
        <v>20020552437</v>
      </c>
      <c r="C38" s="18" t="s">
        <v>2628</v>
      </c>
      <c r="D38" s="19">
        <v>45813.600694444445</v>
      </c>
      <c r="E38" s="18" t="s">
        <v>10</v>
      </c>
      <c r="F38" s="18">
        <v>5</v>
      </c>
      <c r="G38" s="18" t="s">
        <v>10</v>
      </c>
      <c r="H38" s="18" t="s">
        <v>178</v>
      </c>
      <c r="I38" s="18" t="s">
        <v>10</v>
      </c>
      <c r="J38" s="18" t="s">
        <v>786</v>
      </c>
      <c r="K38" s="20"/>
    </row>
    <row r="39" spans="1:11" ht="36.75" thickBot="1">
      <c r="A39" s="18" t="s">
        <v>2886</v>
      </c>
      <c r="B39" s="18">
        <v>20027903203</v>
      </c>
      <c r="C39" s="18" t="s">
        <v>2887</v>
      </c>
      <c r="D39" s="19">
        <v>45817.568749999999</v>
      </c>
      <c r="E39" s="18" t="s">
        <v>10</v>
      </c>
      <c r="F39" s="18">
        <v>5</v>
      </c>
      <c r="G39" s="18" t="s">
        <v>10</v>
      </c>
      <c r="H39" s="18" t="s">
        <v>178</v>
      </c>
      <c r="I39" s="18" t="s">
        <v>10</v>
      </c>
      <c r="J39" s="18" t="s">
        <v>571</v>
      </c>
      <c r="K39" s="20"/>
    </row>
    <row r="40" spans="1:11" ht="36.75" thickBot="1">
      <c r="A40" s="18" t="s">
        <v>2888</v>
      </c>
      <c r="B40" s="18">
        <v>20003154525</v>
      </c>
      <c r="C40" s="18" t="s">
        <v>2889</v>
      </c>
      <c r="D40" s="19">
        <v>45813.615972222222</v>
      </c>
      <c r="E40" s="19">
        <v>45818.559027777781</v>
      </c>
      <c r="F40" s="18">
        <v>3</v>
      </c>
      <c r="G40" s="18" t="s">
        <v>10</v>
      </c>
      <c r="H40" s="18" t="s">
        <v>178</v>
      </c>
      <c r="I40" s="18" t="s">
        <v>10</v>
      </c>
      <c r="J40" s="18" t="s">
        <v>786</v>
      </c>
      <c r="K40" s="20"/>
    </row>
    <row r="41" spans="1:11" ht="36.75" thickBot="1">
      <c r="A41" s="18" t="s">
        <v>2890</v>
      </c>
      <c r="B41" s="18">
        <v>20003154525</v>
      </c>
      <c r="C41" s="18" t="s">
        <v>2889</v>
      </c>
      <c r="D41" s="19">
        <v>45818.600694444445</v>
      </c>
      <c r="E41" s="18" t="s">
        <v>10</v>
      </c>
      <c r="F41" s="18">
        <v>3</v>
      </c>
      <c r="G41" s="18" t="s">
        <v>10</v>
      </c>
      <c r="H41" s="18" t="s">
        <v>178</v>
      </c>
      <c r="I41" s="18" t="s">
        <v>10</v>
      </c>
      <c r="J41" s="18" t="s">
        <v>786</v>
      </c>
      <c r="K41" s="20"/>
    </row>
    <row r="42" spans="1:11" ht="36.75" thickBot="1">
      <c r="A42" s="18" t="s">
        <v>2891</v>
      </c>
      <c r="B42" s="18">
        <v>20027903203</v>
      </c>
      <c r="C42" s="18" t="s">
        <v>2892</v>
      </c>
      <c r="D42" s="19">
        <v>45820.604166666664</v>
      </c>
      <c r="E42" s="18" t="s">
        <v>10</v>
      </c>
      <c r="F42" s="18">
        <v>5</v>
      </c>
      <c r="G42" s="18" t="s">
        <v>10</v>
      </c>
      <c r="H42" s="18" t="s">
        <v>178</v>
      </c>
      <c r="I42" s="18" t="s">
        <v>10</v>
      </c>
      <c r="J42" s="18" t="s">
        <v>571</v>
      </c>
      <c r="K42" s="20"/>
    </row>
    <row r="43" spans="1:11" ht="54.75" thickBot="1">
      <c r="A43" s="18" t="s">
        <v>2893</v>
      </c>
      <c r="B43" s="18">
        <v>20020552437</v>
      </c>
      <c r="C43" s="18" t="s">
        <v>2628</v>
      </c>
      <c r="D43" s="19">
        <v>45821.517361111109</v>
      </c>
      <c r="E43" s="18" t="s">
        <v>10</v>
      </c>
      <c r="F43" s="18">
        <v>5</v>
      </c>
      <c r="G43" s="18" t="s">
        <v>10</v>
      </c>
      <c r="H43" s="18" t="s">
        <v>178</v>
      </c>
      <c r="I43" s="18" t="s">
        <v>10</v>
      </c>
      <c r="J43" s="18" t="s">
        <v>786</v>
      </c>
      <c r="K43" s="20"/>
    </row>
    <row r="44" spans="1:11" ht="54.75" thickBot="1">
      <c r="A44" s="18" t="s">
        <v>2894</v>
      </c>
      <c r="B44" s="18">
        <v>20020552437</v>
      </c>
      <c r="C44" s="18" t="s">
        <v>2628</v>
      </c>
      <c r="D44" s="19">
        <v>45821.583333333336</v>
      </c>
      <c r="E44" s="18" t="s">
        <v>10</v>
      </c>
      <c r="F44" s="18">
        <v>5</v>
      </c>
      <c r="G44" s="19">
        <v>45824.440972222219</v>
      </c>
      <c r="H44" s="18" t="s">
        <v>236</v>
      </c>
      <c r="I44" s="18" t="s">
        <v>10</v>
      </c>
      <c r="J44" s="18" t="s">
        <v>786</v>
      </c>
      <c r="K44" s="20"/>
    </row>
    <row r="45" spans="1:11" ht="36.75" thickBot="1">
      <c r="A45" s="18" t="s">
        <v>2895</v>
      </c>
      <c r="B45" s="18">
        <v>20003154525</v>
      </c>
      <c r="C45" s="18" t="s">
        <v>2889</v>
      </c>
      <c r="D45" s="19">
        <v>45821.602777777778</v>
      </c>
      <c r="E45" s="18" t="s">
        <v>10</v>
      </c>
      <c r="F45" s="18">
        <v>3</v>
      </c>
      <c r="G45" s="19">
        <v>45824.440972222219</v>
      </c>
      <c r="H45" s="18" t="s">
        <v>236</v>
      </c>
      <c r="I45" s="18" t="s">
        <v>10</v>
      </c>
      <c r="J45" s="18" t="s">
        <v>786</v>
      </c>
      <c r="K45" s="20"/>
    </row>
    <row r="46" spans="1:11" ht="36.75" thickBot="1">
      <c r="A46" s="18" t="s">
        <v>2896</v>
      </c>
      <c r="B46" s="18">
        <v>20028645946</v>
      </c>
      <c r="C46" s="18" t="s">
        <v>2897</v>
      </c>
      <c r="D46" s="19">
        <v>45821.658333333333</v>
      </c>
      <c r="E46" s="18" t="s">
        <v>10</v>
      </c>
      <c r="F46" s="18">
        <v>3</v>
      </c>
      <c r="G46" s="19">
        <v>45822.777777777781</v>
      </c>
      <c r="H46" s="18" t="s">
        <v>236</v>
      </c>
      <c r="I46" s="18" t="s">
        <v>10</v>
      </c>
      <c r="J46" s="18" t="s">
        <v>786</v>
      </c>
      <c r="K46" s="20"/>
    </row>
    <row r="47" spans="1:11" ht="36.75" thickBot="1">
      <c r="A47" s="18" t="s">
        <v>3819</v>
      </c>
      <c r="B47" s="18">
        <v>20028158886</v>
      </c>
      <c r="C47" s="18" t="s">
        <v>3820</v>
      </c>
      <c r="D47" s="19">
        <v>45840.693749999999</v>
      </c>
      <c r="E47" s="18" t="s">
        <v>10</v>
      </c>
      <c r="F47" s="18">
        <v>3</v>
      </c>
      <c r="G47" s="18" t="s">
        <v>10</v>
      </c>
      <c r="H47" s="18" t="s">
        <v>178</v>
      </c>
      <c r="I47" s="18" t="s">
        <v>10</v>
      </c>
      <c r="J47" s="18" t="s">
        <v>786</v>
      </c>
      <c r="K47" s="20"/>
    </row>
    <row r="48" spans="1:11" ht="54.75" thickBot="1">
      <c r="A48" s="18" t="s">
        <v>3821</v>
      </c>
      <c r="B48" s="18">
        <v>20020301586</v>
      </c>
      <c r="C48" s="18" t="s">
        <v>3822</v>
      </c>
      <c r="D48" s="19">
        <v>45845.395833333336</v>
      </c>
      <c r="E48" s="18" t="s">
        <v>10</v>
      </c>
      <c r="F48" s="18">
        <v>10</v>
      </c>
      <c r="G48" s="18" t="s">
        <v>10</v>
      </c>
      <c r="H48" s="18" t="s">
        <v>178</v>
      </c>
      <c r="I48" s="18" t="s">
        <v>10</v>
      </c>
      <c r="J48" s="18" t="s">
        <v>571</v>
      </c>
      <c r="K48" s="20"/>
    </row>
    <row r="49" spans="1:11" ht="54.75" thickBot="1">
      <c r="A49" s="18" t="s">
        <v>3823</v>
      </c>
      <c r="B49" s="18">
        <v>20020301586</v>
      </c>
      <c r="C49" s="18" t="s">
        <v>3822</v>
      </c>
      <c r="D49" s="19">
        <v>45873.585416666669</v>
      </c>
      <c r="E49" s="18" t="s">
        <v>10</v>
      </c>
      <c r="F49" s="18">
        <v>10</v>
      </c>
      <c r="G49" s="18" t="s">
        <v>10</v>
      </c>
      <c r="H49" s="18" t="s">
        <v>178</v>
      </c>
      <c r="I49" s="18" t="s">
        <v>10</v>
      </c>
      <c r="J49" s="18" t="s">
        <v>571</v>
      </c>
      <c r="K49" s="20"/>
    </row>
    <row r="50" spans="1:11" ht="54.75" thickBot="1">
      <c r="A50" s="18" t="s">
        <v>3824</v>
      </c>
      <c r="B50" s="18">
        <v>20020301586</v>
      </c>
      <c r="C50" s="18" t="s">
        <v>3822</v>
      </c>
      <c r="D50" s="19">
        <v>45887.609027777777</v>
      </c>
      <c r="E50" s="18" t="s">
        <v>10</v>
      </c>
      <c r="F50" s="18">
        <v>10</v>
      </c>
      <c r="G50" s="19">
        <v>45903.418749999997</v>
      </c>
      <c r="H50" s="18" t="s">
        <v>236</v>
      </c>
      <c r="I50" s="18" t="s">
        <v>10</v>
      </c>
      <c r="J50" s="18" t="s">
        <v>571</v>
      </c>
      <c r="K50" s="20"/>
    </row>
    <row r="51" spans="1:11" ht="36.75" thickBot="1">
      <c r="A51" s="18" t="s">
        <v>3825</v>
      </c>
      <c r="B51" s="18">
        <v>20018923984</v>
      </c>
      <c r="C51" s="18" t="s">
        <v>3826</v>
      </c>
      <c r="D51" s="19">
        <v>45912.605555555558</v>
      </c>
      <c r="E51" s="19">
        <v>45931.45416666667</v>
      </c>
      <c r="F51" s="18">
        <v>5</v>
      </c>
      <c r="G51" s="19">
        <v>45939.613888888889</v>
      </c>
      <c r="H51" s="18" t="s">
        <v>236</v>
      </c>
      <c r="I51" s="18" t="s">
        <v>10</v>
      </c>
      <c r="J51" s="18" t="s">
        <v>786</v>
      </c>
      <c r="K51" s="20"/>
    </row>
    <row r="52" spans="1:11" ht="36.75" thickBot="1">
      <c r="A52" s="18" t="s">
        <v>3827</v>
      </c>
      <c r="B52" s="18">
        <v>20020801148</v>
      </c>
      <c r="C52" s="18" t="s">
        <v>3828</v>
      </c>
      <c r="D52" s="19">
        <v>45883.388194444444</v>
      </c>
      <c r="E52" s="19">
        <v>45937.529861111114</v>
      </c>
      <c r="F52" s="18">
        <v>4</v>
      </c>
      <c r="G52" s="19">
        <v>45960.654861111114</v>
      </c>
      <c r="H52" s="18" t="s">
        <v>2654</v>
      </c>
      <c r="I52" s="18" t="s">
        <v>10</v>
      </c>
      <c r="J52" s="18" t="s">
        <v>571</v>
      </c>
      <c r="K52" s="20"/>
    </row>
    <row r="53" spans="1:11" ht="36.75" thickBot="1">
      <c r="A53" s="18" t="s">
        <v>3829</v>
      </c>
      <c r="B53" s="18">
        <v>20027903203</v>
      </c>
      <c r="C53" s="18" t="s">
        <v>3830</v>
      </c>
      <c r="D53" s="19">
        <v>45899.571527777778</v>
      </c>
      <c r="E53" s="19">
        <v>45955.474999999999</v>
      </c>
      <c r="F53" s="18">
        <v>5</v>
      </c>
      <c r="G53" s="19">
        <v>45961.644444444442</v>
      </c>
      <c r="H53" s="18" t="s">
        <v>2688</v>
      </c>
      <c r="I53" s="18" t="s">
        <v>10</v>
      </c>
      <c r="J53" s="18" t="s">
        <v>571</v>
      </c>
      <c r="K53" s="20"/>
    </row>
    <row r="54" spans="1:11" ht="36.75" thickBot="1">
      <c r="A54" s="18" t="s">
        <v>3831</v>
      </c>
      <c r="B54" s="18">
        <v>20003470796</v>
      </c>
      <c r="C54" s="18" t="s">
        <v>3832</v>
      </c>
      <c r="D54" s="19">
        <v>45957.836111111108</v>
      </c>
      <c r="E54" s="18" t="s">
        <v>10</v>
      </c>
      <c r="F54" s="18">
        <v>10</v>
      </c>
      <c r="G54" s="18" t="s">
        <v>10</v>
      </c>
      <c r="H54" s="18" t="s">
        <v>178</v>
      </c>
      <c r="I54" s="18" t="s">
        <v>10</v>
      </c>
      <c r="J54" s="18" t="s">
        <v>786</v>
      </c>
      <c r="K54" s="20"/>
    </row>
    <row r="55" spans="1:11" ht="36.75" thickBot="1">
      <c r="A55" s="21" t="s">
        <v>3833</v>
      </c>
      <c r="B55" s="21">
        <v>20003353949</v>
      </c>
      <c r="C55" s="21" t="s">
        <v>3834</v>
      </c>
      <c r="D55" s="22">
        <v>45940.762499999997</v>
      </c>
      <c r="E55" s="22">
        <v>45958.42083333333</v>
      </c>
      <c r="F55" s="21">
        <v>10</v>
      </c>
      <c r="G55" s="22">
        <v>45961.473611111112</v>
      </c>
      <c r="H55" s="21" t="s">
        <v>236</v>
      </c>
      <c r="I55" s="21" t="s">
        <v>10</v>
      </c>
      <c r="J55" s="21" t="s">
        <v>786</v>
      </c>
      <c r="K55" s="20"/>
    </row>
    <row r="56" spans="1:11" ht="36.75" thickBot="1">
      <c r="A56" s="18" t="s">
        <v>7947</v>
      </c>
      <c r="B56" s="18">
        <v>20020982487</v>
      </c>
      <c r="C56" s="18" t="s">
        <v>7948</v>
      </c>
      <c r="D56" s="19">
        <v>45990.584027777775</v>
      </c>
      <c r="E56" s="18" t="s">
        <v>10</v>
      </c>
      <c r="F56" s="18">
        <v>10</v>
      </c>
      <c r="G56" s="18" t="s">
        <v>10</v>
      </c>
      <c r="H56" s="18" t="s">
        <v>2656</v>
      </c>
      <c r="I56" s="18" t="s">
        <v>10</v>
      </c>
      <c r="J56" s="18" t="s">
        <v>568</v>
      </c>
      <c r="K56" s="20"/>
    </row>
    <row r="57" spans="1:11" ht="18.75" thickBot="1">
      <c r="A57" s="18"/>
      <c r="B57" s="18"/>
      <c r="C57" s="18"/>
      <c r="D57" s="19"/>
      <c r="E57" s="19"/>
      <c r="F57" s="18"/>
      <c r="G57" s="19"/>
      <c r="H57" s="18"/>
      <c r="I57" s="18"/>
      <c r="J57" s="18"/>
    </row>
    <row r="58" spans="1:11" ht="18.75" thickBot="1">
      <c r="A58" s="18"/>
      <c r="B58" s="18"/>
      <c r="C58" s="18"/>
      <c r="D58" s="19"/>
      <c r="E58" s="18"/>
      <c r="F58" s="18"/>
      <c r="G58" s="18"/>
      <c r="H58" s="18"/>
      <c r="I58" s="18"/>
      <c r="J58" s="18"/>
    </row>
    <row r="59" spans="1:11" ht="18.75" thickBot="1">
      <c r="A59" s="18"/>
      <c r="B59" s="18"/>
      <c r="C59" s="18"/>
      <c r="D59" s="19"/>
      <c r="E59" s="18"/>
      <c r="F59" s="18"/>
      <c r="G59" s="18"/>
      <c r="H59" s="18"/>
      <c r="I59" s="18"/>
      <c r="J59" s="18"/>
    </row>
    <row r="60" spans="1:11" ht="18.75" thickBot="1">
      <c r="A60" s="18"/>
      <c r="B60" s="18"/>
      <c r="C60" s="18"/>
      <c r="D60" s="19"/>
      <c r="E60" s="19"/>
      <c r="F60" s="18"/>
      <c r="G60" s="19"/>
      <c r="H60" s="18"/>
      <c r="I60" s="18"/>
      <c r="J60" s="18"/>
    </row>
    <row r="61" spans="1:11" ht="18.75" thickBot="1">
      <c r="A61" s="18"/>
      <c r="B61" s="18"/>
      <c r="C61" s="18"/>
      <c r="D61" s="19"/>
      <c r="E61" s="18"/>
      <c r="F61" s="18"/>
      <c r="G61" s="19"/>
      <c r="H61" s="18"/>
      <c r="I61" s="18"/>
      <c r="J61" s="18"/>
    </row>
    <row r="62" spans="1:11" ht="18.75" thickBot="1">
      <c r="A62" s="18"/>
      <c r="B62" s="18"/>
      <c r="C62" s="18"/>
      <c r="D62" s="19"/>
      <c r="E62" s="18"/>
      <c r="F62" s="18"/>
      <c r="G62" s="18"/>
      <c r="H62" s="18"/>
      <c r="I62" s="18"/>
      <c r="J62" s="18"/>
    </row>
    <row r="63" spans="1:11" ht="18.75" thickBot="1">
      <c r="A63" s="18"/>
      <c r="B63" s="18"/>
      <c r="C63" s="18"/>
      <c r="D63" s="19"/>
      <c r="E63" s="18"/>
      <c r="F63" s="18"/>
      <c r="G63" s="19"/>
      <c r="H63" s="18"/>
      <c r="I63" s="18"/>
      <c r="J63" s="18"/>
    </row>
    <row r="64" spans="1:11" ht="18.75" thickBot="1">
      <c r="A64" s="18"/>
      <c r="B64" s="18"/>
      <c r="C64" s="18"/>
      <c r="D64" s="19"/>
      <c r="E64" s="19"/>
      <c r="F64" s="18"/>
      <c r="G64" s="19"/>
      <c r="H64" s="18"/>
      <c r="I64" s="18"/>
      <c r="J64" s="18"/>
    </row>
    <row r="65" spans="1:10" ht="18.75" thickBot="1">
      <c r="A65" s="18"/>
      <c r="B65" s="18"/>
      <c r="C65" s="18"/>
      <c r="D65" s="19"/>
      <c r="E65" s="19"/>
      <c r="F65" s="18"/>
      <c r="G65" s="19"/>
      <c r="H65" s="18"/>
      <c r="I65" s="18"/>
      <c r="J65" s="18"/>
    </row>
    <row r="66" spans="1:10" ht="18.75" thickBot="1">
      <c r="A66" s="18"/>
      <c r="B66" s="18"/>
      <c r="C66" s="18"/>
      <c r="D66" s="19"/>
      <c r="E66" s="18"/>
      <c r="F66" s="18"/>
      <c r="G66" s="19"/>
      <c r="H66" s="18"/>
      <c r="I66" s="18"/>
      <c r="J66" s="18"/>
    </row>
    <row r="67" spans="1:10" ht="18.75" thickBot="1">
      <c r="A67" s="18"/>
      <c r="B67" s="18"/>
      <c r="C67" s="18"/>
      <c r="D67" s="19"/>
      <c r="E67" s="19"/>
      <c r="F67" s="18"/>
      <c r="G67" s="18"/>
      <c r="H67" s="18"/>
      <c r="I67" s="18"/>
      <c r="J67" s="18"/>
    </row>
    <row r="68" spans="1:10" ht="18.75" thickBot="1">
      <c r="A68" s="18"/>
      <c r="B68" s="18"/>
      <c r="C68" s="18"/>
      <c r="D68" s="19"/>
      <c r="E68" s="19"/>
      <c r="F68" s="18"/>
      <c r="G68" s="19"/>
      <c r="H68" s="18"/>
      <c r="I68" s="18"/>
      <c r="J68" s="18"/>
    </row>
    <row r="69" spans="1:10" ht="18.75" thickBot="1">
      <c r="A69" s="18"/>
      <c r="B69" s="18"/>
      <c r="C69" s="18"/>
      <c r="D69" s="19"/>
      <c r="E69" s="18"/>
      <c r="F69" s="18"/>
      <c r="G69" s="18"/>
      <c r="H69" s="18"/>
      <c r="I69" s="18"/>
      <c r="J69" s="18"/>
    </row>
    <row r="70" spans="1:10" ht="18.75" thickBot="1">
      <c r="A70" s="18"/>
      <c r="B70" s="18"/>
      <c r="C70" s="18"/>
      <c r="D70" s="19"/>
      <c r="E70" s="19"/>
      <c r="F70" s="18"/>
      <c r="G70" s="19"/>
      <c r="H70" s="18"/>
      <c r="I70" s="18"/>
      <c r="J70" s="18"/>
    </row>
    <row r="71" spans="1:10" ht="18.75" thickBot="1">
      <c r="A71" s="18"/>
      <c r="B71" s="18"/>
      <c r="C71" s="18"/>
      <c r="D71" s="19"/>
      <c r="E71" s="19"/>
      <c r="F71" s="18"/>
      <c r="G71" s="19"/>
      <c r="H71" s="18"/>
      <c r="I71" s="18"/>
      <c r="J71" s="18"/>
    </row>
    <row r="72" spans="1:10" ht="18.75" thickBot="1">
      <c r="A72" s="18"/>
      <c r="B72" s="18"/>
      <c r="C72" s="18"/>
      <c r="D72" s="19"/>
      <c r="E72" s="18"/>
      <c r="F72" s="18"/>
      <c r="G72" s="18"/>
      <c r="H72" s="18"/>
      <c r="I72" s="18"/>
      <c r="J72" s="18"/>
    </row>
    <row r="73" spans="1:10" ht="18.75" thickBot="1">
      <c r="A73" s="18"/>
      <c r="B73" s="18"/>
      <c r="C73" s="18"/>
      <c r="D73" s="19"/>
      <c r="E73" s="18"/>
      <c r="F73" s="18"/>
      <c r="G73" s="18"/>
      <c r="H73" s="18"/>
      <c r="I73" s="18"/>
      <c r="J73" s="18"/>
    </row>
    <row r="74" spans="1:10" ht="18.75" thickBot="1">
      <c r="A74" s="18"/>
      <c r="B74" s="18"/>
      <c r="C74" s="18"/>
      <c r="D74" s="19"/>
      <c r="E74" s="18"/>
      <c r="F74" s="18"/>
      <c r="G74" s="18"/>
      <c r="H74" s="18"/>
      <c r="I74" s="18"/>
      <c r="J74" s="18"/>
    </row>
    <row r="75" spans="1:10" ht="18.75" thickBot="1">
      <c r="A75" s="18"/>
      <c r="B75" s="18"/>
      <c r="C75" s="18"/>
      <c r="D75" s="19"/>
      <c r="E75" s="18"/>
      <c r="F75" s="18"/>
      <c r="G75" s="19"/>
      <c r="H75" s="18"/>
      <c r="I75" s="18"/>
      <c r="J75" s="18"/>
    </row>
    <row r="76" spans="1:10" ht="18.75" thickBot="1">
      <c r="A76" s="18"/>
      <c r="B76" s="18"/>
      <c r="C76" s="18"/>
      <c r="D76" s="19"/>
      <c r="E76" s="19"/>
      <c r="F76" s="18"/>
      <c r="G76" s="19"/>
      <c r="H76" s="18"/>
      <c r="I76" s="18"/>
      <c r="J76" s="18"/>
    </row>
    <row r="77" spans="1:10" ht="18.75" thickBot="1">
      <c r="A77" s="18"/>
      <c r="B77" s="18"/>
      <c r="C77" s="18"/>
      <c r="D77" s="19"/>
      <c r="E77" s="18"/>
      <c r="F77" s="18"/>
      <c r="G77" s="19"/>
      <c r="H77" s="18"/>
      <c r="I77" s="18"/>
      <c r="J77" s="18"/>
    </row>
    <row r="78" spans="1:10" ht="18.75" thickBot="1">
      <c r="A78" s="18"/>
      <c r="B78" s="18"/>
      <c r="C78" s="18"/>
      <c r="D78" s="19"/>
      <c r="E78" s="19"/>
      <c r="F78" s="18"/>
      <c r="G78" s="19"/>
      <c r="H78" s="18"/>
      <c r="I78" s="18"/>
      <c r="J78" s="18"/>
    </row>
    <row r="79" spans="1:10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0" ht="18.75" thickBot="1">
      <c r="A80" s="18"/>
      <c r="B80" s="18"/>
      <c r="C80" s="18"/>
      <c r="D80" s="19"/>
      <c r="E80" s="18"/>
      <c r="F80" s="18"/>
      <c r="G80" s="19"/>
      <c r="H80" s="18"/>
      <c r="I80" s="18"/>
      <c r="J80" s="18"/>
    </row>
    <row r="81" spans="1:10" ht="18.75" thickBot="1">
      <c r="A81" s="18"/>
      <c r="B81" s="18"/>
      <c r="C81" s="18"/>
      <c r="D81" s="19"/>
      <c r="E81" s="19"/>
      <c r="F81" s="18"/>
      <c r="G81" s="18"/>
      <c r="H81" s="18"/>
      <c r="I81" s="18"/>
      <c r="J81" s="18"/>
    </row>
    <row r="82" spans="1:10" ht="18.75" thickBot="1">
      <c r="A82" s="18"/>
      <c r="B82" s="18"/>
      <c r="C82" s="18"/>
      <c r="D82" s="19"/>
      <c r="E82" s="18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9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8"/>
      <c r="H85" s="18"/>
      <c r="I85" s="18"/>
      <c r="J85" s="18"/>
    </row>
    <row r="86" spans="1:10" ht="18.75" thickBot="1">
      <c r="A86" s="18"/>
      <c r="B86" s="18"/>
      <c r="C86" s="18"/>
      <c r="D86" s="19"/>
      <c r="E86" s="19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8"/>
      <c r="F88" s="18"/>
      <c r="G88" s="19"/>
      <c r="H88" s="18"/>
      <c r="I88" s="18"/>
      <c r="J88" s="18"/>
    </row>
    <row r="89" spans="1:10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9" priority="1"/>
  </conditionalFormatting>
  <hyperlinks>
    <hyperlink ref="K3" r:id="rId1" display="https://ppim-intra.pea.co.th:4434/request/PPIM185017FA" xr:uid="{54D6FDB5-041D-4E70-B208-A4B3BBA80AEC}"/>
    <hyperlink ref="K4" r:id="rId2" display="https://ppim-intra.pea.co.th:4434/request/PPIM18501560" xr:uid="{7CDC1977-40B7-4F69-8032-D4237040F818}"/>
    <hyperlink ref="K5" r:id="rId3" display="https://ppim-intra.pea.co.th:4434/request/PPIM18502099" xr:uid="{C9EB3FCB-065A-4EF7-862C-A476940851A1}"/>
    <hyperlink ref="K6" r:id="rId4" display="https://ppim-intra.pea.co.th:4434/request/PPIM1850209C" xr:uid="{0E7D5769-3647-472B-B743-BCAC7C37CC8A}"/>
    <hyperlink ref="K7" r:id="rId5" display="https://ppim-intra.pea.co.th:4434/request/PPIM1850217B" xr:uid="{9D69F827-D00C-4427-861C-9E37FE88FE25}"/>
    <hyperlink ref="K8" r:id="rId6" display="https://ppim-intra.pea.co.th:4434/request/PPIM18502287" xr:uid="{A2EC5DA1-E1B6-4DED-90BF-02ABED7A06BD}"/>
    <hyperlink ref="K9" r:id="rId7" display="https://ppim-intra.pea.co.th:4434/request/PPIM1850228B" xr:uid="{7DEF40A2-7F98-42AB-81BB-E14508D26937}"/>
    <hyperlink ref="K10" r:id="rId8" display="https://ppim-intra.pea.co.th:4434/request/PPIM1850228D" xr:uid="{675092EF-EB63-4A9D-8623-E1E2AB3199B2}"/>
    <hyperlink ref="K11" r:id="rId9" display="https://ppim-intra.pea.co.th:4434/request/PPIM18502580" xr:uid="{7E5CE60D-A87D-40A4-AE7E-55820016032B}"/>
    <hyperlink ref="K12" r:id="rId10" display="https://ppim-intra.pea.co.th:4434/request/PPIM1850259E" xr:uid="{4456E30D-A649-434C-8B25-9D2801C02736}"/>
    <hyperlink ref="K13" r:id="rId11" display="https://ppim-intra.pea.co.th:4434/request/PPIM185025A1" xr:uid="{54C12DFE-43C2-409E-951E-C009B8DBDCC6}"/>
    <hyperlink ref="K14" r:id="rId12" display="https://ppim-intra.pea.co.th:4434/request/PPIM185025EF" xr:uid="{AC050770-3151-401E-A2FD-1D69E2B13390}"/>
    <hyperlink ref="K15" r:id="rId13" display="https://ppim-intra.pea.co.th:4434/request/PPIM18502808" xr:uid="{2A28C830-6903-487C-9AFD-893CE9C173F9}"/>
    <hyperlink ref="K16" r:id="rId14" display="https://ppim-intra.pea.co.th:4434/request/PPIM18502A1F" xr:uid="{0EBABD73-3319-49C9-9E0D-9CFB3AF33AE6}"/>
    <hyperlink ref="K17" r:id="rId15" display="https://ppim-intra.pea.co.th:4434/request/PPIM18502A7C" xr:uid="{D3F3878D-732A-4BBB-921B-36BA7D138590}"/>
    <hyperlink ref="K18" r:id="rId16" display="https://ppim-intra.pea.co.th:4434/request/PPIM18502AC1" xr:uid="{6C59F467-44B1-432B-A351-855C49FAE445}"/>
    <hyperlink ref="K19" r:id="rId17" display="https://ppim-intra.pea.co.th:4434/request/PPIM1850316A" xr:uid="{4897F63A-BBA0-48AD-8CFE-7CB345241598}"/>
    <hyperlink ref="K20" r:id="rId18" display="https://ppim-intra.pea.co.th:4434/request/PPIM185033C6" xr:uid="{155A0877-3694-445B-B3CA-14DD59F04062}"/>
    <hyperlink ref="K21" r:id="rId19" display="https://ppim-intra.pea.co.th:4434/request/PPIM18503445" xr:uid="{7035EC05-4119-4284-83C0-E5467FE4A329}"/>
    <hyperlink ref="K22" r:id="rId20" display="https://ppim-intra.pea.co.th:4434/request/PPIM18504245" xr:uid="{8570838C-2490-4FD4-81F5-35B5DCBBBECF}"/>
    <hyperlink ref="K23" r:id="rId21" display="https://ppim-intra.pea.co.th:4434/request/PPIM1850428E" xr:uid="{9095568D-2AB8-498A-972F-1E638FB00DCF}"/>
    <hyperlink ref="K24" r:id="rId22" display="https://ppim-intra.pea.co.th:4434/request/PPIM185044D2" xr:uid="{1B3EA2A2-EE39-4F49-8C3E-750847D75C68}"/>
    <hyperlink ref="K25" r:id="rId23" display="https://ppim-intra.pea.co.th:4434/request/PPIM185046D8" xr:uid="{2A99E006-D979-43F2-A6E8-2FB0B1FC4E04}"/>
    <hyperlink ref="K26" r:id="rId24" display="https://ppim-intra.pea.co.th:4434/request/PPIM18503BE1" xr:uid="{3C74C334-4B85-4847-913B-B4B3EA853F8B}"/>
    <hyperlink ref="K27" r:id="rId25" display="https://ppim-intra.pea.co.th:4434/request/PPIM18503DA0" xr:uid="{ABF59D7C-C115-411F-B81D-84FEE5DB01EF}"/>
    <hyperlink ref="K28" r:id="rId26" display="https://ppim-intra.pea.co.th:4434/request/PPIM1850485F" xr:uid="{A615C2AC-D1E1-439D-AAA9-8904ED91A3ED}"/>
    <hyperlink ref="K29" r:id="rId27" display="https://ppim-intra.pea.co.th:4434/request/PPIM19500357" xr:uid="{DF3A291A-6436-4FBA-A88B-A059E666D577}"/>
    <hyperlink ref="K30" r:id="rId28" display="https://ppim-intra.pea.co.th:4434/request/PPIM18503F93" xr:uid="{A6B96036-A0AF-405F-878E-6E18D32F7923}"/>
    <hyperlink ref="K31" r:id="rId29" display="https://ppim-intra.pea.co.th:4434/request/PPIM19500E4E" xr:uid="{7493B0A2-832C-4AB2-8683-09C5D7E2C78B}"/>
    <hyperlink ref="K32" r:id="rId30" display="https://ppim-intra.pea.co.th:4434/request/PPIM19500F62" xr:uid="{A21311B9-8D5A-4858-AB98-24E994603516}"/>
    <hyperlink ref="K33" r:id="rId31" display="https://ppim-intra.pea.co.th:4434/request/PPIM19501098" xr:uid="{74748B3C-DD40-4F4C-9778-E6F73D2DCFD3}"/>
    <hyperlink ref="K34" r:id="rId32" display="https://ppim-intra.pea.co.th:4434/request/PPIM19500BE8" xr:uid="{BACC1ABC-77B9-4F46-B6B9-BD8245118ABD}"/>
    <hyperlink ref="K35" r:id="rId33" display="https://ppim-intra.pea.co.th:4434/request/PPIM19501A80" xr:uid="{21049798-140F-46AA-9943-6E3D123A01BA}"/>
    <hyperlink ref="K36" r:id="rId34" display="https://ppim-intra.pea.co.th:4434/request/PPIM19501B24" xr:uid="{25590744-2D22-49B0-B5EF-F7DA000B29F1}"/>
    <hyperlink ref="K37" r:id="rId35" display="https://ppim-intra.pea.co.th:4434/request/PPIM19502075" xr:uid="{F58A96B2-F78F-4CDC-AD9A-DABE70C7E85D}"/>
    <hyperlink ref="K38" r:id="rId36" display="https://ppim-intra.pea.co.th:4434/request/PPIM19502A32" xr:uid="{8CAC9483-8F1B-4CF4-83D7-1A46EE9198B8}"/>
    <hyperlink ref="K39" r:id="rId37" display="https://ppim-intra.pea.co.th:4434/request/PPIM19502B2B" xr:uid="{E218183F-7E94-44A9-9885-7A2752EBC1C8}"/>
    <hyperlink ref="K40" r:id="rId38" display="https://ppim-intra.pea.co.th:4434/request/PPIM19502A37" xr:uid="{8D099903-F561-4241-9C0B-9A326E4D7DEE}"/>
    <hyperlink ref="K41" r:id="rId39" display="https://ppim-intra.pea.co.th:4434/request/PPIM19502B8B" xr:uid="{7964284D-D2E0-4287-AB2A-A6F922CECB7C}"/>
    <hyperlink ref="K42" r:id="rId40" display="https://ppim-intra.pea.co.th:4434/request/PPIM19502C68" xr:uid="{B1179A90-C99D-401E-A23E-7F64070B4B7D}"/>
    <hyperlink ref="K43" r:id="rId41" display="https://ppim-intra.pea.co.th:4434/request/PPIM19502CC9" xr:uid="{192B207A-550F-4AE7-ACD8-5F82930341A9}"/>
    <hyperlink ref="K44" r:id="rId42" display="https://ppim-intra.pea.co.th:4434/request/PPIM19502CCF" xr:uid="{7C393423-1027-43DA-823F-DB31983ABA95}"/>
    <hyperlink ref="K45" r:id="rId43" display="https://ppim-intra.pea.co.th:4434/request/PPIM19502CD6" xr:uid="{9DED7071-46F7-4092-8594-CC741BEA666A}"/>
    <hyperlink ref="K46" r:id="rId44" display="https://ppim-intra.pea.co.th:4434/request/PPIM19502CE4" xr:uid="{CC4CFE17-0164-4BD5-A45C-75913AAE085B}"/>
    <hyperlink ref="K47" r:id="rId45" display="https://ppim-intra.pea.co.th:4434/request/PPIM195032A9" xr:uid="{5B90797F-A4CC-4EF2-8F15-8F2774CB667B}"/>
    <hyperlink ref="K48" r:id="rId46" display="https://ppim-intra.pea.co.th:4434/request/PPIM19503397" xr:uid="{3AD95FA2-7D30-42BF-AB2D-3A8385D92029}"/>
    <hyperlink ref="K49" r:id="rId47" display="https://ppim-intra.pea.co.th:4434/request/PPIM19503B3D" xr:uid="{30DEE3EC-1BDF-4369-95A8-34A511657899}"/>
    <hyperlink ref="K50" r:id="rId48" display="https://ppim-intra.pea.co.th:4434/request/PPIM19503EEF" xr:uid="{CD373D54-6441-4241-8773-8CD4F849918E}"/>
    <hyperlink ref="K51" r:id="rId49" display="https://ppim-intra.pea.co.th:4434/request/PPIM195046A0" xr:uid="{405C01D3-CCDA-4F23-B763-1994DDF2D040}"/>
    <hyperlink ref="K52" r:id="rId50" display="https://ppim-intra.pea.co.th:4434/request/PPIM19503DA8" xr:uid="{A1532A5E-94A0-4A77-A54B-52AF086053A6}"/>
    <hyperlink ref="K53" r:id="rId51" display="https://ppim-intra.pea.co.th:4434/request/PPIM19504300" xr:uid="{436D5508-6454-4925-A3E4-86CFB717D333}"/>
    <hyperlink ref="K54" r:id="rId52" display="https://ppim-intra.pea.co.th:4434/request/PPIM1950535E" xr:uid="{4D4B26CD-BEE6-4536-AF12-468189C21722}"/>
    <hyperlink ref="K55" r:id="rId53" display="https://ppim-intra.pea.co.th:4434/request/PPIM19504F6C" xr:uid="{3EE7E965-AAFD-4497-BFE4-1A52C46FE9CB}"/>
    <hyperlink ref="K56" r:id="rId54" display="https://ppim-intra.pea.co.th:4434/request/PPIM19505C8A" xr:uid="{CBB7ABA6-C74B-4A55-B308-2D69E89334C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403E-3DDC-456B-AACB-00D6385BF2B6}">
  <sheetPr codeName="Sheet14">
    <tabColor theme="9" tint="0.39997558519241921"/>
  </sheetPr>
  <dimension ref="A2:O168"/>
  <sheetViews>
    <sheetView tabSelected="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75</v>
      </c>
      <c r="N2" s="13" t="s">
        <v>214</v>
      </c>
    </row>
    <row r="3" spans="1:15" ht="37.5" thickTop="1" thickBot="1">
      <c r="A3" s="18" t="s">
        <v>181</v>
      </c>
      <c r="B3" s="18">
        <v>20027068102</v>
      </c>
      <c r="C3" s="18" t="s">
        <v>182</v>
      </c>
      <c r="D3" s="19">
        <v>45327.00277777778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183</v>
      </c>
      <c r="K3" s="20"/>
      <c r="L3" s="7" t="s">
        <v>2656</v>
      </c>
      <c r="M3" s="7">
        <f>COUNTIF(H:H,"รอตรวจสอบคำขอ")</f>
        <v>4</v>
      </c>
      <c r="N3" s="11" t="s">
        <v>214</v>
      </c>
    </row>
    <row r="4" spans="1:15" ht="36.75" thickBot="1">
      <c r="A4" s="18" t="s">
        <v>179</v>
      </c>
      <c r="B4" s="18">
        <v>20026870124</v>
      </c>
      <c r="C4" s="18" t="s">
        <v>180</v>
      </c>
      <c r="D4" s="19">
        <v>45378.65347222222</v>
      </c>
      <c r="E4" s="18" t="s">
        <v>10</v>
      </c>
      <c r="F4" s="18">
        <v>20</v>
      </c>
      <c r="G4" s="18" t="s">
        <v>10</v>
      </c>
      <c r="H4" s="18" t="s">
        <v>178</v>
      </c>
      <c r="I4" s="18" t="s">
        <v>10</v>
      </c>
      <c r="J4" s="18" t="s">
        <v>233</v>
      </c>
      <c r="K4" s="20"/>
      <c r="L4" s="7" t="s">
        <v>178</v>
      </c>
      <c r="M4" s="7">
        <f>COUNTIF(H:H,"ยกเลิก")</f>
        <v>39</v>
      </c>
      <c r="N4" s="11" t="s">
        <v>214</v>
      </c>
    </row>
    <row r="5" spans="1:15" ht="36.75" thickBot="1">
      <c r="A5" s="18" t="s">
        <v>405</v>
      </c>
      <c r="B5" s="18">
        <v>20023112796</v>
      </c>
      <c r="C5" s="18" t="s">
        <v>406</v>
      </c>
      <c r="D5" s="19">
        <v>45427.662499999999</v>
      </c>
      <c r="E5" s="18" t="s">
        <v>10</v>
      </c>
      <c r="F5" s="18">
        <v>5</v>
      </c>
      <c r="G5" s="18" t="s">
        <v>10</v>
      </c>
      <c r="H5" s="18" t="s">
        <v>178</v>
      </c>
      <c r="I5" s="18" t="s">
        <v>10</v>
      </c>
      <c r="J5" s="18" t="s">
        <v>407</v>
      </c>
      <c r="K5" s="20"/>
      <c r="L5" s="7" t="s">
        <v>235</v>
      </c>
      <c r="M5" s="7">
        <f>COUNTIF(H:H,"รอผู้ยื่นคำขอส่งเอกสารแก้ไข")</f>
        <v>2</v>
      </c>
      <c r="N5" s="11" t="s">
        <v>214</v>
      </c>
    </row>
    <row r="6" spans="1:15" ht="36.75" thickBot="1">
      <c r="A6" s="18" t="s">
        <v>408</v>
      </c>
      <c r="B6" s="18">
        <v>20020997397</v>
      </c>
      <c r="C6" s="18" t="s">
        <v>409</v>
      </c>
      <c r="D6" s="19">
        <v>45433.727777777778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407</v>
      </c>
      <c r="K6" s="20"/>
      <c r="L6" s="7" t="s">
        <v>189</v>
      </c>
      <c r="M6" s="14">
        <f>COUNTIF(H:H,"รอชำระเงิน")</f>
        <v>1</v>
      </c>
      <c r="N6" s="11" t="s">
        <v>214</v>
      </c>
      <c r="O6" s="7" t="s">
        <v>359</v>
      </c>
    </row>
    <row r="7" spans="1:15" ht="36.75" thickBot="1">
      <c r="A7" s="18" t="s">
        <v>572</v>
      </c>
      <c r="B7" s="18">
        <v>20023112796</v>
      </c>
      <c r="C7" s="18" t="s">
        <v>406</v>
      </c>
      <c r="D7" s="19">
        <v>45460.675694444442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407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2</v>
      </c>
      <c r="N7" s="11" t="s">
        <v>214</v>
      </c>
    </row>
    <row r="8" spans="1:15" ht="36.75" thickBot="1">
      <c r="A8" s="18" t="s">
        <v>573</v>
      </c>
      <c r="B8" s="18">
        <v>20020997397</v>
      </c>
      <c r="C8" s="18" t="s">
        <v>574</v>
      </c>
      <c r="D8" s="19">
        <v>45460.907638888886</v>
      </c>
      <c r="E8" s="19">
        <v>45462.756944444445</v>
      </c>
      <c r="F8" s="18">
        <v>5</v>
      </c>
      <c r="G8" s="19">
        <v>45492.500694444447</v>
      </c>
      <c r="H8" s="18" t="s">
        <v>236</v>
      </c>
      <c r="I8" s="18" t="s">
        <v>10</v>
      </c>
      <c r="J8" s="18" t="s">
        <v>407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2</v>
      </c>
      <c r="N8" s="11" t="s">
        <v>214</v>
      </c>
    </row>
    <row r="9" spans="1:15" ht="36.75" thickBot="1">
      <c r="A9" s="18" t="s">
        <v>580</v>
      </c>
      <c r="B9" s="18">
        <v>20003244739</v>
      </c>
      <c r="C9" s="18" t="s">
        <v>581</v>
      </c>
      <c r="D9" s="19">
        <v>45471.697222222225</v>
      </c>
      <c r="E9" s="18" t="s">
        <v>10</v>
      </c>
      <c r="F9" s="18">
        <v>10</v>
      </c>
      <c r="G9" s="18" t="s">
        <v>10</v>
      </c>
      <c r="H9" s="18" t="s">
        <v>178</v>
      </c>
      <c r="I9" s="18" t="s">
        <v>10</v>
      </c>
      <c r="J9" s="18" t="s">
        <v>407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582</v>
      </c>
      <c r="B10" s="18">
        <v>20026870124</v>
      </c>
      <c r="C10" s="18" t="s">
        <v>180</v>
      </c>
      <c r="D10" s="19">
        <v>45472.598611111112</v>
      </c>
      <c r="E10" s="18" t="s">
        <v>10</v>
      </c>
      <c r="F10" s="18">
        <v>20</v>
      </c>
      <c r="G10" s="18" t="s">
        <v>10</v>
      </c>
      <c r="H10" s="18" t="s">
        <v>178</v>
      </c>
      <c r="I10" s="18" t="s">
        <v>10</v>
      </c>
      <c r="J10" s="18" t="s">
        <v>407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575</v>
      </c>
      <c r="B11" s="18">
        <v>20027123431</v>
      </c>
      <c r="C11" s="18" t="s">
        <v>576</v>
      </c>
      <c r="D11" s="19">
        <v>45467.795138888891</v>
      </c>
      <c r="E11" s="19">
        <v>45477.807638888888</v>
      </c>
      <c r="F11" s="18">
        <v>5</v>
      </c>
      <c r="G11" s="19">
        <v>45497.387499999997</v>
      </c>
      <c r="H11" s="18" t="s">
        <v>236</v>
      </c>
      <c r="I11" s="18" t="s">
        <v>10</v>
      </c>
      <c r="J11" s="18" t="s">
        <v>407</v>
      </c>
      <c r="K11" s="20"/>
      <c r="L11" t="s">
        <v>2654</v>
      </c>
      <c r="M11">
        <f>COUNTIF(H:H,"รอตรวจสอบระบบผลิต")</f>
        <v>7</v>
      </c>
      <c r="N11" t="s">
        <v>214</v>
      </c>
    </row>
    <row r="12" spans="1:15" ht="36.75" thickBot="1">
      <c r="A12" s="18" t="s">
        <v>577</v>
      </c>
      <c r="B12" s="18">
        <v>20003110601</v>
      </c>
      <c r="C12" s="18" t="s">
        <v>578</v>
      </c>
      <c r="D12" s="19">
        <v>45450.654861111114</v>
      </c>
      <c r="E12" s="19">
        <v>45481.427777777775</v>
      </c>
      <c r="F12" s="18">
        <v>3.3</v>
      </c>
      <c r="G12" s="19">
        <v>45492.479861111111</v>
      </c>
      <c r="H12" s="18" t="s">
        <v>236</v>
      </c>
      <c r="I12" s="18" t="s">
        <v>10</v>
      </c>
      <c r="J12" s="18" t="s">
        <v>407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579</v>
      </c>
      <c r="B13" s="18">
        <v>20017462342</v>
      </c>
      <c r="C13" s="18" t="s">
        <v>578</v>
      </c>
      <c r="D13" s="19">
        <v>45450.717361111114</v>
      </c>
      <c r="E13" s="19">
        <v>45489.663194444445</v>
      </c>
      <c r="F13" s="18">
        <v>3.3</v>
      </c>
      <c r="G13" s="19">
        <v>45492.479861111111</v>
      </c>
      <c r="H13" s="18" t="s">
        <v>236</v>
      </c>
      <c r="I13" s="18" t="s">
        <v>10</v>
      </c>
      <c r="J13" s="18" t="s">
        <v>407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973</v>
      </c>
      <c r="B14" s="18">
        <v>20025416245</v>
      </c>
      <c r="C14" s="18" t="s">
        <v>974</v>
      </c>
      <c r="D14" s="19">
        <v>45519.592361111114</v>
      </c>
      <c r="E14" s="18" t="s">
        <v>10</v>
      </c>
      <c r="F14" s="18">
        <v>15</v>
      </c>
      <c r="G14" s="18" t="s">
        <v>10</v>
      </c>
      <c r="H14" s="18" t="s">
        <v>178</v>
      </c>
      <c r="I14" s="18" t="s">
        <v>10</v>
      </c>
      <c r="J14" s="18" t="s">
        <v>407</v>
      </c>
      <c r="K14" s="20"/>
      <c r="L14" t="s">
        <v>236</v>
      </c>
      <c r="M14">
        <f>COUNTIF(H:H,"เชื่อมต่อเรียบร้อยแล้ว")</f>
        <v>18</v>
      </c>
      <c r="N14" t="s">
        <v>214</v>
      </c>
    </row>
    <row r="15" spans="1:15" ht="36.75" thickBot="1">
      <c r="A15" s="18" t="s">
        <v>975</v>
      </c>
      <c r="B15" s="18">
        <v>20003547448</v>
      </c>
      <c r="C15" s="18" t="s">
        <v>976</v>
      </c>
      <c r="D15" s="19">
        <v>45519.672222222223</v>
      </c>
      <c r="E15" s="18" t="s">
        <v>10</v>
      </c>
      <c r="F15" s="18">
        <v>10</v>
      </c>
      <c r="G15" s="18" t="s">
        <v>10</v>
      </c>
      <c r="H15" s="18" t="s">
        <v>178</v>
      </c>
      <c r="I15" s="18" t="s">
        <v>10</v>
      </c>
      <c r="J15" s="18" t="s">
        <v>407</v>
      </c>
      <c r="K15" s="20"/>
    </row>
    <row r="16" spans="1:15" ht="54.75" thickBot="1">
      <c r="A16" s="18" t="s">
        <v>977</v>
      </c>
      <c r="B16" s="18">
        <v>20017388533</v>
      </c>
      <c r="C16" s="18" t="s">
        <v>978</v>
      </c>
      <c r="D16" s="19">
        <v>45519.717361111114</v>
      </c>
      <c r="E16" s="18" t="s">
        <v>10</v>
      </c>
      <c r="F16" s="18">
        <v>5</v>
      </c>
      <c r="G16" s="18" t="s">
        <v>10</v>
      </c>
      <c r="H16" s="18" t="s">
        <v>178</v>
      </c>
      <c r="I16" s="18" t="s">
        <v>10</v>
      </c>
      <c r="J16" s="18" t="s">
        <v>407</v>
      </c>
      <c r="K16" s="20"/>
    </row>
    <row r="17" spans="1:11" ht="72.75" thickBot="1">
      <c r="A17" s="18" t="s">
        <v>979</v>
      </c>
      <c r="B17" s="18">
        <v>20026651696</v>
      </c>
      <c r="C17" s="18" t="s">
        <v>951</v>
      </c>
      <c r="D17" s="19">
        <v>45520.896527777775</v>
      </c>
      <c r="E17" s="18" t="s">
        <v>10</v>
      </c>
      <c r="F17" s="18">
        <v>6</v>
      </c>
      <c r="G17" s="18" t="s">
        <v>10</v>
      </c>
      <c r="H17" s="18" t="s">
        <v>178</v>
      </c>
      <c r="I17" s="18" t="s">
        <v>10</v>
      </c>
      <c r="J17" s="18" t="s">
        <v>183</v>
      </c>
      <c r="K17" s="20"/>
    </row>
    <row r="18" spans="1:11" ht="72.75" thickBot="1">
      <c r="A18" s="18" t="s">
        <v>980</v>
      </c>
      <c r="B18" s="18">
        <v>20026651707</v>
      </c>
      <c r="C18" s="18" t="s">
        <v>951</v>
      </c>
      <c r="D18" s="19">
        <v>45520.929166666669</v>
      </c>
      <c r="E18" s="18" t="s">
        <v>10</v>
      </c>
      <c r="F18" s="18">
        <v>6</v>
      </c>
      <c r="G18" s="18" t="s">
        <v>10</v>
      </c>
      <c r="H18" s="18" t="s">
        <v>178</v>
      </c>
      <c r="I18" s="18" t="s">
        <v>10</v>
      </c>
      <c r="J18" s="18" t="s">
        <v>407</v>
      </c>
      <c r="K18" s="20"/>
    </row>
    <row r="19" spans="1:11" ht="72.75" thickBot="1">
      <c r="A19" s="18" t="s">
        <v>981</v>
      </c>
      <c r="B19" s="18">
        <v>20026651673</v>
      </c>
      <c r="C19" s="18" t="s">
        <v>951</v>
      </c>
      <c r="D19" s="19">
        <v>45521.665972222225</v>
      </c>
      <c r="E19" s="18" t="s">
        <v>10</v>
      </c>
      <c r="F19" s="18">
        <v>6</v>
      </c>
      <c r="G19" s="18" t="s">
        <v>10</v>
      </c>
      <c r="H19" s="18" t="s">
        <v>178</v>
      </c>
      <c r="I19" s="18" t="s">
        <v>10</v>
      </c>
      <c r="J19" s="18" t="s">
        <v>183</v>
      </c>
      <c r="K19" s="20"/>
    </row>
    <row r="20" spans="1:11" ht="72.75" thickBot="1">
      <c r="A20" s="18" t="s">
        <v>982</v>
      </c>
      <c r="B20" s="18">
        <v>20026651671</v>
      </c>
      <c r="C20" s="18" t="s">
        <v>951</v>
      </c>
      <c r="D20" s="19">
        <v>45521.672222222223</v>
      </c>
      <c r="E20" s="18" t="s">
        <v>10</v>
      </c>
      <c r="F20" s="18">
        <v>6</v>
      </c>
      <c r="G20" s="18" t="s">
        <v>10</v>
      </c>
      <c r="H20" s="18" t="s">
        <v>178</v>
      </c>
      <c r="I20" s="18" t="s">
        <v>10</v>
      </c>
      <c r="J20" s="18" t="s">
        <v>183</v>
      </c>
      <c r="K20" s="20"/>
    </row>
    <row r="21" spans="1:11" ht="36.75" thickBot="1">
      <c r="A21" s="18" t="s">
        <v>972</v>
      </c>
      <c r="B21" s="18">
        <v>20023112796</v>
      </c>
      <c r="C21" s="18" t="s">
        <v>406</v>
      </c>
      <c r="D21" s="19">
        <v>45512.419444444444</v>
      </c>
      <c r="E21" s="19">
        <v>45537.612500000003</v>
      </c>
      <c r="F21" s="18">
        <v>5</v>
      </c>
      <c r="G21" s="19">
        <v>45546.431250000001</v>
      </c>
      <c r="H21" s="18" t="s">
        <v>236</v>
      </c>
      <c r="I21" s="18" t="s">
        <v>10</v>
      </c>
      <c r="J21" s="18" t="s">
        <v>407</v>
      </c>
      <c r="K21" s="20"/>
    </row>
    <row r="22" spans="1:11" ht="36.75" thickBot="1">
      <c r="A22" s="18" t="s">
        <v>1130</v>
      </c>
      <c r="B22" s="18">
        <v>20025416245</v>
      </c>
      <c r="C22" s="18" t="s">
        <v>974</v>
      </c>
      <c r="D22" s="19">
        <v>45539.665972222225</v>
      </c>
      <c r="E22" s="19">
        <v>45542.79583333333</v>
      </c>
      <c r="F22" s="18">
        <v>15</v>
      </c>
      <c r="G22" s="19">
        <v>45555.484722222223</v>
      </c>
      <c r="H22" s="18" t="s">
        <v>236</v>
      </c>
      <c r="I22" s="18" t="s">
        <v>10</v>
      </c>
      <c r="J22" s="18" t="s">
        <v>407</v>
      </c>
      <c r="K22" s="20"/>
    </row>
    <row r="23" spans="1:11" ht="36.75" thickBot="1">
      <c r="A23" s="18" t="s">
        <v>1131</v>
      </c>
      <c r="B23" s="18">
        <v>20023497020</v>
      </c>
      <c r="C23" s="18" t="s">
        <v>1132</v>
      </c>
      <c r="D23" s="19">
        <v>45544.699305555558</v>
      </c>
      <c r="E23" s="18" t="s">
        <v>10</v>
      </c>
      <c r="F23" s="18">
        <v>3</v>
      </c>
      <c r="G23" s="18" t="s">
        <v>10</v>
      </c>
      <c r="H23" s="18" t="s">
        <v>178</v>
      </c>
      <c r="I23" s="18" t="s">
        <v>10</v>
      </c>
      <c r="J23" s="18" t="s">
        <v>183</v>
      </c>
      <c r="K23" s="20"/>
    </row>
    <row r="24" spans="1:11" ht="54.75" thickBot="1">
      <c r="A24" s="18" t="s">
        <v>1133</v>
      </c>
      <c r="B24" s="18">
        <v>20017388533</v>
      </c>
      <c r="C24" s="18" t="s">
        <v>978</v>
      </c>
      <c r="D24" s="19">
        <v>45537.731944444444</v>
      </c>
      <c r="E24" s="19">
        <v>45546.654166666667</v>
      </c>
      <c r="F24" s="18">
        <v>5</v>
      </c>
      <c r="G24" s="19">
        <v>45555.484722222223</v>
      </c>
      <c r="H24" s="18" t="s">
        <v>236</v>
      </c>
      <c r="I24" s="18" t="s">
        <v>10</v>
      </c>
      <c r="J24" s="18" t="s">
        <v>407</v>
      </c>
      <c r="K24" s="20"/>
    </row>
    <row r="25" spans="1:11" ht="36.75" thickBot="1">
      <c r="A25" s="18" t="s">
        <v>1263</v>
      </c>
      <c r="B25" s="18">
        <v>20023497020</v>
      </c>
      <c r="C25" s="18" t="s">
        <v>1264</v>
      </c>
      <c r="D25" s="19">
        <v>45554.445833333331</v>
      </c>
      <c r="E25" s="18" t="s">
        <v>10</v>
      </c>
      <c r="F25" s="18">
        <v>3</v>
      </c>
      <c r="G25" s="18" t="s">
        <v>10</v>
      </c>
      <c r="H25" s="18" t="s">
        <v>178</v>
      </c>
      <c r="I25" s="18" t="s">
        <v>10</v>
      </c>
      <c r="J25" s="18" t="s">
        <v>183</v>
      </c>
      <c r="K25" s="20"/>
    </row>
    <row r="26" spans="1:11" ht="36.75" thickBot="1">
      <c r="A26" s="18" t="s">
        <v>1265</v>
      </c>
      <c r="B26" s="18">
        <v>20003547448</v>
      </c>
      <c r="C26" s="18" t="s">
        <v>976</v>
      </c>
      <c r="D26" s="19">
        <v>45555.629861111112</v>
      </c>
      <c r="E26" s="18" t="s">
        <v>10</v>
      </c>
      <c r="F26" s="18">
        <v>10</v>
      </c>
      <c r="G26" s="19">
        <v>45559.460416666669</v>
      </c>
      <c r="H26" s="18" t="s">
        <v>236</v>
      </c>
      <c r="I26" s="18" t="s">
        <v>10</v>
      </c>
      <c r="J26" s="18" t="s">
        <v>407</v>
      </c>
      <c r="K26" s="20"/>
    </row>
    <row r="27" spans="1:11" ht="36.75" thickBot="1">
      <c r="A27" s="18" t="s">
        <v>1266</v>
      </c>
      <c r="B27" s="18">
        <v>20023497020</v>
      </c>
      <c r="C27" s="18" t="s">
        <v>1264</v>
      </c>
      <c r="D27" s="19">
        <v>45560.561805555553</v>
      </c>
      <c r="E27" s="18" t="s">
        <v>10</v>
      </c>
      <c r="F27" s="18">
        <v>3</v>
      </c>
      <c r="G27" s="19">
        <v>45603.431250000001</v>
      </c>
      <c r="H27" s="18" t="s">
        <v>236</v>
      </c>
      <c r="I27" s="18" t="s">
        <v>10</v>
      </c>
      <c r="J27" s="18" t="s">
        <v>183</v>
      </c>
      <c r="K27" s="20"/>
    </row>
    <row r="28" spans="1:11" ht="36.75" thickBot="1">
      <c r="A28" s="18" t="s">
        <v>1375</v>
      </c>
      <c r="B28" s="18">
        <v>20027605072</v>
      </c>
      <c r="C28" s="18" t="s">
        <v>1376</v>
      </c>
      <c r="D28" s="19">
        <v>45576.604166666664</v>
      </c>
      <c r="E28" s="18" t="s">
        <v>10</v>
      </c>
      <c r="F28" s="18">
        <v>5</v>
      </c>
      <c r="G28" s="18" t="s">
        <v>10</v>
      </c>
      <c r="H28" s="18" t="s">
        <v>178</v>
      </c>
      <c r="I28" s="18" t="s">
        <v>10</v>
      </c>
      <c r="J28" s="18" t="s">
        <v>183</v>
      </c>
      <c r="K28" s="20"/>
    </row>
    <row r="29" spans="1:11" ht="36.75" thickBot="1">
      <c r="A29" s="18" t="s">
        <v>1377</v>
      </c>
      <c r="B29" s="18">
        <v>20025988966</v>
      </c>
      <c r="C29" s="18" t="s">
        <v>1378</v>
      </c>
      <c r="D29" s="19">
        <v>45577.595138888886</v>
      </c>
      <c r="E29" s="18" t="s">
        <v>10</v>
      </c>
      <c r="F29" s="18">
        <v>5</v>
      </c>
      <c r="G29" s="18" t="s">
        <v>10</v>
      </c>
      <c r="H29" s="18" t="s">
        <v>178</v>
      </c>
      <c r="I29" s="18" t="s">
        <v>10</v>
      </c>
      <c r="J29" s="18" t="s">
        <v>183</v>
      </c>
      <c r="K29" s="20"/>
    </row>
    <row r="30" spans="1:11" ht="36.75" thickBot="1">
      <c r="A30" s="18" t="s">
        <v>1379</v>
      </c>
      <c r="B30" s="18">
        <v>20003013316</v>
      </c>
      <c r="C30" s="18" t="s">
        <v>1380</v>
      </c>
      <c r="D30" s="19">
        <v>45581.592361111114</v>
      </c>
      <c r="E30" s="18" t="s">
        <v>10</v>
      </c>
      <c r="F30" s="18">
        <v>10</v>
      </c>
      <c r="G30" s="18" t="s">
        <v>10</v>
      </c>
      <c r="H30" s="18" t="s">
        <v>178</v>
      </c>
      <c r="I30" s="18" t="s">
        <v>10</v>
      </c>
      <c r="J30" s="18" t="s">
        <v>183</v>
      </c>
      <c r="K30" s="20"/>
    </row>
    <row r="31" spans="1:11" ht="36.75" thickBot="1">
      <c r="A31" s="18" t="s">
        <v>1483</v>
      </c>
      <c r="B31" s="18">
        <v>20027605072</v>
      </c>
      <c r="C31" s="18" t="s">
        <v>1376</v>
      </c>
      <c r="D31" s="19">
        <v>45593.620138888888</v>
      </c>
      <c r="E31" s="18" t="s">
        <v>10</v>
      </c>
      <c r="F31" s="18">
        <v>5</v>
      </c>
      <c r="G31" s="19">
        <v>45637.383333333331</v>
      </c>
      <c r="H31" s="18" t="s">
        <v>236</v>
      </c>
      <c r="I31" s="18" t="s">
        <v>10</v>
      </c>
      <c r="J31" s="18" t="s">
        <v>183</v>
      </c>
      <c r="K31" s="20"/>
    </row>
    <row r="32" spans="1:11" ht="36.75" thickBot="1">
      <c r="A32" s="18" t="s">
        <v>1484</v>
      </c>
      <c r="B32" s="18">
        <v>20027068102</v>
      </c>
      <c r="C32" s="18" t="s">
        <v>1485</v>
      </c>
      <c r="D32" s="19">
        <v>45595.545138888891</v>
      </c>
      <c r="E32" s="18" t="s">
        <v>10</v>
      </c>
      <c r="F32" s="18">
        <v>10</v>
      </c>
      <c r="G32" s="18" t="s">
        <v>10</v>
      </c>
      <c r="H32" s="18" t="s">
        <v>178</v>
      </c>
      <c r="I32" s="18" t="s">
        <v>10</v>
      </c>
      <c r="J32" s="18" t="s">
        <v>183</v>
      </c>
      <c r="K32" s="20"/>
    </row>
    <row r="33" spans="1:11" ht="36.75" thickBot="1">
      <c r="A33" s="18" t="s">
        <v>1723</v>
      </c>
      <c r="B33" s="18">
        <v>20003013316</v>
      </c>
      <c r="C33" s="18" t="s">
        <v>1380</v>
      </c>
      <c r="D33" s="19">
        <v>45597.630555555559</v>
      </c>
      <c r="E33" s="18" t="s">
        <v>10</v>
      </c>
      <c r="F33" s="18">
        <v>10</v>
      </c>
      <c r="G33" s="18" t="s">
        <v>10</v>
      </c>
      <c r="H33" s="18" t="s">
        <v>178</v>
      </c>
      <c r="I33" s="18" t="s">
        <v>10</v>
      </c>
      <c r="J33" s="18" t="s">
        <v>183</v>
      </c>
      <c r="K33" s="20"/>
    </row>
    <row r="34" spans="1:11" ht="36.75" thickBot="1">
      <c r="A34" s="18" t="s">
        <v>1724</v>
      </c>
      <c r="B34" s="18">
        <v>20003013316</v>
      </c>
      <c r="C34" s="18" t="s">
        <v>1380</v>
      </c>
      <c r="D34" s="19">
        <v>45607.348611111112</v>
      </c>
      <c r="E34" s="18" t="s">
        <v>10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183</v>
      </c>
      <c r="K34" s="20"/>
    </row>
    <row r="35" spans="1:11" ht="36.75" thickBot="1">
      <c r="A35" s="18" t="s">
        <v>1725</v>
      </c>
      <c r="B35" s="18">
        <v>20025988966</v>
      </c>
      <c r="C35" s="18" t="s">
        <v>1378</v>
      </c>
      <c r="D35" s="19">
        <v>45611.574305555558</v>
      </c>
      <c r="E35" s="19">
        <v>45616.427777777775</v>
      </c>
      <c r="F35" s="18">
        <v>5</v>
      </c>
      <c r="G35" s="19">
        <v>45635.609027777777</v>
      </c>
      <c r="H35" s="18" t="s">
        <v>236</v>
      </c>
      <c r="I35" s="18" t="s">
        <v>10</v>
      </c>
      <c r="J35" s="18" t="s">
        <v>183</v>
      </c>
      <c r="K35" s="20"/>
    </row>
    <row r="36" spans="1:11" ht="36.75" thickBot="1">
      <c r="A36" s="18" t="s">
        <v>1726</v>
      </c>
      <c r="B36" s="18">
        <v>20027068102</v>
      </c>
      <c r="C36" s="18" t="s">
        <v>1485</v>
      </c>
      <c r="D36" s="19">
        <v>45608.956944444442</v>
      </c>
      <c r="E36" s="19">
        <v>45616.442361111112</v>
      </c>
      <c r="F36" s="18">
        <v>10</v>
      </c>
      <c r="G36" s="19">
        <v>45701.427083333336</v>
      </c>
      <c r="H36" s="18" t="s">
        <v>236</v>
      </c>
      <c r="I36" s="18" t="s">
        <v>10</v>
      </c>
      <c r="J36" s="18" t="s">
        <v>183</v>
      </c>
      <c r="K36" s="20"/>
    </row>
    <row r="37" spans="1:11" ht="36.75" thickBot="1">
      <c r="A37" s="18" t="s">
        <v>1729</v>
      </c>
      <c r="B37" s="18">
        <v>20028070229</v>
      </c>
      <c r="C37" s="18" t="s">
        <v>1730</v>
      </c>
      <c r="D37" s="19">
        <v>45614.628472222219</v>
      </c>
      <c r="E37" s="19">
        <v>45616.637499999997</v>
      </c>
      <c r="F37" s="18">
        <v>15</v>
      </c>
      <c r="G37" s="19">
        <v>45618.509722222225</v>
      </c>
      <c r="H37" s="18" t="s">
        <v>236</v>
      </c>
      <c r="I37" s="18" t="s">
        <v>10</v>
      </c>
      <c r="J37" s="18" t="s">
        <v>407</v>
      </c>
      <c r="K37" s="20"/>
    </row>
    <row r="38" spans="1:11" ht="36.75" thickBot="1">
      <c r="A38" s="18" t="s">
        <v>1486</v>
      </c>
      <c r="B38" s="18">
        <v>20027992108</v>
      </c>
      <c r="C38" s="18" t="s">
        <v>1487</v>
      </c>
      <c r="D38" s="19">
        <v>45595.688194444447</v>
      </c>
      <c r="E38" s="19">
        <v>45617.707638888889</v>
      </c>
      <c r="F38" s="18">
        <v>6</v>
      </c>
      <c r="G38" s="18" t="s">
        <v>10</v>
      </c>
      <c r="H38" s="18" t="s">
        <v>189</v>
      </c>
      <c r="I38" s="18" t="s">
        <v>10</v>
      </c>
      <c r="J38" s="18" t="s">
        <v>407</v>
      </c>
      <c r="K38" s="20"/>
    </row>
    <row r="39" spans="1:11" ht="72.75" thickBot="1">
      <c r="A39" s="18" t="s">
        <v>1731</v>
      </c>
      <c r="B39" s="18">
        <v>20026651696</v>
      </c>
      <c r="C39" s="18" t="s">
        <v>951</v>
      </c>
      <c r="D39" s="19">
        <v>45623.701388888891</v>
      </c>
      <c r="E39" s="18" t="s">
        <v>10</v>
      </c>
      <c r="F39" s="18">
        <v>6</v>
      </c>
      <c r="G39" s="18" t="s">
        <v>10</v>
      </c>
      <c r="H39" s="18" t="s">
        <v>178</v>
      </c>
      <c r="I39" s="18" t="s">
        <v>10</v>
      </c>
      <c r="J39" s="18" t="s">
        <v>183</v>
      </c>
      <c r="K39" s="20"/>
    </row>
    <row r="40" spans="1:11" ht="72.75" thickBot="1">
      <c r="A40" s="18" t="s">
        <v>1732</v>
      </c>
      <c r="B40" s="18">
        <v>20026651673</v>
      </c>
      <c r="C40" s="18" t="s">
        <v>951</v>
      </c>
      <c r="D40" s="19">
        <v>45625.630555555559</v>
      </c>
      <c r="E40" s="18" t="s">
        <v>10</v>
      </c>
      <c r="F40" s="18">
        <v>6</v>
      </c>
      <c r="G40" s="18" t="s">
        <v>10</v>
      </c>
      <c r="H40" s="18" t="s">
        <v>178</v>
      </c>
      <c r="I40" s="18" t="s">
        <v>10</v>
      </c>
      <c r="J40" s="18" t="s">
        <v>183</v>
      </c>
      <c r="K40" s="20"/>
    </row>
    <row r="41" spans="1:11" ht="36.75" thickBot="1">
      <c r="A41" s="18" t="s">
        <v>2068</v>
      </c>
      <c r="B41" s="18">
        <v>20027713660</v>
      </c>
      <c r="C41" s="18" t="s">
        <v>2069</v>
      </c>
      <c r="D41" s="19">
        <v>45673.502083333333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407</v>
      </c>
      <c r="K41" s="20"/>
    </row>
    <row r="42" spans="1:11" ht="36.75" thickBot="1">
      <c r="A42" s="18" t="s">
        <v>1727</v>
      </c>
      <c r="B42" s="18">
        <v>20022427878</v>
      </c>
      <c r="C42" s="18" t="s">
        <v>1728</v>
      </c>
      <c r="D42" s="19">
        <v>45616.448611111111</v>
      </c>
      <c r="E42" s="19">
        <v>45678.419444444444</v>
      </c>
      <c r="F42" s="18">
        <v>10</v>
      </c>
      <c r="G42" s="19">
        <v>45736.518055555556</v>
      </c>
      <c r="H42" s="18" t="s">
        <v>236</v>
      </c>
      <c r="I42" s="18" t="s">
        <v>10</v>
      </c>
      <c r="J42" s="18" t="s">
        <v>183</v>
      </c>
      <c r="K42" s="20"/>
    </row>
    <row r="43" spans="1:11" ht="36.75" thickBot="1">
      <c r="A43" s="18" t="s">
        <v>2071</v>
      </c>
      <c r="B43" s="18">
        <v>20003486624</v>
      </c>
      <c r="C43" s="18" t="s">
        <v>2072</v>
      </c>
      <c r="D43" s="19">
        <v>45686.636111111111</v>
      </c>
      <c r="E43" s="18" t="s">
        <v>10</v>
      </c>
      <c r="F43" s="18">
        <v>15</v>
      </c>
      <c r="G43" s="18" t="s">
        <v>10</v>
      </c>
      <c r="H43" s="18" t="s">
        <v>178</v>
      </c>
      <c r="I43" s="18" t="s">
        <v>10</v>
      </c>
      <c r="J43" s="18" t="s">
        <v>407</v>
      </c>
      <c r="K43" s="20"/>
    </row>
    <row r="44" spans="1:11" ht="36.75" thickBot="1">
      <c r="A44" s="18" t="s">
        <v>1924</v>
      </c>
      <c r="B44" s="18">
        <v>20003013316</v>
      </c>
      <c r="C44" s="18" t="s">
        <v>1380</v>
      </c>
      <c r="D44" s="19">
        <v>45648.693055555559</v>
      </c>
      <c r="E44" s="19">
        <v>45692.363194444442</v>
      </c>
      <c r="F44" s="18">
        <v>10</v>
      </c>
      <c r="G44" s="19">
        <v>45777.499305555553</v>
      </c>
      <c r="H44" s="18" t="s">
        <v>236</v>
      </c>
      <c r="I44" s="18" t="s">
        <v>10</v>
      </c>
      <c r="J44" s="18" t="s">
        <v>183</v>
      </c>
      <c r="K44" s="20"/>
    </row>
    <row r="45" spans="1:11" ht="36.75" thickBot="1">
      <c r="A45" s="18" t="s">
        <v>2258</v>
      </c>
      <c r="B45" s="18">
        <v>20003486624</v>
      </c>
      <c r="C45" s="18" t="s">
        <v>2072</v>
      </c>
      <c r="D45" s="19">
        <v>45708.481944444444</v>
      </c>
      <c r="E45" s="18" t="s">
        <v>10</v>
      </c>
      <c r="F45" s="18">
        <v>15</v>
      </c>
      <c r="G45" s="19">
        <v>45716.538888888892</v>
      </c>
      <c r="H45" s="18" t="s">
        <v>236</v>
      </c>
      <c r="I45" s="18" t="s">
        <v>10</v>
      </c>
      <c r="J45" s="18" t="s">
        <v>407</v>
      </c>
      <c r="K45" s="20"/>
    </row>
    <row r="46" spans="1:11" ht="36.75" thickBot="1">
      <c r="A46" s="18" t="s">
        <v>2259</v>
      </c>
      <c r="B46" s="18">
        <v>20027927857</v>
      </c>
      <c r="C46" s="18" t="s">
        <v>2260</v>
      </c>
      <c r="D46" s="19">
        <v>45708.592361111114</v>
      </c>
      <c r="E46" s="18" t="s">
        <v>10</v>
      </c>
      <c r="F46" s="18">
        <v>20</v>
      </c>
      <c r="G46" s="19">
        <v>45769.488888888889</v>
      </c>
      <c r="H46" s="18" t="s">
        <v>2657</v>
      </c>
      <c r="I46" s="18" t="s">
        <v>10</v>
      </c>
      <c r="J46" s="18" t="s">
        <v>183</v>
      </c>
      <c r="K46" s="20"/>
    </row>
    <row r="47" spans="1:11" ht="36.75" thickBot="1">
      <c r="A47" s="18" t="s">
        <v>2175</v>
      </c>
      <c r="B47" s="18">
        <v>20003607524</v>
      </c>
      <c r="C47" s="18" t="s">
        <v>2176</v>
      </c>
      <c r="D47" s="19">
        <v>45688.647222222222</v>
      </c>
      <c r="E47" s="19">
        <v>45716.688888888886</v>
      </c>
      <c r="F47" s="18">
        <v>6</v>
      </c>
      <c r="G47" s="18" t="s">
        <v>10</v>
      </c>
      <c r="H47" s="18" t="s">
        <v>178</v>
      </c>
      <c r="I47" s="18" t="s">
        <v>10</v>
      </c>
      <c r="J47" s="18" t="s">
        <v>407</v>
      </c>
      <c r="K47" s="20"/>
    </row>
    <row r="48" spans="1:11" ht="36.75" thickBot="1">
      <c r="A48" s="18" t="s">
        <v>2256</v>
      </c>
      <c r="B48" s="18">
        <v>20024723845</v>
      </c>
      <c r="C48" s="18" t="s">
        <v>2257</v>
      </c>
      <c r="D48" s="19">
        <v>45701.444444444445</v>
      </c>
      <c r="E48" s="19">
        <v>45730.743055555555</v>
      </c>
      <c r="F48" s="18">
        <v>17</v>
      </c>
      <c r="G48" s="19">
        <v>45775.340277777781</v>
      </c>
      <c r="H48" s="18" t="s">
        <v>2654</v>
      </c>
      <c r="I48" s="18" t="s">
        <v>10</v>
      </c>
      <c r="J48" s="18" t="s">
        <v>407</v>
      </c>
      <c r="K48" s="20"/>
    </row>
    <row r="49" spans="1:11" ht="36.75" thickBot="1">
      <c r="A49" s="18" t="s">
        <v>2070</v>
      </c>
      <c r="B49" s="18">
        <v>20027713660</v>
      </c>
      <c r="C49" s="18" t="s">
        <v>2069</v>
      </c>
      <c r="D49" s="19">
        <v>45680.57916666667</v>
      </c>
      <c r="E49" s="19">
        <v>45737.706944444442</v>
      </c>
      <c r="F49" s="18">
        <v>5</v>
      </c>
      <c r="G49" s="19">
        <v>45790.468055555553</v>
      </c>
      <c r="H49" s="18" t="s">
        <v>236</v>
      </c>
      <c r="I49" s="18" t="s">
        <v>10</v>
      </c>
      <c r="J49" s="18" t="s">
        <v>407</v>
      </c>
      <c r="K49" s="20"/>
    </row>
    <row r="50" spans="1:11" ht="36.75" thickBot="1">
      <c r="A50" s="18" t="s">
        <v>2631</v>
      </c>
      <c r="B50" s="18">
        <v>20019596936</v>
      </c>
      <c r="C50" s="18" t="s">
        <v>2632</v>
      </c>
      <c r="D50" s="19">
        <v>45755.772916666669</v>
      </c>
      <c r="E50" s="18" t="s">
        <v>10</v>
      </c>
      <c r="F50" s="18">
        <v>5</v>
      </c>
      <c r="G50" s="19">
        <v>45772.522222222222</v>
      </c>
      <c r="H50" s="18" t="s">
        <v>236</v>
      </c>
      <c r="I50" s="18" t="s">
        <v>10</v>
      </c>
      <c r="J50" s="18" t="s">
        <v>407</v>
      </c>
      <c r="K50" s="20"/>
    </row>
    <row r="51" spans="1:11" ht="36.75" thickBot="1">
      <c r="A51" s="18" t="s">
        <v>2261</v>
      </c>
      <c r="B51" s="18">
        <v>20003189287</v>
      </c>
      <c r="C51" s="18" t="s">
        <v>2262</v>
      </c>
      <c r="D51" s="19">
        <v>45715.275000000001</v>
      </c>
      <c r="E51" s="19">
        <v>45768.274305555555</v>
      </c>
      <c r="F51" s="18">
        <v>10</v>
      </c>
      <c r="G51" s="19">
        <v>45856.365972222222</v>
      </c>
      <c r="H51" s="18" t="s">
        <v>2654</v>
      </c>
      <c r="I51" s="18" t="s">
        <v>10</v>
      </c>
      <c r="J51" s="18" t="s">
        <v>407</v>
      </c>
      <c r="K51" s="20"/>
    </row>
    <row r="52" spans="1:11" ht="36.75" thickBot="1">
      <c r="A52" s="18" t="s">
        <v>2898</v>
      </c>
      <c r="B52" s="18">
        <v>20028433190</v>
      </c>
      <c r="C52" s="18" t="s">
        <v>2899</v>
      </c>
      <c r="D52" s="19">
        <v>45777.379166666666</v>
      </c>
      <c r="E52" s="18" t="s">
        <v>10</v>
      </c>
      <c r="F52" s="18">
        <v>5</v>
      </c>
      <c r="G52" s="18" t="s">
        <v>10</v>
      </c>
      <c r="H52" s="18" t="s">
        <v>178</v>
      </c>
      <c r="I52" s="18" t="s">
        <v>10</v>
      </c>
      <c r="J52" s="18" t="s">
        <v>407</v>
      </c>
      <c r="K52" s="20"/>
    </row>
    <row r="53" spans="1:11" ht="36.75" thickBot="1">
      <c r="A53" s="18" t="s">
        <v>2633</v>
      </c>
      <c r="B53" s="18">
        <v>20003607524</v>
      </c>
      <c r="C53" s="18" t="s">
        <v>2176</v>
      </c>
      <c r="D53" s="19">
        <v>45770.664583333331</v>
      </c>
      <c r="E53" s="19">
        <v>45780.511111111111</v>
      </c>
      <c r="F53" s="18">
        <v>6</v>
      </c>
      <c r="G53" s="18" t="s">
        <v>10</v>
      </c>
      <c r="H53" s="18" t="s">
        <v>178</v>
      </c>
      <c r="I53" s="18" t="s">
        <v>10</v>
      </c>
      <c r="J53" s="18" t="s">
        <v>407</v>
      </c>
      <c r="K53" s="20"/>
    </row>
    <row r="54" spans="1:11" ht="36.75" thickBot="1">
      <c r="A54" s="18" t="s">
        <v>3835</v>
      </c>
      <c r="B54" s="18">
        <v>20020235693</v>
      </c>
      <c r="C54" s="18" t="s">
        <v>3836</v>
      </c>
      <c r="D54" s="19">
        <v>45846.503472222219</v>
      </c>
      <c r="E54" s="18" t="s">
        <v>10</v>
      </c>
      <c r="F54" s="18">
        <v>15</v>
      </c>
      <c r="G54" s="19">
        <v>45926.444444444445</v>
      </c>
      <c r="H54" s="18" t="s">
        <v>2657</v>
      </c>
      <c r="I54" s="18" t="s">
        <v>10</v>
      </c>
      <c r="J54" s="18" t="s">
        <v>183</v>
      </c>
      <c r="K54" s="20"/>
    </row>
    <row r="55" spans="1:11" ht="54.75" thickBot="1">
      <c r="A55" s="18" t="s">
        <v>2900</v>
      </c>
      <c r="B55" s="18">
        <v>20023443244</v>
      </c>
      <c r="C55" s="18" t="s">
        <v>2901</v>
      </c>
      <c r="D55" s="19">
        <v>45820.047222222223</v>
      </c>
      <c r="E55" s="19">
        <v>45858.027777777781</v>
      </c>
      <c r="F55" s="18">
        <v>10</v>
      </c>
      <c r="G55" s="18" t="s">
        <v>10</v>
      </c>
      <c r="H55" s="18" t="s">
        <v>178</v>
      </c>
      <c r="I55" s="18" t="s">
        <v>10</v>
      </c>
      <c r="J55" s="18" t="s">
        <v>183</v>
      </c>
      <c r="K55" s="20"/>
    </row>
    <row r="56" spans="1:11" ht="36.75" thickBot="1">
      <c r="A56" s="18" t="s">
        <v>3837</v>
      </c>
      <c r="B56" s="18">
        <v>20003592654</v>
      </c>
      <c r="C56" s="18" t="s">
        <v>3838</v>
      </c>
      <c r="D56" s="19">
        <v>45824.56527777778</v>
      </c>
      <c r="E56" s="19">
        <v>45860.896527777775</v>
      </c>
      <c r="F56" s="18">
        <v>15</v>
      </c>
      <c r="G56" s="18" t="s">
        <v>10</v>
      </c>
      <c r="H56" s="18" t="s">
        <v>178</v>
      </c>
      <c r="I56" s="18" t="s">
        <v>10</v>
      </c>
      <c r="J56" s="18" t="s">
        <v>183</v>
      </c>
      <c r="K56" s="20"/>
    </row>
    <row r="57" spans="1:11" ht="36.75" thickBot="1">
      <c r="A57" s="18" t="s">
        <v>3839</v>
      </c>
      <c r="B57" s="18">
        <v>20003484776</v>
      </c>
      <c r="C57" s="18" t="s">
        <v>3840</v>
      </c>
      <c r="D57" s="19">
        <v>45861.46875</v>
      </c>
      <c r="E57" s="18" t="s">
        <v>10</v>
      </c>
      <c r="F57" s="18">
        <v>20</v>
      </c>
      <c r="G57" s="18" t="s">
        <v>10</v>
      </c>
      <c r="H57" s="18" t="s">
        <v>178</v>
      </c>
      <c r="I57" s="18" t="s">
        <v>10</v>
      </c>
      <c r="J57" s="18" t="s">
        <v>407</v>
      </c>
      <c r="K57" s="20"/>
    </row>
    <row r="58" spans="1:11" ht="36.75" thickBot="1">
      <c r="A58" s="18" t="s">
        <v>3841</v>
      </c>
      <c r="B58" s="18">
        <v>20003235455</v>
      </c>
      <c r="C58" s="18" t="s">
        <v>3842</v>
      </c>
      <c r="D58" s="19">
        <v>45883.662499999999</v>
      </c>
      <c r="E58" s="18" t="s">
        <v>10</v>
      </c>
      <c r="F58" s="18">
        <v>6</v>
      </c>
      <c r="G58" s="18" t="s">
        <v>10</v>
      </c>
      <c r="H58" s="18" t="s">
        <v>178</v>
      </c>
      <c r="I58" s="18" t="s">
        <v>10</v>
      </c>
      <c r="J58" s="18" t="s">
        <v>183</v>
      </c>
      <c r="K58" s="20"/>
    </row>
    <row r="59" spans="1:11" ht="72.75" thickBot="1">
      <c r="A59" s="18" t="s">
        <v>3843</v>
      </c>
      <c r="B59" s="18">
        <v>20026652221</v>
      </c>
      <c r="C59" s="18" t="s">
        <v>951</v>
      </c>
      <c r="D59" s="19">
        <v>45887.938194444447</v>
      </c>
      <c r="E59" s="18" t="s">
        <v>10</v>
      </c>
      <c r="F59" s="18">
        <v>6</v>
      </c>
      <c r="G59" s="18" t="s">
        <v>10</v>
      </c>
      <c r="H59" s="18" t="s">
        <v>178</v>
      </c>
      <c r="I59" s="18" t="s">
        <v>10</v>
      </c>
      <c r="J59" s="18" t="s">
        <v>183</v>
      </c>
      <c r="K59" s="20"/>
    </row>
    <row r="60" spans="1:11" ht="36.75" thickBot="1">
      <c r="A60" s="18" t="s">
        <v>3844</v>
      </c>
      <c r="B60" s="18">
        <v>20003305213</v>
      </c>
      <c r="C60" s="18" t="s">
        <v>3845</v>
      </c>
      <c r="D60" s="19">
        <v>45894.79791666667</v>
      </c>
      <c r="E60" s="19">
        <v>45898.442361111112</v>
      </c>
      <c r="F60" s="18">
        <v>5</v>
      </c>
      <c r="G60" s="19">
        <v>45922.53125</v>
      </c>
      <c r="H60" s="18" t="s">
        <v>2654</v>
      </c>
      <c r="I60" s="18" t="s">
        <v>10</v>
      </c>
      <c r="J60" s="18" t="s">
        <v>183</v>
      </c>
      <c r="K60" s="20"/>
    </row>
    <row r="61" spans="1:11" ht="36.75" thickBot="1">
      <c r="A61" s="18" t="s">
        <v>3846</v>
      </c>
      <c r="B61" s="18">
        <v>20003607524</v>
      </c>
      <c r="C61" s="18" t="s">
        <v>3847</v>
      </c>
      <c r="D61" s="19">
        <v>45856.652083333334</v>
      </c>
      <c r="E61" s="19">
        <v>45901.740277777775</v>
      </c>
      <c r="F61" s="18">
        <v>6</v>
      </c>
      <c r="G61" s="19">
        <v>45938.463888888888</v>
      </c>
      <c r="H61" s="18" t="s">
        <v>2654</v>
      </c>
      <c r="I61" s="18" t="s">
        <v>10</v>
      </c>
      <c r="J61" s="18" t="s">
        <v>407</v>
      </c>
      <c r="K61" s="20"/>
    </row>
    <row r="62" spans="1:11" ht="36.75" thickBot="1">
      <c r="A62" s="18" t="s">
        <v>3848</v>
      </c>
      <c r="B62" s="18">
        <v>20028281313</v>
      </c>
      <c r="C62" s="18" t="s">
        <v>3849</v>
      </c>
      <c r="D62" s="19">
        <v>45852.427777777775</v>
      </c>
      <c r="E62" s="19">
        <v>45902.427083333336</v>
      </c>
      <c r="F62" s="18">
        <v>10</v>
      </c>
      <c r="G62" s="18" t="s">
        <v>10</v>
      </c>
      <c r="H62" s="18" t="s">
        <v>178</v>
      </c>
      <c r="I62" s="18" t="s">
        <v>10</v>
      </c>
      <c r="J62" s="18" t="s">
        <v>407</v>
      </c>
      <c r="K62" s="20"/>
    </row>
    <row r="63" spans="1:11" ht="36.75" thickBot="1">
      <c r="A63" s="18" t="s">
        <v>3850</v>
      </c>
      <c r="B63" s="18">
        <v>20023443244</v>
      </c>
      <c r="C63" s="18" t="s">
        <v>3851</v>
      </c>
      <c r="D63" s="19">
        <v>45911.977083333331</v>
      </c>
      <c r="E63" s="18" t="s">
        <v>10</v>
      </c>
      <c r="F63" s="18">
        <v>10</v>
      </c>
      <c r="G63" s="18" t="s">
        <v>10</v>
      </c>
      <c r="H63" s="18" t="s">
        <v>178</v>
      </c>
      <c r="I63" s="18" t="s">
        <v>10</v>
      </c>
      <c r="J63" s="18" t="s">
        <v>183</v>
      </c>
      <c r="K63" s="20"/>
    </row>
    <row r="64" spans="1:11" ht="36.75" thickBot="1">
      <c r="A64" s="18" t="s">
        <v>3852</v>
      </c>
      <c r="B64" s="18">
        <v>20003594079</v>
      </c>
      <c r="C64" s="18" t="s">
        <v>3853</v>
      </c>
      <c r="D64" s="19">
        <v>45916.058333333334</v>
      </c>
      <c r="E64" s="18" t="s">
        <v>10</v>
      </c>
      <c r="F64" s="18">
        <v>5</v>
      </c>
      <c r="G64" s="18" t="s">
        <v>10</v>
      </c>
      <c r="H64" s="18" t="s">
        <v>178</v>
      </c>
      <c r="I64" s="18" t="s">
        <v>10</v>
      </c>
      <c r="J64" s="18" t="s">
        <v>183</v>
      </c>
      <c r="K64" s="20"/>
    </row>
    <row r="65" spans="1:11" ht="36.75" thickBot="1">
      <c r="A65" s="18" t="s">
        <v>3854</v>
      </c>
      <c r="B65" s="18">
        <v>20021085793</v>
      </c>
      <c r="C65" s="18" t="s">
        <v>3855</v>
      </c>
      <c r="D65" s="19">
        <v>45897.936111111114</v>
      </c>
      <c r="E65" s="19">
        <v>45918.870833333334</v>
      </c>
      <c r="F65" s="18">
        <v>5</v>
      </c>
      <c r="G65" s="19">
        <v>45968.425694444442</v>
      </c>
      <c r="H65" s="18" t="s">
        <v>2654</v>
      </c>
      <c r="I65" s="18" t="s">
        <v>10</v>
      </c>
      <c r="J65" s="18" t="s">
        <v>183</v>
      </c>
      <c r="K65" s="20"/>
    </row>
    <row r="66" spans="1:11" ht="36.75" thickBot="1">
      <c r="A66" s="18" t="s">
        <v>3856</v>
      </c>
      <c r="B66" s="18">
        <v>20003484776</v>
      </c>
      <c r="C66" s="18" t="s">
        <v>3840</v>
      </c>
      <c r="D66" s="19">
        <v>45877.415972222225</v>
      </c>
      <c r="E66" s="19">
        <v>45923.493750000001</v>
      </c>
      <c r="F66" s="18">
        <v>20</v>
      </c>
      <c r="G66" s="19">
        <v>45964.556944444441</v>
      </c>
      <c r="H66" s="18" t="s">
        <v>2654</v>
      </c>
      <c r="I66" s="18" t="s">
        <v>10</v>
      </c>
      <c r="J66" s="18" t="s">
        <v>407</v>
      </c>
      <c r="K66" s="20"/>
    </row>
    <row r="67" spans="1:11" ht="36.75" thickBot="1">
      <c r="A67" s="18" t="s">
        <v>3857</v>
      </c>
      <c r="B67" s="18">
        <v>20003227591</v>
      </c>
      <c r="C67" s="18" t="s">
        <v>3858</v>
      </c>
      <c r="D67" s="19">
        <v>45841.515972222223</v>
      </c>
      <c r="E67" s="19">
        <v>45924.436111111114</v>
      </c>
      <c r="F67" s="18">
        <v>8</v>
      </c>
      <c r="G67" s="19">
        <v>45964.418055555558</v>
      </c>
      <c r="H67" s="18" t="s">
        <v>2654</v>
      </c>
      <c r="I67" s="18" t="s">
        <v>10</v>
      </c>
      <c r="J67" s="18" t="s">
        <v>407</v>
      </c>
      <c r="K67" s="20"/>
    </row>
    <row r="68" spans="1:11" ht="36.75" thickBot="1">
      <c r="A68" s="18" t="s">
        <v>3859</v>
      </c>
      <c r="B68" s="18">
        <v>20003094454</v>
      </c>
      <c r="C68" s="18" t="s">
        <v>3860</v>
      </c>
      <c r="D68" s="19">
        <v>45932.947222222225</v>
      </c>
      <c r="E68" s="18" t="s">
        <v>10</v>
      </c>
      <c r="F68" s="18">
        <v>5</v>
      </c>
      <c r="G68" s="18" t="s">
        <v>10</v>
      </c>
      <c r="H68" s="18" t="s">
        <v>178</v>
      </c>
      <c r="I68" s="18" t="s">
        <v>10</v>
      </c>
      <c r="J68" s="18" t="s">
        <v>183</v>
      </c>
      <c r="K68" s="20"/>
    </row>
    <row r="69" spans="1:11" ht="36.75" thickBot="1">
      <c r="A69" s="18" t="s">
        <v>3861</v>
      </c>
      <c r="B69" s="18">
        <v>20028281313</v>
      </c>
      <c r="C69" s="18" t="s">
        <v>3849</v>
      </c>
      <c r="D69" s="19">
        <v>45923.443055555559</v>
      </c>
      <c r="E69" s="19">
        <v>45947.645833333336</v>
      </c>
      <c r="F69" s="18">
        <v>10</v>
      </c>
      <c r="G69" s="18" t="s">
        <v>10</v>
      </c>
      <c r="H69" s="18" t="s">
        <v>2652</v>
      </c>
      <c r="I69" s="18" t="s">
        <v>2699</v>
      </c>
      <c r="J69" s="18" t="s">
        <v>407</v>
      </c>
      <c r="K69" s="20"/>
    </row>
    <row r="70" spans="1:11" ht="54.75" thickBot="1">
      <c r="A70" s="18" t="s">
        <v>7949</v>
      </c>
      <c r="B70" s="18">
        <v>20023443244</v>
      </c>
      <c r="C70" s="18" t="s">
        <v>2901</v>
      </c>
      <c r="D70" s="19">
        <v>45968.65902777778</v>
      </c>
      <c r="E70" s="18" t="s">
        <v>10</v>
      </c>
      <c r="F70" s="18">
        <v>10</v>
      </c>
      <c r="G70" s="18" t="s">
        <v>10</v>
      </c>
      <c r="H70" s="18" t="s">
        <v>235</v>
      </c>
      <c r="I70" s="18" t="s">
        <v>10</v>
      </c>
      <c r="J70" s="18" t="s">
        <v>183</v>
      </c>
      <c r="K70" s="20"/>
    </row>
    <row r="71" spans="1:11" ht="72.75" thickBot="1">
      <c r="A71" s="18" t="s">
        <v>7950</v>
      </c>
      <c r="B71" s="18">
        <v>20026652221</v>
      </c>
      <c r="C71" s="18" t="s">
        <v>951</v>
      </c>
      <c r="D71" s="19">
        <v>45972.429166666669</v>
      </c>
      <c r="E71" s="18" t="s">
        <v>10</v>
      </c>
      <c r="F71" s="18">
        <v>6</v>
      </c>
      <c r="G71" s="18" t="s">
        <v>10</v>
      </c>
      <c r="H71" s="18" t="s">
        <v>178</v>
      </c>
      <c r="I71" s="18" t="s">
        <v>10</v>
      </c>
      <c r="J71" s="18" t="s">
        <v>183</v>
      </c>
      <c r="K71" s="20"/>
    </row>
    <row r="72" spans="1:11" ht="36.75" thickBot="1">
      <c r="A72" s="18" t="s">
        <v>7951</v>
      </c>
      <c r="B72" s="18">
        <v>20003605250</v>
      </c>
      <c r="C72" s="18" t="s">
        <v>7952</v>
      </c>
      <c r="D72" s="19">
        <v>45975.468055555553</v>
      </c>
      <c r="E72" s="18" t="s">
        <v>10</v>
      </c>
      <c r="F72" s="18">
        <v>5</v>
      </c>
      <c r="G72" s="18" t="s">
        <v>10</v>
      </c>
      <c r="H72" s="18" t="s">
        <v>235</v>
      </c>
      <c r="I72" s="18" t="s">
        <v>10</v>
      </c>
      <c r="J72" s="18" t="s">
        <v>183</v>
      </c>
      <c r="K72" s="20"/>
    </row>
    <row r="73" spans="1:11" ht="72.75" thickBot="1">
      <c r="A73" s="18" t="s">
        <v>7953</v>
      </c>
      <c r="B73" s="18">
        <v>20026652221</v>
      </c>
      <c r="C73" s="18" t="s">
        <v>951</v>
      </c>
      <c r="D73" s="19">
        <v>45985.915972222225</v>
      </c>
      <c r="E73" s="19">
        <v>45988.876388888886</v>
      </c>
      <c r="F73" s="18">
        <v>6</v>
      </c>
      <c r="G73" s="18" t="s">
        <v>10</v>
      </c>
      <c r="H73" s="18" t="s">
        <v>2652</v>
      </c>
      <c r="I73" s="18" t="s">
        <v>2699</v>
      </c>
      <c r="J73" s="18" t="s">
        <v>183</v>
      </c>
      <c r="K73" s="20"/>
    </row>
    <row r="74" spans="1:11" ht="36.75" thickBot="1">
      <c r="A74" s="18" t="s">
        <v>7954</v>
      </c>
      <c r="B74" s="18">
        <v>20003399461</v>
      </c>
      <c r="C74" s="18" t="s">
        <v>7955</v>
      </c>
      <c r="D74" s="19">
        <v>45986.754861111112</v>
      </c>
      <c r="E74" s="19">
        <v>45989.591666666667</v>
      </c>
      <c r="F74" s="18">
        <v>10</v>
      </c>
      <c r="G74" s="18" t="s">
        <v>10</v>
      </c>
      <c r="H74" s="18" t="s">
        <v>2656</v>
      </c>
      <c r="I74" s="18" t="s">
        <v>10</v>
      </c>
      <c r="J74" s="18" t="s">
        <v>407</v>
      </c>
      <c r="K74" s="20"/>
    </row>
    <row r="75" spans="1:11" ht="36.75" thickBot="1">
      <c r="A75" s="18" t="s">
        <v>7956</v>
      </c>
      <c r="B75" s="18">
        <v>20028977306</v>
      </c>
      <c r="C75" s="18" t="s">
        <v>7943</v>
      </c>
      <c r="D75" s="19">
        <v>45990.609027777777</v>
      </c>
      <c r="E75" s="18" t="s">
        <v>10</v>
      </c>
      <c r="F75" s="18">
        <v>6</v>
      </c>
      <c r="G75" s="18" t="s">
        <v>10</v>
      </c>
      <c r="H75" s="18" t="s">
        <v>2656</v>
      </c>
      <c r="I75" s="18" t="s">
        <v>10</v>
      </c>
      <c r="J75" s="18" t="s">
        <v>407</v>
      </c>
      <c r="K75" s="20"/>
    </row>
    <row r="76" spans="1:11" ht="36.75" thickBot="1">
      <c r="A76" s="18" t="s">
        <v>7957</v>
      </c>
      <c r="B76" s="18">
        <v>20003593528</v>
      </c>
      <c r="C76" s="18" t="s">
        <v>7958</v>
      </c>
      <c r="D76" s="19">
        <v>45990.718055555553</v>
      </c>
      <c r="E76" s="18" t="s">
        <v>10</v>
      </c>
      <c r="F76" s="18">
        <v>5</v>
      </c>
      <c r="G76" s="18" t="s">
        <v>10</v>
      </c>
      <c r="H76" s="18" t="s">
        <v>2656</v>
      </c>
      <c r="I76" s="18" t="s">
        <v>10</v>
      </c>
      <c r="J76" s="18" t="s">
        <v>407</v>
      </c>
      <c r="K76" s="20"/>
    </row>
    <row r="77" spans="1:11" ht="36.75" thickBot="1">
      <c r="A77" s="21" t="s">
        <v>7959</v>
      </c>
      <c r="B77" s="21">
        <v>20003210782</v>
      </c>
      <c r="C77" s="21" t="s">
        <v>7960</v>
      </c>
      <c r="D77" s="22">
        <v>45966.595833333333</v>
      </c>
      <c r="E77" s="22">
        <v>45992.450694444444</v>
      </c>
      <c r="F77" s="21">
        <v>5</v>
      </c>
      <c r="G77" s="21" t="s">
        <v>10</v>
      </c>
      <c r="H77" s="21" t="s">
        <v>2656</v>
      </c>
      <c r="I77" s="21" t="s">
        <v>10</v>
      </c>
      <c r="J77" s="21" t="s">
        <v>183</v>
      </c>
      <c r="K77" s="1"/>
    </row>
    <row r="78" spans="1:11" ht="18.75" thickBot="1">
      <c r="A78" s="18"/>
      <c r="B78" s="18"/>
      <c r="C78" s="18"/>
      <c r="D78" s="19"/>
      <c r="E78" s="19"/>
      <c r="F78" s="18"/>
      <c r="G78" s="19"/>
      <c r="H78" s="18"/>
      <c r="I78" s="18"/>
      <c r="J78" s="18"/>
    </row>
    <row r="79" spans="1:11" ht="18.75" thickBot="1">
      <c r="A79" s="18"/>
      <c r="B79" s="18"/>
      <c r="C79" s="18"/>
      <c r="D79" s="19"/>
      <c r="E79" s="18"/>
      <c r="F79" s="18"/>
      <c r="G79" s="19"/>
      <c r="H79" s="18"/>
      <c r="I79" s="18"/>
      <c r="J79" s="18"/>
    </row>
    <row r="80" spans="1:11" ht="18.75" thickBot="1">
      <c r="A80" s="18"/>
      <c r="B80" s="18"/>
      <c r="C80" s="18"/>
      <c r="D80" s="19"/>
      <c r="E80" s="18"/>
      <c r="F80" s="18"/>
      <c r="G80" s="19"/>
      <c r="H80" s="18"/>
      <c r="I80" s="18"/>
      <c r="J80" s="18"/>
    </row>
    <row r="81" spans="1:10" ht="18.75" thickBot="1">
      <c r="A81" s="18"/>
      <c r="B81" s="18"/>
      <c r="C81" s="18"/>
      <c r="D81" s="19"/>
      <c r="E81" s="19"/>
      <c r="F81" s="18"/>
      <c r="G81" s="18"/>
      <c r="H81" s="18"/>
      <c r="I81" s="18"/>
      <c r="J81" s="18"/>
    </row>
    <row r="82" spans="1:10" ht="18.75" thickBot="1">
      <c r="A82" s="18"/>
      <c r="B82" s="18"/>
      <c r="C82" s="18"/>
      <c r="D82" s="19"/>
      <c r="E82" s="18"/>
      <c r="F82" s="18"/>
      <c r="G82" s="19"/>
      <c r="H82" s="18"/>
      <c r="I82" s="18"/>
      <c r="J82" s="18"/>
    </row>
    <row r="83" spans="1:10" ht="18.75" thickBot="1">
      <c r="A83" s="18"/>
      <c r="B83" s="18"/>
      <c r="C83" s="18"/>
      <c r="D83" s="19"/>
      <c r="E83" s="19"/>
      <c r="F83" s="18"/>
      <c r="G83" s="19"/>
      <c r="H83" s="18"/>
      <c r="I83" s="18"/>
      <c r="J83" s="18"/>
    </row>
    <row r="84" spans="1:10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0" ht="18.75" thickBot="1">
      <c r="A85" s="18"/>
      <c r="B85" s="18"/>
      <c r="C85" s="18"/>
      <c r="D85" s="19"/>
      <c r="E85" s="19"/>
      <c r="F85" s="18"/>
      <c r="G85" s="18"/>
      <c r="H85" s="18"/>
      <c r="I85" s="18"/>
      <c r="J85" s="18"/>
    </row>
    <row r="86" spans="1:10" ht="18.75" thickBot="1">
      <c r="A86" s="18"/>
      <c r="B86" s="18"/>
      <c r="C86" s="18"/>
      <c r="D86" s="19"/>
      <c r="E86" s="19"/>
      <c r="F86" s="18"/>
      <c r="G86" s="19"/>
      <c r="H86" s="18"/>
      <c r="I86" s="18"/>
      <c r="J86" s="18"/>
    </row>
    <row r="87" spans="1:10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0" ht="18.75" thickBot="1">
      <c r="A88" s="18"/>
      <c r="B88" s="18"/>
      <c r="C88" s="18"/>
      <c r="D88" s="19"/>
      <c r="E88" s="18"/>
      <c r="F88" s="18"/>
      <c r="G88" s="19"/>
      <c r="H88" s="18"/>
      <c r="I88" s="18"/>
      <c r="J88" s="18"/>
    </row>
    <row r="89" spans="1:10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0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0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0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0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0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0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0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10" priority="1"/>
  </conditionalFormatting>
  <hyperlinks>
    <hyperlink ref="K3" r:id="rId1" display="https://ppim-intra.pea.co.th:4434/request/PPIM185002D2" xr:uid="{7A854AD1-DC40-4139-91F8-339B92A86561}"/>
    <hyperlink ref="K4" r:id="rId2" display="https://ppim-intra.pea.co.th:4434/request/PPIM18500B08" xr:uid="{64102E01-21BA-48BB-9FE4-2626956F8A35}"/>
    <hyperlink ref="K5" r:id="rId3" display="https://ppim-intra.pea.co.th:4434/request/PPIM185011D2" xr:uid="{75EC4FD9-7834-4F73-A703-9CC79F290F66}"/>
    <hyperlink ref="K6" r:id="rId4" display="https://ppim-intra.pea.co.th:4434/request/PPIM18501320" xr:uid="{9F1197A3-C925-48DA-9487-DF02387B817B}"/>
    <hyperlink ref="K7" r:id="rId5" display="https://ppim-intra.pea.co.th:4434/request/PPIM18501863" xr:uid="{29CE7FC9-4BA1-4BC0-B2B3-1B483FB8FF53}"/>
    <hyperlink ref="K8" r:id="rId6" display="https://ppim-intra.pea.co.th:4434/request/PPIM18501876" xr:uid="{72BA4601-843D-4C50-9631-AE3949CAA62C}"/>
    <hyperlink ref="K9" r:id="rId7" display="https://ppim-intra.pea.co.th:4434/request/PPIM18501B18" xr:uid="{9396FBE9-5115-4317-9E94-FB4A10904E83}"/>
    <hyperlink ref="K10" r:id="rId8" display="https://ppim-intra.pea.co.th:4434/request/PPIM18501B36" xr:uid="{33F23D71-7EA9-4D95-82C2-4243F2DCF2A0}"/>
    <hyperlink ref="K11" r:id="rId9" display="https://ppim-intra.pea.co.th:4434/request/PPIM185019F7" xr:uid="{55D09EE0-42B8-4870-BB00-D13522DC2044}"/>
    <hyperlink ref="K12" r:id="rId10" display="https://ppim-intra.pea.co.th:4434/request/PPIM18501667" xr:uid="{8C748747-556F-43FC-8DDA-A0F6842DE1C7}"/>
    <hyperlink ref="K13" r:id="rId11" display="https://ppim-intra.pea.co.th:4434/request/PPIM18501677" xr:uid="{E0A807A8-263C-43B8-A20E-B17E43EF8D96}"/>
    <hyperlink ref="K14" r:id="rId12" display="https://ppim-intra.pea.co.th:4434/request/PPIM18502638" xr:uid="{D30BA4EE-B57D-4280-9FD5-8605103E86FD}"/>
    <hyperlink ref="K15" r:id="rId13" display="https://ppim-intra.pea.co.th:4434/request/PPIM1850264F" xr:uid="{5EDE70C4-AB4A-47F8-82E2-49622922C182}"/>
    <hyperlink ref="K16" r:id="rId14" display="https://ppim-intra.pea.co.th:4434/request/PPIM1850265C" xr:uid="{7FC33072-60CB-49C9-ABE3-675A2BF302F3}"/>
    <hyperlink ref="K17" r:id="rId15" display="https://ppim-intra.pea.co.th:4434/request/PPIM185026B9" xr:uid="{3A20B399-89AA-4C8E-85A6-4C4AEEA11693}"/>
    <hyperlink ref="K18" r:id="rId16" display="https://ppim-intra.pea.co.th:4434/request/PPIM185026BF" xr:uid="{393A8E2A-0A44-4DB4-AFCC-6B8897410FB0}"/>
    <hyperlink ref="K19" r:id="rId17" display="https://ppim-intra.pea.co.th:4434/request/PPIM185026E5" xr:uid="{333B0815-BFB6-442C-9290-4AAA1A220F38}"/>
    <hyperlink ref="K20" r:id="rId18" display="https://ppim-intra.pea.co.th:4434/request/PPIM185026E6" xr:uid="{B57B8BBA-0591-49CB-9195-31FBFF2B0BD2}"/>
    <hyperlink ref="K21" r:id="rId19" display="https://ppim-intra.pea.co.th:4434/request/PPIM1850243A" xr:uid="{C39D1286-E7D7-42D5-A0A3-27ABFADE0CC6}"/>
    <hyperlink ref="K22" r:id="rId20" display="https://ppim-intra.pea.co.th:4434/request/PPIM18502C1B" xr:uid="{B21ACEE0-6A87-4880-8F6D-54F68A26A6DD}"/>
    <hyperlink ref="K23" r:id="rId21" display="https://ppim-intra.pea.co.th:4434/request/PPIM18502D42" xr:uid="{E4955F9E-8683-40B8-8CF9-B6EEC33C17B8}"/>
    <hyperlink ref="K24" r:id="rId22" display="https://ppim-intra.pea.co.th:4434/request/PPIM18502B7D" xr:uid="{E8BF7609-E1F1-4D59-84D1-567218BCBB13}"/>
    <hyperlink ref="K25" r:id="rId23" display="https://ppim-intra.pea.co.th:4434/request/PPIM18503036" xr:uid="{02C7A2EE-4081-4F82-89F9-2F3F86E1006D}"/>
    <hyperlink ref="K26" r:id="rId24" display="https://ppim-intra.pea.co.th:4434/request/PPIM185030D2" xr:uid="{FDC05A9D-0CDB-42F1-809E-28CFAC41933F}"/>
    <hyperlink ref="K27" r:id="rId25" display="https://ppim-intra.pea.co.th:4434/request/PPIM18503236" xr:uid="{97975103-F04B-44FB-825C-BBB913404BE2}"/>
    <hyperlink ref="K28" r:id="rId26" display="https://ppim-intra.pea.co.th:4434/request/PPIM18503739" xr:uid="{C3444C5F-843F-4B3F-9786-9DAFE8251DD0}"/>
    <hyperlink ref="K29" r:id="rId27" display="https://ppim-intra.pea.co.th:4434/request/PPIM18503766" xr:uid="{0FF4DF80-2AAC-4522-9382-A957F7669359}"/>
    <hyperlink ref="K30" r:id="rId28" display="https://ppim-intra.pea.co.th:4434/request/PPIM1850385B" xr:uid="{618A5148-CAFB-4135-BA73-D670B7D19501}"/>
    <hyperlink ref="K31" r:id="rId29" display="https://ppim-intra.pea.co.th:4434/request/PPIM18503B4F" xr:uid="{883015D1-9373-4300-AF8D-365B438ABB6B}"/>
    <hyperlink ref="K32" r:id="rId30" display="https://ppim-intra.pea.co.th:4434/request/PPIM18503BF3" xr:uid="{0F385B1E-5E3C-4BEC-B3BC-EA21C9C70CE8}"/>
    <hyperlink ref="K33" r:id="rId31" display="https://ppim-intra.pea.co.th:4434/request/PPIM18503C75" xr:uid="{CA1672B9-B182-40E1-B67F-4AA4E2F9B9FF}"/>
    <hyperlink ref="K34" r:id="rId32" display="https://ppim-intra.pea.co.th:4434/request/PPIM18503EF2" xr:uid="{26E2E86D-C9A2-4149-8FF6-783796B1268E}"/>
    <hyperlink ref="K35" r:id="rId33" display="https://ppim-intra.pea.co.th:4434/request/PPIM185040B4" xr:uid="{04AC6154-50FB-4F0A-B2F8-78610EE124D8}"/>
    <hyperlink ref="K36" r:id="rId34" display="https://ppim-intra.pea.co.th:4434/request/PPIM18503F9B" xr:uid="{89C8A5C6-149F-44E8-979E-8EBB809325D2}"/>
    <hyperlink ref="K37" r:id="rId35" display="https://ppim-intra.pea.co.th:4434/request/PPIM18504151" xr:uid="{D775EE3A-07C2-480D-841F-E70266FF6900}"/>
    <hyperlink ref="K38" r:id="rId36" display="https://ppim-intra.pea.co.th:4434/request/PPIM18503C0C" xr:uid="{4C3242CB-DD4F-4E75-96E4-A768888A0438}"/>
    <hyperlink ref="K39" r:id="rId37" display="https://ppim-intra.pea.co.th:4434/request/PPIM185043B0" xr:uid="{2DC205EC-0E1B-4AE4-8CE2-85F315220E87}"/>
    <hyperlink ref="K40" r:id="rId38" display="https://ppim-intra.pea.co.th:4434/request/PPIM1850445B" xr:uid="{91B82E6A-CF93-4C2C-A0A0-9B8026E4444D}"/>
    <hyperlink ref="K41" r:id="rId39" display="https://ppim-intra.pea.co.th:4434/request/PPIM1950037B" xr:uid="{82200602-2C3B-4F4D-B0D2-58D871367B83}"/>
    <hyperlink ref="K42" r:id="rId40" display="https://ppim-intra.pea.co.th:4434/request/PPIM185041CA" xr:uid="{B2D9E431-6E00-48FC-9615-5D1A5FB79832}"/>
    <hyperlink ref="K43" r:id="rId41" display="https://ppim-intra.pea.co.th:4434/request/PPIM195006F4" xr:uid="{307662EE-1BBB-4E59-9ECB-BC4F6150792F}"/>
    <hyperlink ref="K44" r:id="rId42" display="https://ppim-intra.pea.co.th:4434/request/PPIM1850493F" xr:uid="{709AF05B-58DF-4075-ABBA-0532F9264DF6}"/>
    <hyperlink ref="K45" r:id="rId43" display="https://ppim-intra.pea.co.th:4434/request/PPIM19500C39" xr:uid="{EF3C75FC-B07D-4AAB-A3AB-910B1A95F1D3}"/>
    <hyperlink ref="K46" r:id="rId44" display="https://ppim-intra.pea.co.th:4434/request/PPIM19500C49" xr:uid="{8D7227BF-6251-4B0D-9759-620D4F223D7D}"/>
    <hyperlink ref="K47" r:id="rId45" display="https://ppim-intra.pea.co.th:4434/request/PPIM19500786" xr:uid="{847AB693-671E-4D29-9CEB-935C265A5DA6}"/>
    <hyperlink ref="K48" r:id="rId46" display="https://ppim-intra.pea.co.th:4434/request/PPIM19500A69" xr:uid="{AE52D7F9-F1B9-458D-A969-01659231442A}"/>
    <hyperlink ref="K49" r:id="rId47" display="https://ppim-intra.pea.co.th:4434/request/PPIM1950058B" xr:uid="{BAB98C63-8128-445A-BE59-32E2C727E70C}"/>
    <hyperlink ref="K50" r:id="rId48" display="https://ppim-intra.pea.co.th:4434/request/PPIM19501AF4" xr:uid="{36BC3A3C-78AA-45AF-9784-51E275FA95E8}"/>
    <hyperlink ref="K51" r:id="rId49" display="https://ppim-intra.pea.co.th:4434/request/PPIM19500E0C" xr:uid="{7E605D02-E436-4C53-95A1-1CA60F4D3322}"/>
    <hyperlink ref="K52" r:id="rId50" display="https://ppim-intra.pea.co.th:4434/request/PPIM19501FDF" xr:uid="{D768AAB0-BD89-4F9F-A55A-9803E072A704}"/>
    <hyperlink ref="K53" r:id="rId51" display="https://ppim-intra.pea.co.th:4434/request/PPIM19501E28" xr:uid="{92A3D9AD-32A8-4F79-AB2E-03346C9838C8}"/>
    <hyperlink ref="K54" r:id="rId52" display="https://ppim-intra.pea.co.th:4434/request/PPIM19503414" xr:uid="{402C6026-D2A4-438D-B554-1700358CB434}"/>
    <hyperlink ref="K55" r:id="rId53" display="https://ppim-intra.pea.co.th:4434/request/PPIM19502C30" xr:uid="{1C6551D3-5F3E-41DD-B8E0-C7DEA43524A4}"/>
    <hyperlink ref="K56" r:id="rId54" display="https://ppim-intra.pea.co.th:4434/request/PPIM19502D5E" xr:uid="{0C97690B-C3ED-4A11-92E3-E555E486FE2D}"/>
    <hyperlink ref="K57" r:id="rId55" display="https://ppim-intra.pea.co.th:4434/request/PPIM19503870" xr:uid="{8BCC8DFC-B354-43AD-8F5D-DF1AC3471653}"/>
    <hyperlink ref="K58" r:id="rId56" display="https://ppim-intra.pea.co.th:4434/request/PPIM19503DE0" xr:uid="{923F0374-8928-4C24-BA0F-EF84791A6E51}"/>
    <hyperlink ref="K59" r:id="rId57" display="https://ppim-intra.pea.co.th:4434/request/PPIM19503F37" xr:uid="{CA642266-17FA-4DB3-838E-21F4F315E20E}"/>
    <hyperlink ref="K60" r:id="rId58" display="https://ppim-intra.pea.co.th:4434/request/PPIM1950418A" xr:uid="{502EA601-AD0E-4553-A684-A8814538238C}"/>
    <hyperlink ref="K61" r:id="rId59" display="https://ppim-intra.pea.co.th:4434/request/PPIM1950370B" xr:uid="{9340AEC7-56CF-48BA-92A3-C6E6A37DA694}"/>
    <hyperlink ref="K62" r:id="rId60" display="https://ppim-intra.pea.co.th:4434/request/PPIM19503558" xr:uid="{4D7D72F1-4CB5-4000-93AF-B5968C4FBEF2}"/>
    <hyperlink ref="K63" r:id="rId61" display="https://ppim-intra.pea.co.th:4434/request/PPIM19504679" xr:uid="{2F97D3C4-2253-403E-A9C1-0E88AC10EDCC}"/>
    <hyperlink ref="K64" r:id="rId62" display="https://ppim-intra.pea.co.th:4434/request/PPIM1950479D" xr:uid="{9B0D02B1-7B45-4B64-AC48-425D8029F863}"/>
    <hyperlink ref="K65" r:id="rId63" display="https://ppim-intra.pea.co.th:4434/request/PPIM195042A3" xr:uid="{22EEA842-8EB6-4266-A061-6D0BEB557B7B}"/>
    <hyperlink ref="K66" r:id="rId64" display="https://ppim-intra.pea.co.th:4434/request/PPIM19503C92" xr:uid="{BFA56EF4-D642-48AA-86FF-CB61DC265149}"/>
    <hyperlink ref="K67" r:id="rId65" display="https://ppim-intra.pea.co.th:4434/request/PPIM195032CB" xr:uid="{6930AFEE-FE74-4BC4-8A2D-2620886D3667}"/>
    <hyperlink ref="K68" r:id="rId66" display="https://ppim-intra.pea.co.th:4434/request/PPIM19504CCB" xr:uid="{56F50F7A-76B6-4496-AB3B-47CF86D7A597}"/>
    <hyperlink ref="K69" r:id="rId67" display="https://ppim-intra.pea.co.th:4434/request/PPIM195049D8" xr:uid="{067A9623-D929-43A6-AFC9-81AAE27D1620}"/>
    <hyperlink ref="K70" r:id="rId68" display="https://ppim-intra.pea.co.th:4434/request/PPIM195056CB" xr:uid="{304DAA23-A132-4211-BD23-249BD3406149}"/>
    <hyperlink ref="K71" r:id="rId69" display="https://ppim-intra.pea.co.th:4434/request/PPIM19505786" xr:uid="{A8B8737B-A8E1-40B6-9A57-0CF023635897}"/>
    <hyperlink ref="K72" r:id="rId70" display="https://ppim-intra.pea.co.th:4434/request/PPIM1950589A" xr:uid="{7FCBFE38-74D8-482B-B528-CFF1CC8FDAAB}"/>
    <hyperlink ref="K73" r:id="rId71" display="https://ppim-intra.pea.co.th:4434/request/PPIM19505B55" xr:uid="{C0BEE89E-11F1-4BBB-A929-B3B0A7FA04C7}"/>
    <hyperlink ref="K74" r:id="rId72" display="https://ppim-intra.pea.co.th:4434/request/PPIM19505BA0" xr:uid="{210849FA-B858-4B05-A27F-094D61360C18}"/>
    <hyperlink ref="K75" r:id="rId73" display="https://ppim-intra.pea.co.th:4434/request/PPIM19505C93" xr:uid="{8DB2297D-0F1B-4D8A-8E27-D72A475C05DE}"/>
    <hyperlink ref="K76" r:id="rId74" display="https://ppim-intra.pea.co.th:4434/request/PPIM19505C9D" xr:uid="{3B04382D-3D6E-4D24-82DD-FA479B3F61EA}"/>
  </hyperlinks>
  <pageMargins left="0.7" right="0.7" top="0.75" bottom="0.75" header="0.3" footer="0.3"/>
  <drawing r:id="rId75"/>
  <legacyDrawing r:id="rId76"/>
  <controls>
    <mc:AlternateContent xmlns:mc="http://schemas.openxmlformats.org/markup-compatibility/2006">
      <mc:Choice Requires="x14">
        <control shapeId="20481" r:id="rId77" name="Control 1">
          <controlPr defaultSize="0" r:id="rId78">
            <anchor moveWithCells="1">
              <from>
                <xdr:col>0</xdr:col>
                <xdr:colOff>0</xdr:colOff>
                <xdr:row>4</xdr:row>
                <xdr:rowOff>352425</xdr:rowOff>
              </from>
              <to>
                <xdr:col>0</xdr:col>
                <xdr:colOff>161925</xdr:colOff>
                <xdr:row>5</xdr:row>
                <xdr:rowOff>57150</xdr:rowOff>
              </to>
            </anchor>
          </controlPr>
        </control>
      </mc:Choice>
      <mc:Fallback>
        <control shapeId="20481" r:id="rId77" name="Control 1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03A2-72E3-4428-B696-F5BD5B59808B}">
  <sheetPr codeName="Sheet15">
    <tabColor theme="8" tint="0.59999389629810485"/>
  </sheetPr>
  <dimension ref="A2:O219"/>
  <sheetViews>
    <sheetView tabSelected="1" topLeftCell="A216" zoomScale="70" zoomScaleNormal="70" workbookViewId="0">
      <selection activeCell="A2" sqref="A2:J2"/>
    </sheetView>
  </sheetViews>
  <sheetFormatPr defaultColWidth="9"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4.7109375" style="6" bestFit="1" customWidth="1"/>
    <col min="8" max="8" width="38.140625" style="6" bestFit="1" customWidth="1"/>
    <col min="9" max="9" width="18.7109375" style="6"/>
    <col min="10" max="10" width="16.42578125" style="6" bestFit="1" customWidth="1"/>
    <col min="11" max="16384" width="9" style="8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217</v>
      </c>
      <c r="N2" s="13" t="s">
        <v>214</v>
      </c>
    </row>
    <row r="3" spans="1:15" ht="37.5" thickTop="1" thickBot="1">
      <c r="A3" s="18" t="s">
        <v>410</v>
      </c>
      <c r="B3" s="18">
        <v>20021944610</v>
      </c>
      <c r="C3" s="18" t="s">
        <v>411</v>
      </c>
      <c r="D3" s="19">
        <v>45306.495833333334</v>
      </c>
      <c r="E3" s="18" t="s">
        <v>10</v>
      </c>
      <c r="F3" s="18">
        <v>5</v>
      </c>
      <c r="G3" s="18" t="s">
        <v>10</v>
      </c>
      <c r="H3" s="18" t="s">
        <v>178</v>
      </c>
      <c r="I3" s="18" t="s">
        <v>10</v>
      </c>
      <c r="J3" s="18" t="s">
        <v>412</v>
      </c>
      <c r="K3" s="20"/>
      <c r="L3" s="7" t="s">
        <v>2656</v>
      </c>
      <c r="M3" s="7">
        <f>COUNTIF(H:H,"รอตรวจสอบคำขอ")</f>
        <v>9</v>
      </c>
      <c r="N3" s="11" t="s">
        <v>214</v>
      </c>
    </row>
    <row r="4" spans="1:15" ht="36.75" thickBot="1">
      <c r="A4" s="18" t="s">
        <v>413</v>
      </c>
      <c r="B4" s="18">
        <v>22002727401</v>
      </c>
      <c r="C4" s="18" t="s">
        <v>414</v>
      </c>
      <c r="D4" s="19">
        <v>45307.710416666669</v>
      </c>
      <c r="E4" s="18" t="s">
        <v>10</v>
      </c>
      <c r="F4" s="18">
        <v>5</v>
      </c>
      <c r="G4" s="18" t="s">
        <v>10</v>
      </c>
      <c r="H4" s="18" t="s">
        <v>178</v>
      </c>
      <c r="I4" s="18" t="s">
        <v>10</v>
      </c>
      <c r="J4" s="18" t="s">
        <v>412</v>
      </c>
      <c r="K4" s="20"/>
      <c r="L4" s="7" t="s">
        <v>178</v>
      </c>
      <c r="M4" s="7">
        <f>COUNTIF(H:H,"ยกเลิก")</f>
        <v>57</v>
      </c>
      <c r="N4" s="11" t="s">
        <v>214</v>
      </c>
    </row>
    <row r="5" spans="1:15" ht="36.75" thickBot="1">
      <c r="A5" s="18" t="s">
        <v>415</v>
      </c>
      <c r="B5" s="18">
        <v>20003003752</v>
      </c>
      <c r="C5" s="18" t="s">
        <v>416</v>
      </c>
      <c r="D5" s="19">
        <v>45307.870138888888</v>
      </c>
      <c r="E5" s="18" t="s">
        <v>10</v>
      </c>
      <c r="F5" s="18">
        <v>7.32</v>
      </c>
      <c r="G5" s="18" t="s">
        <v>10</v>
      </c>
      <c r="H5" s="18" t="s">
        <v>178</v>
      </c>
      <c r="I5" s="18" t="s">
        <v>10</v>
      </c>
      <c r="J5" s="18" t="s">
        <v>417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418</v>
      </c>
      <c r="B6" s="18">
        <v>20002837459</v>
      </c>
      <c r="C6" s="18" t="s">
        <v>419</v>
      </c>
      <c r="D6" s="19">
        <v>45338.009027777778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420</v>
      </c>
      <c r="K6" s="20"/>
      <c r="L6" s="7" t="s">
        <v>189</v>
      </c>
      <c r="M6" s="14">
        <f>COUNTIF(H:H,"รอชำระเงิน")</f>
        <v>31</v>
      </c>
      <c r="N6" s="11" t="s">
        <v>214</v>
      </c>
      <c r="O6" s="7" t="s">
        <v>359</v>
      </c>
    </row>
    <row r="7" spans="1:15" ht="36.75" thickBot="1">
      <c r="A7" s="18" t="s">
        <v>34</v>
      </c>
      <c r="B7" s="18">
        <v>20027347016</v>
      </c>
      <c r="C7" s="18" t="s">
        <v>35</v>
      </c>
      <c r="D7" s="19">
        <v>45358.665277777778</v>
      </c>
      <c r="E7" s="18" t="s">
        <v>10</v>
      </c>
      <c r="F7" s="18">
        <v>5</v>
      </c>
      <c r="G7" s="18" t="s">
        <v>10</v>
      </c>
      <c r="H7" s="18" t="s">
        <v>178</v>
      </c>
      <c r="I7" s="18" t="s">
        <v>10</v>
      </c>
      <c r="J7" s="18" t="s">
        <v>33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7" s="11" t="s">
        <v>214</v>
      </c>
    </row>
    <row r="8" spans="1:15" ht="36.75" thickBot="1">
      <c r="A8" s="18" t="s">
        <v>421</v>
      </c>
      <c r="B8" s="18">
        <v>20003003752</v>
      </c>
      <c r="C8" s="18" t="s">
        <v>422</v>
      </c>
      <c r="D8" s="19">
        <v>45372.461111111108</v>
      </c>
      <c r="E8" s="18" t="s">
        <v>10</v>
      </c>
      <c r="F8" s="18">
        <v>7.32</v>
      </c>
      <c r="G8" s="18" t="s">
        <v>10</v>
      </c>
      <c r="H8" s="18" t="s">
        <v>178</v>
      </c>
      <c r="I8" s="18" t="s">
        <v>10</v>
      </c>
      <c r="J8" s="18" t="s">
        <v>417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29</v>
      </c>
      <c r="N8" s="11" t="s">
        <v>214</v>
      </c>
    </row>
    <row r="9" spans="1:15" ht="36.75" thickBot="1">
      <c r="A9" s="18" t="s">
        <v>36</v>
      </c>
      <c r="B9" s="18">
        <v>20019270932</v>
      </c>
      <c r="C9" s="18" t="s">
        <v>37</v>
      </c>
      <c r="D9" s="19">
        <v>45343.488888888889</v>
      </c>
      <c r="E9" s="19">
        <v>45379.567361111112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33</v>
      </c>
      <c r="K9" s="20"/>
      <c r="L9" s="8" t="s">
        <v>2688</v>
      </c>
      <c r="M9" s="8">
        <f>COUNTIF(H:H,"รอแก้ไขเอกสารหลังอนุมัติเชื่อมต่อ / รับพิจารณา")</f>
        <v>0</v>
      </c>
      <c r="N9" s="8" t="s">
        <v>214</v>
      </c>
    </row>
    <row r="10" spans="1:15" ht="36.75" thickBot="1">
      <c r="A10" s="18" t="s">
        <v>31</v>
      </c>
      <c r="B10" s="18">
        <v>20024520511</v>
      </c>
      <c r="C10" s="18" t="s">
        <v>32</v>
      </c>
      <c r="D10" s="19">
        <v>45381.952777777777</v>
      </c>
      <c r="E10" s="18" t="s">
        <v>10</v>
      </c>
      <c r="F10" s="18">
        <v>5</v>
      </c>
      <c r="G10" s="18" t="s">
        <v>10</v>
      </c>
      <c r="H10" s="18" t="s">
        <v>178</v>
      </c>
      <c r="I10" s="18" t="s">
        <v>10</v>
      </c>
      <c r="J10" s="18" t="s">
        <v>33</v>
      </c>
      <c r="K10" s="20"/>
      <c r="L10" s="8" t="s">
        <v>2687</v>
      </c>
      <c r="M10" s="8">
        <f>COUNTIF(H:H,"รออนุมัติเชื่อมต่อ (200 kW ขึ้นไป)")</f>
        <v>0</v>
      </c>
      <c r="N10" s="8" t="s">
        <v>214</v>
      </c>
    </row>
    <row r="11" spans="1:15" ht="36.75" thickBot="1">
      <c r="A11" s="18" t="s">
        <v>424</v>
      </c>
      <c r="B11" s="18">
        <v>20002819120</v>
      </c>
      <c r="C11" s="18" t="s">
        <v>425</v>
      </c>
      <c r="D11" s="19">
        <v>45392.645138888889</v>
      </c>
      <c r="E11" s="18" t="s">
        <v>10</v>
      </c>
      <c r="F11" s="18">
        <v>5</v>
      </c>
      <c r="G11" s="18" t="s">
        <v>10</v>
      </c>
      <c r="H11" s="18" t="s">
        <v>178</v>
      </c>
      <c r="I11" s="18" t="s">
        <v>10</v>
      </c>
      <c r="J11" s="18" t="s">
        <v>417</v>
      </c>
      <c r="K11" s="20"/>
      <c r="L11" s="8" t="s">
        <v>2654</v>
      </c>
      <c r="M11" s="8">
        <f>COUNTIF(H:H,"รอตรวจสอบระบบผลิต")</f>
        <v>3</v>
      </c>
      <c r="N11" s="8" t="s">
        <v>214</v>
      </c>
    </row>
    <row r="12" spans="1:15" ht="36.75" thickBot="1">
      <c r="A12" s="18" t="s">
        <v>334</v>
      </c>
      <c r="B12" s="18">
        <v>20027347016</v>
      </c>
      <c r="C12" s="18" t="s">
        <v>35</v>
      </c>
      <c r="D12" s="19">
        <v>45405.607638888891</v>
      </c>
      <c r="E12" s="18" t="s">
        <v>10</v>
      </c>
      <c r="F12" s="18">
        <v>5</v>
      </c>
      <c r="G12" s="19">
        <v>45567.61041666667</v>
      </c>
      <c r="H12" s="18" t="s">
        <v>2657</v>
      </c>
      <c r="I12" s="18" t="s">
        <v>10</v>
      </c>
      <c r="J12" s="18" t="s">
        <v>33</v>
      </c>
      <c r="K12" s="20"/>
      <c r="L12" s="8" t="s">
        <v>2651</v>
      </c>
      <c r="M12" s="8">
        <f>COUNTIF(H:H,"รอทดสอบเชื่อมต่อ")</f>
        <v>0</v>
      </c>
      <c r="N12" s="8" t="s">
        <v>214</v>
      </c>
    </row>
    <row r="13" spans="1:15" ht="36.75" thickBot="1">
      <c r="A13" s="18" t="s">
        <v>336</v>
      </c>
      <c r="B13" s="18">
        <v>20022339461</v>
      </c>
      <c r="C13" s="18" t="s">
        <v>337</v>
      </c>
      <c r="D13" s="19">
        <v>45411.787499999999</v>
      </c>
      <c r="E13" s="18" t="s">
        <v>10</v>
      </c>
      <c r="F13" s="18">
        <v>20</v>
      </c>
      <c r="G13" s="18" t="s">
        <v>10</v>
      </c>
      <c r="H13" s="18" t="s">
        <v>178</v>
      </c>
      <c r="I13" s="18" t="s">
        <v>10</v>
      </c>
      <c r="J13" s="18" t="s">
        <v>33</v>
      </c>
      <c r="K13" s="20"/>
      <c r="L13" s="8" t="s">
        <v>2655</v>
      </c>
      <c r="M13" s="8">
        <f>COUNTIF(H:H,"รออนุมัติแจ้งวันเริ่มเชื่อมต่อ")</f>
        <v>0</v>
      </c>
      <c r="N13" s="8" t="s">
        <v>214</v>
      </c>
    </row>
    <row r="14" spans="1:15" ht="36.75" thickBot="1">
      <c r="A14" s="18" t="s">
        <v>429</v>
      </c>
      <c r="B14" s="18">
        <v>20022511316</v>
      </c>
      <c r="C14" s="18" t="s">
        <v>430</v>
      </c>
      <c r="D14" s="19">
        <v>45422.402777777781</v>
      </c>
      <c r="E14" s="18" t="s">
        <v>10</v>
      </c>
      <c r="F14" s="18">
        <v>10</v>
      </c>
      <c r="G14" s="18" t="s">
        <v>10</v>
      </c>
      <c r="H14" s="18" t="s">
        <v>178</v>
      </c>
      <c r="I14" s="18" t="s">
        <v>10</v>
      </c>
      <c r="J14" s="18" t="s">
        <v>431</v>
      </c>
      <c r="K14" s="20"/>
      <c r="L14" s="8" t="s">
        <v>236</v>
      </c>
      <c r="M14" s="8">
        <f>COUNTIF(H:H,"เชื่อมต่อเรียบร้อยแล้ว")</f>
        <v>87</v>
      </c>
      <c r="N14" s="8" t="s">
        <v>214</v>
      </c>
    </row>
    <row r="15" spans="1:15" ht="36.75" thickBot="1">
      <c r="A15" s="18" t="s">
        <v>432</v>
      </c>
      <c r="B15" s="18">
        <v>20003222703</v>
      </c>
      <c r="C15" s="18" t="s">
        <v>433</v>
      </c>
      <c r="D15" s="19">
        <v>45424.96597222222</v>
      </c>
      <c r="E15" s="18" t="s">
        <v>10</v>
      </c>
      <c r="F15" s="18">
        <v>5</v>
      </c>
      <c r="G15" s="19">
        <v>45638.402083333334</v>
      </c>
      <c r="H15" s="18" t="s">
        <v>236</v>
      </c>
      <c r="I15" s="18" t="s">
        <v>10</v>
      </c>
      <c r="J15" s="18" t="s">
        <v>417</v>
      </c>
      <c r="K15" s="20"/>
    </row>
    <row r="16" spans="1:15" ht="36.75" thickBot="1">
      <c r="A16" s="18" t="s">
        <v>589</v>
      </c>
      <c r="B16" s="18">
        <v>20021901130</v>
      </c>
      <c r="C16" s="18" t="s">
        <v>590</v>
      </c>
      <c r="D16" s="19">
        <v>45456.454861111109</v>
      </c>
      <c r="E16" s="18" t="s">
        <v>10</v>
      </c>
      <c r="F16" s="18">
        <v>8</v>
      </c>
      <c r="G16" s="19">
        <v>45617.411805555559</v>
      </c>
      <c r="H16" s="18" t="s">
        <v>236</v>
      </c>
      <c r="I16" s="18" t="s">
        <v>10</v>
      </c>
      <c r="J16" s="18" t="s">
        <v>431</v>
      </c>
      <c r="K16" s="20"/>
    </row>
    <row r="17" spans="1:11" ht="36.75" thickBot="1">
      <c r="A17" s="18" t="s">
        <v>591</v>
      </c>
      <c r="B17" s="18">
        <v>20003282467</v>
      </c>
      <c r="C17" s="18" t="s">
        <v>590</v>
      </c>
      <c r="D17" s="19">
        <v>45456.459027777775</v>
      </c>
      <c r="E17" s="18" t="s">
        <v>10</v>
      </c>
      <c r="F17" s="18">
        <v>4</v>
      </c>
      <c r="G17" s="19">
        <v>45617.411805555559</v>
      </c>
      <c r="H17" s="18" t="s">
        <v>236</v>
      </c>
      <c r="I17" s="18" t="s">
        <v>10</v>
      </c>
      <c r="J17" s="18" t="s">
        <v>431</v>
      </c>
      <c r="K17" s="20"/>
    </row>
    <row r="18" spans="1:11" ht="36.75" thickBot="1">
      <c r="A18" s="18" t="s">
        <v>592</v>
      </c>
      <c r="B18" s="18">
        <v>20002162192</v>
      </c>
      <c r="C18" s="18" t="s">
        <v>593</v>
      </c>
      <c r="D18" s="19">
        <v>45456.972916666666</v>
      </c>
      <c r="E18" s="18" t="s">
        <v>10</v>
      </c>
      <c r="F18" s="18">
        <v>3</v>
      </c>
      <c r="G18" s="18" t="s">
        <v>10</v>
      </c>
      <c r="H18" s="18" t="s">
        <v>178</v>
      </c>
      <c r="I18" s="18" t="s">
        <v>10</v>
      </c>
      <c r="J18" s="18" t="s">
        <v>412</v>
      </c>
      <c r="K18" s="20"/>
    </row>
    <row r="19" spans="1:11" ht="36.75" thickBot="1">
      <c r="A19" s="18" t="s">
        <v>594</v>
      </c>
      <c r="B19" s="18">
        <v>20003009984</v>
      </c>
      <c r="C19" s="18" t="s">
        <v>595</v>
      </c>
      <c r="D19" s="19">
        <v>45460.64166666667</v>
      </c>
      <c r="E19" s="18" t="s">
        <v>10</v>
      </c>
      <c r="F19" s="18">
        <v>3.3</v>
      </c>
      <c r="G19" s="18" t="s">
        <v>10</v>
      </c>
      <c r="H19" s="18" t="s">
        <v>178</v>
      </c>
      <c r="I19" s="18" t="s">
        <v>10</v>
      </c>
      <c r="J19" s="18" t="s">
        <v>412</v>
      </c>
      <c r="K19" s="20"/>
    </row>
    <row r="20" spans="1:11" ht="36.75" thickBot="1">
      <c r="A20" s="18" t="s">
        <v>596</v>
      </c>
      <c r="B20" s="18">
        <v>20023138602</v>
      </c>
      <c r="C20" s="18" t="s">
        <v>597</v>
      </c>
      <c r="D20" s="19">
        <v>45462.665972222225</v>
      </c>
      <c r="E20" s="18" t="s">
        <v>10</v>
      </c>
      <c r="F20" s="18">
        <v>5</v>
      </c>
      <c r="G20" s="19">
        <v>45562.616666666669</v>
      </c>
      <c r="H20" s="18" t="s">
        <v>2657</v>
      </c>
      <c r="I20" s="18" t="s">
        <v>10</v>
      </c>
      <c r="J20" s="18" t="s">
        <v>33</v>
      </c>
      <c r="K20" s="20"/>
    </row>
    <row r="21" spans="1:11" ht="36.75" thickBot="1">
      <c r="A21" s="18" t="s">
        <v>598</v>
      </c>
      <c r="B21" s="18">
        <v>20021933251</v>
      </c>
      <c r="C21" s="18">
        <v>5720600027796</v>
      </c>
      <c r="D21" s="19">
        <v>45463.463194444441</v>
      </c>
      <c r="E21" s="18" t="s">
        <v>10</v>
      </c>
      <c r="F21" s="18">
        <v>20</v>
      </c>
      <c r="G21" s="18" t="s">
        <v>10</v>
      </c>
      <c r="H21" s="18" t="s">
        <v>178</v>
      </c>
      <c r="I21" s="18" t="s">
        <v>10</v>
      </c>
      <c r="J21" s="18" t="s">
        <v>412</v>
      </c>
      <c r="K21" s="20"/>
    </row>
    <row r="22" spans="1:11" ht="36.75" thickBot="1">
      <c r="A22" s="18" t="s">
        <v>599</v>
      </c>
      <c r="B22" s="18">
        <v>20002717376</v>
      </c>
      <c r="C22" s="18" t="s">
        <v>600</v>
      </c>
      <c r="D22" s="19">
        <v>45464.45416666667</v>
      </c>
      <c r="E22" s="19">
        <v>45464.572222222225</v>
      </c>
      <c r="F22" s="18">
        <v>3.3</v>
      </c>
      <c r="G22" s="19">
        <v>45568.435416666667</v>
      </c>
      <c r="H22" s="18" t="s">
        <v>2657</v>
      </c>
      <c r="I22" s="18" t="s">
        <v>10</v>
      </c>
      <c r="J22" s="18" t="s">
        <v>33</v>
      </c>
      <c r="K22" s="20"/>
    </row>
    <row r="23" spans="1:11" ht="36.75" thickBot="1">
      <c r="A23" s="18" t="s">
        <v>603</v>
      </c>
      <c r="B23" s="18">
        <v>20024888893</v>
      </c>
      <c r="C23" s="18" t="s">
        <v>604</v>
      </c>
      <c r="D23" s="19">
        <v>45469.034722222219</v>
      </c>
      <c r="E23" s="18" t="s">
        <v>10</v>
      </c>
      <c r="F23" s="18">
        <v>10</v>
      </c>
      <c r="G23" s="18" t="s">
        <v>10</v>
      </c>
      <c r="H23" s="18" t="s">
        <v>178</v>
      </c>
      <c r="I23" s="18" t="s">
        <v>10</v>
      </c>
      <c r="J23" s="18" t="s">
        <v>33</v>
      </c>
      <c r="K23" s="20"/>
    </row>
    <row r="24" spans="1:11" ht="54.75" thickBot="1">
      <c r="A24" s="18" t="s">
        <v>605</v>
      </c>
      <c r="B24" s="18">
        <v>20021450847</v>
      </c>
      <c r="C24" s="18" t="s">
        <v>606</v>
      </c>
      <c r="D24" s="19">
        <v>45469.87777777778</v>
      </c>
      <c r="E24" s="18" t="s">
        <v>10</v>
      </c>
      <c r="F24" s="18">
        <v>10</v>
      </c>
      <c r="G24" s="18" t="s">
        <v>10</v>
      </c>
      <c r="H24" s="18" t="s">
        <v>178</v>
      </c>
      <c r="I24" s="18" t="s">
        <v>10</v>
      </c>
      <c r="J24" s="18" t="s">
        <v>412</v>
      </c>
      <c r="K24" s="20"/>
    </row>
    <row r="25" spans="1:11" ht="36.75" thickBot="1">
      <c r="A25" s="18" t="s">
        <v>333</v>
      </c>
      <c r="B25" s="18">
        <v>20024520511</v>
      </c>
      <c r="C25" s="18" t="s">
        <v>32</v>
      </c>
      <c r="D25" s="19">
        <v>45404.429861111108</v>
      </c>
      <c r="E25" s="19">
        <v>45488.573611111111</v>
      </c>
      <c r="F25" s="18">
        <v>5</v>
      </c>
      <c r="G25" s="19">
        <v>45590.642361111109</v>
      </c>
      <c r="H25" s="18" t="s">
        <v>2657</v>
      </c>
      <c r="I25" s="18" t="s">
        <v>10</v>
      </c>
      <c r="J25" s="18" t="s">
        <v>33</v>
      </c>
      <c r="K25" s="20"/>
    </row>
    <row r="26" spans="1:11" ht="36.75" thickBot="1">
      <c r="A26" s="18" t="s">
        <v>797</v>
      </c>
      <c r="B26" s="18">
        <v>20027690291</v>
      </c>
      <c r="C26" s="18" t="s">
        <v>798</v>
      </c>
      <c r="D26" s="19">
        <v>45489.586111111108</v>
      </c>
      <c r="E26" s="18" t="s">
        <v>10</v>
      </c>
      <c r="F26" s="18">
        <v>5</v>
      </c>
      <c r="G26" s="18" t="s">
        <v>10</v>
      </c>
      <c r="H26" s="18" t="s">
        <v>189</v>
      </c>
      <c r="I26" s="18" t="s">
        <v>10</v>
      </c>
      <c r="J26" s="18" t="s">
        <v>33</v>
      </c>
      <c r="K26" s="20"/>
    </row>
    <row r="27" spans="1:11" ht="36.75" thickBot="1">
      <c r="A27" s="18" t="s">
        <v>335</v>
      </c>
      <c r="B27" s="18">
        <v>20019270932</v>
      </c>
      <c r="C27" s="18" t="s">
        <v>37</v>
      </c>
      <c r="D27" s="19">
        <v>45407.417361111111</v>
      </c>
      <c r="E27" s="19">
        <v>45490.563194444447</v>
      </c>
      <c r="F27" s="18">
        <v>5</v>
      </c>
      <c r="G27" s="18" t="s">
        <v>10</v>
      </c>
      <c r="H27" s="18" t="s">
        <v>189</v>
      </c>
      <c r="I27" s="18" t="s">
        <v>10</v>
      </c>
      <c r="J27" s="18" t="s">
        <v>33</v>
      </c>
      <c r="K27" s="20"/>
    </row>
    <row r="28" spans="1:11" ht="36.75" thickBot="1">
      <c r="A28" s="18" t="s">
        <v>585</v>
      </c>
      <c r="B28" s="18">
        <v>20002837439</v>
      </c>
      <c r="C28" s="18" t="s">
        <v>586</v>
      </c>
      <c r="D28" s="19">
        <v>45448.686805555553</v>
      </c>
      <c r="E28" s="19">
        <v>45491.5</v>
      </c>
      <c r="F28" s="18">
        <v>10</v>
      </c>
      <c r="G28" s="19">
        <v>45574.456250000003</v>
      </c>
      <c r="H28" s="18" t="s">
        <v>2657</v>
      </c>
      <c r="I28" s="18" t="s">
        <v>10</v>
      </c>
      <c r="J28" s="18" t="s">
        <v>33</v>
      </c>
      <c r="K28" s="20"/>
    </row>
    <row r="29" spans="1:11" ht="36.75" thickBot="1">
      <c r="A29" s="18" t="s">
        <v>587</v>
      </c>
      <c r="B29" s="18">
        <v>20026899079</v>
      </c>
      <c r="C29" s="18" t="s">
        <v>588</v>
      </c>
      <c r="D29" s="19">
        <v>45449.5625</v>
      </c>
      <c r="E29" s="19">
        <v>45491.504861111112</v>
      </c>
      <c r="F29" s="18">
        <v>10</v>
      </c>
      <c r="G29" s="19">
        <v>45573.55</v>
      </c>
      <c r="H29" s="18" t="s">
        <v>2657</v>
      </c>
      <c r="I29" s="18" t="s">
        <v>10</v>
      </c>
      <c r="J29" s="18" t="s">
        <v>33</v>
      </c>
      <c r="K29" s="20"/>
    </row>
    <row r="30" spans="1:11" ht="36.75" thickBot="1">
      <c r="A30" s="18" t="s">
        <v>601</v>
      </c>
      <c r="B30" s="18">
        <v>20002808742</v>
      </c>
      <c r="C30" s="18" t="s">
        <v>602</v>
      </c>
      <c r="D30" s="19">
        <v>45468.577777777777</v>
      </c>
      <c r="E30" s="19">
        <v>45491.623611111114</v>
      </c>
      <c r="F30" s="18">
        <v>5</v>
      </c>
      <c r="G30" s="19">
        <v>45722.576388888891</v>
      </c>
      <c r="H30" s="18" t="s">
        <v>236</v>
      </c>
      <c r="I30" s="18" t="s">
        <v>10</v>
      </c>
      <c r="J30" s="18" t="s">
        <v>420</v>
      </c>
      <c r="K30" s="20"/>
    </row>
    <row r="31" spans="1:11" ht="36.75" thickBot="1">
      <c r="A31" s="18" t="s">
        <v>607</v>
      </c>
      <c r="B31" s="18">
        <v>20021933251</v>
      </c>
      <c r="C31" s="18" t="s">
        <v>608</v>
      </c>
      <c r="D31" s="19">
        <v>45470.544444444444</v>
      </c>
      <c r="E31" s="19">
        <v>45491.624305555553</v>
      </c>
      <c r="F31" s="18">
        <v>20</v>
      </c>
      <c r="G31" s="19">
        <v>45692.470833333333</v>
      </c>
      <c r="H31" s="18" t="s">
        <v>236</v>
      </c>
      <c r="I31" s="18" t="s">
        <v>10</v>
      </c>
      <c r="J31" s="18" t="s">
        <v>412</v>
      </c>
      <c r="K31" s="20"/>
    </row>
    <row r="32" spans="1:11" ht="36.75" thickBot="1">
      <c r="A32" s="18" t="s">
        <v>423</v>
      </c>
      <c r="B32" s="18">
        <v>20003003752</v>
      </c>
      <c r="C32" s="18" t="s">
        <v>416</v>
      </c>
      <c r="D32" s="19">
        <v>45372.98541666667</v>
      </c>
      <c r="E32" s="19">
        <v>45491.667361111111</v>
      </c>
      <c r="F32" s="18">
        <v>7.32</v>
      </c>
      <c r="G32" s="18" t="s">
        <v>10</v>
      </c>
      <c r="H32" s="18" t="s">
        <v>189</v>
      </c>
      <c r="I32" s="18" t="s">
        <v>10</v>
      </c>
      <c r="J32" s="18" t="s">
        <v>417</v>
      </c>
      <c r="K32" s="20"/>
    </row>
    <row r="33" spans="1:11" ht="36.75" thickBot="1">
      <c r="A33" s="18" t="s">
        <v>682</v>
      </c>
      <c r="B33" s="18">
        <v>20002993041</v>
      </c>
      <c r="C33" s="18" t="s">
        <v>215</v>
      </c>
      <c r="D33" s="19">
        <v>45475.755555555559</v>
      </c>
      <c r="E33" s="19">
        <v>45491.727083333331</v>
      </c>
      <c r="F33" s="18">
        <v>20</v>
      </c>
      <c r="G33" s="19">
        <v>45576.578472222223</v>
      </c>
      <c r="H33" s="18" t="s">
        <v>236</v>
      </c>
      <c r="I33" s="18" t="s">
        <v>10</v>
      </c>
      <c r="J33" s="18" t="s">
        <v>33</v>
      </c>
      <c r="K33" s="20"/>
    </row>
    <row r="34" spans="1:11" ht="36.75" thickBot="1">
      <c r="A34" s="18" t="s">
        <v>683</v>
      </c>
      <c r="B34" s="18">
        <v>20002737908</v>
      </c>
      <c r="C34" s="18" t="s">
        <v>684</v>
      </c>
      <c r="D34" s="19">
        <v>45480.95208333333</v>
      </c>
      <c r="E34" s="19">
        <v>45491.800694444442</v>
      </c>
      <c r="F34" s="18">
        <v>15</v>
      </c>
      <c r="G34" s="19">
        <v>45576.625694444447</v>
      </c>
      <c r="H34" s="18" t="s">
        <v>2657</v>
      </c>
      <c r="I34" s="18" t="s">
        <v>10</v>
      </c>
      <c r="J34" s="18" t="s">
        <v>33</v>
      </c>
      <c r="K34" s="20"/>
    </row>
    <row r="35" spans="1:11" ht="36.75" thickBot="1">
      <c r="A35" s="18" t="s">
        <v>799</v>
      </c>
      <c r="B35" s="18">
        <v>20016370743</v>
      </c>
      <c r="C35" s="18" t="s">
        <v>800</v>
      </c>
      <c r="D35" s="19">
        <v>45492.45208333333</v>
      </c>
      <c r="E35" s="18" t="s">
        <v>10</v>
      </c>
      <c r="F35" s="18">
        <v>20</v>
      </c>
      <c r="G35" s="18" t="s">
        <v>10</v>
      </c>
      <c r="H35" s="18" t="s">
        <v>178</v>
      </c>
      <c r="I35" s="18" t="s">
        <v>10</v>
      </c>
      <c r="J35" s="18" t="s">
        <v>33</v>
      </c>
      <c r="K35" s="20"/>
    </row>
    <row r="36" spans="1:11" ht="54.75" thickBot="1">
      <c r="A36" s="18" t="s">
        <v>801</v>
      </c>
      <c r="B36" s="18">
        <v>20003149360</v>
      </c>
      <c r="C36" s="18" t="s">
        <v>802</v>
      </c>
      <c r="D36" s="19">
        <v>45492.896527777775</v>
      </c>
      <c r="E36" s="18" t="s">
        <v>10</v>
      </c>
      <c r="F36" s="18">
        <v>10</v>
      </c>
      <c r="G36" s="18" t="s">
        <v>10</v>
      </c>
      <c r="H36" s="18" t="s">
        <v>178</v>
      </c>
      <c r="I36" s="18" t="s">
        <v>10</v>
      </c>
      <c r="J36" s="18" t="s">
        <v>417</v>
      </c>
      <c r="K36" s="20"/>
    </row>
    <row r="37" spans="1:11" ht="36.75" thickBot="1">
      <c r="A37" s="18" t="s">
        <v>803</v>
      </c>
      <c r="B37" s="18">
        <v>20021621921</v>
      </c>
      <c r="C37" s="18" t="s">
        <v>593</v>
      </c>
      <c r="D37" s="19">
        <v>45493.759722222225</v>
      </c>
      <c r="E37" s="18" t="s">
        <v>10</v>
      </c>
      <c r="F37" s="18">
        <v>3</v>
      </c>
      <c r="G37" s="19">
        <v>45611.552083333336</v>
      </c>
      <c r="H37" s="18" t="s">
        <v>236</v>
      </c>
      <c r="I37" s="18" t="s">
        <v>10</v>
      </c>
      <c r="J37" s="18" t="s">
        <v>412</v>
      </c>
      <c r="K37" s="20"/>
    </row>
    <row r="38" spans="1:11" ht="36.75" thickBot="1">
      <c r="A38" s="18" t="s">
        <v>357</v>
      </c>
      <c r="B38" s="18">
        <v>20026369350</v>
      </c>
      <c r="C38" s="18" t="s">
        <v>358</v>
      </c>
      <c r="D38" s="19">
        <v>45417.549305555556</v>
      </c>
      <c r="E38" s="19">
        <v>45495.395138888889</v>
      </c>
      <c r="F38" s="18">
        <v>10</v>
      </c>
      <c r="G38" s="18" t="s">
        <v>10</v>
      </c>
      <c r="H38" s="18" t="s">
        <v>189</v>
      </c>
      <c r="I38" s="18" t="s">
        <v>10</v>
      </c>
      <c r="J38" s="18" t="s">
        <v>33</v>
      </c>
      <c r="K38" s="20"/>
    </row>
    <row r="39" spans="1:11" ht="36.75" thickBot="1">
      <c r="A39" s="18" t="s">
        <v>806</v>
      </c>
      <c r="B39" s="18">
        <v>20016643376</v>
      </c>
      <c r="C39" s="18" t="s">
        <v>807</v>
      </c>
      <c r="D39" s="19">
        <v>45495.728472222225</v>
      </c>
      <c r="E39" s="18" t="s">
        <v>10</v>
      </c>
      <c r="F39" s="18">
        <v>5</v>
      </c>
      <c r="G39" s="18" t="s">
        <v>10</v>
      </c>
      <c r="H39" s="18" t="s">
        <v>189</v>
      </c>
      <c r="I39" s="18" t="s">
        <v>10</v>
      </c>
      <c r="J39" s="18" t="s">
        <v>417</v>
      </c>
      <c r="K39" s="20"/>
    </row>
    <row r="40" spans="1:11" ht="72.75" thickBot="1">
      <c r="A40" s="18" t="s">
        <v>436</v>
      </c>
      <c r="B40" s="18">
        <v>20023927972</v>
      </c>
      <c r="C40" s="18" t="s">
        <v>437</v>
      </c>
      <c r="D40" s="19">
        <v>45432.629166666666</v>
      </c>
      <c r="E40" s="19">
        <v>45497.53125</v>
      </c>
      <c r="F40" s="18">
        <v>20</v>
      </c>
      <c r="G40" s="19">
        <v>45629.454861111109</v>
      </c>
      <c r="H40" s="18" t="s">
        <v>236</v>
      </c>
      <c r="I40" s="18" t="s">
        <v>10</v>
      </c>
      <c r="J40" s="18" t="s">
        <v>417</v>
      </c>
      <c r="K40" s="20"/>
    </row>
    <row r="41" spans="1:11" ht="36.75" thickBot="1">
      <c r="A41" s="18" t="s">
        <v>426</v>
      </c>
      <c r="B41" s="18">
        <v>20023782118</v>
      </c>
      <c r="C41" s="18" t="s">
        <v>256</v>
      </c>
      <c r="D41" s="19">
        <v>45407.638888888891</v>
      </c>
      <c r="E41" s="19">
        <v>45497.681250000001</v>
      </c>
      <c r="F41" s="18">
        <v>4.5999999999999996</v>
      </c>
      <c r="G41" s="19">
        <v>45611.604861111111</v>
      </c>
      <c r="H41" s="18" t="s">
        <v>236</v>
      </c>
      <c r="I41" s="18" t="s">
        <v>10</v>
      </c>
      <c r="J41" s="18" t="s">
        <v>420</v>
      </c>
      <c r="K41" s="20"/>
    </row>
    <row r="42" spans="1:11" ht="54.75" thickBot="1">
      <c r="A42" s="18" t="s">
        <v>434</v>
      </c>
      <c r="B42" s="18">
        <v>20019552656</v>
      </c>
      <c r="C42" s="18" t="s">
        <v>435</v>
      </c>
      <c r="D42" s="19">
        <v>45427.638194444444</v>
      </c>
      <c r="E42" s="19">
        <v>45499.449305555558</v>
      </c>
      <c r="F42" s="18">
        <v>3</v>
      </c>
      <c r="G42" s="19">
        <v>45615.637499999997</v>
      </c>
      <c r="H42" s="18" t="s">
        <v>236</v>
      </c>
      <c r="I42" s="18" t="s">
        <v>10</v>
      </c>
      <c r="J42" s="18" t="s">
        <v>431</v>
      </c>
      <c r="K42" s="20"/>
    </row>
    <row r="43" spans="1:11" ht="36.75" thickBot="1">
      <c r="A43" s="18" t="s">
        <v>808</v>
      </c>
      <c r="B43" s="18">
        <v>20003166404</v>
      </c>
      <c r="C43" s="18" t="s">
        <v>703</v>
      </c>
      <c r="D43" s="19">
        <v>45503.457638888889</v>
      </c>
      <c r="E43" s="18" t="s">
        <v>10</v>
      </c>
      <c r="F43" s="18">
        <v>10</v>
      </c>
      <c r="G43" s="19">
        <v>45611.60833333333</v>
      </c>
      <c r="H43" s="18" t="s">
        <v>236</v>
      </c>
      <c r="I43" s="18" t="s">
        <v>10</v>
      </c>
      <c r="J43" s="18" t="s">
        <v>417</v>
      </c>
      <c r="K43" s="20"/>
    </row>
    <row r="44" spans="1:11" ht="36.75" thickBot="1">
      <c r="A44" s="18" t="s">
        <v>809</v>
      </c>
      <c r="B44" s="18">
        <v>20002812963</v>
      </c>
      <c r="C44" s="18" t="s">
        <v>703</v>
      </c>
      <c r="D44" s="19">
        <v>45503.47152777778</v>
      </c>
      <c r="E44" s="18" t="s">
        <v>10</v>
      </c>
      <c r="F44" s="18">
        <v>10</v>
      </c>
      <c r="G44" s="19">
        <v>45611.60833333333</v>
      </c>
      <c r="H44" s="18" t="s">
        <v>236</v>
      </c>
      <c r="I44" s="18" t="s">
        <v>10</v>
      </c>
      <c r="J44" s="18" t="s">
        <v>412</v>
      </c>
      <c r="K44" s="20"/>
    </row>
    <row r="45" spans="1:11" ht="36.75" thickBot="1">
      <c r="A45" s="18" t="s">
        <v>583</v>
      </c>
      <c r="B45" s="18">
        <v>20019554562</v>
      </c>
      <c r="C45" s="18" t="s">
        <v>584</v>
      </c>
      <c r="D45" s="19">
        <v>45442.652083333334</v>
      </c>
      <c r="E45" s="19">
        <v>45505.579861111109</v>
      </c>
      <c r="F45" s="18">
        <v>15</v>
      </c>
      <c r="G45" s="19">
        <v>45642.397222222222</v>
      </c>
      <c r="H45" s="18" t="s">
        <v>2657</v>
      </c>
      <c r="I45" s="18" t="s">
        <v>10</v>
      </c>
      <c r="J45" s="18" t="s">
        <v>431</v>
      </c>
      <c r="K45" s="20"/>
    </row>
    <row r="46" spans="1:11" ht="54.75" thickBot="1">
      <c r="A46" s="18" t="s">
        <v>989</v>
      </c>
      <c r="B46" s="18">
        <v>20002783820</v>
      </c>
      <c r="C46" s="18" t="s">
        <v>990</v>
      </c>
      <c r="D46" s="19">
        <v>45515.913194444445</v>
      </c>
      <c r="E46" s="18" t="s">
        <v>10</v>
      </c>
      <c r="F46" s="18">
        <v>10</v>
      </c>
      <c r="G46" s="19">
        <v>45622.587500000001</v>
      </c>
      <c r="H46" s="18" t="s">
        <v>236</v>
      </c>
      <c r="I46" s="18" t="s">
        <v>10</v>
      </c>
      <c r="J46" s="18" t="s">
        <v>412</v>
      </c>
      <c r="K46" s="20"/>
    </row>
    <row r="47" spans="1:11" ht="54.75" thickBot="1">
      <c r="A47" s="18" t="s">
        <v>991</v>
      </c>
      <c r="B47" s="18">
        <v>20002783347</v>
      </c>
      <c r="C47" s="18" t="s">
        <v>992</v>
      </c>
      <c r="D47" s="19">
        <v>45515.927777777775</v>
      </c>
      <c r="E47" s="18" t="s">
        <v>10</v>
      </c>
      <c r="F47" s="18">
        <v>10</v>
      </c>
      <c r="G47" s="19">
        <v>45622.587500000001</v>
      </c>
      <c r="H47" s="18" t="s">
        <v>236</v>
      </c>
      <c r="I47" s="18" t="s">
        <v>10</v>
      </c>
      <c r="J47" s="18" t="s">
        <v>412</v>
      </c>
      <c r="K47" s="20"/>
    </row>
    <row r="48" spans="1:11" ht="72.75" thickBot="1">
      <c r="A48" s="18" t="s">
        <v>995</v>
      </c>
      <c r="B48" s="18">
        <v>20026651662</v>
      </c>
      <c r="C48" s="18" t="s">
        <v>951</v>
      </c>
      <c r="D48" s="19">
        <v>45521.682638888888</v>
      </c>
      <c r="E48" s="18" t="s">
        <v>10</v>
      </c>
      <c r="F48" s="18">
        <v>6</v>
      </c>
      <c r="G48" s="18" t="s">
        <v>10</v>
      </c>
      <c r="H48" s="18" t="s">
        <v>189</v>
      </c>
      <c r="I48" s="18" t="s">
        <v>10</v>
      </c>
      <c r="J48" s="18" t="s">
        <v>417</v>
      </c>
      <c r="K48" s="20"/>
    </row>
    <row r="49" spans="1:11" ht="72.75" thickBot="1">
      <c r="A49" s="18" t="s">
        <v>996</v>
      </c>
      <c r="B49" s="18">
        <v>20026651684</v>
      </c>
      <c r="C49" s="18" t="s">
        <v>951</v>
      </c>
      <c r="D49" s="19">
        <v>45521.696527777778</v>
      </c>
      <c r="E49" s="18" t="s">
        <v>10</v>
      </c>
      <c r="F49" s="18">
        <v>6</v>
      </c>
      <c r="G49" s="18" t="s">
        <v>10</v>
      </c>
      <c r="H49" s="18" t="s">
        <v>189</v>
      </c>
      <c r="I49" s="18" t="s">
        <v>10</v>
      </c>
      <c r="J49" s="18" t="s">
        <v>420</v>
      </c>
      <c r="K49" s="20"/>
    </row>
    <row r="50" spans="1:11" ht="36.75" thickBot="1">
      <c r="A50" s="18" t="s">
        <v>999</v>
      </c>
      <c r="B50" s="18">
        <v>20002702469</v>
      </c>
      <c r="C50" s="18" t="s">
        <v>1000</v>
      </c>
      <c r="D50" s="19">
        <v>45527.39166666667</v>
      </c>
      <c r="E50" s="18" t="s">
        <v>10</v>
      </c>
      <c r="F50" s="18">
        <v>5</v>
      </c>
      <c r="G50" s="18" t="s">
        <v>10</v>
      </c>
      <c r="H50" s="18" t="s">
        <v>178</v>
      </c>
      <c r="I50" s="18" t="s">
        <v>10</v>
      </c>
      <c r="J50" s="18" t="s">
        <v>420</v>
      </c>
      <c r="K50" s="20"/>
    </row>
    <row r="51" spans="1:11" ht="36.75" thickBot="1">
      <c r="A51" s="18" t="s">
        <v>1134</v>
      </c>
      <c r="B51" s="18">
        <v>20002768647</v>
      </c>
      <c r="C51" s="18" t="s">
        <v>1135</v>
      </c>
      <c r="D51" s="19">
        <v>45537.59375</v>
      </c>
      <c r="E51" s="18" t="s">
        <v>10</v>
      </c>
      <c r="F51" s="18">
        <v>15</v>
      </c>
      <c r="G51" s="18" t="s">
        <v>10</v>
      </c>
      <c r="H51" s="18" t="s">
        <v>189</v>
      </c>
      <c r="I51" s="18" t="s">
        <v>10</v>
      </c>
      <c r="J51" s="18" t="s">
        <v>417</v>
      </c>
      <c r="K51" s="20"/>
    </row>
    <row r="52" spans="1:11" ht="36.75" thickBot="1">
      <c r="A52" s="18" t="s">
        <v>1136</v>
      </c>
      <c r="B52" s="18">
        <v>20002975074</v>
      </c>
      <c r="C52" s="18" t="s">
        <v>1137</v>
      </c>
      <c r="D52" s="19">
        <v>45539.020833333336</v>
      </c>
      <c r="E52" s="18" t="s">
        <v>10</v>
      </c>
      <c r="F52" s="18">
        <v>5</v>
      </c>
      <c r="G52" s="19">
        <v>45617.627083333333</v>
      </c>
      <c r="H52" s="18" t="s">
        <v>236</v>
      </c>
      <c r="I52" s="18" t="s">
        <v>10</v>
      </c>
      <c r="J52" s="18" t="s">
        <v>33</v>
      </c>
      <c r="K52" s="20"/>
    </row>
    <row r="53" spans="1:11" ht="36.75" thickBot="1">
      <c r="A53" s="18" t="s">
        <v>1142</v>
      </c>
      <c r="B53" s="18">
        <v>20003023321</v>
      </c>
      <c r="C53" s="18" t="s">
        <v>1143</v>
      </c>
      <c r="D53" s="19">
        <v>45547.745138888888</v>
      </c>
      <c r="E53" s="18" t="s">
        <v>10</v>
      </c>
      <c r="F53" s="18">
        <v>5</v>
      </c>
      <c r="G53" s="18" t="s">
        <v>10</v>
      </c>
      <c r="H53" s="18" t="s">
        <v>189</v>
      </c>
      <c r="I53" s="18" t="s">
        <v>10</v>
      </c>
      <c r="J53" s="18" t="s">
        <v>33</v>
      </c>
      <c r="K53" s="20"/>
    </row>
    <row r="54" spans="1:11" ht="36.75" thickBot="1">
      <c r="A54" s="18" t="s">
        <v>1144</v>
      </c>
      <c r="B54" s="18">
        <v>20022668804</v>
      </c>
      <c r="C54" s="18" t="s">
        <v>1145</v>
      </c>
      <c r="D54" s="19">
        <v>45547.759722222225</v>
      </c>
      <c r="E54" s="18" t="s">
        <v>10</v>
      </c>
      <c r="F54" s="18">
        <v>5</v>
      </c>
      <c r="G54" s="18" t="s">
        <v>10</v>
      </c>
      <c r="H54" s="18" t="s">
        <v>189</v>
      </c>
      <c r="I54" s="18" t="s">
        <v>10</v>
      </c>
      <c r="J54" s="18" t="s">
        <v>431</v>
      </c>
      <c r="K54" s="20"/>
    </row>
    <row r="55" spans="1:11" ht="36.75" thickBot="1">
      <c r="A55" s="18" t="s">
        <v>1146</v>
      </c>
      <c r="B55" s="18">
        <v>20002783522</v>
      </c>
      <c r="C55" s="18" t="s">
        <v>1147</v>
      </c>
      <c r="D55" s="19">
        <v>45539.439583333333</v>
      </c>
      <c r="E55" s="19">
        <v>45548.558333333334</v>
      </c>
      <c r="F55" s="18">
        <v>15</v>
      </c>
      <c r="G55" s="19">
        <v>45565.466666666667</v>
      </c>
      <c r="H55" s="18" t="s">
        <v>236</v>
      </c>
      <c r="I55" s="18" t="s">
        <v>10</v>
      </c>
      <c r="J55" s="18" t="s">
        <v>412</v>
      </c>
      <c r="K55" s="20"/>
    </row>
    <row r="56" spans="1:11" ht="36.75" thickBot="1">
      <c r="A56" s="18" t="s">
        <v>1148</v>
      </c>
      <c r="B56" s="18">
        <v>20003149666</v>
      </c>
      <c r="C56" s="18" t="s">
        <v>1149</v>
      </c>
      <c r="D56" s="19">
        <v>45542.663888888892</v>
      </c>
      <c r="E56" s="19">
        <v>45548.561111111114</v>
      </c>
      <c r="F56" s="18">
        <v>15</v>
      </c>
      <c r="G56" s="19">
        <v>45565.441666666666</v>
      </c>
      <c r="H56" s="18" t="s">
        <v>2657</v>
      </c>
      <c r="I56" s="18" t="s">
        <v>10</v>
      </c>
      <c r="J56" s="18" t="s">
        <v>417</v>
      </c>
      <c r="K56" s="20"/>
    </row>
    <row r="57" spans="1:11" ht="36.75" thickBot="1">
      <c r="A57" s="18" t="s">
        <v>1150</v>
      </c>
      <c r="B57" s="18">
        <v>20023642780</v>
      </c>
      <c r="C57" s="18" t="s">
        <v>1151</v>
      </c>
      <c r="D57" s="19">
        <v>45548.620138888888</v>
      </c>
      <c r="E57" s="18" t="s">
        <v>10</v>
      </c>
      <c r="F57" s="18">
        <v>5</v>
      </c>
      <c r="G57" s="18" t="s">
        <v>10</v>
      </c>
      <c r="H57" s="18" t="s">
        <v>178</v>
      </c>
      <c r="I57" s="18" t="s">
        <v>10</v>
      </c>
      <c r="J57" s="18" t="s">
        <v>420</v>
      </c>
      <c r="K57" s="20"/>
    </row>
    <row r="58" spans="1:11" ht="36.75" thickBot="1">
      <c r="A58" s="18" t="s">
        <v>1267</v>
      </c>
      <c r="B58" s="18">
        <v>20022874960</v>
      </c>
      <c r="C58" s="18" t="s">
        <v>1268</v>
      </c>
      <c r="D58" s="19">
        <v>45556.64166666667</v>
      </c>
      <c r="E58" s="18" t="s">
        <v>10</v>
      </c>
      <c r="F58" s="18">
        <v>15</v>
      </c>
      <c r="G58" s="19">
        <v>45751.660416666666</v>
      </c>
      <c r="H58" s="18" t="s">
        <v>236</v>
      </c>
      <c r="I58" s="18" t="s">
        <v>10</v>
      </c>
      <c r="J58" s="18" t="s">
        <v>412</v>
      </c>
      <c r="K58" s="20"/>
    </row>
    <row r="59" spans="1:11" ht="54.75" thickBot="1">
      <c r="A59" s="18" t="s">
        <v>993</v>
      </c>
      <c r="B59" s="18">
        <v>900102000287</v>
      </c>
      <c r="C59" s="18" t="s">
        <v>994</v>
      </c>
      <c r="D59" s="19">
        <v>45518.993750000001</v>
      </c>
      <c r="E59" s="19">
        <v>45558.803472222222</v>
      </c>
      <c r="F59" s="18">
        <v>15</v>
      </c>
      <c r="G59" s="18" t="s">
        <v>10</v>
      </c>
      <c r="H59" s="18" t="s">
        <v>178</v>
      </c>
      <c r="I59" s="18" t="s">
        <v>10</v>
      </c>
      <c r="J59" s="18" t="s">
        <v>33</v>
      </c>
      <c r="K59" s="20"/>
    </row>
    <row r="60" spans="1:11" ht="36.75" thickBot="1">
      <c r="A60" s="18" t="s">
        <v>1269</v>
      </c>
      <c r="B60" s="18">
        <v>20027414103</v>
      </c>
      <c r="C60" s="18" t="s">
        <v>337</v>
      </c>
      <c r="D60" s="19">
        <v>45560.494444444441</v>
      </c>
      <c r="E60" s="18" t="s">
        <v>10</v>
      </c>
      <c r="F60" s="18">
        <v>20</v>
      </c>
      <c r="G60" s="19">
        <v>45666.476388888892</v>
      </c>
      <c r="H60" s="18" t="s">
        <v>236</v>
      </c>
      <c r="I60" s="18" t="s">
        <v>10</v>
      </c>
      <c r="J60" s="18" t="s">
        <v>33</v>
      </c>
      <c r="K60" s="20"/>
    </row>
    <row r="61" spans="1:11" ht="36.75" thickBot="1">
      <c r="A61" s="18" t="s">
        <v>1270</v>
      </c>
      <c r="B61" s="18">
        <v>20002878057</v>
      </c>
      <c r="C61" s="18" t="s">
        <v>1271</v>
      </c>
      <c r="D61" s="19">
        <v>45560.602083333331</v>
      </c>
      <c r="E61" s="18" t="s">
        <v>10</v>
      </c>
      <c r="F61" s="18">
        <v>15</v>
      </c>
      <c r="G61" s="19">
        <v>45565.37777777778</v>
      </c>
      <c r="H61" s="18" t="s">
        <v>236</v>
      </c>
      <c r="I61" s="18" t="s">
        <v>10</v>
      </c>
      <c r="J61" s="18" t="s">
        <v>33</v>
      </c>
      <c r="K61" s="20"/>
    </row>
    <row r="62" spans="1:11" ht="36.75" thickBot="1">
      <c r="A62" s="18" t="s">
        <v>1001</v>
      </c>
      <c r="B62" s="18">
        <v>20002882577</v>
      </c>
      <c r="C62" s="18" t="s">
        <v>1002</v>
      </c>
      <c r="D62" s="19">
        <v>45530.638888888891</v>
      </c>
      <c r="E62" s="19">
        <v>45567.753472222219</v>
      </c>
      <c r="F62" s="18">
        <v>15</v>
      </c>
      <c r="G62" s="18" t="s">
        <v>10</v>
      </c>
      <c r="H62" s="18" t="s">
        <v>189</v>
      </c>
      <c r="I62" s="18" t="s">
        <v>10</v>
      </c>
      <c r="J62" s="18" t="s">
        <v>33</v>
      </c>
      <c r="K62" s="20"/>
    </row>
    <row r="63" spans="1:11" ht="54.75" thickBot="1">
      <c r="A63" s="18" t="s">
        <v>685</v>
      </c>
      <c r="B63" s="18">
        <v>20002693880</v>
      </c>
      <c r="C63" s="18" t="s">
        <v>686</v>
      </c>
      <c r="D63" s="19">
        <v>45488.500694444447</v>
      </c>
      <c r="E63" s="19">
        <v>45569.425000000003</v>
      </c>
      <c r="F63" s="18">
        <v>20</v>
      </c>
      <c r="G63" s="19">
        <v>45712.402777777781</v>
      </c>
      <c r="H63" s="18" t="s">
        <v>236</v>
      </c>
      <c r="I63" s="18" t="s">
        <v>10</v>
      </c>
      <c r="J63" s="18" t="s">
        <v>33</v>
      </c>
      <c r="K63" s="20"/>
    </row>
    <row r="64" spans="1:11" ht="36.75" thickBot="1">
      <c r="A64" s="18" t="s">
        <v>427</v>
      </c>
      <c r="B64" s="18">
        <v>20021944610</v>
      </c>
      <c r="C64" s="18" t="s">
        <v>428</v>
      </c>
      <c r="D64" s="19">
        <v>45418.560416666667</v>
      </c>
      <c r="E64" s="19">
        <v>45569.515972222223</v>
      </c>
      <c r="F64" s="18">
        <v>5</v>
      </c>
      <c r="G64" s="19">
        <v>45614.578472222223</v>
      </c>
      <c r="H64" s="18" t="s">
        <v>236</v>
      </c>
      <c r="I64" s="18" t="s">
        <v>10</v>
      </c>
      <c r="J64" s="18" t="s">
        <v>412</v>
      </c>
      <c r="K64" s="20"/>
    </row>
    <row r="65" spans="1:11" ht="36.75" thickBot="1">
      <c r="A65" s="18" t="s">
        <v>1381</v>
      </c>
      <c r="B65" s="18">
        <v>20027307026</v>
      </c>
      <c r="C65" s="18" t="s">
        <v>1382</v>
      </c>
      <c r="D65" s="19">
        <v>45571.482638888891</v>
      </c>
      <c r="E65" s="18" t="s">
        <v>10</v>
      </c>
      <c r="F65" s="18">
        <v>19</v>
      </c>
      <c r="G65" s="19">
        <v>45756.605555555558</v>
      </c>
      <c r="H65" s="18" t="s">
        <v>236</v>
      </c>
      <c r="I65" s="18" t="s">
        <v>10</v>
      </c>
      <c r="J65" s="18" t="s">
        <v>412</v>
      </c>
      <c r="K65" s="20"/>
    </row>
    <row r="66" spans="1:11" ht="36.75" thickBot="1">
      <c r="A66" s="18" t="s">
        <v>804</v>
      </c>
      <c r="B66" s="18">
        <v>20024092135</v>
      </c>
      <c r="C66" s="18" t="s">
        <v>805</v>
      </c>
      <c r="D66" s="19">
        <v>45494.642361111109</v>
      </c>
      <c r="E66" s="19">
        <v>45572.417361111111</v>
      </c>
      <c r="F66" s="18">
        <v>10</v>
      </c>
      <c r="G66" s="19">
        <v>45726.519444444442</v>
      </c>
      <c r="H66" s="18" t="s">
        <v>236</v>
      </c>
      <c r="I66" s="18" t="s">
        <v>10</v>
      </c>
      <c r="J66" s="18" t="s">
        <v>431</v>
      </c>
      <c r="K66" s="20"/>
    </row>
    <row r="67" spans="1:11" ht="36.75" thickBot="1">
      <c r="A67" s="18" t="s">
        <v>1003</v>
      </c>
      <c r="B67" s="18">
        <v>20002828962</v>
      </c>
      <c r="C67" s="18" t="s">
        <v>1004</v>
      </c>
      <c r="D67" s="19">
        <v>45531.620138888888</v>
      </c>
      <c r="E67" s="19">
        <v>45581.473611111112</v>
      </c>
      <c r="F67" s="18">
        <v>6</v>
      </c>
      <c r="G67" s="19">
        <v>45685.564583333333</v>
      </c>
      <c r="H67" s="18" t="s">
        <v>236</v>
      </c>
      <c r="I67" s="18" t="s">
        <v>10</v>
      </c>
      <c r="J67" s="18" t="s">
        <v>33</v>
      </c>
      <c r="K67" s="20"/>
    </row>
    <row r="68" spans="1:11" ht="36.75" thickBot="1">
      <c r="A68" s="18" t="s">
        <v>1490</v>
      </c>
      <c r="B68" s="18">
        <v>20024044297</v>
      </c>
      <c r="C68" s="18" t="s">
        <v>1491</v>
      </c>
      <c r="D68" s="19">
        <v>45582.956944444442</v>
      </c>
      <c r="E68" s="18" t="s">
        <v>10</v>
      </c>
      <c r="F68" s="18">
        <v>5</v>
      </c>
      <c r="G68" s="19">
        <v>45642.385416666664</v>
      </c>
      <c r="H68" s="18" t="s">
        <v>236</v>
      </c>
      <c r="I68" s="18" t="s">
        <v>10</v>
      </c>
      <c r="J68" s="18" t="s">
        <v>420</v>
      </c>
      <c r="K68" s="20"/>
    </row>
    <row r="69" spans="1:11" ht="36.75" thickBot="1">
      <c r="A69" s="18" t="s">
        <v>1005</v>
      </c>
      <c r="B69" s="18">
        <v>20002762367</v>
      </c>
      <c r="C69" s="18" t="s">
        <v>1006</v>
      </c>
      <c r="D69" s="19">
        <v>45532.511805555558</v>
      </c>
      <c r="E69" s="19">
        <v>45584.477083333331</v>
      </c>
      <c r="F69" s="18">
        <v>5</v>
      </c>
      <c r="G69" s="19">
        <v>45623.594444444447</v>
      </c>
      <c r="H69" s="18" t="s">
        <v>236</v>
      </c>
      <c r="I69" s="18" t="s">
        <v>10</v>
      </c>
      <c r="J69" s="18" t="s">
        <v>33</v>
      </c>
      <c r="K69" s="20"/>
    </row>
    <row r="70" spans="1:11" ht="36.75" thickBot="1">
      <c r="A70" s="18" t="s">
        <v>1492</v>
      </c>
      <c r="B70" s="18">
        <v>20003149488</v>
      </c>
      <c r="C70" s="18" t="s">
        <v>1493</v>
      </c>
      <c r="D70" s="19">
        <v>45584.611111111109</v>
      </c>
      <c r="E70" s="19">
        <v>45586.364583333336</v>
      </c>
      <c r="F70" s="18">
        <v>15</v>
      </c>
      <c r="G70" s="19">
        <v>45610.593055555553</v>
      </c>
      <c r="H70" s="18" t="s">
        <v>236</v>
      </c>
      <c r="I70" s="18" t="s">
        <v>10</v>
      </c>
      <c r="J70" s="18" t="s">
        <v>417</v>
      </c>
      <c r="K70" s="20"/>
    </row>
    <row r="71" spans="1:11" ht="72.75" thickBot="1">
      <c r="A71" s="18" t="s">
        <v>998</v>
      </c>
      <c r="B71" s="18">
        <v>20026652224</v>
      </c>
      <c r="C71" s="18" t="s">
        <v>951</v>
      </c>
      <c r="D71" s="19">
        <v>45521.709027777775</v>
      </c>
      <c r="E71" s="19">
        <v>45586.763888888891</v>
      </c>
      <c r="F71" s="18">
        <v>6</v>
      </c>
      <c r="G71" s="19">
        <v>45638.559027777781</v>
      </c>
      <c r="H71" s="18" t="s">
        <v>2657</v>
      </c>
      <c r="I71" s="18" t="s">
        <v>10</v>
      </c>
      <c r="J71" s="18" t="s">
        <v>33</v>
      </c>
      <c r="K71" s="20"/>
    </row>
    <row r="72" spans="1:11" ht="72.75" thickBot="1">
      <c r="A72" s="18" t="s">
        <v>997</v>
      </c>
      <c r="B72" s="18">
        <v>20026652225</v>
      </c>
      <c r="C72" s="18" t="s">
        <v>951</v>
      </c>
      <c r="D72" s="19">
        <v>45521.702777777777</v>
      </c>
      <c r="E72" s="19">
        <v>45586.765972222223</v>
      </c>
      <c r="F72" s="18">
        <v>6</v>
      </c>
      <c r="G72" s="18" t="s">
        <v>10</v>
      </c>
      <c r="H72" s="18" t="s">
        <v>189</v>
      </c>
      <c r="I72" s="18" t="s">
        <v>10</v>
      </c>
      <c r="J72" s="18" t="s">
        <v>33</v>
      </c>
      <c r="K72" s="20"/>
    </row>
    <row r="73" spans="1:11" ht="36.75" thickBot="1">
      <c r="A73" s="18" t="s">
        <v>983</v>
      </c>
      <c r="B73" s="18">
        <v>20026373579</v>
      </c>
      <c r="C73" s="18" t="s">
        <v>984</v>
      </c>
      <c r="D73" s="19">
        <v>45513.597222222219</v>
      </c>
      <c r="E73" s="19">
        <v>45588.828472222223</v>
      </c>
      <c r="F73" s="18">
        <v>15</v>
      </c>
      <c r="G73" s="19">
        <v>45783.586805555555</v>
      </c>
      <c r="H73" s="18" t="s">
        <v>236</v>
      </c>
      <c r="I73" s="18" t="s">
        <v>10</v>
      </c>
      <c r="J73" s="18" t="s">
        <v>417</v>
      </c>
      <c r="K73" s="20"/>
    </row>
    <row r="74" spans="1:11" ht="36.75" thickBot="1">
      <c r="A74" s="18" t="s">
        <v>985</v>
      </c>
      <c r="B74" s="18">
        <v>20003033422</v>
      </c>
      <c r="C74" s="18" t="s">
        <v>986</v>
      </c>
      <c r="D74" s="19">
        <v>45513.604861111111</v>
      </c>
      <c r="E74" s="19">
        <v>45588.857638888891</v>
      </c>
      <c r="F74" s="18">
        <v>5</v>
      </c>
      <c r="G74" s="19">
        <v>45783.586805555555</v>
      </c>
      <c r="H74" s="18" t="s">
        <v>236</v>
      </c>
      <c r="I74" s="18" t="s">
        <v>10</v>
      </c>
      <c r="J74" s="18" t="s">
        <v>417</v>
      </c>
      <c r="K74" s="20"/>
    </row>
    <row r="75" spans="1:11" ht="36.75" thickBot="1">
      <c r="A75" s="18" t="s">
        <v>987</v>
      </c>
      <c r="B75" s="18">
        <v>20017227930</v>
      </c>
      <c r="C75" s="18" t="s">
        <v>988</v>
      </c>
      <c r="D75" s="19">
        <v>45513.618055555555</v>
      </c>
      <c r="E75" s="19">
        <v>45588.85833333333</v>
      </c>
      <c r="F75" s="18">
        <v>5</v>
      </c>
      <c r="G75" s="19">
        <v>45783.586805555555</v>
      </c>
      <c r="H75" s="18" t="s">
        <v>236</v>
      </c>
      <c r="I75" s="18" t="s">
        <v>10</v>
      </c>
      <c r="J75" s="18" t="s">
        <v>417</v>
      </c>
      <c r="K75" s="20"/>
    </row>
    <row r="76" spans="1:11" ht="36.75" thickBot="1">
      <c r="A76" s="18" t="s">
        <v>1496</v>
      </c>
      <c r="B76" s="18">
        <v>20002984832</v>
      </c>
      <c r="C76" s="18" t="s">
        <v>1497</v>
      </c>
      <c r="D76" s="19">
        <v>45592.897916666669</v>
      </c>
      <c r="E76" s="18" t="s">
        <v>10</v>
      </c>
      <c r="F76" s="18">
        <v>10</v>
      </c>
      <c r="G76" s="19">
        <v>45933.605555555558</v>
      </c>
      <c r="H76" s="18" t="s">
        <v>236</v>
      </c>
      <c r="I76" s="18" t="s">
        <v>10</v>
      </c>
      <c r="J76" s="18" t="s">
        <v>417</v>
      </c>
      <c r="K76" s="20"/>
    </row>
    <row r="77" spans="1:11" ht="36.75" thickBot="1">
      <c r="A77" s="18" t="s">
        <v>1498</v>
      </c>
      <c r="B77" s="18">
        <v>20023324052</v>
      </c>
      <c r="C77" s="18" t="s">
        <v>1499</v>
      </c>
      <c r="D77" s="19">
        <v>45592.961805555555</v>
      </c>
      <c r="E77" s="18" t="s">
        <v>10</v>
      </c>
      <c r="F77" s="18">
        <v>20</v>
      </c>
      <c r="G77" s="19">
        <v>45814.443749999999</v>
      </c>
      <c r="H77" s="18" t="s">
        <v>236</v>
      </c>
      <c r="I77" s="18" t="s">
        <v>10</v>
      </c>
      <c r="J77" s="18" t="s">
        <v>417</v>
      </c>
      <c r="K77" s="20"/>
    </row>
    <row r="78" spans="1:11" ht="36.75" thickBot="1">
      <c r="A78" s="18" t="s">
        <v>1500</v>
      </c>
      <c r="B78" s="18">
        <v>20002837459</v>
      </c>
      <c r="C78" s="18" t="s">
        <v>419</v>
      </c>
      <c r="D78" s="19">
        <v>45593.972916666666</v>
      </c>
      <c r="E78" s="18" t="s">
        <v>10</v>
      </c>
      <c r="F78" s="18">
        <v>10</v>
      </c>
      <c r="G78" s="19">
        <v>45622.587500000001</v>
      </c>
      <c r="H78" s="18" t="s">
        <v>236</v>
      </c>
      <c r="I78" s="18" t="s">
        <v>10</v>
      </c>
      <c r="J78" s="18" t="s">
        <v>420</v>
      </c>
      <c r="K78" s="20"/>
    </row>
    <row r="79" spans="1:11" ht="36.75" thickBot="1">
      <c r="A79" s="18" t="s">
        <v>1501</v>
      </c>
      <c r="B79" s="18">
        <v>20002756121</v>
      </c>
      <c r="C79" s="18" t="s">
        <v>1502</v>
      </c>
      <c r="D79" s="19">
        <v>45594.623611111114</v>
      </c>
      <c r="E79" s="18" t="s">
        <v>10</v>
      </c>
      <c r="F79" s="18">
        <v>5</v>
      </c>
      <c r="G79" s="19">
        <v>45610.443749999999</v>
      </c>
      <c r="H79" s="18" t="s">
        <v>236</v>
      </c>
      <c r="I79" s="18" t="s">
        <v>10</v>
      </c>
      <c r="J79" s="18" t="s">
        <v>33</v>
      </c>
      <c r="K79" s="20"/>
    </row>
    <row r="80" spans="1:11" ht="72.75" thickBot="1">
      <c r="A80" s="18" t="s">
        <v>1503</v>
      </c>
      <c r="B80" s="18">
        <v>20027219472</v>
      </c>
      <c r="C80" s="18" t="s">
        <v>1504</v>
      </c>
      <c r="D80" s="19">
        <v>45595.474305555559</v>
      </c>
      <c r="E80" s="18" t="s">
        <v>10</v>
      </c>
      <c r="F80" s="18">
        <v>20</v>
      </c>
      <c r="G80" s="19">
        <v>45653.611111111109</v>
      </c>
      <c r="H80" s="18" t="s">
        <v>236</v>
      </c>
      <c r="I80" s="18" t="s">
        <v>10</v>
      </c>
      <c r="J80" s="18" t="s">
        <v>33</v>
      </c>
      <c r="K80" s="20"/>
    </row>
    <row r="81" spans="1:11" ht="36.75" thickBot="1">
      <c r="A81" s="18" t="s">
        <v>1140</v>
      </c>
      <c r="B81" s="18">
        <v>20024804593</v>
      </c>
      <c r="C81" s="18" t="s">
        <v>1141</v>
      </c>
      <c r="D81" s="19">
        <v>45547.581250000003</v>
      </c>
      <c r="E81" s="19">
        <v>45596.585416666669</v>
      </c>
      <c r="F81" s="18">
        <v>12</v>
      </c>
      <c r="G81" s="19">
        <v>45611.447916666664</v>
      </c>
      <c r="H81" s="18" t="s">
        <v>236</v>
      </c>
      <c r="I81" s="18" t="s">
        <v>10</v>
      </c>
      <c r="J81" s="18" t="s">
        <v>33</v>
      </c>
      <c r="K81" s="20"/>
    </row>
    <row r="82" spans="1:11" ht="36.75" thickBot="1">
      <c r="A82" s="18" t="s">
        <v>1733</v>
      </c>
      <c r="B82" s="18">
        <v>20003025751</v>
      </c>
      <c r="C82" s="18" t="s">
        <v>1734</v>
      </c>
      <c r="D82" s="19">
        <v>45596.722916666666</v>
      </c>
      <c r="E82" s="18" t="s">
        <v>10</v>
      </c>
      <c r="F82" s="18">
        <v>15</v>
      </c>
      <c r="G82" s="19">
        <v>45890.390972222223</v>
      </c>
      <c r="H82" s="18" t="s">
        <v>236</v>
      </c>
      <c r="I82" s="18" t="s">
        <v>10</v>
      </c>
      <c r="J82" s="18" t="s">
        <v>1735</v>
      </c>
      <c r="K82" s="20"/>
    </row>
    <row r="83" spans="1:11" ht="36.75" thickBot="1">
      <c r="A83" s="18" t="s">
        <v>1736</v>
      </c>
      <c r="B83" s="18">
        <v>20026342780</v>
      </c>
      <c r="C83" s="18" t="s">
        <v>1151</v>
      </c>
      <c r="D83" s="19">
        <v>45597.656944444447</v>
      </c>
      <c r="E83" s="18" t="s">
        <v>10</v>
      </c>
      <c r="F83" s="18">
        <v>5</v>
      </c>
      <c r="G83" s="18" t="s">
        <v>10</v>
      </c>
      <c r="H83" s="18" t="s">
        <v>178</v>
      </c>
      <c r="I83" s="18" t="s">
        <v>10</v>
      </c>
      <c r="J83" s="18" t="s">
        <v>420</v>
      </c>
      <c r="K83" s="20"/>
    </row>
    <row r="84" spans="1:11" ht="36.75" thickBot="1">
      <c r="A84" s="18" t="s">
        <v>1737</v>
      </c>
      <c r="B84" s="18">
        <v>20022860082</v>
      </c>
      <c r="C84" s="18" t="s">
        <v>1738</v>
      </c>
      <c r="D84" s="19">
        <v>45597.665972222225</v>
      </c>
      <c r="E84" s="18" t="s">
        <v>10</v>
      </c>
      <c r="F84" s="18">
        <v>20</v>
      </c>
      <c r="G84" s="19">
        <v>45616.459722222222</v>
      </c>
      <c r="H84" s="18" t="s">
        <v>236</v>
      </c>
      <c r="I84" s="18" t="s">
        <v>10</v>
      </c>
      <c r="J84" s="18" t="s">
        <v>420</v>
      </c>
      <c r="K84" s="20"/>
    </row>
    <row r="85" spans="1:11" ht="36.75" thickBot="1">
      <c r="A85" s="18" t="s">
        <v>1138</v>
      </c>
      <c r="B85" s="18">
        <v>20002833877</v>
      </c>
      <c r="C85" s="18" t="s">
        <v>1139</v>
      </c>
      <c r="D85" s="19">
        <v>45545.473611111112</v>
      </c>
      <c r="E85" s="19">
        <v>45600.420138888891</v>
      </c>
      <c r="F85" s="18">
        <v>5</v>
      </c>
      <c r="G85" s="19">
        <v>45644.579861111109</v>
      </c>
      <c r="H85" s="18" t="s">
        <v>2657</v>
      </c>
      <c r="I85" s="18" t="s">
        <v>10</v>
      </c>
      <c r="J85" s="18" t="s">
        <v>420</v>
      </c>
      <c r="K85" s="20"/>
    </row>
    <row r="86" spans="1:11" ht="54.75" thickBot="1">
      <c r="A86" s="18" t="s">
        <v>1739</v>
      </c>
      <c r="B86" s="18">
        <v>20027513722</v>
      </c>
      <c r="C86" s="18" t="s">
        <v>1740</v>
      </c>
      <c r="D86" s="19">
        <v>45600.674305555556</v>
      </c>
      <c r="E86" s="18" t="s">
        <v>10</v>
      </c>
      <c r="F86" s="18">
        <v>10</v>
      </c>
      <c r="G86" s="19">
        <v>45652.409722222219</v>
      </c>
      <c r="H86" s="18" t="s">
        <v>236</v>
      </c>
      <c r="I86" s="18" t="s">
        <v>10</v>
      </c>
      <c r="J86" s="18" t="s">
        <v>33</v>
      </c>
      <c r="K86" s="20"/>
    </row>
    <row r="87" spans="1:11" ht="54.75" thickBot="1">
      <c r="A87" s="18" t="s">
        <v>1741</v>
      </c>
      <c r="B87" s="18">
        <v>20003199114</v>
      </c>
      <c r="C87" s="18" t="s">
        <v>1742</v>
      </c>
      <c r="D87" s="19">
        <v>45600.678472222222</v>
      </c>
      <c r="E87" s="18" t="s">
        <v>10</v>
      </c>
      <c r="F87" s="18">
        <v>15</v>
      </c>
      <c r="G87" s="18" t="s">
        <v>10</v>
      </c>
      <c r="H87" s="18" t="s">
        <v>189</v>
      </c>
      <c r="I87" s="18" t="s">
        <v>10</v>
      </c>
      <c r="J87" s="18" t="s">
        <v>417</v>
      </c>
      <c r="K87" s="20"/>
    </row>
    <row r="88" spans="1:11" ht="36.75" thickBot="1">
      <c r="A88" s="18" t="s">
        <v>1743</v>
      </c>
      <c r="B88" s="18">
        <v>20002856394</v>
      </c>
      <c r="C88" s="18" t="s">
        <v>1744</v>
      </c>
      <c r="D88" s="19">
        <v>45601.699305555558</v>
      </c>
      <c r="E88" s="18" t="s">
        <v>10</v>
      </c>
      <c r="F88" s="18">
        <v>3</v>
      </c>
      <c r="G88" s="18" t="s">
        <v>10</v>
      </c>
      <c r="H88" s="18" t="s">
        <v>178</v>
      </c>
      <c r="I88" s="18" t="s">
        <v>10</v>
      </c>
      <c r="J88" s="18" t="s">
        <v>1735</v>
      </c>
      <c r="K88" s="20"/>
    </row>
    <row r="89" spans="1:11" ht="36.75" thickBot="1">
      <c r="A89" s="18" t="s">
        <v>1745</v>
      </c>
      <c r="B89" s="18">
        <v>20023017539</v>
      </c>
      <c r="C89" s="18" t="s">
        <v>1746</v>
      </c>
      <c r="D89" s="19">
        <v>45602.654861111114</v>
      </c>
      <c r="E89" s="18" t="s">
        <v>10</v>
      </c>
      <c r="F89" s="18">
        <v>20</v>
      </c>
      <c r="G89" s="19">
        <v>45938.518750000003</v>
      </c>
      <c r="H89" s="18" t="s">
        <v>2657</v>
      </c>
      <c r="I89" s="18" t="s">
        <v>10</v>
      </c>
      <c r="J89" s="18" t="s">
        <v>33</v>
      </c>
      <c r="K89" s="20"/>
    </row>
    <row r="90" spans="1:11" ht="54.75" thickBot="1">
      <c r="A90" s="18" t="s">
        <v>1747</v>
      </c>
      <c r="B90" s="18">
        <v>20002667124</v>
      </c>
      <c r="C90" s="18" t="s">
        <v>1748</v>
      </c>
      <c r="D90" s="19">
        <v>45602.734027777777</v>
      </c>
      <c r="E90" s="18" t="s">
        <v>10</v>
      </c>
      <c r="F90" s="18">
        <v>5</v>
      </c>
      <c r="G90" s="19">
        <v>45824.376388888886</v>
      </c>
      <c r="H90" s="18" t="s">
        <v>236</v>
      </c>
      <c r="I90" s="18" t="s">
        <v>10</v>
      </c>
      <c r="J90" s="18" t="s">
        <v>1735</v>
      </c>
      <c r="K90" s="20"/>
    </row>
    <row r="91" spans="1:11" ht="36.75" thickBot="1">
      <c r="A91" s="18" t="s">
        <v>1749</v>
      </c>
      <c r="B91" s="18">
        <v>20026914584</v>
      </c>
      <c r="C91" s="18" t="s">
        <v>1750</v>
      </c>
      <c r="D91" s="19">
        <v>45603.46875</v>
      </c>
      <c r="E91" s="18" t="s">
        <v>10</v>
      </c>
      <c r="F91" s="18">
        <v>3</v>
      </c>
      <c r="G91" s="18" t="s">
        <v>10</v>
      </c>
      <c r="H91" s="18" t="s">
        <v>178</v>
      </c>
      <c r="I91" s="18" t="s">
        <v>10</v>
      </c>
      <c r="J91" s="18" t="s">
        <v>412</v>
      </c>
      <c r="K91" s="20"/>
    </row>
    <row r="92" spans="1:11" ht="36.75" thickBot="1">
      <c r="A92" s="18" t="s">
        <v>1751</v>
      </c>
      <c r="B92" s="18">
        <v>20003109014</v>
      </c>
      <c r="C92" s="18" t="s">
        <v>1752</v>
      </c>
      <c r="D92" s="19">
        <v>45608.706944444442</v>
      </c>
      <c r="E92" s="18" t="s">
        <v>10</v>
      </c>
      <c r="F92" s="18">
        <v>5</v>
      </c>
      <c r="G92" s="18" t="s">
        <v>10</v>
      </c>
      <c r="H92" s="18" t="s">
        <v>178</v>
      </c>
      <c r="I92" s="18" t="s">
        <v>10</v>
      </c>
      <c r="J92" s="18" t="s">
        <v>431</v>
      </c>
      <c r="K92" s="20"/>
    </row>
    <row r="93" spans="1:11" ht="36.75" thickBot="1">
      <c r="A93" s="18" t="s">
        <v>1753</v>
      </c>
      <c r="B93" s="18">
        <v>20018649885</v>
      </c>
      <c r="C93" s="18" t="s">
        <v>1754</v>
      </c>
      <c r="D93" s="19">
        <v>45608.938194444447</v>
      </c>
      <c r="E93" s="18" t="s">
        <v>10</v>
      </c>
      <c r="F93" s="18">
        <v>5</v>
      </c>
      <c r="G93" s="19">
        <v>45677.416666666664</v>
      </c>
      <c r="H93" s="18" t="s">
        <v>236</v>
      </c>
      <c r="I93" s="18" t="s">
        <v>10</v>
      </c>
      <c r="J93" s="18" t="s">
        <v>33</v>
      </c>
      <c r="K93" s="20"/>
    </row>
    <row r="94" spans="1:11" ht="36.75" thickBot="1">
      <c r="A94" s="18" t="s">
        <v>1755</v>
      </c>
      <c r="B94" s="18">
        <v>20027713326</v>
      </c>
      <c r="C94" s="18" t="s">
        <v>1756</v>
      </c>
      <c r="D94" s="19">
        <v>45609.70416666667</v>
      </c>
      <c r="E94" s="18" t="s">
        <v>10</v>
      </c>
      <c r="F94" s="18">
        <v>5</v>
      </c>
      <c r="G94" s="18" t="s">
        <v>10</v>
      </c>
      <c r="H94" s="18" t="s">
        <v>178</v>
      </c>
      <c r="I94" s="18" t="s">
        <v>10</v>
      </c>
      <c r="J94" s="18" t="s">
        <v>33</v>
      </c>
      <c r="K94" s="20"/>
    </row>
    <row r="95" spans="1:11" ht="54.75" thickBot="1">
      <c r="A95" s="18" t="s">
        <v>1757</v>
      </c>
      <c r="B95" s="18">
        <v>20002963912</v>
      </c>
      <c r="C95" s="18" t="s">
        <v>1521</v>
      </c>
      <c r="D95" s="19">
        <v>45611.587500000001</v>
      </c>
      <c r="E95" s="18" t="s">
        <v>10</v>
      </c>
      <c r="F95" s="18">
        <v>20</v>
      </c>
      <c r="G95" s="19">
        <v>45665.370138888888</v>
      </c>
      <c r="H95" s="18" t="s">
        <v>236</v>
      </c>
      <c r="I95" s="18" t="s">
        <v>10</v>
      </c>
      <c r="J95" s="18" t="s">
        <v>33</v>
      </c>
      <c r="K95" s="20"/>
    </row>
    <row r="96" spans="1:11" ht="54.75" thickBot="1">
      <c r="A96" s="18" t="s">
        <v>1758</v>
      </c>
      <c r="B96" s="18">
        <v>20026972663</v>
      </c>
      <c r="C96" s="18" t="s">
        <v>1759</v>
      </c>
      <c r="D96" s="19">
        <v>45616.661111111112</v>
      </c>
      <c r="E96" s="18" t="s">
        <v>10</v>
      </c>
      <c r="F96" s="18">
        <v>5</v>
      </c>
      <c r="G96" s="18" t="s">
        <v>10</v>
      </c>
      <c r="H96" s="18" t="s">
        <v>178</v>
      </c>
      <c r="I96" s="18" t="s">
        <v>10</v>
      </c>
      <c r="J96" s="18" t="s">
        <v>33</v>
      </c>
      <c r="K96" s="20"/>
    </row>
    <row r="97" spans="1:11" ht="36.75" thickBot="1">
      <c r="A97" s="18" t="s">
        <v>1760</v>
      </c>
      <c r="B97" s="18">
        <v>20021723254</v>
      </c>
      <c r="C97" s="18" t="s">
        <v>1761</v>
      </c>
      <c r="D97" s="19">
        <v>45618.566666666666</v>
      </c>
      <c r="E97" s="18" t="s">
        <v>10</v>
      </c>
      <c r="F97" s="18">
        <v>5</v>
      </c>
      <c r="G97" s="18" t="s">
        <v>10</v>
      </c>
      <c r="H97" s="18" t="s">
        <v>189</v>
      </c>
      <c r="I97" s="18" t="s">
        <v>10</v>
      </c>
      <c r="J97" s="18" t="s">
        <v>431</v>
      </c>
      <c r="K97" s="20"/>
    </row>
    <row r="98" spans="1:11" ht="36.75" thickBot="1">
      <c r="A98" s="18" t="s">
        <v>1762</v>
      </c>
      <c r="B98" s="18">
        <v>20003023466</v>
      </c>
      <c r="C98" s="18" t="s">
        <v>1763</v>
      </c>
      <c r="D98" s="19">
        <v>45618.65625</v>
      </c>
      <c r="E98" s="18" t="s">
        <v>10</v>
      </c>
      <c r="F98" s="18">
        <v>5</v>
      </c>
      <c r="G98" s="18" t="s">
        <v>10</v>
      </c>
      <c r="H98" s="18" t="s">
        <v>178</v>
      </c>
      <c r="I98" s="18" t="s">
        <v>10</v>
      </c>
      <c r="J98" s="18" t="s">
        <v>33</v>
      </c>
      <c r="K98" s="20"/>
    </row>
    <row r="99" spans="1:11" ht="36.75" thickBot="1">
      <c r="A99" s="18" t="s">
        <v>1764</v>
      </c>
      <c r="B99" s="18">
        <v>20026351788</v>
      </c>
      <c r="C99" s="18" t="s">
        <v>1765</v>
      </c>
      <c r="D99" s="19">
        <v>45624.549305555556</v>
      </c>
      <c r="E99" s="18" t="s">
        <v>10</v>
      </c>
      <c r="F99" s="18">
        <v>5</v>
      </c>
      <c r="G99" s="19">
        <v>45755.570138888892</v>
      </c>
      <c r="H99" s="18" t="s">
        <v>2657</v>
      </c>
      <c r="I99" s="18" t="s">
        <v>10</v>
      </c>
      <c r="J99" s="18" t="s">
        <v>33</v>
      </c>
      <c r="K99" s="20"/>
    </row>
    <row r="100" spans="1:11" ht="36.75" thickBot="1">
      <c r="A100" s="18" t="s">
        <v>1766</v>
      </c>
      <c r="B100" s="18">
        <v>20020248766</v>
      </c>
      <c r="C100" s="18" t="s">
        <v>1767</v>
      </c>
      <c r="D100" s="19">
        <v>45625.625</v>
      </c>
      <c r="E100" s="18" t="s">
        <v>10</v>
      </c>
      <c r="F100" s="18">
        <v>5</v>
      </c>
      <c r="G100" s="18" t="s">
        <v>10</v>
      </c>
      <c r="H100" s="18" t="s">
        <v>189</v>
      </c>
      <c r="I100" s="18" t="s">
        <v>10</v>
      </c>
      <c r="J100" s="18" t="s">
        <v>431</v>
      </c>
      <c r="K100" s="20"/>
    </row>
    <row r="101" spans="1:11" ht="72.75" thickBot="1">
      <c r="A101" s="18" t="s">
        <v>1768</v>
      </c>
      <c r="B101" s="18">
        <v>20026652224</v>
      </c>
      <c r="C101" s="18" t="s">
        <v>951</v>
      </c>
      <c r="D101" s="19">
        <v>45625.642361111109</v>
      </c>
      <c r="E101" s="18" t="s">
        <v>10</v>
      </c>
      <c r="F101" s="18">
        <v>6</v>
      </c>
      <c r="G101" s="19">
        <v>45765.634027777778</v>
      </c>
      <c r="H101" s="18" t="s">
        <v>2657</v>
      </c>
      <c r="I101" s="18" t="s">
        <v>10</v>
      </c>
      <c r="J101" s="18" t="s">
        <v>33</v>
      </c>
      <c r="K101" s="20"/>
    </row>
    <row r="102" spans="1:11" ht="36.75" thickBot="1">
      <c r="A102" s="21" t="s">
        <v>1861</v>
      </c>
      <c r="B102" s="21">
        <v>20003196175</v>
      </c>
      <c r="C102" s="21" t="s">
        <v>1862</v>
      </c>
      <c r="D102" s="22">
        <v>45629.127083333333</v>
      </c>
      <c r="E102" s="21" t="s">
        <v>10</v>
      </c>
      <c r="F102" s="21">
        <v>15</v>
      </c>
      <c r="G102" s="21" t="s">
        <v>10</v>
      </c>
      <c r="H102" s="21" t="s">
        <v>178</v>
      </c>
      <c r="I102" s="21" t="s">
        <v>10</v>
      </c>
      <c r="J102" s="21" t="s">
        <v>417</v>
      </c>
      <c r="K102" s="1"/>
    </row>
    <row r="103" spans="1:11" ht="54.75" thickBot="1">
      <c r="A103" s="18" t="s">
        <v>1863</v>
      </c>
      <c r="B103" s="18">
        <v>20003149360</v>
      </c>
      <c r="C103" s="18" t="s">
        <v>1864</v>
      </c>
      <c r="D103" s="19">
        <v>45629.193055555559</v>
      </c>
      <c r="E103" s="18" t="s">
        <v>10</v>
      </c>
      <c r="F103" s="18">
        <v>10</v>
      </c>
      <c r="G103" s="18" t="s">
        <v>10</v>
      </c>
      <c r="H103" s="18" t="s">
        <v>178</v>
      </c>
      <c r="I103" s="18" t="s">
        <v>10</v>
      </c>
      <c r="J103" s="18" t="s">
        <v>417</v>
      </c>
      <c r="K103" s="20"/>
    </row>
    <row r="104" spans="1:11" ht="36.75" thickBot="1">
      <c r="A104" s="18" t="s">
        <v>1865</v>
      </c>
      <c r="B104" s="18">
        <v>20016715930</v>
      </c>
      <c r="C104" s="18" t="s">
        <v>1866</v>
      </c>
      <c r="D104" s="19">
        <v>45631.852777777778</v>
      </c>
      <c r="E104" s="18" t="s">
        <v>10</v>
      </c>
      <c r="F104" s="18">
        <v>5</v>
      </c>
      <c r="G104" s="18" t="s">
        <v>10</v>
      </c>
      <c r="H104" s="18" t="s">
        <v>189</v>
      </c>
      <c r="I104" s="18" t="s">
        <v>10</v>
      </c>
      <c r="J104" s="18" t="s">
        <v>420</v>
      </c>
      <c r="K104" s="20"/>
    </row>
    <row r="105" spans="1:11" ht="36.75" thickBot="1">
      <c r="A105" s="18" t="s">
        <v>1869</v>
      </c>
      <c r="B105" s="18">
        <v>20003036151</v>
      </c>
      <c r="C105" s="18" t="s">
        <v>1870</v>
      </c>
      <c r="D105" s="19">
        <v>45638.606249999997</v>
      </c>
      <c r="E105" s="18" t="s">
        <v>10</v>
      </c>
      <c r="F105" s="18">
        <v>10</v>
      </c>
      <c r="G105" s="19">
        <v>45841.599305555559</v>
      </c>
      <c r="H105" s="18" t="s">
        <v>236</v>
      </c>
      <c r="I105" s="18" t="s">
        <v>10</v>
      </c>
      <c r="J105" s="18" t="s">
        <v>33</v>
      </c>
      <c r="K105" s="20"/>
    </row>
    <row r="106" spans="1:11" ht="54.75" thickBot="1">
      <c r="A106" s="18" t="s">
        <v>1867</v>
      </c>
      <c r="B106" s="18">
        <v>20002826597</v>
      </c>
      <c r="C106" s="18" t="s">
        <v>1868</v>
      </c>
      <c r="D106" s="19">
        <v>45634.410416666666</v>
      </c>
      <c r="E106" s="19">
        <v>45638.609027777777</v>
      </c>
      <c r="F106" s="18">
        <v>10</v>
      </c>
      <c r="G106" s="19">
        <v>45639.602777777778</v>
      </c>
      <c r="H106" s="18" t="s">
        <v>236</v>
      </c>
      <c r="I106" s="18" t="s">
        <v>10</v>
      </c>
      <c r="J106" s="18" t="s">
        <v>420</v>
      </c>
      <c r="K106" s="20"/>
    </row>
    <row r="107" spans="1:11" ht="36.75" thickBot="1">
      <c r="A107" s="18" t="s">
        <v>1871</v>
      </c>
      <c r="B107" s="18">
        <v>20027991446</v>
      </c>
      <c r="C107" s="18" t="s">
        <v>1872</v>
      </c>
      <c r="D107" s="19">
        <v>45641.795138888891</v>
      </c>
      <c r="E107" s="18" t="s">
        <v>10</v>
      </c>
      <c r="F107" s="18">
        <v>20</v>
      </c>
      <c r="G107" s="19">
        <v>45814.623611111114</v>
      </c>
      <c r="H107" s="18" t="s">
        <v>236</v>
      </c>
      <c r="I107" s="18" t="s">
        <v>10</v>
      </c>
      <c r="J107" s="18" t="s">
        <v>417</v>
      </c>
      <c r="K107" s="20"/>
    </row>
    <row r="108" spans="1:11" ht="54.75" thickBot="1">
      <c r="A108" s="18" t="s">
        <v>1985</v>
      </c>
      <c r="B108" s="18">
        <v>20002693880</v>
      </c>
      <c r="C108" s="18" t="s">
        <v>686</v>
      </c>
      <c r="D108" s="19">
        <v>45665.431250000001</v>
      </c>
      <c r="E108" s="18" t="s">
        <v>10</v>
      </c>
      <c r="F108" s="18">
        <v>20</v>
      </c>
      <c r="G108" s="19">
        <v>45665.474999999999</v>
      </c>
      <c r="H108" s="18" t="s">
        <v>236</v>
      </c>
      <c r="I108" s="18" t="s">
        <v>10</v>
      </c>
      <c r="J108" s="18" t="s">
        <v>33</v>
      </c>
      <c r="K108" s="20"/>
    </row>
    <row r="109" spans="1:11" ht="36.75" thickBot="1">
      <c r="A109" s="18" t="s">
        <v>1986</v>
      </c>
      <c r="B109" s="18">
        <v>20002784132</v>
      </c>
      <c r="C109" s="18" t="s">
        <v>1987</v>
      </c>
      <c r="D109" s="19">
        <v>45666.424305555556</v>
      </c>
      <c r="E109" s="18" t="s">
        <v>10</v>
      </c>
      <c r="F109" s="18">
        <v>10</v>
      </c>
      <c r="G109" s="19">
        <v>45765.556944444441</v>
      </c>
      <c r="H109" s="18" t="s">
        <v>2657</v>
      </c>
      <c r="I109" s="18" t="s">
        <v>10</v>
      </c>
      <c r="J109" s="18" t="s">
        <v>412</v>
      </c>
      <c r="K109" s="20"/>
    </row>
    <row r="110" spans="1:11" ht="36.75" thickBot="1">
      <c r="A110" s="18" t="s">
        <v>1988</v>
      </c>
      <c r="B110" s="18">
        <v>20024594418</v>
      </c>
      <c r="C110" s="18" t="s">
        <v>1989</v>
      </c>
      <c r="D110" s="19">
        <v>45670.738888888889</v>
      </c>
      <c r="E110" s="18" t="s">
        <v>10</v>
      </c>
      <c r="F110" s="18">
        <v>5</v>
      </c>
      <c r="G110" s="19">
        <v>45772.579861111109</v>
      </c>
      <c r="H110" s="18" t="s">
        <v>2657</v>
      </c>
      <c r="I110" s="18" t="s">
        <v>10</v>
      </c>
      <c r="J110" s="18" t="s">
        <v>33</v>
      </c>
      <c r="K110" s="20"/>
    </row>
    <row r="111" spans="1:11" ht="36.75" thickBot="1">
      <c r="A111" s="18" t="s">
        <v>1990</v>
      </c>
      <c r="B111" s="18">
        <v>20021209340</v>
      </c>
      <c r="C111" s="18" t="s">
        <v>1991</v>
      </c>
      <c r="D111" s="19">
        <v>45672.663194444445</v>
      </c>
      <c r="E111" s="18" t="s">
        <v>10</v>
      </c>
      <c r="F111" s="18">
        <v>5</v>
      </c>
      <c r="G111" s="19">
        <v>45779.422222222223</v>
      </c>
      <c r="H111" s="18" t="s">
        <v>236</v>
      </c>
      <c r="I111" s="18" t="s">
        <v>10</v>
      </c>
      <c r="J111" s="18" t="s">
        <v>420</v>
      </c>
      <c r="K111" s="20"/>
    </row>
    <row r="112" spans="1:11" ht="36.75" thickBot="1">
      <c r="A112" s="18" t="s">
        <v>2073</v>
      </c>
      <c r="B112" s="18">
        <v>20021973330</v>
      </c>
      <c r="C112" s="18" t="s">
        <v>2074</v>
      </c>
      <c r="D112" s="19">
        <v>45674.387499999997</v>
      </c>
      <c r="E112" s="18" t="s">
        <v>10</v>
      </c>
      <c r="F112" s="18">
        <v>10.45</v>
      </c>
      <c r="G112" s="19">
        <v>45730.412499999999</v>
      </c>
      <c r="H112" s="18" t="s">
        <v>236</v>
      </c>
      <c r="I112" s="18" t="s">
        <v>10</v>
      </c>
      <c r="J112" s="18" t="s">
        <v>431</v>
      </c>
      <c r="K112" s="20"/>
    </row>
    <row r="113" spans="1:11" ht="54.75" thickBot="1">
      <c r="A113" s="18" t="s">
        <v>2077</v>
      </c>
      <c r="B113" s="18">
        <v>20003005818</v>
      </c>
      <c r="C113" s="18" t="s">
        <v>2078</v>
      </c>
      <c r="D113" s="19">
        <v>45677.627083333333</v>
      </c>
      <c r="E113" s="18" t="s">
        <v>10</v>
      </c>
      <c r="F113" s="18">
        <v>20</v>
      </c>
      <c r="G113" s="19">
        <v>45772.522222222222</v>
      </c>
      <c r="H113" s="18" t="s">
        <v>236</v>
      </c>
      <c r="I113" s="18" t="s">
        <v>10</v>
      </c>
      <c r="J113" s="18" t="s">
        <v>33</v>
      </c>
      <c r="K113" s="20"/>
    </row>
    <row r="114" spans="1:11" ht="36.75" thickBot="1">
      <c r="A114" s="18" t="s">
        <v>2079</v>
      </c>
      <c r="B114" s="18">
        <v>20026342780</v>
      </c>
      <c r="C114" s="18" t="s">
        <v>1151</v>
      </c>
      <c r="D114" s="19">
        <v>45684.368055555555</v>
      </c>
      <c r="E114" s="18" t="s">
        <v>10</v>
      </c>
      <c r="F114" s="18">
        <v>5</v>
      </c>
      <c r="G114" s="18" t="s">
        <v>10</v>
      </c>
      <c r="H114" s="18" t="s">
        <v>178</v>
      </c>
      <c r="I114" s="18" t="s">
        <v>10</v>
      </c>
      <c r="J114" s="18" t="s">
        <v>420</v>
      </c>
      <c r="K114" s="20"/>
    </row>
    <row r="115" spans="1:11" ht="36.75" thickBot="1">
      <c r="A115" s="18" t="s">
        <v>2082</v>
      </c>
      <c r="B115" s="18">
        <v>20026342780</v>
      </c>
      <c r="C115" s="18" t="s">
        <v>1151</v>
      </c>
      <c r="D115" s="19">
        <v>45686.679861111108</v>
      </c>
      <c r="E115" s="18" t="s">
        <v>10</v>
      </c>
      <c r="F115" s="18">
        <v>5</v>
      </c>
      <c r="G115" s="18" t="s">
        <v>10</v>
      </c>
      <c r="H115" s="18" t="s">
        <v>178</v>
      </c>
      <c r="I115" s="18" t="s">
        <v>10</v>
      </c>
      <c r="J115" s="18" t="s">
        <v>420</v>
      </c>
      <c r="K115" s="20"/>
    </row>
    <row r="116" spans="1:11" ht="36.75" thickBot="1">
      <c r="A116" s="18" t="s">
        <v>2083</v>
      </c>
      <c r="B116" s="18">
        <v>20026342780</v>
      </c>
      <c r="C116" s="18" t="s">
        <v>1151</v>
      </c>
      <c r="D116" s="19">
        <v>45687.681944444441</v>
      </c>
      <c r="E116" s="18" t="s">
        <v>10</v>
      </c>
      <c r="F116" s="18">
        <v>5</v>
      </c>
      <c r="G116" s="18" t="s">
        <v>10</v>
      </c>
      <c r="H116" s="18" t="s">
        <v>178</v>
      </c>
      <c r="I116" s="18" t="s">
        <v>10</v>
      </c>
      <c r="J116" s="18" t="s">
        <v>420</v>
      </c>
      <c r="K116" s="20"/>
    </row>
    <row r="117" spans="1:11" ht="36.75" thickBot="1">
      <c r="A117" s="18" t="s">
        <v>2177</v>
      </c>
      <c r="B117" s="18">
        <v>20026342780</v>
      </c>
      <c r="C117" s="18" t="s">
        <v>1151</v>
      </c>
      <c r="D117" s="19">
        <v>45693.607638888891</v>
      </c>
      <c r="E117" s="18" t="s">
        <v>10</v>
      </c>
      <c r="F117" s="18">
        <v>5</v>
      </c>
      <c r="G117" s="18" t="s">
        <v>10</v>
      </c>
      <c r="H117" s="18" t="s">
        <v>178</v>
      </c>
      <c r="I117" s="18" t="s">
        <v>10</v>
      </c>
      <c r="J117" s="18" t="s">
        <v>420</v>
      </c>
      <c r="K117" s="20"/>
    </row>
    <row r="118" spans="1:11" ht="36.75" thickBot="1">
      <c r="A118" s="18" t="s">
        <v>2178</v>
      </c>
      <c r="B118" s="18">
        <v>20027690291</v>
      </c>
      <c r="C118" s="18" t="s">
        <v>798</v>
      </c>
      <c r="D118" s="19">
        <v>45699.618750000001</v>
      </c>
      <c r="E118" s="18" t="s">
        <v>10</v>
      </c>
      <c r="F118" s="18">
        <v>5</v>
      </c>
      <c r="G118" s="19">
        <v>45727.436805555553</v>
      </c>
      <c r="H118" s="18" t="s">
        <v>2657</v>
      </c>
      <c r="I118" s="18" t="s">
        <v>10</v>
      </c>
      <c r="J118" s="18" t="s">
        <v>33</v>
      </c>
      <c r="K118" s="20"/>
    </row>
    <row r="119" spans="1:11" ht="36.75" thickBot="1">
      <c r="A119" s="18" t="s">
        <v>2179</v>
      </c>
      <c r="B119" s="18">
        <v>20027713326</v>
      </c>
      <c r="C119" s="18" t="s">
        <v>1756</v>
      </c>
      <c r="D119" s="19">
        <v>45699.649305555555</v>
      </c>
      <c r="E119" s="18" t="s">
        <v>10</v>
      </c>
      <c r="F119" s="18">
        <v>5</v>
      </c>
      <c r="G119" s="19">
        <v>45768.380555555559</v>
      </c>
      <c r="H119" s="18" t="s">
        <v>2657</v>
      </c>
      <c r="I119" s="18" t="s">
        <v>10</v>
      </c>
      <c r="J119" s="18" t="s">
        <v>33</v>
      </c>
      <c r="K119" s="20"/>
    </row>
    <row r="120" spans="1:11" ht="54.75" thickBot="1">
      <c r="A120" s="18" t="s">
        <v>2263</v>
      </c>
      <c r="B120" s="18">
        <v>20003201843</v>
      </c>
      <c r="C120" s="18" t="s">
        <v>2264</v>
      </c>
      <c r="D120" s="19">
        <v>45710.42083333333</v>
      </c>
      <c r="E120" s="18" t="s">
        <v>10</v>
      </c>
      <c r="F120" s="18">
        <v>15</v>
      </c>
      <c r="G120" s="18" t="s">
        <v>10</v>
      </c>
      <c r="H120" s="18" t="s">
        <v>178</v>
      </c>
      <c r="I120" s="18" t="s">
        <v>10</v>
      </c>
      <c r="J120" s="18" t="s">
        <v>417</v>
      </c>
      <c r="K120" s="20"/>
    </row>
    <row r="121" spans="1:11" ht="54.75" thickBot="1">
      <c r="A121" s="18" t="s">
        <v>2267</v>
      </c>
      <c r="B121" s="18">
        <v>980202000319</v>
      </c>
      <c r="C121" s="18" t="s">
        <v>2268</v>
      </c>
      <c r="D121" s="19">
        <v>45712.709722222222</v>
      </c>
      <c r="E121" s="18" t="s">
        <v>10</v>
      </c>
      <c r="F121" s="18">
        <v>15</v>
      </c>
      <c r="G121" s="18" t="s">
        <v>10</v>
      </c>
      <c r="H121" s="18" t="s">
        <v>178</v>
      </c>
      <c r="I121" s="18" t="s">
        <v>10</v>
      </c>
      <c r="J121" s="18" t="s">
        <v>417</v>
      </c>
      <c r="K121" s="20"/>
    </row>
    <row r="122" spans="1:11" ht="36.75" thickBot="1">
      <c r="A122" s="18" t="s">
        <v>2269</v>
      </c>
      <c r="B122" s="18">
        <v>20020969552</v>
      </c>
      <c r="C122" s="18" t="s">
        <v>2270</v>
      </c>
      <c r="D122" s="19">
        <v>45718.5</v>
      </c>
      <c r="E122" s="18" t="s">
        <v>10</v>
      </c>
      <c r="F122" s="18">
        <v>5</v>
      </c>
      <c r="G122" s="19">
        <v>45755.491666666669</v>
      </c>
      <c r="H122" s="18" t="s">
        <v>236</v>
      </c>
      <c r="I122" s="18" t="s">
        <v>10</v>
      </c>
      <c r="J122" s="18" t="s">
        <v>420</v>
      </c>
      <c r="K122" s="20"/>
    </row>
    <row r="123" spans="1:11" ht="36.75" thickBot="1">
      <c r="A123" s="18" t="s">
        <v>2364</v>
      </c>
      <c r="B123" s="18">
        <v>20028157324</v>
      </c>
      <c r="C123" s="18" t="s">
        <v>2365</v>
      </c>
      <c r="D123" s="19">
        <v>45721.40902777778</v>
      </c>
      <c r="E123" s="18" t="s">
        <v>10</v>
      </c>
      <c r="F123" s="18">
        <v>10</v>
      </c>
      <c r="G123" s="19">
        <v>45772.430555555555</v>
      </c>
      <c r="H123" s="18" t="s">
        <v>2657</v>
      </c>
      <c r="I123" s="18" t="s">
        <v>10</v>
      </c>
      <c r="J123" s="18" t="s">
        <v>33</v>
      </c>
      <c r="K123" s="20"/>
    </row>
    <row r="124" spans="1:11" ht="36.75" thickBot="1">
      <c r="A124" s="18" t="s">
        <v>2366</v>
      </c>
      <c r="B124" s="18">
        <v>20002902053</v>
      </c>
      <c r="C124" s="18" t="s">
        <v>2367</v>
      </c>
      <c r="D124" s="19">
        <v>45721.963888888888</v>
      </c>
      <c r="E124" s="19">
        <v>45722.465277777781</v>
      </c>
      <c r="F124" s="18">
        <v>15</v>
      </c>
      <c r="G124" s="19">
        <v>45722.615972222222</v>
      </c>
      <c r="H124" s="18" t="s">
        <v>236</v>
      </c>
      <c r="I124" s="18" t="s">
        <v>10</v>
      </c>
      <c r="J124" s="18" t="s">
        <v>431</v>
      </c>
      <c r="K124" s="20"/>
    </row>
    <row r="125" spans="1:11" ht="36.75" thickBot="1">
      <c r="A125" s="18" t="s">
        <v>2372</v>
      </c>
      <c r="B125" s="18">
        <v>20003018705</v>
      </c>
      <c r="C125" s="18" t="s">
        <v>2373</v>
      </c>
      <c r="D125" s="19">
        <v>45729.68472222222</v>
      </c>
      <c r="E125" s="18" t="s">
        <v>10</v>
      </c>
      <c r="F125" s="18">
        <v>3</v>
      </c>
      <c r="G125" s="19">
        <v>45812.399305555555</v>
      </c>
      <c r="H125" s="18" t="s">
        <v>236</v>
      </c>
      <c r="I125" s="18" t="s">
        <v>10</v>
      </c>
      <c r="J125" s="18" t="s">
        <v>33</v>
      </c>
      <c r="K125" s="20"/>
    </row>
    <row r="126" spans="1:11" ht="36.75" thickBot="1">
      <c r="A126" s="18" t="s">
        <v>2440</v>
      </c>
      <c r="B126" s="18">
        <v>20020697159</v>
      </c>
      <c r="C126" s="18" t="s">
        <v>2441</v>
      </c>
      <c r="D126" s="19">
        <v>45733.936111111114</v>
      </c>
      <c r="E126" s="18" t="s">
        <v>10</v>
      </c>
      <c r="F126" s="18">
        <v>5</v>
      </c>
      <c r="G126" s="19">
        <v>45757.572916666664</v>
      </c>
      <c r="H126" s="18" t="s">
        <v>236</v>
      </c>
      <c r="I126" s="18" t="s">
        <v>10</v>
      </c>
      <c r="J126" s="18" t="s">
        <v>412</v>
      </c>
      <c r="K126" s="20"/>
    </row>
    <row r="127" spans="1:11" ht="36.75" thickBot="1">
      <c r="A127" s="18" t="s">
        <v>2442</v>
      </c>
      <c r="B127" s="18">
        <v>20027067564</v>
      </c>
      <c r="C127" s="18" t="s">
        <v>2443</v>
      </c>
      <c r="D127" s="19">
        <v>45734.963194444441</v>
      </c>
      <c r="E127" s="18" t="s">
        <v>10</v>
      </c>
      <c r="F127" s="18">
        <v>5</v>
      </c>
      <c r="G127" s="18" t="s">
        <v>10</v>
      </c>
      <c r="H127" s="18" t="s">
        <v>178</v>
      </c>
      <c r="I127" s="18" t="s">
        <v>10</v>
      </c>
      <c r="J127" s="18" t="s">
        <v>420</v>
      </c>
      <c r="K127" s="20"/>
    </row>
    <row r="128" spans="1:11" ht="36.75" thickBot="1">
      <c r="A128" s="18" t="s">
        <v>2446</v>
      </c>
      <c r="B128" s="18">
        <v>20016631670</v>
      </c>
      <c r="C128" s="18" t="s">
        <v>2447</v>
      </c>
      <c r="D128" s="19">
        <v>45737.04791666667</v>
      </c>
      <c r="E128" s="18" t="s">
        <v>10</v>
      </c>
      <c r="F128" s="18">
        <v>6</v>
      </c>
      <c r="G128" s="18" t="s">
        <v>10</v>
      </c>
      <c r="H128" s="18" t="s">
        <v>178</v>
      </c>
      <c r="I128" s="18" t="s">
        <v>10</v>
      </c>
      <c r="J128" s="18" t="s">
        <v>33</v>
      </c>
      <c r="K128" s="20"/>
    </row>
    <row r="129" spans="1:11" ht="36.75" thickBot="1">
      <c r="A129" s="18" t="s">
        <v>2448</v>
      </c>
      <c r="B129" s="18">
        <v>20002734484</v>
      </c>
      <c r="C129" s="18" t="s">
        <v>2449</v>
      </c>
      <c r="D129" s="19">
        <v>45738.671527777777</v>
      </c>
      <c r="E129" s="18" t="s">
        <v>10</v>
      </c>
      <c r="F129" s="18">
        <v>3</v>
      </c>
      <c r="G129" s="19">
        <v>45812.399305555555</v>
      </c>
      <c r="H129" s="18" t="s">
        <v>236</v>
      </c>
      <c r="I129" s="18" t="s">
        <v>10</v>
      </c>
      <c r="J129" s="18" t="s">
        <v>33</v>
      </c>
      <c r="K129" s="20"/>
    </row>
    <row r="130" spans="1:11" ht="36.75" thickBot="1">
      <c r="A130" s="18" t="s">
        <v>2450</v>
      </c>
      <c r="B130" s="18">
        <v>20002837730</v>
      </c>
      <c r="C130" s="18" t="s">
        <v>2451</v>
      </c>
      <c r="D130" s="19">
        <v>45740.713888888888</v>
      </c>
      <c r="E130" s="18" t="s">
        <v>10</v>
      </c>
      <c r="F130" s="18">
        <v>15</v>
      </c>
      <c r="G130" s="18" t="s">
        <v>10</v>
      </c>
      <c r="H130" s="18" t="s">
        <v>178</v>
      </c>
      <c r="I130" s="18" t="s">
        <v>10</v>
      </c>
      <c r="J130" s="18" t="s">
        <v>33</v>
      </c>
      <c r="K130" s="20"/>
    </row>
    <row r="131" spans="1:11" ht="54.75" thickBot="1">
      <c r="A131" s="18" t="s">
        <v>2452</v>
      </c>
      <c r="B131" s="18">
        <v>20002836070</v>
      </c>
      <c r="C131" s="18" t="s">
        <v>2453</v>
      </c>
      <c r="D131" s="19">
        <v>45742.761805555558</v>
      </c>
      <c r="E131" s="18" t="s">
        <v>10</v>
      </c>
      <c r="F131" s="18">
        <v>15</v>
      </c>
      <c r="G131" s="19">
        <v>45755.503472222219</v>
      </c>
      <c r="H131" s="18" t="s">
        <v>236</v>
      </c>
      <c r="I131" s="18" t="s">
        <v>10</v>
      </c>
      <c r="J131" s="18" t="s">
        <v>420</v>
      </c>
      <c r="K131" s="20"/>
    </row>
    <row r="132" spans="1:11" ht="54.75" thickBot="1">
      <c r="A132" s="18" t="s">
        <v>1488</v>
      </c>
      <c r="B132" s="18">
        <v>20021949587</v>
      </c>
      <c r="C132" s="18" t="s">
        <v>1489</v>
      </c>
      <c r="D132" s="19">
        <v>45582.453472222223</v>
      </c>
      <c r="E132" s="19">
        <v>45749.410416666666</v>
      </c>
      <c r="F132" s="18">
        <v>10</v>
      </c>
      <c r="G132" s="18" t="s">
        <v>10</v>
      </c>
      <c r="H132" s="18" t="s">
        <v>189</v>
      </c>
      <c r="I132" s="18" t="s">
        <v>10</v>
      </c>
      <c r="J132" s="18" t="s">
        <v>417</v>
      </c>
      <c r="K132" s="20"/>
    </row>
    <row r="133" spans="1:11" ht="36.75" thickBot="1">
      <c r="A133" s="18" t="s">
        <v>2075</v>
      </c>
      <c r="B133" s="18">
        <v>20003628731</v>
      </c>
      <c r="C133" s="18" t="s">
        <v>2076</v>
      </c>
      <c r="D133" s="19">
        <v>45674.676388888889</v>
      </c>
      <c r="E133" s="19">
        <v>45749.706250000003</v>
      </c>
      <c r="F133" s="18">
        <v>10</v>
      </c>
      <c r="G133" s="19">
        <v>45751.660416666666</v>
      </c>
      <c r="H133" s="18" t="s">
        <v>236</v>
      </c>
      <c r="I133" s="18" t="s">
        <v>10</v>
      </c>
      <c r="J133" s="18" t="s">
        <v>33</v>
      </c>
      <c r="K133" s="20"/>
    </row>
    <row r="134" spans="1:11" ht="36.75" thickBot="1">
      <c r="A134" s="18" t="s">
        <v>2362</v>
      </c>
      <c r="B134" s="18">
        <v>20002706090</v>
      </c>
      <c r="C134" s="18" t="s">
        <v>2363</v>
      </c>
      <c r="D134" s="19">
        <v>45720.393750000003</v>
      </c>
      <c r="E134" s="19">
        <v>45750.575694444444</v>
      </c>
      <c r="F134" s="18">
        <v>6</v>
      </c>
      <c r="G134" s="19">
        <v>45799.379861111112</v>
      </c>
      <c r="H134" s="18" t="s">
        <v>236</v>
      </c>
      <c r="I134" s="18" t="s">
        <v>10</v>
      </c>
      <c r="J134" s="18" t="s">
        <v>420</v>
      </c>
      <c r="K134" s="20"/>
    </row>
    <row r="135" spans="1:11" ht="36.75" thickBot="1">
      <c r="A135" s="18" t="s">
        <v>2374</v>
      </c>
      <c r="B135" s="18">
        <v>20002819120</v>
      </c>
      <c r="C135" s="18" t="s">
        <v>425</v>
      </c>
      <c r="D135" s="19">
        <v>45733.579861111109</v>
      </c>
      <c r="E135" s="19">
        <v>45750.607638888891</v>
      </c>
      <c r="F135" s="18">
        <v>5</v>
      </c>
      <c r="G135" s="19">
        <v>45791.652777777781</v>
      </c>
      <c r="H135" s="18" t="s">
        <v>236</v>
      </c>
      <c r="I135" s="18" t="s">
        <v>10</v>
      </c>
      <c r="J135" s="18" t="s">
        <v>417</v>
      </c>
      <c r="K135" s="20"/>
    </row>
    <row r="136" spans="1:11" ht="36.75" thickBot="1">
      <c r="A136" s="18" t="s">
        <v>2444</v>
      </c>
      <c r="B136" s="18">
        <v>20002900457</v>
      </c>
      <c r="C136" s="18" t="s">
        <v>2445</v>
      </c>
      <c r="D136" s="19">
        <v>45736.65347222222</v>
      </c>
      <c r="E136" s="19">
        <v>45750.609027777777</v>
      </c>
      <c r="F136" s="18">
        <v>20</v>
      </c>
      <c r="G136" s="19">
        <v>45791.652777777781</v>
      </c>
      <c r="H136" s="18" t="s">
        <v>236</v>
      </c>
      <c r="I136" s="18" t="s">
        <v>10</v>
      </c>
      <c r="J136" s="18" t="s">
        <v>33</v>
      </c>
      <c r="K136" s="20"/>
    </row>
    <row r="137" spans="1:11" ht="36.75" thickBot="1">
      <c r="A137" s="18" t="s">
        <v>2370</v>
      </c>
      <c r="B137" s="18">
        <v>20003029762</v>
      </c>
      <c r="C137" s="18" t="s">
        <v>2371</v>
      </c>
      <c r="D137" s="19">
        <v>45726.419444444444</v>
      </c>
      <c r="E137" s="19">
        <v>45750.674305555556</v>
      </c>
      <c r="F137" s="18">
        <v>10</v>
      </c>
      <c r="G137" s="19">
        <v>45791.652777777781</v>
      </c>
      <c r="H137" s="18" t="s">
        <v>236</v>
      </c>
      <c r="I137" s="18" t="s">
        <v>10</v>
      </c>
      <c r="J137" s="18" t="s">
        <v>33</v>
      </c>
      <c r="K137" s="20"/>
    </row>
    <row r="138" spans="1:11" ht="36.75" thickBot="1">
      <c r="A138" s="18" t="s">
        <v>2080</v>
      </c>
      <c r="B138" s="18">
        <v>20019947570</v>
      </c>
      <c r="C138" s="18" t="s">
        <v>2081</v>
      </c>
      <c r="D138" s="19">
        <v>45684.663888888892</v>
      </c>
      <c r="E138" s="19">
        <v>45750.697222222225</v>
      </c>
      <c r="F138" s="18">
        <v>5</v>
      </c>
      <c r="G138" s="19">
        <v>45825.464583333334</v>
      </c>
      <c r="H138" s="18" t="s">
        <v>236</v>
      </c>
      <c r="I138" s="18" t="s">
        <v>10</v>
      </c>
      <c r="J138" s="18" t="s">
        <v>417</v>
      </c>
      <c r="K138" s="20"/>
    </row>
    <row r="139" spans="1:11" ht="36.75" thickBot="1">
      <c r="A139" s="18" t="s">
        <v>2368</v>
      </c>
      <c r="B139" s="18">
        <v>20002741089</v>
      </c>
      <c r="C139" s="18" t="s">
        <v>2369</v>
      </c>
      <c r="D139" s="19">
        <v>45723.588888888888</v>
      </c>
      <c r="E139" s="19">
        <v>45750.70416666667</v>
      </c>
      <c r="F139" s="18">
        <v>5</v>
      </c>
      <c r="G139" s="19">
        <v>45825.464583333334</v>
      </c>
      <c r="H139" s="18" t="s">
        <v>236</v>
      </c>
      <c r="I139" s="18" t="s">
        <v>10</v>
      </c>
      <c r="J139" s="18" t="s">
        <v>33</v>
      </c>
      <c r="K139" s="20"/>
    </row>
    <row r="140" spans="1:11" ht="36.75" thickBot="1">
      <c r="A140" s="18" t="s">
        <v>2634</v>
      </c>
      <c r="B140" s="18">
        <v>20024105118</v>
      </c>
      <c r="C140" s="18" t="s">
        <v>2635</v>
      </c>
      <c r="D140" s="19">
        <v>45754.418749999997</v>
      </c>
      <c r="E140" s="18" t="s">
        <v>10</v>
      </c>
      <c r="F140" s="18">
        <v>6</v>
      </c>
      <c r="G140" s="19">
        <v>45884.621527777781</v>
      </c>
      <c r="H140" s="18" t="s">
        <v>2657</v>
      </c>
      <c r="I140" s="18" t="s">
        <v>10</v>
      </c>
      <c r="J140" s="18" t="s">
        <v>417</v>
      </c>
      <c r="K140" s="20"/>
    </row>
    <row r="141" spans="1:11" ht="36.75" thickBot="1">
      <c r="A141" s="18" t="s">
        <v>2636</v>
      </c>
      <c r="B141" s="18">
        <v>20002686872</v>
      </c>
      <c r="C141" s="18" t="s">
        <v>2637</v>
      </c>
      <c r="D141" s="19">
        <v>45754.555555555555</v>
      </c>
      <c r="E141" s="18" t="s">
        <v>10</v>
      </c>
      <c r="F141" s="18">
        <v>6</v>
      </c>
      <c r="G141" s="18" t="s">
        <v>10</v>
      </c>
      <c r="H141" s="18" t="s">
        <v>178</v>
      </c>
      <c r="I141" s="18" t="s">
        <v>10</v>
      </c>
      <c r="J141" s="18" t="s">
        <v>33</v>
      </c>
      <c r="K141" s="20"/>
    </row>
    <row r="142" spans="1:11" ht="36.75" thickBot="1">
      <c r="A142" s="18" t="s">
        <v>2265</v>
      </c>
      <c r="B142" s="18">
        <v>20002723758</v>
      </c>
      <c r="C142" s="18" t="s">
        <v>2266</v>
      </c>
      <c r="D142" s="19">
        <v>45711.427083333336</v>
      </c>
      <c r="E142" s="19">
        <v>45755.582638888889</v>
      </c>
      <c r="F142" s="18">
        <v>6</v>
      </c>
      <c r="G142" s="18" t="s">
        <v>10</v>
      </c>
      <c r="H142" s="18" t="s">
        <v>189</v>
      </c>
      <c r="I142" s="18" t="s">
        <v>10</v>
      </c>
      <c r="J142" s="18" t="s">
        <v>33</v>
      </c>
      <c r="K142" s="20"/>
    </row>
    <row r="143" spans="1:11" ht="36.75" thickBot="1">
      <c r="A143" s="18" t="s">
        <v>2438</v>
      </c>
      <c r="B143" s="18">
        <v>20026690856</v>
      </c>
      <c r="C143" s="18" t="s">
        <v>2439</v>
      </c>
      <c r="D143" s="19">
        <v>45733.779166666667</v>
      </c>
      <c r="E143" s="19">
        <v>45757.461805555555</v>
      </c>
      <c r="F143" s="18">
        <v>5</v>
      </c>
      <c r="G143" s="19">
        <v>45784.548611111109</v>
      </c>
      <c r="H143" s="18" t="s">
        <v>236</v>
      </c>
      <c r="I143" s="18" t="s">
        <v>10</v>
      </c>
      <c r="J143" s="18" t="s">
        <v>431</v>
      </c>
      <c r="K143" s="20"/>
    </row>
    <row r="144" spans="1:11" ht="36.75" thickBot="1">
      <c r="A144" s="18" t="s">
        <v>2638</v>
      </c>
      <c r="B144" s="18">
        <v>20027067564</v>
      </c>
      <c r="C144" s="18" t="s">
        <v>2443</v>
      </c>
      <c r="D144" s="19">
        <v>45765.472222222219</v>
      </c>
      <c r="E144" s="18" t="s">
        <v>10</v>
      </c>
      <c r="F144" s="18">
        <v>5</v>
      </c>
      <c r="G144" s="19">
        <v>45784.506249999999</v>
      </c>
      <c r="H144" s="18" t="s">
        <v>236</v>
      </c>
      <c r="I144" s="18" t="s">
        <v>10</v>
      </c>
      <c r="J144" s="18" t="s">
        <v>420</v>
      </c>
      <c r="K144" s="20"/>
    </row>
    <row r="145" spans="1:11" ht="54.75" thickBot="1">
      <c r="A145" s="18" t="s">
        <v>2902</v>
      </c>
      <c r="B145" s="18">
        <v>20002882598</v>
      </c>
      <c r="C145" s="18" t="s">
        <v>2903</v>
      </c>
      <c r="D145" s="19">
        <v>45783.527777777781</v>
      </c>
      <c r="E145" s="18" t="s">
        <v>10</v>
      </c>
      <c r="F145" s="18">
        <v>10</v>
      </c>
      <c r="G145" s="19">
        <v>45796.550694444442</v>
      </c>
      <c r="H145" s="18" t="s">
        <v>236</v>
      </c>
      <c r="I145" s="18" t="s">
        <v>10</v>
      </c>
      <c r="J145" s="18" t="s">
        <v>33</v>
      </c>
      <c r="K145" s="20"/>
    </row>
    <row r="146" spans="1:11" ht="36.75" thickBot="1">
      <c r="A146" s="18" t="s">
        <v>2904</v>
      </c>
      <c r="B146" s="18">
        <v>20019253473</v>
      </c>
      <c r="C146" s="18" t="s">
        <v>2905</v>
      </c>
      <c r="D146" s="19">
        <v>45779.722916666666</v>
      </c>
      <c r="E146" s="19">
        <v>45786.478472222225</v>
      </c>
      <c r="F146" s="18">
        <v>10</v>
      </c>
      <c r="G146" s="19">
        <v>45800.657638888886</v>
      </c>
      <c r="H146" s="18" t="s">
        <v>236</v>
      </c>
      <c r="I146" s="18" t="s">
        <v>10</v>
      </c>
      <c r="J146" s="18" t="s">
        <v>417</v>
      </c>
      <c r="K146" s="20"/>
    </row>
    <row r="147" spans="1:11" ht="36.75" thickBot="1">
      <c r="A147" s="18" t="s">
        <v>2906</v>
      </c>
      <c r="B147" s="18">
        <v>20024990999</v>
      </c>
      <c r="C147" s="18" t="s">
        <v>2907</v>
      </c>
      <c r="D147" s="19">
        <v>45786.572916666664</v>
      </c>
      <c r="E147" s="18" t="s">
        <v>10</v>
      </c>
      <c r="F147" s="18">
        <v>10</v>
      </c>
      <c r="G147" s="19">
        <v>45971.568055555559</v>
      </c>
      <c r="H147" s="18" t="s">
        <v>2657</v>
      </c>
      <c r="I147" s="18" t="s">
        <v>10</v>
      </c>
      <c r="J147" s="18" t="s">
        <v>431</v>
      </c>
      <c r="K147" s="20"/>
    </row>
    <row r="148" spans="1:11" ht="54.75" thickBot="1">
      <c r="A148" s="18" t="s">
        <v>2908</v>
      </c>
      <c r="B148" s="18">
        <v>20002860342</v>
      </c>
      <c r="C148" s="18" t="s">
        <v>2909</v>
      </c>
      <c r="D148" s="19">
        <v>45798.584027777775</v>
      </c>
      <c r="E148" s="18" t="s">
        <v>10</v>
      </c>
      <c r="F148" s="18">
        <v>10</v>
      </c>
      <c r="G148" s="19">
        <v>45817.429166666669</v>
      </c>
      <c r="H148" s="18" t="s">
        <v>236</v>
      </c>
      <c r="I148" s="18" t="s">
        <v>10</v>
      </c>
      <c r="J148" s="18" t="s">
        <v>420</v>
      </c>
      <c r="K148" s="20"/>
    </row>
    <row r="149" spans="1:11" ht="36.75" thickBot="1">
      <c r="A149" s="18" t="s">
        <v>2910</v>
      </c>
      <c r="B149" s="18">
        <v>20028299091</v>
      </c>
      <c r="C149" s="18" t="s">
        <v>2911</v>
      </c>
      <c r="D149" s="19">
        <v>45799.690972222219</v>
      </c>
      <c r="E149" s="18" t="s">
        <v>10</v>
      </c>
      <c r="F149" s="18">
        <v>10</v>
      </c>
      <c r="G149" s="18" t="s">
        <v>10</v>
      </c>
      <c r="H149" s="18" t="s">
        <v>189</v>
      </c>
      <c r="I149" s="18" t="s">
        <v>10</v>
      </c>
      <c r="J149" s="18" t="s">
        <v>33</v>
      </c>
      <c r="K149" s="20"/>
    </row>
    <row r="150" spans="1:11" ht="36.75" thickBot="1">
      <c r="A150" s="18" t="s">
        <v>2912</v>
      </c>
      <c r="B150" s="18">
        <v>20003007908</v>
      </c>
      <c r="C150" s="18" t="s">
        <v>2913</v>
      </c>
      <c r="D150" s="19">
        <v>45800.723611111112</v>
      </c>
      <c r="E150" s="18" t="s">
        <v>10</v>
      </c>
      <c r="F150" s="18">
        <v>3</v>
      </c>
      <c r="G150" s="18" t="s">
        <v>10</v>
      </c>
      <c r="H150" s="18" t="s">
        <v>178</v>
      </c>
      <c r="I150" s="18" t="s">
        <v>10</v>
      </c>
      <c r="J150" s="18" t="s">
        <v>417</v>
      </c>
      <c r="K150" s="20"/>
    </row>
    <row r="151" spans="1:11" ht="36.75" thickBot="1">
      <c r="A151" s="18" t="s">
        <v>2914</v>
      </c>
      <c r="B151" s="18">
        <v>20024725167</v>
      </c>
      <c r="C151" s="18" t="s">
        <v>2915</v>
      </c>
      <c r="D151" s="19">
        <v>45810.538194444445</v>
      </c>
      <c r="E151" s="18" t="s">
        <v>10</v>
      </c>
      <c r="F151" s="18">
        <v>20</v>
      </c>
      <c r="G151" s="19">
        <v>45817.397916666669</v>
      </c>
      <c r="H151" s="18" t="s">
        <v>236</v>
      </c>
      <c r="I151" s="18" t="s">
        <v>10</v>
      </c>
      <c r="J151" s="18" t="s">
        <v>420</v>
      </c>
      <c r="K151" s="20"/>
    </row>
    <row r="152" spans="1:11" ht="54.75" thickBot="1">
      <c r="A152" s="18" t="s">
        <v>2916</v>
      </c>
      <c r="B152" s="18">
        <v>20027977811</v>
      </c>
      <c r="C152" s="18" t="s">
        <v>2917</v>
      </c>
      <c r="D152" s="19">
        <v>45817.436805555553</v>
      </c>
      <c r="E152" s="18" t="s">
        <v>10</v>
      </c>
      <c r="F152" s="18">
        <v>5</v>
      </c>
      <c r="G152" s="19">
        <v>45828.388888888891</v>
      </c>
      <c r="H152" s="18" t="s">
        <v>236</v>
      </c>
      <c r="I152" s="18" t="s">
        <v>10</v>
      </c>
      <c r="J152" s="18" t="s">
        <v>33</v>
      </c>
      <c r="K152" s="20"/>
    </row>
    <row r="153" spans="1:11" ht="36.75" thickBot="1">
      <c r="A153" s="18" t="s">
        <v>2918</v>
      </c>
      <c r="B153" s="18">
        <v>20025992244</v>
      </c>
      <c r="C153" s="18" t="s">
        <v>2919</v>
      </c>
      <c r="D153" s="19">
        <v>45817.520833333336</v>
      </c>
      <c r="E153" s="18" t="s">
        <v>10</v>
      </c>
      <c r="F153" s="18">
        <v>5</v>
      </c>
      <c r="G153" s="19">
        <v>45945.479861111111</v>
      </c>
      <c r="H153" s="18" t="s">
        <v>2657</v>
      </c>
      <c r="I153" s="18" t="s">
        <v>10</v>
      </c>
      <c r="J153" s="18" t="s">
        <v>417</v>
      </c>
      <c r="K153" s="20"/>
    </row>
    <row r="154" spans="1:11" ht="36.75" thickBot="1">
      <c r="A154" s="18" t="s">
        <v>2920</v>
      </c>
      <c r="B154" s="18">
        <v>20022314376</v>
      </c>
      <c r="C154" s="18" t="s">
        <v>2921</v>
      </c>
      <c r="D154" s="19">
        <v>45823.518750000003</v>
      </c>
      <c r="E154" s="18" t="s">
        <v>10</v>
      </c>
      <c r="F154" s="18">
        <v>5</v>
      </c>
      <c r="G154" s="18" t="s">
        <v>10</v>
      </c>
      <c r="H154" s="18" t="s">
        <v>178</v>
      </c>
      <c r="I154" s="18" t="s">
        <v>10</v>
      </c>
      <c r="J154" s="18" t="s">
        <v>33</v>
      </c>
      <c r="K154" s="20"/>
    </row>
    <row r="155" spans="1:11" ht="36.75" thickBot="1">
      <c r="A155" s="18" t="s">
        <v>1494</v>
      </c>
      <c r="B155" s="18">
        <v>20028113444</v>
      </c>
      <c r="C155" s="18" t="s">
        <v>1495</v>
      </c>
      <c r="D155" s="19">
        <v>45586.930555555555</v>
      </c>
      <c r="E155" s="19">
        <v>45826.944444444445</v>
      </c>
      <c r="F155" s="18">
        <v>5</v>
      </c>
      <c r="G155" s="19">
        <v>45852.370138888888</v>
      </c>
      <c r="H155" s="18" t="s">
        <v>236</v>
      </c>
      <c r="I155" s="18" t="s">
        <v>10</v>
      </c>
      <c r="J155" s="18" t="s">
        <v>431</v>
      </c>
      <c r="K155" s="20"/>
    </row>
    <row r="156" spans="1:11" ht="36.75" thickBot="1">
      <c r="A156" s="18" t="s">
        <v>3862</v>
      </c>
      <c r="B156" s="18">
        <v>20003023466</v>
      </c>
      <c r="C156" s="18" t="s">
        <v>1763</v>
      </c>
      <c r="D156" s="19">
        <v>45831.559027777781</v>
      </c>
      <c r="E156" s="18" t="s">
        <v>10</v>
      </c>
      <c r="F156" s="18">
        <v>5</v>
      </c>
      <c r="G156" s="18" t="s">
        <v>10</v>
      </c>
      <c r="H156" s="18" t="s">
        <v>178</v>
      </c>
      <c r="I156" s="18" t="s">
        <v>10</v>
      </c>
      <c r="J156" s="18" t="s">
        <v>33</v>
      </c>
      <c r="K156" s="20"/>
    </row>
    <row r="157" spans="1:11" ht="36.75" thickBot="1">
      <c r="A157" s="18" t="s">
        <v>3863</v>
      </c>
      <c r="B157" s="18">
        <v>20002904692</v>
      </c>
      <c r="C157" s="18" t="s">
        <v>3864</v>
      </c>
      <c r="D157" s="19">
        <v>45831.595833333333</v>
      </c>
      <c r="E157" s="18" t="s">
        <v>10</v>
      </c>
      <c r="F157" s="18">
        <v>20</v>
      </c>
      <c r="G157" s="18" t="s">
        <v>10</v>
      </c>
      <c r="H157" s="18" t="s">
        <v>189</v>
      </c>
      <c r="I157" s="18" t="s">
        <v>10</v>
      </c>
      <c r="J157" s="18" t="s">
        <v>431</v>
      </c>
      <c r="K157" s="20"/>
    </row>
    <row r="158" spans="1:11" ht="36.75" thickBot="1">
      <c r="A158" s="18" t="s">
        <v>3865</v>
      </c>
      <c r="B158" s="18">
        <v>20003023711</v>
      </c>
      <c r="C158" s="18" t="s">
        <v>3866</v>
      </c>
      <c r="D158" s="19">
        <v>45832.878472222219</v>
      </c>
      <c r="E158" s="18" t="s">
        <v>10</v>
      </c>
      <c r="F158" s="18">
        <v>5</v>
      </c>
      <c r="G158" s="19">
        <v>45852.353472222225</v>
      </c>
      <c r="H158" s="18" t="s">
        <v>236</v>
      </c>
      <c r="I158" s="18" t="s">
        <v>10</v>
      </c>
      <c r="J158" s="18" t="s">
        <v>33</v>
      </c>
      <c r="K158" s="20"/>
    </row>
    <row r="159" spans="1:11" ht="36.75" thickBot="1">
      <c r="A159" s="18" t="s">
        <v>3867</v>
      </c>
      <c r="B159" s="18">
        <v>20028139317</v>
      </c>
      <c r="C159" s="18" t="s">
        <v>3868</v>
      </c>
      <c r="D159" s="19">
        <v>45833.731249999997</v>
      </c>
      <c r="E159" s="18" t="s">
        <v>10</v>
      </c>
      <c r="F159" s="18">
        <v>4</v>
      </c>
      <c r="G159" s="19">
        <v>45855.581250000003</v>
      </c>
      <c r="H159" s="18" t="s">
        <v>236</v>
      </c>
      <c r="I159" s="18" t="s">
        <v>10</v>
      </c>
      <c r="J159" s="18" t="s">
        <v>431</v>
      </c>
      <c r="K159" s="20"/>
    </row>
    <row r="160" spans="1:11" ht="36.75" thickBot="1">
      <c r="A160" s="18" t="s">
        <v>3869</v>
      </c>
      <c r="B160" s="18">
        <v>20002927619</v>
      </c>
      <c r="C160" s="18" t="s">
        <v>3870</v>
      </c>
      <c r="D160" s="19">
        <v>45837.868750000001</v>
      </c>
      <c r="E160" s="18" t="s">
        <v>10</v>
      </c>
      <c r="F160" s="18">
        <v>10</v>
      </c>
      <c r="G160" s="19">
        <v>45855.638194444444</v>
      </c>
      <c r="H160" s="18" t="s">
        <v>236</v>
      </c>
      <c r="I160" s="18" t="s">
        <v>10</v>
      </c>
      <c r="J160" s="18" t="s">
        <v>33</v>
      </c>
      <c r="K160" s="20"/>
    </row>
    <row r="161" spans="1:11" ht="36.75" thickBot="1">
      <c r="A161" s="18" t="s">
        <v>3871</v>
      </c>
      <c r="B161" s="18">
        <v>20016592788</v>
      </c>
      <c r="C161" s="18" t="s">
        <v>3872</v>
      </c>
      <c r="D161" s="19">
        <v>45838.445138888892</v>
      </c>
      <c r="E161" s="18" t="s">
        <v>10</v>
      </c>
      <c r="F161" s="18">
        <v>5</v>
      </c>
      <c r="G161" s="19">
        <v>45868.534722222219</v>
      </c>
      <c r="H161" s="18" t="s">
        <v>2657</v>
      </c>
      <c r="I161" s="18" t="s">
        <v>10</v>
      </c>
      <c r="J161" s="18" t="s">
        <v>420</v>
      </c>
      <c r="K161" s="20"/>
    </row>
    <row r="162" spans="1:11" ht="36.75" thickBot="1">
      <c r="A162" s="18" t="s">
        <v>3873</v>
      </c>
      <c r="B162" s="18">
        <v>20002867599</v>
      </c>
      <c r="C162" s="18" t="s">
        <v>3874</v>
      </c>
      <c r="D162" s="19">
        <v>45839.402083333334</v>
      </c>
      <c r="E162" s="18" t="s">
        <v>10</v>
      </c>
      <c r="F162" s="18">
        <v>20</v>
      </c>
      <c r="G162" s="19">
        <v>45852.427083333336</v>
      </c>
      <c r="H162" s="18" t="s">
        <v>236</v>
      </c>
      <c r="I162" s="18" t="s">
        <v>10</v>
      </c>
      <c r="J162" s="18" t="s">
        <v>420</v>
      </c>
      <c r="K162" s="20"/>
    </row>
    <row r="163" spans="1:11" ht="54.75" thickBot="1">
      <c r="A163" s="18" t="s">
        <v>3875</v>
      </c>
      <c r="B163" s="18">
        <v>20002882805</v>
      </c>
      <c r="C163" s="18" t="s">
        <v>3876</v>
      </c>
      <c r="D163" s="19">
        <v>45840.556250000001</v>
      </c>
      <c r="E163" s="18" t="s">
        <v>10</v>
      </c>
      <c r="F163" s="18">
        <v>20</v>
      </c>
      <c r="G163" s="19">
        <v>45876.588888888888</v>
      </c>
      <c r="H163" s="18" t="s">
        <v>2657</v>
      </c>
      <c r="I163" s="18" t="s">
        <v>10</v>
      </c>
      <c r="J163" s="18" t="s">
        <v>33</v>
      </c>
      <c r="K163" s="20"/>
    </row>
    <row r="164" spans="1:11" ht="36.75" thickBot="1">
      <c r="A164" s="18" t="s">
        <v>3877</v>
      </c>
      <c r="B164" s="18">
        <v>20019378198</v>
      </c>
      <c r="C164" s="18" t="s">
        <v>3878</v>
      </c>
      <c r="D164" s="19">
        <v>45846.488888888889</v>
      </c>
      <c r="E164" s="18" t="s">
        <v>10</v>
      </c>
      <c r="F164" s="18">
        <v>6</v>
      </c>
      <c r="G164" s="19">
        <v>45873.370138888888</v>
      </c>
      <c r="H164" s="18" t="s">
        <v>2654</v>
      </c>
      <c r="I164" s="18" t="s">
        <v>10</v>
      </c>
      <c r="J164" s="18" t="s">
        <v>420</v>
      </c>
      <c r="K164" s="20"/>
    </row>
    <row r="165" spans="1:11" ht="36.75" thickBot="1">
      <c r="A165" s="18" t="s">
        <v>3879</v>
      </c>
      <c r="B165" s="18">
        <v>20003109014</v>
      </c>
      <c r="C165" s="18" t="s">
        <v>1752</v>
      </c>
      <c r="D165" s="19">
        <v>45854.428472222222</v>
      </c>
      <c r="E165" s="18" t="s">
        <v>10</v>
      </c>
      <c r="F165" s="18">
        <v>5</v>
      </c>
      <c r="G165" s="18" t="s">
        <v>10</v>
      </c>
      <c r="H165" s="18" t="s">
        <v>189</v>
      </c>
      <c r="I165" s="18" t="s">
        <v>10</v>
      </c>
      <c r="J165" s="18" t="s">
        <v>431</v>
      </c>
      <c r="K165" s="20"/>
    </row>
    <row r="166" spans="1:11" ht="36.75" thickBot="1">
      <c r="A166" s="18" t="s">
        <v>3880</v>
      </c>
      <c r="B166" s="18">
        <v>20021811046</v>
      </c>
      <c r="C166" s="18" t="s">
        <v>3881</v>
      </c>
      <c r="D166" s="19">
        <v>45857.545138888891</v>
      </c>
      <c r="E166" s="18" t="s">
        <v>10</v>
      </c>
      <c r="F166" s="18">
        <v>20</v>
      </c>
      <c r="G166" s="18" t="s">
        <v>10</v>
      </c>
      <c r="H166" s="18" t="s">
        <v>178</v>
      </c>
      <c r="I166" s="18" t="s">
        <v>10</v>
      </c>
      <c r="J166" s="18" t="s">
        <v>412</v>
      </c>
      <c r="K166" s="20"/>
    </row>
    <row r="167" spans="1:11" ht="36.75" thickBot="1">
      <c r="A167" s="18" t="s">
        <v>3882</v>
      </c>
      <c r="B167" s="18">
        <v>20019088247</v>
      </c>
      <c r="C167" s="18" t="s">
        <v>3883</v>
      </c>
      <c r="D167" s="19">
        <v>45861.377083333333</v>
      </c>
      <c r="E167" s="18" t="s">
        <v>10</v>
      </c>
      <c r="F167" s="18">
        <v>5</v>
      </c>
      <c r="G167" s="19">
        <v>45868.357638888891</v>
      </c>
      <c r="H167" s="18" t="s">
        <v>236</v>
      </c>
      <c r="I167" s="18" t="s">
        <v>10</v>
      </c>
      <c r="J167" s="18" t="s">
        <v>33</v>
      </c>
      <c r="K167" s="20"/>
    </row>
    <row r="168" spans="1:11" ht="36.75" thickBot="1">
      <c r="A168" s="18" t="s">
        <v>3884</v>
      </c>
      <c r="B168" s="18">
        <v>20027680397</v>
      </c>
      <c r="C168" s="18" t="s">
        <v>3885</v>
      </c>
      <c r="D168" s="19">
        <v>45859.603472222225</v>
      </c>
      <c r="E168" s="19">
        <v>45861.782638888886</v>
      </c>
      <c r="F168" s="18">
        <v>10</v>
      </c>
      <c r="G168" s="18" t="s">
        <v>10</v>
      </c>
      <c r="H168" s="18" t="s">
        <v>189</v>
      </c>
      <c r="I168" s="18" t="s">
        <v>10</v>
      </c>
      <c r="J168" s="18" t="s">
        <v>417</v>
      </c>
      <c r="K168" s="20"/>
    </row>
    <row r="169" spans="1:11" ht="36.75" thickBot="1">
      <c r="A169" s="18" t="s">
        <v>3886</v>
      </c>
      <c r="B169" s="18">
        <v>20027479262</v>
      </c>
      <c r="C169" s="18" t="s">
        <v>3887</v>
      </c>
      <c r="D169" s="19">
        <v>45862.377083333333</v>
      </c>
      <c r="E169" s="18" t="s">
        <v>10</v>
      </c>
      <c r="F169" s="18">
        <v>10</v>
      </c>
      <c r="G169" s="19">
        <v>45868.357638888891</v>
      </c>
      <c r="H169" s="18" t="s">
        <v>236</v>
      </c>
      <c r="I169" s="18" t="s">
        <v>10</v>
      </c>
      <c r="J169" s="18" t="s">
        <v>420</v>
      </c>
      <c r="K169" s="20"/>
    </row>
    <row r="170" spans="1:11" ht="36.75" thickBot="1">
      <c r="A170" s="18" t="s">
        <v>3888</v>
      </c>
      <c r="B170" s="18">
        <v>20002865526</v>
      </c>
      <c r="C170" s="18" t="s">
        <v>3889</v>
      </c>
      <c r="D170" s="19">
        <v>45868.660416666666</v>
      </c>
      <c r="E170" s="18" t="s">
        <v>10</v>
      </c>
      <c r="F170" s="18">
        <v>15</v>
      </c>
      <c r="G170" s="18" t="s">
        <v>10</v>
      </c>
      <c r="H170" s="18" t="s">
        <v>178</v>
      </c>
      <c r="I170" s="18" t="s">
        <v>10</v>
      </c>
      <c r="J170" s="18" t="s">
        <v>420</v>
      </c>
      <c r="K170" s="20"/>
    </row>
    <row r="171" spans="1:11" ht="36.75" thickBot="1">
      <c r="A171" s="18" t="s">
        <v>3890</v>
      </c>
      <c r="B171" s="18">
        <v>20028547131</v>
      </c>
      <c r="C171" s="18" t="s">
        <v>3891</v>
      </c>
      <c r="D171" s="19">
        <v>45861.556250000001</v>
      </c>
      <c r="E171" s="19">
        <v>45869.543055555558</v>
      </c>
      <c r="F171" s="18">
        <v>10</v>
      </c>
      <c r="G171" s="19">
        <v>45911.478472222225</v>
      </c>
      <c r="H171" s="18" t="s">
        <v>236</v>
      </c>
      <c r="I171" s="18" t="s">
        <v>10</v>
      </c>
      <c r="J171" s="18" t="s">
        <v>431</v>
      </c>
      <c r="K171" s="20"/>
    </row>
    <row r="172" spans="1:11" ht="36.75" thickBot="1">
      <c r="A172" s="18" t="s">
        <v>3892</v>
      </c>
      <c r="B172" s="18">
        <v>20016289876</v>
      </c>
      <c r="C172" s="18" t="s">
        <v>3893</v>
      </c>
      <c r="D172" s="19">
        <v>45870.688194444447</v>
      </c>
      <c r="E172" s="18" t="s">
        <v>10</v>
      </c>
      <c r="F172" s="18">
        <v>4</v>
      </c>
      <c r="G172" s="18" t="s">
        <v>10</v>
      </c>
      <c r="H172" s="18" t="s">
        <v>189</v>
      </c>
      <c r="I172" s="18" t="s">
        <v>10</v>
      </c>
      <c r="J172" s="18" t="s">
        <v>412</v>
      </c>
      <c r="K172" s="20"/>
    </row>
    <row r="173" spans="1:11" ht="36.75" thickBot="1">
      <c r="A173" s="18" t="s">
        <v>3894</v>
      </c>
      <c r="B173" s="18">
        <v>20028628502</v>
      </c>
      <c r="C173" s="18" t="s">
        <v>3895</v>
      </c>
      <c r="D173" s="19">
        <v>45873.587500000001</v>
      </c>
      <c r="E173" s="18" t="s">
        <v>10</v>
      </c>
      <c r="F173" s="18">
        <v>6</v>
      </c>
      <c r="G173" s="18" t="s">
        <v>10</v>
      </c>
      <c r="H173" s="18" t="s">
        <v>178</v>
      </c>
      <c r="I173" s="18" t="s">
        <v>10</v>
      </c>
      <c r="J173" s="18" t="s">
        <v>417</v>
      </c>
      <c r="K173" s="20"/>
    </row>
    <row r="174" spans="1:11" ht="36.75" thickBot="1">
      <c r="A174" s="18" t="s">
        <v>3896</v>
      </c>
      <c r="B174" s="18">
        <v>20028628502</v>
      </c>
      <c r="C174" s="18" t="s">
        <v>3897</v>
      </c>
      <c r="D174" s="19">
        <v>45873.859027777777</v>
      </c>
      <c r="E174" s="19">
        <v>45879.660416666666</v>
      </c>
      <c r="F174" s="18">
        <v>6</v>
      </c>
      <c r="G174" s="19">
        <v>45889.404166666667</v>
      </c>
      <c r="H174" s="18" t="s">
        <v>236</v>
      </c>
      <c r="I174" s="18" t="s">
        <v>10</v>
      </c>
      <c r="J174" s="18" t="s">
        <v>417</v>
      </c>
      <c r="K174" s="20"/>
    </row>
    <row r="175" spans="1:11" ht="72.75" thickBot="1">
      <c r="A175" s="18" t="s">
        <v>3898</v>
      </c>
      <c r="B175" s="18">
        <v>20026652224</v>
      </c>
      <c r="C175" s="18" t="s">
        <v>951</v>
      </c>
      <c r="D175" s="19">
        <v>45887.953472222223</v>
      </c>
      <c r="E175" s="18" t="s">
        <v>10</v>
      </c>
      <c r="F175" s="18">
        <v>6</v>
      </c>
      <c r="G175" s="19">
        <v>45972.561111111114</v>
      </c>
      <c r="H175" s="18" t="s">
        <v>236</v>
      </c>
      <c r="I175" s="18" t="s">
        <v>10</v>
      </c>
      <c r="J175" s="18" t="s">
        <v>33</v>
      </c>
      <c r="K175" s="20"/>
    </row>
    <row r="176" spans="1:11" ht="54.75" thickBot="1">
      <c r="A176" s="18" t="s">
        <v>3899</v>
      </c>
      <c r="B176" s="18">
        <v>20026003168</v>
      </c>
      <c r="C176" s="18" t="s">
        <v>3189</v>
      </c>
      <c r="D176" s="19">
        <v>45888.613888888889</v>
      </c>
      <c r="E176" s="18" t="s">
        <v>10</v>
      </c>
      <c r="F176" s="18">
        <v>10</v>
      </c>
      <c r="G176" s="19">
        <v>45905.55972222222</v>
      </c>
      <c r="H176" s="18" t="s">
        <v>2654</v>
      </c>
      <c r="I176" s="18" t="s">
        <v>10</v>
      </c>
      <c r="J176" s="18" t="s">
        <v>33</v>
      </c>
      <c r="K176" s="20"/>
    </row>
    <row r="177" spans="1:11" ht="36.75" thickBot="1">
      <c r="A177" s="18" t="s">
        <v>3900</v>
      </c>
      <c r="B177" s="18">
        <v>20002894401</v>
      </c>
      <c r="C177" s="18" t="s">
        <v>3901</v>
      </c>
      <c r="D177" s="19">
        <v>45874.73333333333</v>
      </c>
      <c r="E177" s="19">
        <v>45888.753472222219</v>
      </c>
      <c r="F177" s="18">
        <v>10</v>
      </c>
      <c r="G177" s="19">
        <v>45908.607638888891</v>
      </c>
      <c r="H177" s="18" t="s">
        <v>236</v>
      </c>
      <c r="I177" s="18" t="s">
        <v>10</v>
      </c>
      <c r="J177" s="18" t="s">
        <v>431</v>
      </c>
      <c r="K177" s="20"/>
    </row>
    <row r="178" spans="1:11" ht="36.75" thickBot="1">
      <c r="A178" s="18" t="s">
        <v>3902</v>
      </c>
      <c r="B178" s="18">
        <v>20020439991</v>
      </c>
      <c r="C178" s="18" t="s">
        <v>3903</v>
      </c>
      <c r="D178" s="19">
        <v>45889.605555555558</v>
      </c>
      <c r="E178" s="18" t="s">
        <v>10</v>
      </c>
      <c r="F178" s="18">
        <v>5</v>
      </c>
      <c r="G178" s="18" t="s">
        <v>10</v>
      </c>
      <c r="H178" s="18" t="s">
        <v>178</v>
      </c>
      <c r="I178" s="18" t="s">
        <v>10</v>
      </c>
      <c r="J178" s="18" t="s">
        <v>412</v>
      </c>
      <c r="K178" s="20"/>
    </row>
    <row r="179" spans="1:11" ht="36.75" thickBot="1">
      <c r="A179" s="18" t="s">
        <v>3904</v>
      </c>
      <c r="B179" s="18">
        <v>20002865526</v>
      </c>
      <c r="C179" s="18" t="s">
        <v>3905</v>
      </c>
      <c r="D179" s="19">
        <v>45890.443749999999</v>
      </c>
      <c r="E179" s="18" t="s">
        <v>10</v>
      </c>
      <c r="F179" s="18">
        <v>15</v>
      </c>
      <c r="G179" s="19">
        <v>45910.481944444444</v>
      </c>
      <c r="H179" s="18" t="s">
        <v>236</v>
      </c>
      <c r="I179" s="18" t="s">
        <v>10</v>
      </c>
      <c r="J179" s="18" t="s">
        <v>420</v>
      </c>
      <c r="K179" s="20"/>
    </row>
    <row r="180" spans="1:11" ht="36.75" thickBot="1">
      <c r="A180" s="18" t="s">
        <v>3906</v>
      </c>
      <c r="B180" s="18">
        <v>20002822242</v>
      </c>
      <c r="C180" s="18" t="s">
        <v>3907</v>
      </c>
      <c r="D180" s="19">
        <v>45890.63958333333</v>
      </c>
      <c r="E180" s="18" t="s">
        <v>10</v>
      </c>
      <c r="F180" s="18">
        <v>5</v>
      </c>
      <c r="G180" s="18" t="s">
        <v>10</v>
      </c>
      <c r="H180" s="18" t="s">
        <v>178</v>
      </c>
      <c r="I180" s="18" t="s">
        <v>10</v>
      </c>
      <c r="J180" s="18" t="s">
        <v>431</v>
      </c>
      <c r="K180" s="20"/>
    </row>
    <row r="181" spans="1:11" ht="36.75" thickBot="1">
      <c r="A181" s="18" t="s">
        <v>3908</v>
      </c>
      <c r="B181" s="18">
        <v>20003023466</v>
      </c>
      <c r="C181" s="18" t="s">
        <v>3909</v>
      </c>
      <c r="D181" s="19">
        <v>45902.737500000003</v>
      </c>
      <c r="E181" s="18" t="s">
        <v>10</v>
      </c>
      <c r="F181" s="18">
        <v>10</v>
      </c>
      <c r="G181" s="19">
        <v>45916.560416666667</v>
      </c>
      <c r="H181" s="18" t="s">
        <v>2657</v>
      </c>
      <c r="I181" s="18" t="s">
        <v>10</v>
      </c>
      <c r="J181" s="18" t="s">
        <v>33</v>
      </c>
      <c r="K181" s="20"/>
    </row>
    <row r="182" spans="1:11" ht="36.75" thickBot="1">
      <c r="A182" s="18" t="s">
        <v>3910</v>
      </c>
      <c r="B182" s="18">
        <v>20025705219</v>
      </c>
      <c r="C182" s="18" t="s">
        <v>3911</v>
      </c>
      <c r="D182" s="19">
        <v>45890.649305555555</v>
      </c>
      <c r="E182" s="19">
        <v>45903.59097222222</v>
      </c>
      <c r="F182" s="18">
        <v>5</v>
      </c>
      <c r="G182" s="18" t="s">
        <v>10</v>
      </c>
      <c r="H182" s="18" t="s">
        <v>178</v>
      </c>
      <c r="I182" s="18" t="s">
        <v>10</v>
      </c>
      <c r="J182" s="18" t="s">
        <v>431</v>
      </c>
      <c r="K182" s="20"/>
    </row>
    <row r="183" spans="1:11" ht="36.75" thickBot="1">
      <c r="A183" s="18" t="s">
        <v>3912</v>
      </c>
      <c r="B183" s="18">
        <v>20026914584</v>
      </c>
      <c r="C183" s="18" t="s">
        <v>1750</v>
      </c>
      <c r="D183" s="19">
        <v>45908.459722222222</v>
      </c>
      <c r="E183" s="18" t="s">
        <v>10</v>
      </c>
      <c r="F183" s="18">
        <v>3</v>
      </c>
      <c r="G183" s="18" t="s">
        <v>10</v>
      </c>
      <c r="H183" s="18" t="s">
        <v>189</v>
      </c>
      <c r="I183" s="18" t="s">
        <v>10</v>
      </c>
      <c r="J183" s="18" t="s">
        <v>412</v>
      </c>
      <c r="K183" s="20"/>
    </row>
    <row r="184" spans="1:11" ht="36.75" thickBot="1">
      <c r="A184" s="18" t="s">
        <v>3913</v>
      </c>
      <c r="B184" s="18">
        <v>20020439991</v>
      </c>
      <c r="C184" s="18" t="s">
        <v>3914</v>
      </c>
      <c r="D184" s="19">
        <v>45910.449305555558</v>
      </c>
      <c r="E184" s="18" t="s">
        <v>10</v>
      </c>
      <c r="F184" s="18">
        <v>5</v>
      </c>
      <c r="G184" s="19">
        <v>45912.585416666669</v>
      </c>
      <c r="H184" s="18" t="s">
        <v>2657</v>
      </c>
      <c r="I184" s="18" t="s">
        <v>10</v>
      </c>
      <c r="J184" s="18" t="s">
        <v>412</v>
      </c>
      <c r="K184" s="20"/>
    </row>
    <row r="185" spans="1:11" ht="36.75" thickBot="1">
      <c r="A185" s="18" t="s">
        <v>3915</v>
      </c>
      <c r="B185" s="18">
        <v>20021811046</v>
      </c>
      <c r="C185" s="18" t="s">
        <v>3916</v>
      </c>
      <c r="D185" s="19">
        <v>45913.521527777775</v>
      </c>
      <c r="E185" s="18" t="s">
        <v>10</v>
      </c>
      <c r="F185" s="18">
        <v>20</v>
      </c>
      <c r="G185" s="18" t="s">
        <v>10</v>
      </c>
      <c r="H185" s="18" t="s">
        <v>178</v>
      </c>
      <c r="I185" s="18" t="s">
        <v>10</v>
      </c>
      <c r="J185" s="18" t="s">
        <v>412</v>
      </c>
      <c r="K185" s="20"/>
    </row>
    <row r="186" spans="1:11" ht="36.75" thickBot="1">
      <c r="A186" s="18" t="s">
        <v>3917</v>
      </c>
      <c r="B186" s="18">
        <v>20020889714</v>
      </c>
      <c r="C186" s="18" t="s">
        <v>3918</v>
      </c>
      <c r="D186" s="19">
        <v>45916.749305555553</v>
      </c>
      <c r="E186" s="18" t="s">
        <v>10</v>
      </c>
      <c r="F186" s="18">
        <v>10</v>
      </c>
      <c r="G186" s="19">
        <v>45922.545138888891</v>
      </c>
      <c r="H186" s="18" t="s">
        <v>236</v>
      </c>
      <c r="I186" s="18" t="s">
        <v>10</v>
      </c>
      <c r="J186" s="18" t="s">
        <v>431</v>
      </c>
      <c r="K186" s="20"/>
    </row>
    <row r="187" spans="1:11" ht="36.75" thickBot="1">
      <c r="A187" s="18" t="s">
        <v>3919</v>
      </c>
      <c r="B187" s="18">
        <v>20022847235</v>
      </c>
      <c r="C187" s="18" t="s">
        <v>3920</v>
      </c>
      <c r="D187" s="19">
        <v>45913.48541666667</v>
      </c>
      <c r="E187" s="19">
        <v>45917.474999999999</v>
      </c>
      <c r="F187" s="18">
        <v>5</v>
      </c>
      <c r="G187" s="19">
        <v>45937.584722222222</v>
      </c>
      <c r="H187" s="18" t="s">
        <v>236</v>
      </c>
      <c r="I187" s="18" t="s">
        <v>10</v>
      </c>
      <c r="J187" s="18" t="s">
        <v>33</v>
      </c>
      <c r="K187" s="20"/>
    </row>
    <row r="188" spans="1:11" ht="54.75" thickBot="1">
      <c r="A188" s="18" t="s">
        <v>3921</v>
      </c>
      <c r="B188" s="18">
        <v>20020211627</v>
      </c>
      <c r="C188" s="18" t="s">
        <v>3922</v>
      </c>
      <c r="D188" s="19">
        <v>45919.630555555559</v>
      </c>
      <c r="E188" s="18" t="s">
        <v>10</v>
      </c>
      <c r="F188" s="18">
        <v>10</v>
      </c>
      <c r="G188" s="18" t="s">
        <v>10</v>
      </c>
      <c r="H188" s="18" t="s">
        <v>2657</v>
      </c>
      <c r="I188" s="18" t="s">
        <v>10</v>
      </c>
      <c r="J188" s="18" t="s">
        <v>33</v>
      </c>
      <c r="K188" s="20"/>
    </row>
    <row r="189" spans="1:11" ht="36.75" thickBot="1">
      <c r="A189" s="18" t="s">
        <v>3923</v>
      </c>
      <c r="B189" s="18">
        <v>20028732365</v>
      </c>
      <c r="C189" s="18" t="s">
        <v>3924</v>
      </c>
      <c r="D189" s="19">
        <v>45922.605555555558</v>
      </c>
      <c r="E189" s="18" t="s">
        <v>10</v>
      </c>
      <c r="F189" s="18">
        <v>5</v>
      </c>
      <c r="G189" s="18" t="s">
        <v>10</v>
      </c>
      <c r="H189" s="18" t="s">
        <v>189</v>
      </c>
      <c r="I189" s="18" t="s">
        <v>10</v>
      </c>
      <c r="J189" s="18" t="s">
        <v>412</v>
      </c>
      <c r="K189" s="20"/>
    </row>
    <row r="190" spans="1:11" ht="36.75" thickBot="1">
      <c r="A190" s="18" t="s">
        <v>3925</v>
      </c>
      <c r="B190" s="18">
        <v>20021811046</v>
      </c>
      <c r="C190" s="18" t="s">
        <v>3926</v>
      </c>
      <c r="D190" s="19">
        <v>45913.539583333331</v>
      </c>
      <c r="E190" s="19">
        <v>45924.372916666667</v>
      </c>
      <c r="F190" s="18">
        <v>20</v>
      </c>
      <c r="G190" s="19">
        <v>45950.368750000001</v>
      </c>
      <c r="H190" s="18" t="s">
        <v>236</v>
      </c>
      <c r="I190" s="18" t="s">
        <v>10</v>
      </c>
      <c r="J190" s="18" t="s">
        <v>412</v>
      </c>
      <c r="K190" s="20"/>
    </row>
    <row r="191" spans="1:11" ht="36.75" thickBot="1">
      <c r="A191" s="18" t="s">
        <v>3927</v>
      </c>
      <c r="B191" s="18">
        <v>20003105310</v>
      </c>
      <c r="C191" s="18" t="s">
        <v>3928</v>
      </c>
      <c r="D191" s="19">
        <v>45924.151388888888</v>
      </c>
      <c r="E191" s="19">
        <v>45928.577777777777</v>
      </c>
      <c r="F191" s="18">
        <v>3</v>
      </c>
      <c r="G191" s="19">
        <v>45938.63958333333</v>
      </c>
      <c r="H191" s="18" t="s">
        <v>236</v>
      </c>
      <c r="I191" s="18" t="s">
        <v>10</v>
      </c>
      <c r="J191" s="18" t="s">
        <v>417</v>
      </c>
      <c r="K191" s="20"/>
    </row>
    <row r="192" spans="1:11" ht="36.75" thickBot="1">
      <c r="A192" s="18" t="s">
        <v>3929</v>
      </c>
      <c r="B192" s="18">
        <v>20002981897</v>
      </c>
      <c r="C192" s="18" t="s">
        <v>3930</v>
      </c>
      <c r="D192" s="19">
        <v>45929.714583333334</v>
      </c>
      <c r="E192" s="18" t="s">
        <v>10</v>
      </c>
      <c r="F192" s="18">
        <v>10</v>
      </c>
      <c r="G192" s="18" t="s">
        <v>10</v>
      </c>
      <c r="H192" s="18" t="s">
        <v>189</v>
      </c>
      <c r="I192" s="18" t="s">
        <v>10</v>
      </c>
      <c r="J192" s="18" t="s">
        <v>412</v>
      </c>
      <c r="K192" s="20"/>
    </row>
    <row r="193" spans="1:11" ht="36.75" thickBot="1">
      <c r="A193" s="18" t="s">
        <v>3931</v>
      </c>
      <c r="B193" s="18">
        <v>20002791566</v>
      </c>
      <c r="C193" s="18" t="s">
        <v>3932</v>
      </c>
      <c r="D193" s="19">
        <v>45932.953472222223</v>
      </c>
      <c r="E193" s="18" t="s">
        <v>10</v>
      </c>
      <c r="F193" s="18">
        <v>15</v>
      </c>
      <c r="G193" s="19">
        <v>45986.588194444441</v>
      </c>
      <c r="H193" s="18" t="s">
        <v>2657</v>
      </c>
      <c r="I193" s="18" t="s">
        <v>10</v>
      </c>
      <c r="J193" s="18" t="s">
        <v>412</v>
      </c>
      <c r="K193" s="20"/>
    </row>
    <row r="194" spans="1:11" ht="36.75" thickBot="1">
      <c r="A194" s="18" t="s">
        <v>3933</v>
      </c>
      <c r="B194" s="18">
        <v>20002748805</v>
      </c>
      <c r="C194" s="18" t="s">
        <v>3934</v>
      </c>
      <c r="D194" s="19">
        <v>45934.428472222222</v>
      </c>
      <c r="E194" s="18" t="s">
        <v>10</v>
      </c>
      <c r="F194" s="18">
        <v>5</v>
      </c>
      <c r="G194" s="18" t="s">
        <v>10</v>
      </c>
      <c r="H194" s="18" t="s">
        <v>178</v>
      </c>
      <c r="I194" s="18" t="s">
        <v>10</v>
      </c>
      <c r="J194" s="18" t="s">
        <v>431</v>
      </c>
      <c r="K194" s="20"/>
    </row>
    <row r="195" spans="1:11" ht="36.75" thickBot="1">
      <c r="A195" s="18" t="s">
        <v>3935</v>
      </c>
      <c r="B195" s="18">
        <v>20028632782</v>
      </c>
      <c r="C195" s="18" t="s">
        <v>3936</v>
      </c>
      <c r="D195" s="19">
        <v>45937.479861111111</v>
      </c>
      <c r="E195" s="18" t="s">
        <v>10</v>
      </c>
      <c r="F195" s="18">
        <v>10</v>
      </c>
      <c r="G195" s="19">
        <v>45939.4375</v>
      </c>
      <c r="H195" s="18" t="s">
        <v>236</v>
      </c>
      <c r="I195" s="18" t="s">
        <v>10</v>
      </c>
      <c r="J195" s="18" t="s">
        <v>33</v>
      </c>
      <c r="K195" s="20"/>
    </row>
    <row r="196" spans="1:11" ht="36.75" thickBot="1">
      <c r="A196" s="18" t="s">
        <v>3937</v>
      </c>
      <c r="B196" s="18">
        <v>20003021662</v>
      </c>
      <c r="C196" s="18" t="s">
        <v>3938</v>
      </c>
      <c r="D196" s="19">
        <v>45943.374305555553</v>
      </c>
      <c r="E196" s="18" t="s">
        <v>10</v>
      </c>
      <c r="F196" s="18">
        <v>10</v>
      </c>
      <c r="G196" s="18" t="s">
        <v>10</v>
      </c>
      <c r="H196" s="18" t="s">
        <v>178</v>
      </c>
      <c r="I196" s="18" t="s">
        <v>10</v>
      </c>
      <c r="J196" s="18" t="s">
        <v>431</v>
      </c>
      <c r="K196" s="20"/>
    </row>
    <row r="197" spans="1:11" ht="36.75" thickBot="1">
      <c r="A197" s="18" t="s">
        <v>3939</v>
      </c>
      <c r="B197" s="18">
        <v>20002999019</v>
      </c>
      <c r="C197" s="18" t="s">
        <v>3940</v>
      </c>
      <c r="D197" s="19">
        <v>45932.45</v>
      </c>
      <c r="E197" s="19">
        <v>45944.432638888888</v>
      </c>
      <c r="F197" s="18">
        <v>10</v>
      </c>
      <c r="G197" s="18" t="s">
        <v>10</v>
      </c>
      <c r="H197" s="18" t="s">
        <v>189</v>
      </c>
      <c r="I197" s="18" t="s">
        <v>10</v>
      </c>
      <c r="J197" s="18" t="s">
        <v>431</v>
      </c>
      <c r="K197" s="20"/>
    </row>
    <row r="198" spans="1:11" ht="36.75" thickBot="1">
      <c r="A198" s="18" t="s">
        <v>3941</v>
      </c>
      <c r="B198" s="18">
        <v>20026032472</v>
      </c>
      <c r="C198" s="18" t="s">
        <v>3942</v>
      </c>
      <c r="D198" s="19">
        <v>45944.704861111109</v>
      </c>
      <c r="E198" s="18" t="s">
        <v>10</v>
      </c>
      <c r="F198" s="18">
        <v>10</v>
      </c>
      <c r="G198" s="18" t="s">
        <v>10</v>
      </c>
      <c r="H198" s="18" t="s">
        <v>178</v>
      </c>
      <c r="I198" s="18" t="s">
        <v>10</v>
      </c>
      <c r="J198" s="18" t="s">
        <v>431</v>
      </c>
      <c r="K198" s="20"/>
    </row>
    <row r="199" spans="1:11" ht="36.75" thickBot="1">
      <c r="A199" s="18" t="s">
        <v>3943</v>
      </c>
      <c r="B199" s="18">
        <v>20020959435</v>
      </c>
      <c r="C199" s="18" t="s">
        <v>3944</v>
      </c>
      <c r="D199" s="19">
        <v>45946.693749999999</v>
      </c>
      <c r="E199" s="18" t="s">
        <v>10</v>
      </c>
      <c r="F199" s="18">
        <v>10</v>
      </c>
      <c r="G199" s="18" t="s">
        <v>10</v>
      </c>
      <c r="H199" s="18" t="s">
        <v>178</v>
      </c>
      <c r="I199" s="18" t="s">
        <v>10</v>
      </c>
      <c r="J199" s="18" t="s">
        <v>33</v>
      </c>
      <c r="K199" s="20"/>
    </row>
    <row r="200" spans="1:11" ht="36.75" thickBot="1">
      <c r="A200" s="18" t="s">
        <v>3945</v>
      </c>
      <c r="B200" s="18">
        <v>20020067227</v>
      </c>
      <c r="C200" s="18" t="s">
        <v>3946</v>
      </c>
      <c r="D200" s="19">
        <v>45960.328472222223</v>
      </c>
      <c r="E200" s="18" t="s">
        <v>10</v>
      </c>
      <c r="F200" s="18">
        <v>5</v>
      </c>
      <c r="G200" s="18" t="s">
        <v>10</v>
      </c>
      <c r="H200" s="18" t="s">
        <v>178</v>
      </c>
      <c r="I200" s="18" t="s">
        <v>10</v>
      </c>
      <c r="J200" s="18" t="s">
        <v>33</v>
      </c>
      <c r="K200" s="20"/>
    </row>
    <row r="201" spans="1:11" ht="36.75" thickBot="1">
      <c r="A201" s="18" t="s">
        <v>3947</v>
      </c>
      <c r="B201" s="18">
        <v>20020067227</v>
      </c>
      <c r="C201" s="18" t="s">
        <v>3948</v>
      </c>
      <c r="D201" s="19">
        <v>45960.379166666666</v>
      </c>
      <c r="E201" s="18" t="s">
        <v>10</v>
      </c>
      <c r="F201" s="18">
        <v>5</v>
      </c>
      <c r="G201" s="19">
        <v>45978.572222222225</v>
      </c>
      <c r="H201" s="18" t="s">
        <v>2654</v>
      </c>
      <c r="I201" s="18" t="s">
        <v>10</v>
      </c>
      <c r="J201" s="18" t="s">
        <v>33</v>
      </c>
      <c r="K201" s="20"/>
    </row>
    <row r="202" spans="1:11" ht="36.75" thickBot="1">
      <c r="A202" s="21" t="s">
        <v>3949</v>
      </c>
      <c r="B202" s="21">
        <v>20002785549</v>
      </c>
      <c r="C202" s="21" t="s">
        <v>3950</v>
      </c>
      <c r="D202" s="22">
        <v>45962.604166666664</v>
      </c>
      <c r="E202" s="21" t="s">
        <v>10</v>
      </c>
      <c r="F202" s="21">
        <v>5</v>
      </c>
      <c r="G202" s="21" t="s">
        <v>10</v>
      </c>
      <c r="H202" s="21" t="s">
        <v>189</v>
      </c>
      <c r="I202" s="21" t="s">
        <v>10</v>
      </c>
      <c r="J202" s="21" t="s">
        <v>33</v>
      </c>
      <c r="K202" s="1"/>
    </row>
    <row r="203" spans="1:11" ht="36.75" thickBot="1">
      <c r="A203" s="18" t="s">
        <v>3951</v>
      </c>
      <c r="B203" s="18">
        <v>20002820585</v>
      </c>
      <c r="C203" s="18" t="s">
        <v>3952</v>
      </c>
      <c r="D203" s="19">
        <v>45962.615277777775</v>
      </c>
      <c r="E203" s="18" t="s">
        <v>10</v>
      </c>
      <c r="F203" s="18">
        <v>5</v>
      </c>
      <c r="G203" s="18" t="s">
        <v>10</v>
      </c>
      <c r="H203" s="18" t="s">
        <v>189</v>
      </c>
      <c r="I203" s="18" t="s">
        <v>10</v>
      </c>
      <c r="J203" s="18" t="s">
        <v>33</v>
      </c>
      <c r="K203" s="20"/>
    </row>
    <row r="204" spans="1:11" ht="36.75" thickBot="1">
      <c r="A204" s="18" t="s">
        <v>3953</v>
      </c>
      <c r="B204" s="18">
        <v>20026914584</v>
      </c>
      <c r="C204" s="18" t="s">
        <v>1750</v>
      </c>
      <c r="D204" s="19">
        <v>45964.472222222219</v>
      </c>
      <c r="E204" s="18" t="s">
        <v>10</v>
      </c>
      <c r="F204" s="18">
        <v>3</v>
      </c>
      <c r="G204" s="18" t="s">
        <v>10</v>
      </c>
      <c r="H204" s="18" t="s">
        <v>189</v>
      </c>
      <c r="I204" s="18" t="s">
        <v>10</v>
      </c>
      <c r="J204" s="18" t="s">
        <v>412</v>
      </c>
      <c r="K204" s="20"/>
    </row>
    <row r="205" spans="1:11" ht="36.75" thickBot="1">
      <c r="A205" s="18" t="s">
        <v>3954</v>
      </c>
      <c r="B205" s="18">
        <v>20023952887</v>
      </c>
      <c r="C205" s="18" t="s">
        <v>3955</v>
      </c>
      <c r="D205" s="19">
        <v>45964.616666666669</v>
      </c>
      <c r="E205" s="18" t="s">
        <v>10</v>
      </c>
      <c r="F205" s="18">
        <v>5</v>
      </c>
      <c r="G205" s="19">
        <v>45986.408333333333</v>
      </c>
      <c r="H205" s="18" t="s">
        <v>2657</v>
      </c>
      <c r="I205" s="18" t="s">
        <v>10</v>
      </c>
      <c r="J205" s="18" t="s">
        <v>420</v>
      </c>
      <c r="K205" s="20"/>
    </row>
    <row r="206" spans="1:11" ht="36.75" thickBot="1">
      <c r="A206" s="18" t="s">
        <v>7961</v>
      </c>
      <c r="B206" s="18">
        <v>20018738798</v>
      </c>
      <c r="C206" s="18" t="s">
        <v>7962</v>
      </c>
      <c r="D206" s="19">
        <v>45968.631249999999</v>
      </c>
      <c r="E206" s="18" t="s">
        <v>10</v>
      </c>
      <c r="F206" s="18">
        <v>10</v>
      </c>
      <c r="G206" s="18" t="s">
        <v>10</v>
      </c>
      <c r="H206" s="18" t="s">
        <v>236</v>
      </c>
      <c r="I206" s="18" t="s">
        <v>10</v>
      </c>
      <c r="J206" s="18" t="s">
        <v>33</v>
      </c>
      <c r="K206" s="20"/>
    </row>
    <row r="207" spans="1:11" ht="36.75" thickBot="1">
      <c r="A207" s="18" t="s">
        <v>7963</v>
      </c>
      <c r="B207" s="18">
        <v>20018738798</v>
      </c>
      <c r="C207" s="18" t="s">
        <v>7962</v>
      </c>
      <c r="D207" s="19">
        <v>45968.631249999999</v>
      </c>
      <c r="E207" s="18" t="s">
        <v>10</v>
      </c>
      <c r="F207" s="18">
        <v>10</v>
      </c>
      <c r="G207" s="18" t="s">
        <v>10</v>
      </c>
      <c r="H207" s="18" t="s">
        <v>178</v>
      </c>
      <c r="I207" s="18" t="s">
        <v>10</v>
      </c>
      <c r="J207" s="18" t="s">
        <v>33</v>
      </c>
      <c r="K207" s="20"/>
    </row>
    <row r="208" spans="1:11" ht="36.75" thickBot="1">
      <c r="A208" s="18" t="s">
        <v>7964</v>
      </c>
      <c r="B208" s="18">
        <v>20022314376</v>
      </c>
      <c r="C208" s="18" t="s">
        <v>2921</v>
      </c>
      <c r="D208" s="19">
        <v>45973.479166666664</v>
      </c>
      <c r="E208" s="18" t="s">
        <v>10</v>
      </c>
      <c r="F208" s="18">
        <v>5</v>
      </c>
      <c r="G208" s="18" t="s">
        <v>10</v>
      </c>
      <c r="H208" s="18" t="s">
        <v>189</v>
      </c>
      <c r="I208" s="18" t="s">
        <v>10</v>
      </c>
      <c r="J208" s="18" t="s">
        <v>33</v>
      </c>
      <c r="K208" s="20"/>
    </row>
    <row r="209" spans="1:11" ht="36.75" thickBot="1">
      <c r="A209" s="18" t="s">
        <v>7965</v>
      </c>
      <c r="B209" s="18">
        <v>20002966895</v>
      </c>
      <c r="C209" s="18" t="s">
        <v>7966</v>
      </c>
      <c r="D209" s="19">
        <v>45974.52847222222</v>
      </c>
      <c r="E209" s="18" t="s">
        <v>10</v>
      </c>
      <c r="F209" s="18">
        <v>5</v>
      </c>
      <c r="G209" s="18" t="s">
        <v>10</v>
      </c>
      <c r="H209" s="18" t="s">
        <v>178</v>
      </c>
      <c r="I209" s="18" t="s">
        <v>10</v>
      </c>
      <c r="J209" s="18" t="s">
        <v>33</v>
      </c>
      <c r="K209" s="20"/>
    </row>
    <row r="210" spans="1:11" ht="72.75" thickBot="1">
      <c r="A210" s="18" t="s">
        <v>7967</v>
      </c>
      <c r="B210" s="18">
        <v>20027381669</v>
      </c>
      <c r="C210" s="18" t="s">
        <v>7577</v>
      </c>
      <c r="D210" s="19">
        <v>45978.415972222225</v>
      </c>
      <c r="E210" s="18" t="s">
        <v>10</v>
      </c>
      <c r="F210" s="18">
        <v>5</v>
      </c>
      <c r="G210" s="18" t="s">
        <v>10</v>
      </c>
      <c r="H210" s="18" t="s">
        <v>2652</v>
      </c>
      <c r="I210" s="18" t="s">
        <v>2681</v>
      </c>
      <c r="J210" s="18" t="s">
        <v>420</v>
      </c>
      <c r="K210" s="20"/>
    </row>
    <row r="211" spans="1:11" ht="72.75" thickBot="1">
      <c r="A211" s="18" t="s">
        <v>7968</v>
      </c>
      <c r="B211" s="18">
        <v>20027381669</v>
      </c>
      <c r="C211" s="18" t="s">
        <v>7579</v>
      </c>
      <c r="D211" s="19">
        <v>45978.425694444442</v>
      </c>
      <c r="E211" s="18" t="s">
        <v>10</v>
      </c>
      <c r="F211" s="18">
        <v>5</v>
      </c>
      <c r="G211" s="18" t="s">
        <v>10</v>
      </c>
      <c r="H211" s="25" t="s">
        <v>2656</v>
      </c>
      <c r="I211" s="18" t="s">
        <v>10</v>
      </c>
      <c r="J211" s="18" t="s">
        <v>420</v>
      </c>
      <c r="K211" s="20"/>
    </row>
    <row r="212" spans="1:11" ht="72.75" thickBot="1">
      <c r="A212" s="18" t="s">
        <v>7969</v>
      </c>
      <c r="B212" s="18">
        <v>20003646048</v>
      </c>
      <c r="C212" s="18" t="s">
        <v>7585</v>
      </c>
      <c r="D212" s="19">
        <v>45978.431944444441</v>
      </c>
      <c r="E212" s="18" t="s">
        <v>10</v>
      </c>
      <c r="F212" s="18">
        <v>5</v>
      </c>
      <c r="G212" s="18" t="s">
        <v>10</v>
      </c>
      <c r="H212" s="25" t="s">
        <v>2656</v>
      </c>
      <c r="I212" s="18" t="s">
        <v>10</v>
      </c>
      <c r="J212" s="18" t="s">
        <v>420</v>
      </c>
      <c r="K212" s="20"/>
    </row>
    <row r="213" spans="1:11" ht="72.75" thickBot="1">
      <c r="A213" s="18" t="s">
        <v>7970</v>
      </c>
      <c r="B213" s="18">
        <v>20024071677</v>
      </c>
      <c r="C213" s="18" t="s">
        <v>7583</v>
      </c>
      <c r="D213" s="19">
        <v>45978.438888888886</v>
      </c>
      <c r="E213" s="18" t="s">
        <v>10</v>
      </c>
      <c r="F213" s="18">
        <v>5</v>
      </c>
      <c r="G213" s="18" t="s">
        <v>10</v>
      </c>
      <c r="H213" s="25" t="s">
        <v>2656</v>
      </c>
      <c r="I213" s="18" t="s">
        <v>10</v>
      </c>
      <c r="J213" s="18" t="s">
        <v>420</v>
      </c>
      <c r="K213" s="20"/>
    </row>
    <row r="214" spans="1:11" ht="36.75" thickBot="1">
      <c r="A214" s="18" t="s">
        <v>7971</v>
      </c>
      <c r="B214" s="18">
        <v>20002835603</v>
      </c>
      <c r="C214" s="18" t="s">
        <v>7972</v>
      </c>
      <c r="D214" s="19">
        <v>45978.474305555559</v>
      </c>
      <c r="E214" s="18" t="s">
        <v>10</v>
      </c>
      <c r="F214" s="18">
        <v>5</v>
      </c>
      <c r="G214" s="18" t="s">
        <v>10</v>
      </c>
      <c r="H214" s="25" t="s">
        <v>2656</v>
      </c>
      <c r="I214" s="18" t="s">
        <v>10</v>
      </c>
      <c r="J214" s="18" t="s">
        <v>420</v>
      </c>
      <c r="K214" s="20"/>
    </row>
    <row r="215" spans="1:11" ht="36.75" thickBot="1">
      <c r="A215" s="18" t="s">
        <v>7973</v>
      </c>
      <c r="B215" s="18">
        <v>20003021662</v>
      </c>
      <c r="C215" s="18" t="s">
        <v>3938</v>
      </c>
      <c r="D215" s="19">
        <v>45983.521527777775</v>
      </c>
      <c r="E215" s="18" t="s">
        <v>10</v>
      </c>
      <c r="F215" s="18">
        <v>10</v>
      </c>
      <c r="G215" s="18" t="s">
        <v>10</v>
      </c>
      <c r="H215" s="25" t="s">
        <v>2656</v>
      </c>
      <c r="I215" s="18" t="s">
        <v>10</v>
      </c>
      <c r="J215" s="18" t="s">
        <v>431</v>
      </c>
      <c r="K215" s="20"/>
    </row>
    <row r="216" spans="1:11" ht="36.75" thickBot="1">
      <c r="A216" s="18" t="s">
        <v>7974</v>
      </c>
      <c r="B216" s="18">
        <v>20018168794</v>
      </c>
      <c r="C216" s="18" t="s">
        <v>7975</v>
      </c>
      <c r="D216" s="19">
        <v>45985.498611111114</v>
      </c>
      <c r="E216" s="18" t="s">
        <v>10</v>
      </c>
      <c r="F216" s="18">
        <v>6</v>
      </c>
      <c r="G216" s="18" t="s">
        <v>10</v>
      </c>
      <c r="H216" s="18" t="s">
        <v>2656</v>
      </c>
      <c r="I216" s="18" t="s">
        <v>10</v>
      </c>
      <c r="J216" s="18" t="s">
        <v>33</v>
      </c>
      <c r="K216" s="20"/>
    </row>
    <row r="217" spans="1:11" ht="36.75" thickBot="1">
      <c r="A217" s="18" t="s">
        <v>7976</v>
      </c>
      <c r="B217" s="18">
        <v>20028174451</v>
      </c>
      <c r="C217" s="18" t="s">
        <v>7977</v>
      </c>
      <c r="D217" s="19">
        <v>45986.634027777778</v>
      </c>
      <c r="E217" s="18" t="s">
        <v>10</v>
      </c>
      <c r="F217" s="18">
        <v>5</v>
      </c>
      <c r="G217" s="18" t="s">
        <v>10</v>
      </c>
      <c r="H217" s="18" t="s">
        <v>2656</v>
      </c>
      <c r="I217" s="18" t="s">
        <v>10</v>
      </c>
      <c r="J217" s="18" t="s">
        <v>33</v>
      </c>
      <c r="K217" s="20"/>
    </row>
    <row r="218" spans="1:11" ht="36.75" thickBot="1">
      <c r="A218" s="18" t="s">
        <v>7978</v>
      </c>
      <c r="B218" s="18">
        <v>20027814806</v>
      </c>
      <c r="C218" s="18" t="s">
        <v>7979</v>
      </c>
      <c r="D218" s="19">
        <v>45987.479861111111</v>
      </c>
      <c r="E218" s="18" t="s">
        <v>10</v>
      </c>
      <c r="F218" s="18">
        <v>5</v>
      </c>
      <c r="G218" s="18" t="s">
        <v>10</v>
      </c>
      <c r="H218" s="18" t="s">
        <v>2656</v>
      </c>
      <c r="I218" s="18" t="s">
        <v>10</v>
      </c>
      <c r="J218" s="18" t="s">
        <v>417</v>
      </c>
      <c r="K218" s="20"/>
    </row>
    <row r="219" spans="1:11" ht="36.75" thickBot="1">
      <c r="A219" s="21" t="s">
        <v>7980</v>
      </c>
      <c r="B219" s="21">
        <v>20002989124</v>
      </c>
      <c r="C219" s="21" t="s">
        <v>7981</v>
      </c>
      <c r="D219" s="22">
        <v>45989.696527777778</v>
      </c>
      <c r="E219" s="21" t="s">
        <v>10</v>
      </c>
      <c r="F219" s="21">
        <v>10</v>
      </c>
      <c r="G219" s="21" t="s">
        <v>10</v>
      </c>
      <c r="H219" s="21" t="s">
        <v>2656</v>
      </c>
      <c r="I219" s="21" t="s">
        <v>10</v>
      </c>
      <c r="J219" s="21" t="s">
        <v>1735</v>
      </c>
      <c r="K219" s="1"/>
    </row>
  </sheetData>
  <conditionalFormatting sqref="B2">
    <cfRule type="duplicateValues" dxfId="11" priority="1"/>
  </conditionalFormatting>
  <hyperlinks>
    <hyperlink ref="K3" r:id="rId1" display="https://ppim-intra.pea.co.th:4434/request/PPIM18500004" xr:uid="{EC280848-A032-44CE-833E-B075AB3C8A17}"/>
    <hyperlink ref="K4" r:id="rId2" display="https://ppim-intra.pea.co.th:4434/request/PPIM18500038" xr:uid="{ADCCC94E-2D56-4FDE-9155-2377A415BF2D}"/>
    <hyperlink ref="K5" r:id="rId3" display="https://ppim-intra.pea.co.th:4434/request/PPIM1850003D" xr:uid="{5F9BB9CD-60F7-42A2-B4CF-1C211DFDA701}"/>
    <hyperlink ref="K6" r:id="rId4" display="https://ppim-intra.pea.co.th:4434/request/PPIM185004E3" xr:uid="{9AE4D872-639A-4053-A688-62BB347E6F23}"/>
    <hyperlink ref="K7" r:id="rId5" display="https://ppim-intra.pea.co.th:4434/request/PPIM185007F3" xr:uid="{683164EC-29E8-4C3A-903C-78E9D667B35F}"/>
    <hyperlink ref="K8" r:id="rId6" display="https://ppim-intra.pea.co.th:4434/request/PPIM185009F6" xr:uid="{1A86B339-6740-4709-AC0C-713CA7692CD6}"/>
    <hyperlink ref="K9" r:id="rId7" display="https://ppim-intra.pea.co.th:4434/request/PPIM185005A9" xr:uid="{43AD4E6B-7844-47DB-B19F-1096F591DC7B}"/>
    <hyperlink ref="K10" r:id="rId8" display="https://ppim-intra.pea.co.th:4434/request/PPIM18500B80" xr:uid="{04C451D4-8560-4BA5-9C31-C3E1287394B8}"/>
    <hyperlink ref="K11" r:id="rId9" display="https://ppim-intra.pea.co.th:4434/request/PPIM18500D10" xr:uid="{E9DA5C11-12F9-4A59-B221-960E7D084B6C}"/>
    <hyperlink ref="K12" r:id="rId10" display="https://ppim-intra.pea.co.th:4434/request/PPIM18500E39" xr:uid="{B5B2231A-CF37-40A2-B981-D165EF5A4A67}"/>
    <hyperlink ref="K13" r:id="rId11" display="https://ppim-intra.pea.co.th:4434/request/PPIM18500F26" xr:uid="{A54FE554-4812-4AA1-8F3C-00B6050CFD6D}"/>
    <hyperlink ref="K14" r:id="rId12" display="https://ppim-intra.pea.co.th:4434/request/PPIM185010E8" xr:uid="{38ADC599-D0DD-44BB-8A17-BDB0D32F27E8}"/>
    <hyperlink ref="K15" r:id="rId13" display="https://ppim-intra.pea.co.th:4434/request/PPIM1850113D" xr:uid="{9F309758-382C-4E91-919D-97CBB7691A7C}"/>
    <hyperlink ref="K16" r:id="rId14" display="https://ppim-intra.pea.co.th:4434/request/PPIM18501765" xr:uid="{E3A53456-24A9-4C44-B273-46E1699EF7FE}"/>
    <hyperlink ref="K17" r:id="rId15" display="https://ppim-intra.pea.co.th:4434/request/PPIM18501769" xr:uid="{C8C8E9FC-B2B0-41FB-AA2A-B5286A7BC6A4}"/>
    <hyperlink ref="K18" r:id="rId16" display="https://ppim-intra.pea.co.th:4434/request/PPIM185017BD" xr:uid="{83114D6F-7AD6-46F1-8119-CD08BFE8EFE3}"/>
    <hyperlink ref="K19" r:id="rId17" display="https://ppim-intra.pea.co.th:4434/request/PPIM18501859" xr:uid="{ED3A791E-E039-41D0-835B-0D6E03D91A60}"/>
    <hyperlink ref="K20" r:id="rId18" display="https://ppim-intra.pea.co.th:4434/request/PPIM185018E3" xr:uid="{73DB5B25-9638-4919-9ADD-F0ABD31B8CA4}"/>
    <hyperlink ref="K21" r:id="rId19" display="https://ppim-intra.pea.co.th:4434/request/PPIM18501901" xr:uid="{037E2263-8FE7-46A8-A869-D0E4425BEFEE}"/>
    <hyperlink ref="K22" r:id="rId20" display="https://ppim-intra.pea.co.th:4434/request/PPIM18501949" xr:uid="{5DEA5811-5CAE-4603-8371-B58C94DDEC68}"/>
    <hyperlink ref="K23" r:id="rId21" display="https://ppim-intra.pea.co.th:4434/request/PPIM18501A4F" xr:uid="{3CC2A762-3DD4-4874-A171-AE6CC83BE299}"/>
    <hyperlink ref="K24" r:id="rId22" display="https://ppim-intra.pea.co.th:4434/request/PPIM18501A98" xr:uid="{F6D88F90-33A5-4CAE-903A-EF00C0509E4B}"/>
    <hyperlink ref="K25" r:id="rId23" display="https://ppim-intra.pea.co.th:4434/request/PPIM18500DFF" xr:uid="{9DB1AC24-6ADC-492A-8DB8-E22A9D800DE5}"/>
    <hyperlink ref="K26" r:id="rId24" display="https://ppim-intra.pea.co.th:4434/request/PPIM18501F36" xr:uid="{19A1968F-8C04-41C0-B8AE-F6F773B61800}"/>
    <hyperlink ref="K27" r:id="rId25" display="https://ppim-intra.pea.co.th:4434/request/PPIM18500E8E" xr:uid="{CED754EF-7E86-4CFE-9384-FED0A6DBC2EF}"/>
    <hyperlink ref="K28" r:id="rId26" display="https://ppim-intra.pea.co.th:4434/request/PPIM185015F7" xr:uid="{D900DCA0-A386-4B59-965F-F1D228240B16}"/>
    <hyperlink ref="K29" r:id="rId27" display="https://ppim-intra.pea.co.th:4434/request/PPIM18501620" xr:uid="{4EAC6127-AC2E-4E4F-ACEB-75B42E8344E3}"/>
    <hyperlink ref="K30" r:id="rId28" display="https://ppim-intra.pea.co.th:4434/request/PPIM18501A20" xr:uid="{BE90532C-F894-425D-AEB1-2E2672E91C0B}"/>
    <hyperlink ref="K31" r:id="rId29" display="https://ppim-intra.pea.co.th:4434/request/PPIM18501AB3" xr:uid="{CEED8D20-339C-498C-A138-B819C7A0A938}"/>
    <hyperlink ref="K32" r:id="rId30" display="https://ppim-intra.pea.co.th:4434/request/PPIM18500A1E" xr:uid="{7D9D6739-4F14-42FA-9B6E-5674FEB617A3}"/>
    <hyperlink ref="K33" r:id="rId31" display="https://ppim-intra.pea.co.th:4434/request/PPIM18501BCD" xr:uid="{84902FC8-9746-482E-9E9E-93FDBAB3899A}"/>
    <hyperlink ref="K34" r:id="rId32" display="https://ppim-intra.pea.co.th:4434/request/PPIM18501CD7" xr:uid="{E4C74413-CD9C-4F5C-8585-D53A824D798C}"/>
    <hyperlink ref="K35" r:id="rId33" display="https://ppim-intra.pea.co.th:4434/request/PPIM1850203B" xr:uid="{7B6C829B-630A-4917-90EB-547E52A6F987}"/>
    <hyperlink ref="K36" r:id="rId34" display="https://ppim-intra.pea.co.th:4434/request/PPIM18502072" xr:uid="{BD7E7978-169E-4159-81D4-3ABAD1E02B52}"/>
    <hyperlink ref="K37" r:id="rId35" display="https://ppim-intra.pea.co.th:4434/request/PPIM1850207F" xr:uid="{FC648572-11D5-4136-89A3-92608983AFAD}"/>
    <hyperlink ref="K38" r:id="rId36" display="https://ppim-intra.pea.co.th:4434/request/PPIM18501019" xr:uid="{D0FF26B0-DA72-420E-9D4B-F5888218547F}"/>
    <hyperlink ref="K39" r:id="rId37" display="https://ppim-intra.pea.co.th:4434/request/PPIM185020D7" xr:uid="{0BDDF811-A911-4707-A894-D190E5CE4364}"/>
    <hyperlink ref="K40" r:id="rId38" display="https://ppim-intra.pea.co.th:4434/request/PPIM185012C1" xr:uid="{5534569F-B135-4052-B4AC-D87B7D50D593}"/>
    <hyperlink ref="K41" r:id="rId39" display="https://ppim-intra.pea.co.th:4434/request/PPIM18500EA4" xr:uid="{6B5E51D8-86BD-4C86-A1F8-AE614BE798ED}"/>
    <hyperlink ref="K42" r:id="rId40" display="https://ppim-intra.pea.co.th:4434/request/PPIM185011CC" xr:uid="{7CC7D304-9852-4B26-9205-BCAFEFF8E303}"/>
    <hyperlink ref="K43" r:id="rId41" display="https://ppim-intra.pea.co.th:4434/request/PPIM185022AC" xr:uid="{8F37E6DF-F78F-4649-ADF1-CF0CEC45139D}"/>
    <hyperlink ref="K44" r:id="rId42" display="https://ppim-intra.pea.co.th:4434/request/PPIM185022AE" xr:uid="{ADDF51D5-2703-4304-95D2-3F4407B8957D}"/>
    <hyperlink ref="K45" r:id="rId43" display="https://ppim-intra.pea.co.th:4434/request/PPIM185014EC" xr:uid="{F8B74782-57D0-428C-9CD8-5010D94EDF30}"/>
    <hyperlink ref="K46" r:id="rId44" display="https://ppim-intra.pea.co.th:4434/request/PPIM18502528" xr:uid="{E03277DC-2493-4771-B04E-CFC73584D999}"/>
    <hyperlink ref="K47" r:id="rId45" display="https://ppim-intra.pea.co.th:4434/request/PPIM18502529" xr:uid="{249EEFB4-AE11-4303-8027-02311102358E}"/>
    <hyperlink ref="K48" r:id="rId46" display="https://ppim-intra.pea.co.th:4434/request/PPIM185026E9" xr:uid="{C78F3408-1187-4799-BF7B-0A616C3F364C}"/>
    <hyperlink ref="K49" r:id="rId47" display="https://ppim-intra.pea.co.th:4434/request/PPIM185026EB" xr:uid="{2BAB2EB5-3AB7-450D-BAD0-55249425055F}"/>
    <hyperlink ref="K50" r:id="rId48" display="https://ppim-intra.pea.co.th:4434/request/PPIM1850288A" xr:uid="{65D1E69A-2C37-4160-9980-D7B6714B4999}"/>
    <hyperlink ref="K51" r:id="rId49" display="https://ppim-intra.pea.co.th:4434/request/PPIM18502B49" xr:uid="{1AB181FD-51CB-49E5-A817-1659DBFC04B0}"/>
    <hyperlink ref="K52" r:id="rId50" display="https://ppim-intra.pea.co.th:4434/request/PPIM18502BDB" xr:uid="{99B70CC7-F1F5-4D1F-A702-4CFBBB5E1D80}"/>
    <hyperlink ref="K53" r:id="rId51" display="https://ppim-intra.pea.co.th:4434/request/PPIM18502E70" xr:uid="{E87C0331-B18E-4A71-ADD4-106906F9C384}"/>
    <hyperlink ref="K54" r:id="rId52" display="https://ppim-intra.pea.co.th:4434/request/PPIM18502E75" xr:uid="{8C25D25F-A8FC-43D7-964A-211D9764C1E4}"/>
    <hyperlink ref="K55" r:id="rId53" display="https://ppim-intra.pea.co.th:4434/request/PPIM18502BEE" xr:uid="{93234C19-AD12-4247-858C-00452B76395F}"/>
    <hyperlink ref="K56" r:id="rId54" display="https://ppim-intra.pea.co.th:4434/request/PPIM18502CF7" xr:uid="{A60B92FB-4F04-4138-A594-12C709531C58}"/>
    <hyperlink ref="K57" r:id="rId55" display="https://ppim-intra.pea.co.th:4434/request/PPIM18502EAE" xr:uid="{0595DEF3-0CC9-41D0-A9E1-29032BAD4227}"/>
    <hyperlink ref="K58" r:id="rId56" display="https://ppim-intra.pea.co.th:4434/request/PPIM1850310D" xr:uid="{A686156E-7D15-4523-9198-50E3F94BF3EE}"/>
    <hyperlink ref="K59" r:id="rId57" display="https://ppim-intra.pea.co.th:4434/request/PPIM18502614" xr:uid="{71B20BC7-6895-4C86-8CBF-D0C5953A0918}"/>
    <hyperlink ref="K60" r:id="rId58" display="https://ppim-intra.pea.co.th:4434/request/PPIM1850322E" xr:uid="{B766075A-A985-43FA-A295-F5D8584F47D3}"/>
    <hyperlink ref="K61" r:id="rId59" display="https://ppim-intra.pea.co.th:4434/request/PPIM18503240" xr:uid="{4DC53741-09D4-4C51-8B14-24264F7355BE}"/>
    <hyperlink ref="K62" r:id="rId60" display="https://ppim-intra.pea.co.th:4434/request/PPIM1850293E" xr:uid="{F5CB2BD3-D34C-4D67-BCFC-16CFAD8A4164}"/>
    <hyperlink ref="K63" r:id="rId61" display="https://ppim-intra.pea.co.th:4434/request/PPIM18501ED6" xr:uid="{B93B46C0-DE1A-4786-B747-AE775CE6A6A3}"/>
    <hyperlink ref="K64" r:id="rId62" display="https://ppim-intra.pea.co.th:4434/request/PPIM18501028" xr:uid="{267CA67B-3EF5-45A7-9A8C-ED791A8B93F6}"/>
    <hyperlink ref="K65" r:id="rId63" display="https://ppim-intra.pea.co.th:4434/request/PPIM1850355B" xr:uid="{79FCD1D9-F8E5-46B3-9B9B-5E0F9CED6D68}"/>
    <hyperlink ref="K66" r:id="rId64" display="https://ppim-intra.pea.co.th:4434/request/PPIM18502096" xr:uid="{3EF70DDA-36D4-494B-9A99-232011D3E8F9}"/>
    <hyperlink ref="K67" r:id="rId65" display="https://ppim-intra.pea.co.th:4434/request/PPIM185029A3" xr:uid="{52CB4EA6-F227-4A10-831B-98D7A844D2A2}"/>
    <hyperlink ref="K68" r:id="rId66" display="https://ppim-intra.pea.co.th:4434/request/PPIM185038C1" xr:uid="{94ECF1AC-843D-47B1-B2F6-174C591A54B1}"/>
    <hyperlink ref="K69" r:id="rId67" display="https://ppim-intra.pea.co.th:4434/request/PPIM185029E5" xr:uid="{0E15271D-1F2C-470A-A6BA-E3DBE7EFA62D}"/>
    <hyperlink ref="K70" r:id="rId68" display="https://ppim-intra.pea.co.th:4434/request/PPIM18503937" xr:uid="{D172426F-5CB0-412B-BF61-C8F5DB62B15E}"/>
    <hyperlink ref="K71" r:id="rId69" display="https://ppim-intra.pea.co.th:4434/request/PPIM185026F0" xr:uid="{C75A14B3-030E-4A0E-8E8D-B20FFF94AA39}"/>
    <hyperlink ref="K72" r:id="rId70" display="https://ppim-intra.pea.co.th:4434/request/PPIM185026ED" xr:uid="{5FDA22F2-77AC-4028-AF90-26F4BAF8AC2B}"/>
    <hyperlink ref="K73" r:id="rId71" display="https://ppim-intra.pea.co.th:4434/request/PPIM185024C0" xr:uid="{73366C93-53F8-4FBB-A8CC-1B2C75D2E408}"/>
    <hyperlink ref="K74" r:id="rId72" display="https://ppim-intra.pea.co.th:4434/request/PPIM185024C1" xr:uid="{604A39A3-BA8C-4687-86A9-316DC413FF98}"/>
    <hyperlink ref="K75" r:id="rId73" display="https://ppim-intra.pea.co.th:4434/request/PPIM185024C6" xr:uid="{64CF63E2-278F-41E2-B42B-2D4629FE79D4}"/>
    <hyperlink ref="K76" r:id="rId74" display="https://ppim-intra.pea.co.th:4434/request/PPIM18503B10" xr:uid="{FB9916E0-5028-40C9-84C0-5D553BBC62F6}"/>
    <hyperlink ref="K77" r:id="rId75" display="https://ppim-intra.pea.co.th:4434/request/PPIM18503B13" xr:uid="{0BA838D3-415E-405C-9C20-351949C27BE2}"/>
    <hyperlink ref="K78" r:id="rId76" display="https://ppim-intra.pea.co.th:4434/request/PPIM18503B86" xr:uid="{637E5743-7863-4504-84AF-EF3DFCDD7694}"/>
    <hyperlink ref="K79" r:id="rId77" display="https://ppim-intra.pea.co.th:4434/request/PPIM18503BB0" xr:uid="{6E7F5A26-6433-4133-A50B-9D9F334ACBE8}"/>
    <hyperlink ref="K80" r:id="rId78" display="https://ppim-intra.pea.co.th:4434/request/PPIM18503BED" xr:uid="{E5CDF6D7-85BD-4C85-B6E4-99C4FFF3A05C}"/>
    <hyperlink ref="K81" r:id="rId79" display="https://ppim-intra.pea.co.th:4434/request/PPIM18502E37" xr:uid="{A08334D4-BD54-4812-A2B8-D11274C2C497}"/>
    <hyperlink ref="K82" r:id="rId80" display="https://ppim-intra.pea.co.th:4434/request/PPIM18503C47" xr:uid="{B1A7E858-81DC-49B8-BAE9-FC2C2A5EB593}"/>
    <hyperlink ref="K83" r:id="rId81" display="https://ppim-intra.pea.co.th:4434/request/PPIM18503C7F" xr:uid="{79CF548E-97E3-4443-93DB-FECA69A12F35}"/>
    <hyperlink ref="K84" r:id="rId82" display="https://ppim-intra.pea.co.th:4434/request/PPIM18503C83" xr:uid="{E0AC1E8A-3B0D-4D70-AF68-C7C2ED79009B}"/>
    <hyperlink ref="K85" r:id="rId83" display="https://ppim-intra.pea.co.th:4434/request/PPIM18502D75" xr:uid="{F1062B38-4F55-45DB-AF7F-4A51248A240E}"/>
    <hyperlink ref="K86" r:id="rId84" display="https://ppim-intra.pea.co.th:4434/request/PPIM18503D25" xr:uid="{2AC56A80-7DDA-4818-99F7-52408AD94A78}"/>
    <hyperlink ref="K87" r:id="rId85" display="https://ppim-intra.pea.co.th:4434/request/PPIM18503D2C" xr:uid="{B8177580-7754-4180-A51A-E9F121A8F731}"/>
    <hyperlink ref="K88" r:id="rId86" display="https://ppim-intra.pea.co.th:4434/request/PPIM18503D96" xr:uid="{A3BD885A-ADBD-4910-AE1F-E2194C19A03C}"/>
    <hyperlink ref="K89" r:id="rId87" display="https://ppim-intra.pea.co.th:4434/request/PPIM18503DE5" xr:uid="{BB7593ED-0660-47E9-AB68-9E468071DF4B}"/>
    <hyperlink ref="K90" r:id="rId88" display="https://ppim-intra.pea.co.th:4434/request/PPIM18503DF7" xr:uid="{AACB376C-B458-4A97-A128-2CB47A64B40D}"/>
    <hyperlink ref="K91" r:id="rId89" display="https://ppim-intra.pea.co.th:4434/request/PPIM18503E13" xr:uid="{885339EF-9543-4F44-86E6-50325775998B}"/>
    <hyperlink ref="K92" r:id="rId90" display="https://ppim-intra.pea.co.th:4434/request/PPIM18503F88" xr:uid="{5F1CAAF9-5358-45DF-80C1-645A3DA80D45}"/>
    <hyperlink ref="K93" r:id="rId91" display="https://ppim-intra.pea.co.th:4434/request/PPIM18503F99" xr:uid="{C4AC2684-1B77-4B6C-819D-6D578EE74CBE}"/>
    <hyperlink ref="K94" r:id="rId92" display="https://ppim-intra.pea.co.th:4434/request/PPIM18503FE9" xr:uid="{1C5CB933-1C2D-486F-9BE2-3DB84D7F5F2F}"/>
    <hyperlink ref="K95" r:id="rId93" display="https://ppim-intra.pea.co.th:4434/request/PPIM185040B8" xr:uid="{0CDE5BB0-A7EE-44E6-B6D7-BC90BB8E94FB}"/>
    <hyperlink ref="K96" r:id="rId94" display="https://ppim-intra.pea.co.th:4434/request/PPIM185041FE" xr:uid="{27CF60C7-CC27-45D6-B2B8-C2D9516C20E6}"/>
    <hyperlink ref="K97" r:id="rId95" display="https://ppim-intra.pea.co.th:4434/request/PPIM18504299" xr:uid="{8A1F1977-48A2-441D-9FD0-157D7B614B0E}"/>
    <hyperlink ref="K98" r:id="rId96" display="https://ppim-intra.pea.co.th:4434/request/PPIM185042B7" xr:uid="{D8746E87-CA24-44B3-8EF5-9E327359F292}"/>
    <hyperlink ref="K99" r:id="rId97" display="https://ppim-intra.pea.co.th:4434/request/PPIM185043E3" xr:uid="{2B46F2B4-26A4-4C9D-83B2-5414788BF758}"/>
    <hyperlink ref="K100" r:id="rId98" display="https://ppim-intra.pea.co.th:4434/request/PPIM1850445A" xr:uid="{D77B0A10-2EC7-4164-B084-B94F3A033CF0}"/>
    <hyperlink ref="K101" r:id="rId99" display="https://ppim-intra.pea.co.th:4434/request/PPIM18504460" xr:uid="{BA5E19D9-270A-465C-9BE8-3C918A3E51BD}"/>
    <hyperlink ref="K103" r:id="rId100" display="https://ppim-intra.pea.co.th:4434/request/PPIM18504500" xr:uid="{7D4B1C21-864C-4E54-B255-216E95779800}"/>
    <hyperlink ref="K104" r:id="rId101" display="https://ppim-intra.pea.co.th:4434/request/PPIM1850459F" xr:uid="{24A2ED36-A04A-49F6-A06D-F8C98D820EF3}"/>
    <hyperlink ref="K105" r:id="rId102" display="https://ppim-intra.pea.co.th:4434/request/PPIM185046E9" xr:uid="{ABF00DA0-1A04-4850-A58D-CAF7C0D25690}"/>
    <hyperlink ref="K106" r:id="rId103" display="https://ppim-intra.pea.co.th:4434/request/PPIM185045F9" xr:uid="{E6F35FD2-A797-4C0F-A7D9-DEC14EC4FE4C}"/>
    <hyperlink ref="K107" r:id="rId104" display="https://ppim-intra.pea.co.th:4434/request/PPIM185047A1" xr:uid="{1ABBC034-2215-4727-AA1A-85C7C02558F4}"/>
    <hyperlink ref="K108" r:id="rId105" display="https://ppim-intra.pea.co.th:4434/request/PPIM1950014E" xr:uid="{85D20696-2A5B-49D2-8C1A-D788CEA2C1B8}"/>
    <hyperlink ref="K109" r:id="rId106" display="https://ppim-intra.pea.co.th:4434/request/PPIM19500190" xr:uid="{97C39B46-DA76-407E-AE6C-C991707FB0B7}"/>
    <hyperlink ref="K110" r:id="rId107" display="https://ppim-intra.pea.co.th:4434/request/PPIM195002A1" xr:uid="{23D652E1-A1E1-4408-9EF9-5A4C52D34572}"/>
    <hyperlink ref="K111" r:id="rId108" display="https://ppim-intra.pea.co.th:4434/request/PPIM19500346" xr:uid="{A94ACF88-881B-46A5-BF8D-6CA707CA0161}"/>
    <hyperlink ref="K112" r:id="rId109" display="https://ppim-intra.pea.co.th:4434/request/PPIM195003B6" xr:uid="{B603EAFE-810E-49F8-BED6-BDDFB8EECF6C}"/>
    <hyperlink ref="K113" r:id="rId110" display="https://ppim-intra.pea.co.th:4434/request/PPIM19500460" xr:uid="{A3FE1C41-690A-4104-AF86-F2E1FAD66E0E}"/>
    <hyperlink ref="K114" r:id="rId111" display="https://ppim-intra.pea.co.th:4434/request/PPIM19500631" xr:uid="{67F1F0AD-8C5D-4A30-B062-F88877D853DB}"/>
    <hyperlink ref="K115" r:id="rId112" display="https://ppim-intra.pea.co.th:4434/request/PPIM19500700" xr:uid="{9DFDA1A7-7293-441F-A7F0-E9B612BCDFD8}"/>
    <hyperlink ref="K116" r:id="rId113" display="https://ppim-intra.pea.co.th:4434/request/PPIM19500746" xr:uid="{79851FDA-0426-4DE9-8610-405850DF7030}"/>
    <hyperlink ref="K117" r:id="rId114" display="https://ppim-intra.pea.co.th:4434/request/PPIM19500898" xr:uid="{D343A1A1-9BE3-4D83-A0FF-04FF7702DFE3}"/>
    <hyperlink ref="K118" r:id="rId115" display="https://ppim-intra.pea.co.th:4434/request/PPIM19500A19" xr:uid="{A3E6BC88-3143-4595-AD17-92A0B8024DCA}"/>
    <hyperlink ref="K119" r:id="rId116" display="https://ppim-intra.pea.co.th:4434/request/PPIM19500A1E" xr:uid="{CD9FFCAF-A73D-4A90-9D96-161A659E590C}"/>
    <hyperlink ref="K120" r:id="rId117" display="https://ppim-intra.pea.co.th:4434/request/PPIM19500CD1" xr:uid="{E784DD02-55AF-44C1-BEBE-B216D82D3A3E}"/>
    <hyperlink ref="K121" r:id="rId118" display="https://ppim-intra.pea.co.th:4434/request/PPIM19500D3A" xr:uid="{CD8482C2-09C4-41DC-9E78-725687928B4D}"/>
    <hyperlink ref="K122" r:id="rId119" display="https://ppim-intra.pea.co.th:4434/request/PPIM19500EF3" xr:uid="{5C2C72DD-CE38-4051-AF9A-336E89D9D941}"/>
    <hyperlink ref="K123" r:id="rId120" display="https://ppim-intra.pea.co.th:4434/request/PPIM1950100E" xr:uid="{2222A09C-0D0A-4057-8414-62F1B71DDFDC}"/>
    <hyperlink ref="K124" r:id="rId121" display="https://ppim-intra.pea.co.th:4434/request/PPIM19501086" xr:uid="{79E22769-F1C9-4C94-AB71-021D0D5E4D9E}"/>
    <hyperlink ref="K125" r:id="rId122" display="https://ppim-intra.pea.co.th:4434/request/PPIM195012B7" xr:uid="{DACC16CC-C791-45D5-99A7-0E65DC35F6C5}"/>
    <hyperlink ref="K126" r:id="rId123" display="https://ppim-intra.pea.co.th:4434/request/PPIM195013B0" xr:uid="{9B0B0F01-A113-48C2-BD47-BD1C406740DD}"/>
    <hyperlink ref="K127" r:id="rId124" display="https://ppim-intra.pea.co.th:4434/request/PPIM19501406" xr:uid="{1CFAF861-9D19-4DEC-8DBA-0BF521E8D220}"/>
    <hyperlink ref="K128" r:id="rId125" display="https://ppim-intra.pea.co.th:4434/request/PPIM19501524" xr:uid="{50AE67F6-B23E-4019-AA31-8B1F59339262}"/>
    <hyperlink ref="K129" r:id="rId126" display="https://ppim-intra.pea.co.th:4434/request/PPIM195015A7" xr:uid="{3DDC5B8D-D33C-466E-994A-FFC8BD076B63}"/>
    <hyperlink ref="K130" r:id="rId127" display="https://ppim-intra.pea.co.th:4434/request/PPIM19501641" xr:uid="{616386B2-40E9-4B24-89F9-75ADFDB70F49}"/>
    <hyperlink ref="K131" r:id="rId128" display="https://ppim-intra.pea.co.th:4434/request/PPIM19501738" xr:uid="{C2132CA1-862D-402B-81D6-483AD0890B7F}"/>
    <hyperlink ref="K132" r:id="rId129" display="https://ppim-intra.pea.co.th:4434/request/PPIM18503887" xr:uid="{119DE46B-FB37-4AFD-A065-A059B9A99019}"/>
    <hyperlink ref="K133" r:id="rId130" display="https://ppim-intra.pea.co.th:4434/request/PPIM195003F1" xr:uid="{2EC880D9-9692-4BF6-9A9C-EB0D4C280C61}"/>
    <hyperlink ref="K134" r:id="rId131" display="https://ppim-intra.pea.co.th:4434/request/PPIM19500F89" xr:uid="{A84CE598-A660-463E-88B8-F03686AF7680}"/>
    <hyperlink ref="K135" r:id="rId132" display="https://ppim-intra.pea.co.th:4434/request/PPIM19501387" xr:uid="{F2CE7470-DD74-4C38-81F1-8016DBBBC314}"/>
    <hyperlink ref="K136" r:id="rId133" display="https://ppim-intra.pea.co.th:4434/request/PPIM195014E4" xr:uid="{719124FF-26DA-4D39-B940-762FEC615E39}"/>
    <hyperlink ref="K137" r:id="rId134" display="https://ppim-intra.pea.co.th:4434/request/PPIM1950114D" xr:uid="{9D7DD4ED-07DD-42CA-AB3D-12BAD17E16AA}"/>
    <hyperlink ref="K138" r:id="rId135" display="https://ppim-intra.pea.co.th:4434/request/PPIM1950066B" xr:uid="{A2F7E8EF-15FB-4B69-A616-5343E82A602A}"/>
    <hyperlink ref="K139" r:id="rId136" display="https://ppim-intra.pea.co.th:4434/request/PPIM195010F7" xr:uid="{499C351A-F4A5-4984-95F4-C271097D3B2B}"/>
    <hyperlink ref="K140" r:id="rId137" display="https://ppim-intra.pea.co.th:4434/request/PPIM19501A6C" xr:uid="{AE85C1CE-0369-4F15-B5D1-765F9D205176}"/>
    <hyperlink ref="K141" r:id="rId138" display="https://ppim-intra.pea.co.th:4434/request/PPIM19501A82" xr:uid="{939743F9-6E9C-4A2B-8614-DB067E270FE0}"/>
    <hyperlink ref="K142" r:id="rId139" display="https://ppim-intra.pea.co.th:4434/request/PPIM19500CF6" xr:uid="{2B6BDD92-3A29-47D5-BABB-F9FE7C39AD9F}"/>
    <hyperlink ref="K143" r:id="rId140" display="https://ppim-intra.pea.co.th:4434/request/PPIM195013A8" xr:uid="{E3B083F8-AB4B-41F3-ACD6-043630B1A4AB}"/>
    <hyperlink ref="K144" r:id="rId141" display="https://ppim-intra.pea.co.th:4434/request/PPIM19501C9A" xr:uid="{DEC8CF2B-A467-477C-AAE0-97758F974B47}"/>
    <hyperlink ref="K145" r:id="rId142" display="https://ppim-intra.pea.co.th:4434/request/PPIM19502123" xr:uid="{1095F56E-CD37-484A-B25F-2209F3CCB4BF}"/>
    <hyperlink ref="K146" r:id="rId143" display="https://ppim-intra.pea.co.th:4434/request/PPIM19502082" xr:uid="{3CE4F7DE-4D76-42E3-B594-0F27C0061DBC}"/>
    <hyperlink ref="K147" r:id="rId144" display="https://ppim-intra.pea.co.th:4434/request/PPIM1950225E" xr:uid="{127A25AF-E1B4-4CD8-AFC9-91ED525C1C37}"/>
    <hyperlink ref="K148" r:id="rId145" display="https://ppim-intra.pea.co.th:4434/request/PPIM19502523" xr:uid="{96D5053F-96F3-4D0B-9750-E97995243882}"/>
    <hyperlink ref="K149" r:id="rId146" display="https://ppim-intra.pea.co.th:4434/request/PPIM195025DA" xr:uid="{05792419-B613-4500-ABA7-ED61ED7DA36B}"/>
    <hyperlink ref="K150" r:id="rId147" display="https://ppim-intra.pea.co.th:4434/request/PPIM19502664" xr:uid="{5BB27FA6-39D3-4A27-9DF6-DC8B4F1A49A2}"/>
    <hyperlink ref="K151" r:id="rId148" display="https://ppim-intra.pea.co.th:4434/request/PPIM19502950" xr:uid="{368D3475-2F2D-42DB-A7B6-9EC5B7B9357B}"/>
    <hyperlink ref="K152" r:id="rId149" display="https://ppim-intra.pea.co.th:4434/request/PPIM19502B08" xr:uid="{FA3A0481-4962-4724-998F-BBC47E15BB87}"/>
    <hyperlink ref="K153" r:id="rId150" display="https://ppim-intra.pea.co.th:4434/request/PPIM19502B23" xr:uid="{74AC5C9B-68C9-4954-81D0-2C8773216BD5}"/>
    <hyperlink ref="K154" r:id="rId151" display="https://ppim-intra.pea.co.th:4434/request/PPIM19502D29" xr:uid="{321D4F5F-743F-4098-9261-BBE2190F1FFE}"/>
    <hyperlink ref="K155" r:id="rId152" display="https://ppim-intra.pea.co.th:4434/request/PPIM185039DE" xr:uid="{7E39410D-82E1-4B14-9374-D02ED1746051}"/>
    <hyperlink ref="K156" r:id="rId153" display="https://ppim-intra.pea.co.th:4434/request/PPIM19502F5D" xr:uid="{3435961A-E462-4B93-BF55-E85480D8CCEF}"/>
    <hyperlink ref="K157" r:id="rId154" display="https://ppim-intra.pea.co.th:4434/request/PPIM19502F6C" xr:uid="{79AE9B09-E216-4E94-834A-34E2FCE4873A}"/>
    <hyperlink ref="K158" r:id="rId155" display="https://ppim-intra.pea.co.th:4434/request/PPIM19503034" xr:uid="{A941555C-A748-462F-AA3D-121722FDDC85}"/>
    <hyperlink ref="K159" r:id="rId156" display="https://ppim-intra.pea.co.th:4434/request/PPIM19503088" xr:uid="{F55A8B1A-C9B6-4730-BFE4-B1C7A40D1680}"/>
    <hyperlink ref="K160" r:id="rId157" display="https://ppim-intra.pea.co.th:4434/request/PPIM1950317A" xr:uid="{22881868-1D81-42FF-813E-4B264E05167A}"/>
    <hyperlink ref="K161" r:id="rId158" display="https://ppim-intra.pea.co.th:4434/request/PPIM1950318A" xr:uid="{E24017F7-C8A3-4A68-81DB-8BFD5543CC0F}"/>
    <hyperlink ref="K162" r:id="rId159" display="https://ppim-intra.pea.co.th:4434/request/PPIM195031FB" xr:uid="{93463CB4-D2AC-4A1B-8E8D-49472AF6F130}"/>
    <hyperlink ref="K163" r:id="rId160" display="https://ppim-intra.pea.co.th:4434/request/PPIM19503289" xr:uid="{2DCFB5DC-1073-46E2-B116-A573937C61D7}"/>
    <hyperlink ref="K164" r:id="rId161" display="https://ppim-intra.pea.co.th:4434/request/PPIM1950340F" xr:uid="{AE0BD250-8DDF-465E-8791-10D74C742F7D}"/>
    <hyperlink ref="K165" r:id="rId162" display="https://ppim-intra.pea.co.th:4434/request/PPIM1950362E" xr:uid="{05846CBA-906F-42B5-B784-0C7AB778822A}"/>
    <hyperlink ref="K166" r:id="rId163" display="https://ppim-intra.pea.co.th:4434/request/PPIM19503748" xr:uid="{2B9A9A86-C13A-44B1-9310-113C48C7B4D5}"/>
    <hyperlink ref="K167" r:id="rId164" display="https://ppim-intra.pea.co.th:4434/request/PPIM19503857" xr:uid="{825A35CE-4D75-43FB-A9A7-F7811D5AC397}"/>
    <hyperlink ref="K168" r:id="rId165" display="https://ppim-intra.pea.co.th:4434/request/PPIM195037BE" xr:uid="{C71277CB-B27E-4D7F-BAF7-F2C980B5C21F}"/>
    <hyperlink ref="K169" r:id="rId166" display="https://ppim-intra.pea.co.th:4434/request/PPIM195038C2" xr:uid="{03519B01-87B7-459F-BF9F-2C72A5CEE845}"/>
    <hyperlink ref="K170" r:id="rId167" display="https://ppim-intra.pea.co.th:4434/request/PPIM19503A28" xr:uid="{52446C5E-B64A-4279-8938-D002D4F08AF4}"/>
    <hyperlink ref="K171" r:id="rId168" display="https://ppim-intra.pea.co.th:4434/request/PPIM19503886" xr:uid="{690C8714-A1E6-4223-9AFD-024A48177EB9}"/>
    <hyperlink ref="K172" r:id="rId169" display="https://ppim-intra.pea.co.th:4434/request/PPIM19503AD6" xr:uid="{23DABA2C-63FF-42F5-B729-0322CAA54BAD}"/>
    <hyperlink ref="K173" r:id="rId170" display="https://ppim-intra.pea.co.th:4434/request/PPIM19503B3F" xr:uid="{8AAA1745-C02B-401B-A3CE-B54CEE20247D}"/>
    <hyperlink ref="K174" r:id="rId171" display="https://ppim-intra.pea.co.th:4434/request/PPIM19503B77" xr:uid="{D5692D44-64E5-4282-8F02-F0DB6EFDE79A}"/>
    <hyperlink ref="K175" r:id="rId172" display="https://ppim-intra.pea.co.th:4434/request/PPIM19503F3A" xr:uid="{BC1016DD-5450-4396-906B-2A8A5D229B73}"/>
    <hyperlink ref="K176" r:id="rId173" display="https://ppim-intra.pea.co.th:4434/request/PPIM19503F88" xr:uid="{F99ADAFB-C6EF-4026-9035-B83C38DCEBE5}"/>
    <hyperlink ref="K177" r:id="rId174" display="https://ppim-intra.pea.co.th:4434/request/PPIM19503BD1" xr:uid="{8E554B63-D368-4765-8956-7B4D40783DB2}"/>
    <hyperlink ref="K178" r:id="rId175" display="https://ppim-intra.pea.co.th:4434/request/PPIM19503FD1" xr:uid="{72D49296-DF5C-4E98-A57A-C8E96EABCE5A}"/>
    <hyperlink ref="K179" r:id="rId176" display="https://ppim-intra.pea.co.th:4434/request/PPIM19504026" xr:uid="{F701A614-3B5A-4509-B3B4-DE013C0A83DB}"/>
    <hyperlink ref="K180" r:id="rId177" display="https://ppim-intra.pea.co.th:4434/request/PPIM1950404D" xr:uid="{BB76DE2F-EEC1-45F6-A6F3-3C9B70454437}"/>
    <hyperlink ref="K181" r:id="rId178" display="https://ppim-intra.pea.co.th:4434/request/PPIM195043A6" xr:uid="{E1B74A7B-0214-4245-A689-770874DD1862}"/>
    <hyperlink ref="K182" r:id="rId179" display="https://ppim-intra.pea.co.th:4434/request/PPIM19504052" xr:uid="{845D9BCD-CAA3-49AE-94F8-A86B840FDE17}"/>
    <hyperlink ref="K183" r:id="rId180" display="https://ppim-intra.pea.co.th:4434/request/PPIM1950450E" xr:uid="{B716305B-5FBA-4ECE-83A6-218723AA1A45}"/>
    <hyperlink ref="K184" r:id="rId181" display="https://ppim-intra.pea.co.th:4434/request/PPIM195045C4" xr:uid="{55A57580-E530-40B3-895F-474FFFE24451}"/>
    <hyperlink ref="K185" r:id="rId182" display="https://ppim-intra.pea.co.th:4434/request/PPIM195046F0" xr:uid="{0101AEED-8EA7-44B5-953F-674CC0458595}"/>
    <hyperlink ref="K186" r:id="rId183" display="https://ppim-intra.pea.co.th:4434/request/PPIM195047F3" xr:uid="{83436D54-B51B-41F8-97DD-A30F2FBB2785}"/>
    <hyperlink ref="K187" r:id="rId184" display="https://ppim-intra.pea.co.th:4434/request/PPIM195046E6" xr:uid="{675E41FF-D399-4DF4-839F-22F5CE337FA0}"/>
    <hyperlink ref="K188" r:id="rId185" display="https://ppim-intra.pea.co.th:4434/request/PPIM195048DE" xr:uid="{F28BE1D8-6D22-43C4-94B0-F7CD34FC703C}"/>
    <hyperlink ref="K189" r:id="rId186" display="https://ppim-intra.pea.co.th:4434/request/PPIM19504982" xr:uid="{E6AD1476-1903-46E6-89D0-63E1F2814AEC}"/>
    <hyperlink ref="K190" r:id="rId187" display="https://ppim-intra.pea.co.th:4434/request/PPIM195046F5" xr:uid="{CD73D794-489F-4CD6-9B6D-510F7EDB89E0}"/>
    <hyperlink ref="K191" r:id="rId188" display="https://ppim-intra.pea.co.th:4434/request/PPIM19504A2D" xr:uid="{94563B06-B9FA-4F0D-B478-2FC214AEE813}"/>
    <hyperlink ref="K192" r:id="rId189" display="https://ppim-intra.pea.co.th:4434/request/PPIM19504BB7" xr:uid="{69ADCD87-3362-471D-B254-9AB3FA6DF60F}"/>
    <hyperlink ref="K193" r:id="rId190" display="https://ppim-intra.pea.co.th:4434/request/PPIM19504CCC" xr:uid="{066501EB-F964-4EF3-B2F0-C40C59078C30}"/>
    <hyperlink ref="K194" r:id="rId191" display="https://ppim-intra.pea.co.th:4434/request/PPIM19504D38" xr:uid="{E37270AB-6D00-4AB9-9D73-A03D338D86FC}"/>
    <hyperlink ref="K195" r:id="rId192" display="https://ppim-intra.pea.co.th:4434/request/PPIM19504E0C" xr:uid="{B89EEB51-1323-4ACF-8FD3-359A7476633C}"/>
    <hyperlink ref="K196" r:id="rId193" display="https://ppim-intra.pea.co.th:4434/request/PPIM19504FA5" xr:uid="{637B2EBD-CEF3-4735-9A00-516A539E83CE}"/>
    <hyperlink ref="K197" r:id="rId194" display="https://ppim-intra.pea.co.th:4434/request/PPIM19504C8A" xr:uid="{4A6E153D-B92F-4C4C-9A0F-31DA9259C1FF}"/>
    <hyperlink ref="K198" r:id="rId195" display="https://ppim-intra.pea.co.th:4434/request/PPIM19505004" xr:uid="{981B31EA-E634-4872-A794-005F3A0F324F}"/>
    <hyperlink ref="K199" r:id="rId196" display="https://ppim-intra.pea.co.th:4434/request/PPIM195050B6" xr:uid="{917650A3-CBA4-47B7-9858-2102501A15B9}"/>
    <hyperlink ref="K200" r:id="rId197" display="https://ppim-intra.pea.co.th:4434/request/PPIM19505421" xr:uid="{2E129479-75AF-4714-81B6-6DD8C0D49ED5}"/>
    <hyperlink ref="K201" r:id="rId198" display="https://ppim-intra.pea.co.th:4434/request/PPIM19505423" xr:uid="{A8C642EB-69F1-4B4F-AF44-631818B71F28}"/>
    <hyperlink ref="K203" r:id="rId199" display="https://ppim-intra.pea.co.th:4434/request/PPIM195054F4" xr:uid="{045477DC-38CA-4CA7-A37F-A65CCA50A33B}"/>
    <hyperlink ref="K204" r:id="rId200" display="https://ppim-intra.pea.co.th:4434/request/PPIM1950552A" xr:uid="{D0B3632C-2D56-4CB1-B4DC-551AB1286615}"/>
    <hyperlink ref="K205" r:id="rId201" display="https://ppim-intra.pea.co.th:4434/request/PPIM19505547" xr:uid="{29220CF4-CD6A-4F8C-83B9-0A58C9D57BD8}"/>
    <hyperlink ref="K206" r:id="rId202" display="https://ppim-intra.pea.co.th:4434/request/PPIM195056C0" xr:uid="{16C2B646-044A-417B-BD1D-1DD11560C451}"/>
    <hyperlink ref="K207" r:id="rId203" display="https://ppim-intra.pea.co.th:4434/request/PPIM195056C1" xr:uid="{E7C0090A-DB0A-427F-AF0C-4D7805683184}"/>
    <hyperlink ref="K208" r:id="rId204" display="https://ppim-intra.pea.co.th:4434/request/PPIM195057F5" xr:uid="{327532ED-DB74-4A31-943E-519D79156207}"/>
    <hyperlink ref="K209" r:id="rId205" display="https://ppim-intra.pea.co.th:4434/request/PPIM19505851" xr:uid="{6C47BF04-B95A-4FDD-A99D-C69C5608CA1D}"/>
    <hyperlink ref="K210" r:id="rId206" display="https://ppim-intra.pea.co.th:4434/request/PPIM19505928" xr:uid="{DF8F9819-E476-4A95-9B91-2D16C3AA5E94}"/>
    <hyperlink ref="K211" r:id="rId207" display="https://ppim-intra.pea.co.th:4434/request/PPIM1950592D" xr:uid="{5C2DA4F7-D667-462F-8DC4-4B9711C402EA}"/>
    <hyperlink ref="K212" r:id="rId208" display="https://ppim-intra.pea.co.th:4434/request/PPIM19505930" xr:uid="{6469E2BE-0C1F-45A3-AB5B-44E9C7F3AAC1}"/>
    <hyperlink ref="K213" r:id="rId209" display="https://ppim-intra.pea.co.th:4434/request/PPIM19505935" xr:uid="{110F0772-027E-4842-B86B-DF3A62DB9B99}"/>
    <hyperlink ref="K214" r:id="rId210" display="https://ppim-intra.pea.co.th:4434/request/PPIM19505940" xr:uid="{917BCD2F-EC59-4E78-8E9D-3C0ACA0403EE}"/>
    <hyperlink ref="K215" r:id="rId211" display="https://ppim-intra.pea.co.th:4434/request/PPIM19505ACD" xr:uid="{6D719625-D15C-415A-99C5-E0734F755033}"/>
    <hyperlink ref="K216" r:id="rId212" display="https://ppim-intra.pea.co.th:4434/request/PPIM19505B0F" xr:uid="{5375AB44-32D3-4BB9-A76A-32E5ACD53F86}"/>
    <hyperlink ref="K217" r:id="rId213" display="https://ppim-intra.pea.co.th:4434/request/PPIM19505B84" xr:uid="{9BE22725-9AEA-419D-9388-BB42A59E9357}"/>
    <hyperlink ref="K218" r:id="rId214" display="https://ppim-intra.pea.co.th:4434/request/PPIM19505BBC" xr:uid="{97F26BCD-4E2C-44C1-8021-E17AE474FC23}"/>
  </hyperlinks>
  <pageMargins left="0.7" right="0.7" top="0.75" bottom="0.75" header="0.3" footer="0.3"/>
  <pageSetup paperSize="9" orientation="portrait" horizontalDpi="4294967293" verticalDpi="0" r:id="rId215"/>
  <drawing r:id="rId216"/>
  <legacyDrawing r:id="rId217"/>
  <controls>
    <mc:AlternateContent xmlns:mc="http://schemas.openxmlformats.org/markup-compatibility/2006">
      <mc:Choice Requires="x14">
        <control shapeId="21505" r:id="rId218" name="Control 1">
          <controlPr defaultSize="0" r:id="rId219">
            <anchor moveWithCells="1">
              <from>
                <xdr:col>0</xdr:col>
                <xdr:colOff>0</xdr:colOff>
                <xdr:row>10</xdr:row>
                <xdr:rowOff>438150</xdr:rowOff>
              </from>
              <to>
                <xdr:col>0</xdr:col>
                <xdr:colOff>161925</xdr:colOff>
                <xdr:row>11</xdr:row>
                <xdr:rowOff>133350</xdr:rowOff>
              </to>
            </anchor>
          </controlPr>
        </control>
      </mc:Choice>
      <mc:Fallback>
        <control shapeId="21505" r:id="rId218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84FE-4DD0-4938-B4CE-9DF9B975446A}">
  <sheetPr codeName="Sheet1">
    <tabColor theme="8" tint="0.59999389629810485"/>
  </sheetPr>
  <dimension ref="A2:O168"/>
  <sheetViews>
    <sheetView tabSelected="1" zoomScale="85" zoomScaleNormal="85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112</v>
      </c>
      <c r="N2" s="13" t="s">
        <v>214</v>
      </c>
    </row>
    <row r="3" spans="1:15" ht="37.5" thickTop="1" thickBot="1">
      <c r="A3" s="18" t="s">
        <v>129</v>
      </c>
      <c r="B3" s="18">
        <v>20020311648</v>
      </c>
      <c r="C3" s="18" t="s">
        <v>130</v>
      </c>
      <c r="D3" s="19">
        <v>45372.747916666667</v>
      </c>
      <c r="E3" s="18" t="s">
        <v>10</v>
      </c>
      <c r="F3" s="18">
        <v>3</v>
      </c>
      <c r="G3" s="18" t="s">
        <v>10</v>
      </c>
      <c r="H3" s="18" t="s">
        <v>178</v>
      </c>
      <c r="I3" s="18" t="s">
        <v>10</v>
      </c>
      <c r="J3" s="18" t="s">
        <v>122</v>
      </c>
      <c r="K3" s="20"/>
      <c r="L3" s="7" t="s">
        <v>2656</v>
      </c>
      <c r="M3" s="7">
        <f>COUNTIF(H:H,"รอตรวจสอบคำขอ")</f>
        <v>6</v>
      </c>
      <c r="N3" s="11" t="s">
        <v>214</v>
      </c>
    </row>
    <row r="4" spans="1:15" ht="36.75" thickBot="1">
      <c r="A4" s="18" t="s">
        <v>120</v>
      </c>
      <c r="B4" s="18">
        <v>20003440269</v>
      </c>
      <c r="C4" s="18" t="s">
        <v>121</v>
      </c>
      <c r="D4" s="19">
        <v>45381.572222222225</v>
      </c>
      <c r="E4" s="18" t="s">
        <v>10</v>
      </c>
      <c r="F4" s="18">
        <v>15</v>
      </c>
      <c r="G4" s="18" t="s">
        <v>10</v>
      </c>
      <c r="H4" s="18" t="s">
        <v>178</v>
      </c>
      <c r="I4" s="18" t="s">
        <v>10</v>
      </c>
      <c r="J4" s="18" t="s">
        <v>122</v>
      </c>
      <c r="K4" s="20"/>
      <c r="L4" s="7" t="s">
        <v>178</v>
      </c>
      <c r="M4" s="7">
        <f>COUNTIF(H:H,"ยกเลิก")</f>
        <v>43</v>
      </c>
      <c r="N4" s="11" t="s">
        <v>214</v>
      </c>
    </row>
    <row r="5" spans="1:15" ht="54.75" thickBot="1">
      <c r="A5" s="18" t="s">
        <v>117</v>
      </c>
      <c r="B5" s="18">
        <v>20002964484</v>
      </c>
      <c r="C5" s="18" t="s">
        <v>118</v>
      </c>
      <c r="D5" s="19">
        <v>45384.664583333331</v>
      </c>
      <c r="E5" s="18" t="s">
        <v>10</v>
      </c>
      <c r="F5" s="18">
        <v>10</v>
      </c>
      <c r="G5" s="18" t="s">
        <v>10</v>
      </c>
      <c r="H5" s="18" t="s">
        <v>178</v>
      </c>
      <c r="I5" s="18" t="s">
        <v>10</v>
      </c>
      <c r="J5" s="18" t="s">
        <v>119</v>
      </c>
      <c r="K5" s="20"/>
      <c r="L5" s="7" t="s">
        <v>235</v>
      </c>
      <c r="M5" s="7">
        <f>COUNTIF(H:H,"รอผู้ยื่นคำขอส่งเอกสารแก้ไข")</f>
        <v>0</v>
      </c>
      <c r="N5" s="11" t="s">
        <v>214</v>
      </c>
    </row>
    <row r="6" spans="1:15" ht="36.75" thickBot="1">
      <c r="A6" s="18" t="s">
        <v>611</v>
      </c>
      <c r="B6" s="18">
        <v>20024108294</v>
      </c>
      <c r="C6" s="18" t="s">
        <v>612</v>
      </c>
      <c r="D6" s="19">
        <v>45461.424305555556</v>
      </c>
      <c r="E6" s="18" t="s">
        <v>10</v>
      </c>
      <c r="F6" s="18">
        <v>5</v>
      </c>
      <c r="G6" s="18" t="s">
        <v>10</v>
      </c>
      <c r="H6" s="18" t="s">
        <v>178</v>
      </c>
      <c r="I6" s="18" t="s">
        <v>10</v>
      </c>
      <c r="J6" s="18" t="s">
        <v>122</v>
      </c>
      <c r="K6" s="20"/>
      <c r="L6" s="7" t="s">
        <v>189</v>
      </c>
      <c r="M6" s="14">
        <f>COUNTIF(H:H,"รอชำระเงิน")</f>
        <v>4</v>
      </c>
      <c r="N6" s="11" t="s">
        <v>214</v>
      </c>
      <c r="O6" s="7" t="s">
        <v>359</v>
      </c>
    </row>
    <row r="7" spans="1:15" ht="36.75" thickBot="1">
      <c r="A7" s="18" t="s">
        <v>613</v>
      </c>
      <c r="B7" s="18">
        <v>20019282043</v>
      </c>
      <c r="C7" s="18" t="s">
        <v>614</v>
      </c>
      <c r="D7" s="19">
        <v>45467.438888888886</v>
      </c>
      <c r="E7" s="18" t="s">
        <v>10</v>
      </c>
      <c r="F7" s="18">
        <v>10</v>
      </c>
      <c r="G7" s="18" t="s">
        <v>10</v>
      </c>
      <c r="H7" s="18" t="s">
        <v>178</v>
      </c>
      <c r="I7" s="18" t="s">
        <v>10</v>
      </c>
      <c r="J7" s="18" t="s">
        <v>128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13</v>
      </c>
      <c r="N7" s="11" t="s">
        <v>214</v>
      </c>
    </row>
    <row r="8" spans="1:15" ht="36.75" thickBot="1">
      <c r="A8" s="18" t="s">
        <v>615</v>
      </c>
      <c r="B8" s="18">
        <v>20003561005</v>
      </c>
      <c r="C8" s="18" t="s">
        <v>616</v>
      </c>
      <c r="D8" s="19">
        <v>45473.262499999997</v>
      </c>
      <c r="E8" s="18" t="s">
        <v>10</v>
      </c>
      <c r="F8" s="18">
        <v>5</v>
      </c>
      <c r="G8" s="18" t="s">
        <v>10</v>
      </c>
      <c r="H8" s="18" t="s">
        <v>178</v>
      </c>
      <c r="I8" s="18" t="s">
        <v>10</v>
      </c>
      <c r="J8" s="18" t="s">
        <v>119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14</v>
      </c>
      <c r="N8" s="11" t="s">
        <v>214</v>
      </c>
    </row>
    <row r="9" spans="1:15" ht="36.75" thickBot="1">
      <c r="A9" s="18" t="s">
        <v>687</v>
      </c>
      <c r="B9" s="18">
        <v>20003383468</v>
      </c>
      <c r="C9" s="18" t="s">
        <v>688</v>
      </c>
      <c r="D9" s="19">
        <v>45482.595138888886</v>
      </c>
      <c r="E9" s="18" t="s">
        <v>10</v>
      </c>
      <c r="F9" s="18">
        <v>5</v>
      </c>
      <c r="G9" s="18" t="s">
        <v>10</v>
      </c>
      <c r="H9" s="18" t="s">
        <v>178</v>
      </c>
      <c r="I9" s="18" t="s">
        <v>10</v>
      </c>
      <c r="J9" s="18" t="s">
        <v>125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36.75" thickBot="1">
      <c r="A10" s="18" t="s">
        <v>609</v>
      </c>
      <c r="B10" s="18">
        <v>20025765269</v>
      </c>
      <c r="C10" s="18" t="s">
        <v>610</v>
      </c>
      <c r="D10" s="19">
        <v>45449.497916666667</v>
      </c>
      <c r="E10" s="19">
        <v>45499.580555555556</v>
      </c>
      <c r="F10" s="18">
        <v>10</v>
      </c>
      <c r="G10" s="19">
        <v>45503.402083333334</v>
      </c>
      <c r="H10" s="18" t="s">
        <v>236</v>
      </c>
      <c r="I10" s="18" t="s">
        <v>10</v>
      </c>
      <c r="J10" s="18" t="s">
        <v>119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812</v>
      </c>
      <c r="B11" s="18">
        <v>20003577101</v>
      </c>
      <c r="C11" s="18" t="s">
        <v>813</v>
      </c>
      <c r="D11" s="19">
        <v>45502.697222222225</v>
      </c>
      <c r="E11" s="18" t="s">
        <v>10</v>
      </c>
      <c r="F11" s="18">
        <v>5</v>
      </c>
      <c r="G11" s="19">
        <v>45565.571527777778</v>
      </c>
      <c r="H11" s="18" t="s">
        <v>236</v>
      </c>
      <c r="I11" s="18" t="s">
        <v>10</v>
      </c>
      <c r="J11" s="18" t="s">
        <v>119</v>
      </c>
      <c r="K11" s="20"/>
      <c r="L11" t="s">
        <v>2654</v>
      </c>
      <c r="M11">
        <f>COUNTIF(H:H,"รอตรวจสอบระบบผลิต")</f>
        <v>7</v>
      </c>
      <c r="N11" t="s">
        <v>214</v>
      </c>
    </row>
    <row r="12" spans="1:15" ht="36.75" thickBot="1">
      <c r="A12" s="18" t="s">
        <v>810</v>
      </c>
      <c r="B12" s="18">
        <v>20026695219</v>
      </c>
      <c r="C12" s="18" t="s">
        <v>811</v>
      </c>
      <c r="D12" s="19">
        <v>45491.679861111108</v>
      </c>
      <c r="E12" s="19">
        <v>45503.64166666667</v>
      </c>
      <c r="F12" s="18">
        <v>3</v>
      </c>
      <c r="G12" s="19">
        <v>45546.625694444447</v>
      </c>
      <c r="H12" s="18" t="s">
        <v>236</v>
      </c>
      <c r="I12" s="18" t="s">
        <v>10</v>
      </c>
      <c r="J12" s="18" t="s">
        <v>122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689</v>
      </c>
      <c r="B13" s="18">
        <v>20022999475</v>
      </c>
      <c r="C13" s="18" t="s">
        <v>690</v>
      </c>
      <c r="D13" s="19">
        <v>45485.401388888888</v>
      </c>
      <c r="E13" s="19">
        <v>45504.54791666667</v>
      </c>
      <c r="F13" s="18">
        <v>5</v>
      </c>
      <c r="G13" s="19">
        <v>45548.635416666664</v>
      </c>
      <c r="H13" s="18" t="s">
        <v>236</v>
      </c>
      <c r="I13" s="18" t="s">
        <v>10</v>
      </c>
      <c r="J13" s="18" t="s">
        <v>128</v>
      </c>
      <c r="K13" s="20"/>
      <c r="L13" t="s">
        <v>2655</v>
      </c>
      <c r="M13">
        <f>COUNTIF(H:H,"รออนุมัติแจ้งวันเริ่มเชื่อมต่อ")</f>
        <v>0</v>
      </c>
      <c r="N13" t="s">
        <v>214</v>
      </c>
    </row>
    <row r="14" spans="1:15" ht="36.75" thickBot="1">
      <c r="A14" s="18" t="s">
        <v>1007</v>
      </c>
      <c r="B14" s="18">
        <v>20027832136</v>
      </c>
      <c r="C14" s="18" t="s">
        <v>1008</v>
      </c>
      <c r="D14" s="19">
        <v>45506.699305555558</v>
      </c>
      <c r="E14" s="18" t="s">
        <v>10</v>
      </c>
      <c r="F14" s="18">
        <v>4</v>
      </c>
      <c r="G14" s="19">
        <v>45560.470833333333</v>
      </c>
      <c r="H14" s="18" t="s">
        <v>236</v>
      </c>
      <c r="I14" s="18" t="s">
        <v>10</v>
      </c>
      <c r="J14" s="18" t="s">
        <v>119</v>
      </c>
      <c r="K14" s="20"/>
      <c r="L14" t="s">
        <v>236</v>
      </c>
      <c r="M14">
        <f>COUNTIF(H:H,"เชื่อมต่อเรียบร้อยแล้ว")</f>
        <v>25</v>
      </c>
      <c r="N14" t="s">
        <v>214</v>
      </c>
    </row>
    <row r="15" spans="1:15" ht="36.75" thickBot="1">
      <c r="A15" s="18" t="s">
        <v>1009</v>
      </c>
      <c r="B15" s="18">
        <v>20019680955</v>
      </c>
      <c r="C15" s="18" t="s">
        <v>1010</v>
      </c>
      <c r="D15" s="19">
        <v>45506.706250000003</v>
      </c>
      <c r="E15" s="18" t="s">
        <v>10</v>
      </c>
      <c r="F15" s="18">
        <v>4</v>
      </c>
      <c r="G15" s="19">
        <v>45560.470833333333</v>
      </c>
      <c r="H15" s="18" t="s">
        <v>236</v>
      </c>
      <c r="I15" s="18" t="s">
        <v>10</v>
      </c>
      <c r="J15" s="18" t="s">
        <v>119</v>
      </c>
      <c r="K15" s="20"/>
    </row>
    <row r="16" spans="1:15" ht="36.75" thickBot="1">
      <c r="A16" s="18" t="s">
        <v>1011</v>
      </c>
      <c r="B16" s="18">
        <v>20027725119</v>
      </c>
      <c r="C16" s="18" t="s">
        <v>1012</v>
      </c>
      <c r="D16" s="19">
        <v>45506.719444444447</v>
      </c>
      <c r="E16" s="18" t="s">
        <v>10</v>
      </c>
      <c r="F16" s="18">
        <v>4</v>
      </c>
      <c r="G16" s="19">
        <v>45560.470833333333</v>
      </c>
      <c r="H16" s="18" t="s">
        <v>236</v>
      </c>
      <c r="I16" s="18" t="s">
        <v>10</v>
      </c>
      <c r="J16" s="18" t="s">
        <v>128</v>
      </c>
      <c r="K16" s="20"/>
    </row>
    <row r="17" spans="1:11" ht="36.75" thickBot="1">
      <c r="A17" s="18" t="s">
        <v>1013</v>
      </c>
      <c r="B17" s="18">
        <v>20019282043</v>
      </c>
      <c r="C17" s="18" t="s">
        <v>614</v>
      </c>
      <c r="D17" s="19">
        <v>45509.737500000003</v>
      </c>
      <c r="E17" s="18" t="s">
        <v>10</v>
      </c>
      <c r="F17" s="18">
        <v>10</v>
      </c>
      <c r="G17" s="18" t="s">
        <v>10</v>
      </c>
      <c r="H17" s="18" t="s">
        <v>178</v>
      </c>
      <c r="I17" s="18" t="s">
        <v>10</v>
      </c>
      <c r="J17" s="18" t="s">
        <v>128</v>
      </c>
      <c r="K17" s="20"/>
    </row>
    <row r="18" spans="1:11" ht="36.75" thickBot="1">
      <c r="A18" s="18" t="s">
        <v>1014</v>
      </c>
      <c r="B18" s="18">
        <v>20003561005</v>
      </c>
      <c r="C18" s="18" t="s">
        <v>616</v>
      </c>
      <c r="D18" s="19">
        <v>45511.59097222222</v>
      </c>
      <c r="E18" s="18" t="s">
        <v>10</v>
      </c>
      <c r="F18" s="18">
        <v>5</v>
      </c>
      <c r="G18" s="19">
        <v>45512.427083333336</v>
      </c>
      <c r="H18" s="18" t="s">
        <v>236</v>
      </c>
      <c r="I18" s="18" t="s">
        <v>10</v>
      </c>
      <c r="J18" s="18" t="s">
        <v>119</v>
      </c>
      <c r="K18" s="20"/>
    </row>
    <row r="19" spans="1:11" ht="36.75" thickBot="1">
      <c r="A19" s="18" t="s">
        <v>131</v>
      </c>
      <c r="B19" s="18">
        <v>20022110902</v>
      </c>
      <c r="C19" s="18" t="s">
        <v>132</v>
      </c>
      <c r="D19" s="19">
        <v>45372.644444444442</v>
      </c>
      <c r="E19" s="19">
        <v>45513.402777777781</v>
      </c>
      <c r="F19" s="18">
        <v>3</v>
      </c>
      <c r="G19" s="19">
        <v>45560.546527777777</v>
      </c>
      <c r="H19" s="18" t="s">
        <v>236</v>
      </c>
      <c r="I19" s="18" t="s">
        <v>10</v>
      </c>
      <c r="J19" s="18" t="s">
        <v>119</v>
      </c>
      <c r="K19" s="20"/>
    </row>
    <row r="20" spans="1:11" ht="36.75" thickBot="1">
      <c r="A20" s="18" t="s">
        <v>126</v>
      </c>
      <c r="B20" s="18">
        <v>20023824151</v>
      </c>
      <c r="C20" s="18" t="s">
        <v>127</v>
      </c>
      <c r="D20" s="19">
        <v>45373.680555555555</v>
      </c>
      <c r="E20" s="19">
        <v>45513.404861111114</v>
      </c>
      <c r="F20" s="18">
        <v>3</v>
      </c>
      <c r="G20" s="19">
        <v>45560.546527777777</v>
      </c>
      <c r="H20" s="18" t="s">
        <v>236</v>
      </c>
      <c r="I20" s="18" t="s">
        <v>10</v>
      </c>
      <c r="J20" s="18" t="s">
        <v>128</v>
      </c>
      <c r="K20" s="20"/>
    </row>
    <row r="21" spans="1:11" ht="36.75" thickBot="1">
      <c r="A21" s="18" t="s">
        <v>123</v>
      </c>
      <c r="B21" s="18">
        <v>20003464566</v>
      </c>
      <c r="C21" s="18" t="s">
        <v>124</v>
      </c>
      <c r="D21" s="19">
        <v>45374.374305555553</v>
      </c>
      <c r="E21" s="19">
        <v>45513.406944444447</v>
      </c>
      <c r="F21" s="18">
        <v>3</v>
      </c>
      <c r="G21" s="19">
        <v>45560.546527777777</v>
      </c>
      <c r="H21" s="18" t="s">
        <v>2657</v>
      </c>
      <c r="I21" s="18" t="s">
        <v>10</v>
      </c>
      <c r="J21" s="18" t="s">
        <v>125</v>
      </c>
      <c r="K21" s="20"/>
    </row>
    <row r="22" spans="1:11" ht="36.75" thickBot="1">
      <c r="A22" s="18" t="s">
        <v>133</v>
      </c>
      <c r="B22" s="18">
        <v>20026883313</v>
      </c>
      <c r="C22" s="18" t="s">
        <v>134</v>
      </c>
      <c r="D22" s="19">
        <v>45341.68472222222</v>
      </c>
      <c r="E22" s="19">
        <v>45527.460416666669</v>
      </c>
      <c r="F22" s="18">
        <v>10</v>
      </c>
      <c r="G22" s="19">
        <v>45551.545138888891</v>
      </c>
      <c r="H22" s="18" t="s">
        <v>236</v>
      </c>
      <c r="I22" s="18" t="s">
        <v>10</v>
      </c>
      <c r="J22" s="18" t="s">
        <v>119</v>
      </c>
      <c r="K22" s="20"/>
    </row>
    <row r="23" spans="1:11" ht="36.75" thickBot="1">
      <c r="A23" s="18" t="s">
        <v>1015</v>
      </c>
      <c r="B23" s="18">
        <v>20025034000</v>
      </c>
      <c r="C23" s="18" t="s">
        <v>1016</v>
      </c>
      <c r="D23" s="19">
        <v>45527.679861111108</v>
      </c>
      <c r="E23" s="18" t="s">
        <v>10</v>
      </c>
      <c r="F23" s="18">
        <v>20</v>
      </c>
      <c r="G23" s="19">
        <v>45603.555555555555</v>
      </c>
      <c r="H23" s="18" t="s">
        <v>236</v>
      </c>
      <c r="I23" s="18" t="s">
        <v>10</v>
      </c>
      <c r="J23" s="18" t="s">
        <v>119</v>
      </c>
      <c r="K23" s="20"/>
    </row>
    <row r="24" spans="1:11" ht="36.75" thickBot="1">
      <c r="A24" s="18" t="s">
        <v>1017</v>
      </c>
      <c r="B24" s="18">
        <v>20003011903</v>
      </c>
      <c r="C24" s="18" t="s">
        <v>1018</v>
      </c>
      <c r="D24" s="19">
        <v>45530.668749999997</v>
      </c>
      <c r="E24" s="18" t="s">
        <v>10</v>
      </c>
      <c r="F24" s="18">
        <v>10</v>
      </c>
      <c r="G24" s="19">
        <v>45574.410416666666</v>
      </c>
      <c r="H24" s="18" t="s">
        <v>236</v>
      </c>
      <c r="I24" s="18" t="s">
        <v>10</v>
      </c>
      <c r="J24" s="18" t="s">
        <v>119</v>
      </c>
      <c r="K24" s="20"/>
    </row>
    <row r="25" spans="1:11" ht="36.75" thickBot="1">
      <c r="A25" s="18" t="s">
        <v>1019</v>
      </c>
      <c r="B25" s="18">
        <v>20025912027</v>
      </c>
      <c r="C25" s="18" t="s">
        <v>1020</v>
      </c>
      <c r="D25" s="19">
        <v>45531.994444444441</v>
      </c>
      <c r="E25" s="18" t="s">
        <v>10</v>
      </c>
      <c r="F25" s="18">
        <v>20</v>
      </c>
      <c r="G25" s="19">
        <v>45593.609722222223</v>
      </c>
      <c r="H25" s="18" t="s">
        <v>236</v>
      </c>
      <c r="I25" s="18" t="s">
        <v>10</v>
      </c>
      <c r="J25" s="18" t="s">
        <v>122</v>
      </c>
      <c r="K25" s="20"/>
    </row>
    <row r="26" spans="1:11" ht="36.75" thickBot="1">
      <c r="A26" s="18" t="s">
        <v>1021</v>
      </c>
      <c r="B26" s="18">
        <v>20026424807</v>
      </c>
      <c r="C26" s="18" t="s">
        <v>1020</v>
      </c>
      <c r="D26" s="19">
        <v>45532.00277777778</v>
      </c>
      <c r="E26" s="18" t="s">
        <v>10</v>
      </c>
      <c r="F26" s="18">
        <v>15</v>
      </c>
      <c r="G26" s="19">
        <v>45593.609722222223</v>
      </c>
      <c r="H26" s="18" t="s">
        <v>236</v>
      </c>
      <c r="I26" s="18" t="s">
        <v>10</v>
      </c>
      <c r="J26" s="18" t="s">
        <v>122</v>
      </c>
      <c r="K26" s="20"/>
    </row>
    <row r="27" spans="1:11" ht="36.75" thickBot="1">
      <c r="A27" s="18" t="s">
        <v>1152</v>
      </c>
      <c r="B27" s="18">
        <v>20003067367</v>
      </c>
      <c r="C27" s="18" t="s">
        <v>1153</v>
      </c>
      <c r="D27" s="19">
        <v>45538.70208333333</v>
      </c>
      <c r="E27" s="18" t="s">
        <v>10</v>
      </c>
      <c r="F27" s="18">
        <v>15</v>
      </c>
      <c r="G27" s="19">
        <v>45555.438888888886</v>
      </c>
      <c r="H27" s="18" t="s">
        <v>236</v>
      </c>
      <c r="I27" s="18" t="s">
        <v>10</v>
      </c>
      <c r="J27" s="18" t="s">
        <v>119</v>
      </c>
      <c r="K27" s="20"/>
    </row>
    <row r="28" spans="1:11" ht="36.75" thickBot="1">
      <c r="A28" s="18" t="s">
        <v>1156</v>
      </c>
      <c r="B28" s="18">
        <v>20021113148</v>
      </c>
      <c r="C28" s="18" t="s">
        <v>1157</v>
      </c>
      <c r="D28" s="19">
        <v>45541.037499999999</v>
      </c>
      <c r="E28" s="18" t="s">
        <v>10</v>
      </c>
      <c r="F28" s="18">
        <v>5</v>
      </c>
      <c r="G28" s="19">
        <v>45593.513888888891</v>
      </c>
      <c r="H28" s="18" t="s">
        <v>236</v>
      </c>
      <c r="I28" s="18" t="s">
        <v>10</v>
      </c>
      <c r="J28" s="18" t="s">
        <v>119</v>
      </c>
      <c r="K28" s="20"/>
    </row>
    <row r="29" spans="1:11" ht="36.75" thickBot="1">
      <c r="A29" s="18" t="s">
        <v>1158</v>
      </c>
      <c r="B29" s="18">
        <v>20021490284</v>
      </c>
      <c r="C29" s="18" t="s">
        <v>1159</v>
      </c>
      <c r="D29" s="19">
        <v>45541.494444444441</v>
      </c>
      <c r="E29" s="18" t="s">
        <v>10</v>
      </c>
      <c r="F29" s="18">
        <v>5</v>
      </c>
      <c r="G29" s="18" t="s">
        <v>10</v>
      </c>
      <c r="H29" s="18" t="s">
        <v>189</v>
      </c>
      <c r="I29" s="18" t="s">
        <v>10</v>
      </c>
      <c r="J29" s="18" t="s">
        <v>122</v>
      </c>
      <c r="K29" s="20"/>
    </row>
    <row r="30" spans="1:11" ht="36.75" thickBot="1">
      <c r="A30" s="18" t="s">
        <v>1160</v>
      </c>
      <c r="B30" s="18">
        <v>20003411703</v>
      </c>
      <c r="C30" s="18" t="s">
        <v>1161</v>
      </c>
      <c r="D30" s="19">
        <v>45544.559027777781</v>
      </c>
      <c r="E30" s="18" t="s">
        <v>10</v>
      </c>
      <c r="F30" s="18">
        <v>3</v>
      </c>
      <c r="G30" s="19">
        <v>45573.459722222222</v>
      </c>
      <c r="H30" s="18" t="s">
        <v>2657</v>
      </c>
      <c r="I30" s="18" t="s">
        <v>10</v>
      </c>
      <c r="J30" s="18" t="s">
        <v>122</v>
      </c>
      <c r="K30" s="20"/>
    </row>
    <row r="31" spans="1:11" ht="36.75" thickBot="1">
      <c r="A31" s="18" t="s">
        <v>1162</v>
      </c>
      <c r="B31" s="18">
        <v>20026172907</v>
      </c>
      <c r="C31" s="18" t="s">
        <v>1163</v>
      </c>
      <c r="D31" s="19">
        <v>45545.354166666664</v>
      </c>
      <c r="E31" s="18" t="s">
        <v>10</v>
      </c>
      <c r="F31" s="18">
        <v>20</v>
      </c>
      <c r="G31" s="18" t="s">
        <v>10</v>
      </c>
      <c r="H31" s="18" t="s">
        <v>189</v>
      </c>
      <c r="I31" s="18" t="s">
        <v>10</v>
      </c>
      <c r="J31" s="18" t="s">
        <v>125</v>
      </c>
      <c r="K31" s="20"/>
    </row>
    <row r="32" spans="1:11" ht="36.75" thickBot="1">
      <c r="A32" s="18" t="s">
        <v>1154</v>
      </c>
      <c r="B32" s="18">
        <v>20003252066</v>
      </c>
      <c r="C32" s="18" t="s">
        <v>1155</v>
      </c>
      <c r="D32" s="19">
        <v>45540.79791666667</v>
      </c>
      <c r="E32" s="19">
        <v>45559.633333333331</v>
      </c>
      <c r="F32" s="18">
        <v>10</v>
      </c>
      <c r="G32" s="18" t="s">
        <v>10</v>
      </c>
      <c r="H32" s="18" t="s">
        <v>178</v>
      </c>
      <c r="I32" s="18" t="s">
        <v>10</v>
      </c>
      <c r="J32" s="18" t="s">
        <v>119</v>
      </c>
      <c r="K32" s="20"/>
    </row>
    <row r="33" spans="1:11" ht="36.75" thickBot="1">
      <c r="A33" s="18" t="s">
        <v>1164</v>
      </c>
      <c r="B33" s="18">
        <v>20019282043</v>
      </c>
      <c r="C33" s="18" t="s">
        <v>614</v>
      </c>
      <c r="D33" s="19">
        <v>45545.660416666666</v>
      </c>
      <c r="E33" s="19">
        <v>45561.43472222222</v>
      </c>
      <c r="F33" s="18">
        <v>10</v>
      </c>
      <c r="G33" s="19">
        <v>45596.644444444442</v>
      </c>
      <c r="H33" s="18" t="s">
        <v>236</v>
      </c>
      <c r="I33" s="18" t="s">
        <v>10</v>
      </c>
      <c r="J33" s="18" t="s">
        <v>128</v>
      </c>
      <c r="K33" s="20"/>
    </row>
    <row r="34" spans="1:11" ht="36.75" thickBot="1">
      <c r="A34" s="18" t="s">
        <v>1272</v>
      </c>
      <c r="B34" s="18">
        <v>20003553872</v>
      </c>
      <c r="C34" s="18" t="s">
        <v>1273</v>
      </c>
      <c r="D34" s="19">
        <v>45562.702777777777</v>
      </c>
      <c r="E34" s="18" t="s">
        <v>10</v>
      </c>
      <c r="F34" s="18">
        <v>20</v>
      </c>
      <c r="G34" s="19">
        <v>45604.637499999997</v>
      </c>
      <c r="H34" s="18" t="s">
        <v>2657</v>
      </c>
      <c r="I34" s="18" t="s">
        <v>10</v>
      </c>
      <c r="J34" s="18" t="s">
        <v>122</v>
      </c>
      <c r="K34" s="20"/>
    </row>
    <row r="35" spans="1:11" ht="36.75" thickBot="1">
      <c r="A35" s="18" t="s">
        <v>1383</v>
      </c>
      <c r="B35" s="18">
        <v>20003592629</v>
      </c>
      <c r="C35" s="18" t="s">
        <v>1384</v>
      </c>
      <c r="D35" s="19">
        <v>45567.517361111109</v>
      </c>
      <c r="E35" s="18" t="s">
        <v>10</v>
      </c>
      <c r="F35" s="18">
        <v>5</v>
      </c>
      <c r="G35" s="19">
        <v>45569.65625</v>
      </c>
      <c r="H35" s="18" t="s">
        <v>236</v>
      </c>
      <c r="I35" s="18" t="s">
        <v>10</v>
      </c>
      <c r="J35" s="18" t="s">
        <v>122</v>
      </c>
      <c r="K35" s="20"/>
    </row>
    <row r="36" spans="1:11" ht="36.75" thickBot="1">
      <c r="A36" s="18" t="s">
        <v>1385</v>
      </c>
      <c r="B36" s="18">
        <v>20020589837</v>
      </c>
      <c r="C36" s="18" t="s">
        <v>1386</v>
      </c>
      <c r="D36" s="19">
        <v>45572.659722222219</v>
      </c>
      <c r="E36" s="19">
        <v>45587.645138888889</v>
      </c>
      <c r="F36" s="18">
        <v>10</v>
      </c>
      <c r="G36" s="19">
        <v>45681.594444444447</v>
      </c>
      <c r="H36" s="18" t="s">
        <v>2657</v>
      </c>
      <c r="I36" s="18" t="s">
        <v>10</v>
      </c>
      <c r="J36" s="18" t="s">
        <v>122</v>
      </c>
      <c r="K36" s="20"/>
    </row>
    <row r="37" spans="1:11" ht="36.75" thickBot="1">
      <c r="A37" s="18" t="s">
        <v>1505</v>
      </c>
      <c r="B37" s="18">
        <v>20003252066</v>
      </c>
      <c r="C37" s="18" t="s">
        <v>1155</v>
      </c>
      <c r="D37" s="19">
        <v>45589.586805555555</v>
      </c>
      <c r="E37" s="18" t="s">
        <v>10</v>
      </c>
      <c r="F37" s="18">
        <v>10</v>
      </c>
      <c r="G37" s="18" t="s">
        <v>10</v>
      </c>
      <c r="H37" s="18" t="s">
        <v>178</v>
      </c>
      <c r="I37" s="18" t="s">
        <v>10</v>
      </c>
      <c r="J37" s="18" t="s">
        <v>119</v>
      </c>
      <c r="K37" s="20"/>
    </row>
    <row r="38" spans="1:11" ht="36.75" thickBot="1">
      <c r="A38" s="18" t="s">
        <v>1769</v>
      </c>
      <c r="B38" s="18">
        <v>20002963000</v>
      </c>
      <c r="C38" s="18" t="s">
        <v>1770</v>
      </c>
      <c r="D38" s="19">
        <v>45597.480555555558</v>
      </c>
      <c r="E38" s="18" t="s">
        <v>10</v>
      </c>
      <c r="F38" s="18">
        <v>5</v>
      </c>
      <c r="G38" s="19">
        <v>45597.652083333334</v>
      </c>
      <c r="H38" s="18" t="s">
        <v>236</v>
      </c>
      <c r="I38" s="18" t="s">
        <v>10</v>
      </c>
      <c r="J38" s="18" t="s">
        <v>122</v>
      </c>
      <c r="K38" s="20"/>
    </row>
    <row r="39" spans="1:11" ht="54.75" thickBot="1">
      <c r="A39" s="18" t="s">
        <v>1771</v>
      </c>
      <c r="B39" s="18">
        <v>20002964484</v>
      </c>
      <c r="C39" s="18" t="s">
        <v>1772</v>
      </c>
      <c r="D39" s="19">
        <v>45600.648611111108</v>
      </c>
      <c r="E39" s="18" t="s">
        <v>10</v>
      </c>
      <c r="F39" s="18">
        <v>10</v>
      </c>
      <c r="G39" s="18" t="s">
        <v>10</v>
      </c>
      <c r="H39" s="18" t="s">
        <v>178</v>
      </c>
      <c r="I39" s="18" t="s">
        <v>10</v>
      </c>
      <c r="J39" s="18" t="s">
        <v>119</v>
      </c>
      <c r="K39" s="20"/>
    </row>
    <row r="40" spans="1:11" ht="36.75" thickBot="1">
      <c r="A40" s="18" t="s">
        <v>1773</v>
      </c>
      <c r="B40" s="18">
        <v>20003252066</v>
      </c>
      <c r="C40" s="18" t="s">
        <v>1155</v>
      </c>
      <c r="D40" s="19">
        <v>45603.470138888886</v>
      </c>
      <c r="E40" s="18" t="s">
        <v>10</v>
      </c>
      <c r="F40" s="18">
        <v>10</v>
      </c>
      <c r="G40" s="18" t="s">
        <v>10</v>
      </c>
      <c r="H40" s="18" t="s">
        <v>178</v>
      </c>
      <c r="I40" s="18" t="s">
        <v>10</v>
      </c>
      <c r="J40" s="18" t="s">
        <v>119</v>
      </c>
      <c r="K40" s="20"/>
    </row>
    <row r="41" spans="1:11" ht="36.75" thickBot="1">
      <c r="A41" s="18" t="s">
        <v>1774</v>
      </c>
      <c r="B41" s="18">
        <v>20022375632</v>
      </c>
      <c r="C41" s="18" t="s">
        <v>1775</v>
      </c>
      <c r="D41" s="19">
        <v>45604.469444444447</v>
      </c>
      <c r="E41" s="18" t="s">
        <v>10</v>
      </c>
      <c r="F41" s="18">
        <v>5</v>
      </c>
      <c r="G41" s="18" t="s">
        <v>10</v>
      </c>
      <c r="H41" s="18" t="s">
        <v>178</v>
      </c>
      <c r="I41" s="18" t="s">
        <v>10</v>
      </c>
      <c r="J41" s="18" t="s">
        <v>122</v>
      </c>
      <c r="K41" s="20"/>
    </row>
    <row r="42" spans="1:11" ht="36.75" thickBot="1">
      <c r="A42" s="18" t="s">
        <v>1777</v>
      </c>
      <c r="B42" s="18">
        <v>0</v>
      </c>
      <c r="C42" s="18" t="s">
        <v>1778</v>
      </c>
      <c r="D42" s="19">
        <v>45610.549305555556</v>
      </c>
      <c r="E42" s="18" t="s">
        <v>10</v>
      </c>
      <c r="F42" s="18">
        <v>3</v>
      </c>
      <c r="G42" s="18" t="s">
        <v>10</v>
      </c>
      <c r="H42" s="18" t="s">
        <v>178</v>
      </c>
      <c r="I42" s="18" t="s">
        <v>10</v>
      </c>
      <c r="J42" s="18" t="s">
        <v>122</v>
      </c>
      <c r="K42" s="20"/>
    </row>
    <row r="43" spans="1:11" ht="36.75" thickBot="1">
      <c r="A43" s="18" t="s">
        <v>1779</v>
      </c>
      <c r="B43" s="18">
        <v>20019831271</v>
      </c>
      <c r="C43" s="18" t="s">
        <v>1780</v>
      </c>
      <c r="D43" s="19">
        <v>45610.559027777781</v>
      </c>
      <c r="E43" s="18" t="s">
        <v>10</v>
      </c>
      <c r="F43" s="18">
        <v>5</v>
      </c>
      <c r="G43" s="19">
        <v>45827.502083333333</v>
      </c>
      <c r="H43" s="18" t="s">
        <v>236</v>
      </c>
      <c r="I43" s="18" t="s">
        <v>10</v>
      </c>
      <c r="J43" s="18" t="s">
        <v>128</v>
      </c>
      <c r="K43" s="20"/>
    </row>
    <row r="44" spans="1:11" ht="36.75" thickBot="1">
      <c r="A44" s="18" t="s">
        <v>1781</v>
      </c>
      <c r="B44" s="18">
        <v>20023769698</v>
      </c>
      <c r="C44" s="18" t="s">
        <v>1782</v>
      </c>
      <c r="D44" s="19">
        <v>45612.506944444445</v>
      </c>
      <c r="E44" s="18" t="s">
        <v>10</v>
      </c>
      <c r="F44" s="18">
        <v>20</v>
      </c>
      <c r="G44" s="18" t="s">
        <v>10</v>
      </c>
      <c r="H44" s="18" t="s">
        <v>178</v>
      </c>
      <c r="I44" s="18" t="s">
        <v>10</v>
      </c>
      <c r="J44" s="18" t="s">
        <v>119</v>
      </c>
      <c r="K44" s="20"/>
    </row>
    <row r="45" spans="1:11" ht="36.75" thickBot="1">
      <c r="A45" s="18" t="s">
        <v>1783</v>
      </c>
      <c r="B45" s="18">
        <v>20018576075</v>
      </c>
      <c r="C45" s="18" t="s">
        <v>1784</v>
      </c>
      <c r="D45" s="19">
        <v>45614.554166666669</v>
      </c>
      <c r="E45" s="18" t="s">
        <v>10</v>
      </c>
      <c r="F45" s="18">
        <v>20</v>
      </c>
      <c r="G45" s="19">
        <v>45630.57708333333</v>
      </c>
      <c r="H45" s="18" t="s">
        <v>2654</v>
      </c>
      <c r="I45" s="18" t="s">
        <v>10</v>
      </c>
      <c r="J45" s="18" t="s">
        <v>122</v>
      </c>
      <c r="K45" s="20"/>
    </row>
    <row r="46" spans="1:11" ht="36.75" thickBot="1">
      <c r="A46" s="18" t="s">
        <v>1785</v>
      </c>
      <c r="B46" s="18">
        <v>20003079907</v>
      </c>
      <c r="C46" s="18" t="s">
        <v>1786</v>
      </c>
      <c r="D46" s="19">
        <v>45625.684027777781</v>
      </c>
      <c r="E46" s="18" t="s">
        <v>10</v>
      </c>
      <c r="F46" s="18">
        <v>5</v>
      </c>
      <c r="G46" s="18" t="s">
        <v>10</v>
      </c>
      <c r="H46" s="18" t="s">
        <v>189</v>
      </c>
      <c r="I46" s="18" t="s">
        <v>10</v>
      </c>
      <c r="J46" s="18" t="s">
        <v>122</v>
      </c>
      <c r="K46" s="20"/>
    </row>
    <row r="47" spans="1:11" ht="36.75" thickBot="1">
      <c r="A47" s="18" t="s">
        <v>1873</v>
      </c>
      <c r="B47" s="18">
        <v>20003252066</v>
      </c>
      <c r="C47" s="18" t="s">
        <v>1155</v>
      </c>
      <c r="D47" s="19">
        <v>45628.430555555555</v>
      </c>
      <c r="E47" s="18" t="s">
        <v>10</v>
      </c>
      <c r="F47" s="18">
        <v>10</v>
      </c>
      <c r="G47" s="19">
        <v>45824.415972222225</v>
      </c>
      <c r="H47" s="18" t="s">
        <v>2657</v>
      </c>
      <c r="I47" s="18" t="s">
        <v>10</v>
      </c>
      <c r="J47" s="18" t="s">
        <v>119</v>
      </c>
      <c r="K47" s="20"/>
    </row>
    <row r="48" spans="1:11" ht="54.75" thickBot="1">
      <c r="A48" s="18" t="s">
        <v>1776</v>
      </c>
      <c r="B48" s="18">
        <v>20002964484</v>
      </c>
      <c r="C48" s="18" t="s">
        <v>1772</v>
      </c>
      <c r="D48" s="19">
        <v>45609.668055555558</v>
      </c>
      <c r="E48" s="19">
        <v>45628.569444444445</v>
      </c>
      <c r="F48" s="18">
        <v>10</v>
      </c>
      <c r="G48" s="19">
        <v>45847.34375</v>
      </c>
      <c r="H48" s="18" t="s">
        <v>2654</v>
      </c>
      <c r="I48" s="18" t="s">
        <v>10</v>
      </c>
      <c r="J48" s="18" t="s">
        <v>119</v>
      </c>
      <c r="K48" s="20"/>
    </row>
    <row r="49" spans="1:11" ht="54.75" thickBot="1">
      <c r="A49" s="18" t="s">
        <v>1874</v>
      </c>
      <c r="B49" s="18">
        <v>20026766156</v>
      </c>
      <c r="C49" s="18" t="s">
        <v>1875</v>
      </c>
      <c r="D49" s="19">
        <v>45629.546527777777</v>
      </c>
      <c r="E49" s="18" t="s">
        <v>10</v>
      </c>
      <c r="F49" s="18">
        <v>5</v>
      </c>
      <c r="G49" s="19">
        <v>45671.556944444441</v>
      </c>
      <c r="H49" s="18" t="s">
        <v>2657</v>
      </c>
      <c r="I49" s="18" t="s">
        <v>10</v>
      </c>
      <c r="J49" s="18" t="s">
        <v>122</v>
      </c>
      <c r="K49" s="20"/>
    </row>
    <row r="50" spans="1:11" ht="36.75" thickBot="1">
      <c r="A50" s="18" t="s">
        <v>1876</v>
      </c>
      <c r="B50" s="18">
        <v>20017515680</v>
      </c>
      <c r="C50" s="18" t="s">
        <v>1877</v>
      </c>
      <c r="D50" s="19">
        <v>45638.648611111108</v>
      </c>
      <c r="E50" s="18" t="s">
        <v>10</v>
      </c>
      <c r="F50" s="18">
        <v>10</v>
      </c>
      <c r="G50" s="18" t="s">
        <v>10</v>
      </c>
      <c r="H50" s="18" t="s">
        <v>189</v>
      </c>
      <c r="I50" s="18" t="s">
        <v>10</v>
      </c>
      <c r="J50" s="18" t="s">
        <v>122</v>
      </c>
      <c r="K50" s="20"/>
    </row>
    <row r="51" spans="1:11" ht="36.75" thickBot="1">
      <c r="A51" s="18" t="s">
        <v>1925</v>
      </c>
      <c r="B51" s="18">
        <v>20003011903</v>
      </c>
      <c r="C51" s="18" t="s">
        <v>1018</v>
      </c>
      <c r="D51" s="19">
        <v>45649.670138888891</v>
      </c>
      <c r="E51" s="18" t="s">
        <v>10</v>
      </c>
      <c r="F51" s="18">
        <v>10</v>
      </c>
      <c r="G51" s="18" t="s">
        <v>10</v>
      </c>
      <c r="H51" s="18" t="s">
        <v>178</v>
      </c>
      <c r="I51" s="18" t="s">
        <v>10</v>
      </c>
      <c r="J51" s="18" t="s">
        <v>119</v>
      </c>
      <c r="K51" s="20"/>
    </row>
    <row r="52" spans="1:11" ht="36.75" thickBot="1">
      <c r="A52" s="18" t="s">
        <v>1992</v>
      </c>
      <c r="B52" s="18">
        <v>20003059313</v>
      </c>
      <c r="C52" s="18" t="s">
        <v>1993</v>
      </c>
      <c r="D52" s="19">
        <v>45672.446527777778</v>
      </c>
      <c r="E52" s="18" t="s">
        <v>10</v>
      </c>
      <c r="F52" s="18">
        <v>20</v>
      </c>
      <c r="G52" s="18" t="s">
        <v>10</v>
      </c>
      <c r="H52" s="18" t="s">
        <v>178</v>
      </c>
      <c r="I52" s="18" t="s">
        <v>10</v>
      </c>
      <c r="J52" s="18" t="s">
        <v>119</v>
      </c>
      <c r="K52" s="20"/>
    </row>
    <row r="53" spans="1:11" ht="36.75" thickBot="1">
      <c r="A53" s="18" t="s">
        <v>2084</v>
      </c>
      <c r="B53" s="18">
        <v>20003059313</v>
      </c>
      <c r="C53" s="18" t="s">
        <v>2085</v>
      </c>
      <c r="D53" s="19">
        <v>45672.708333333336</v>
      </c>
      <c r="E53" s="18" t="s">
        <v>10</v>
      </c>
      <c r="F53" s="18">
        <v>20</v>
      </c>
      <c r="G53" s="18" t="s">
        <v>10</v>
      </c>
      <c r="H53" s="18" t="s">
        <v>178</v>
      </c>
      <c r="I53" s="18" t="s">
        <v>10</v>
      </c>
      <c r="J53" s="18" t="s">
        <v>119</v>
      </c>
      <c r="K53" s="20"/>
    </row>
    <row r="54" spans="1:11" ht="36.75" thickBot="1">
      <c r="A54" s="18" t="s">
        <v>2086</v>
      </c>
      <c r="B54" s="18">
        <v>20003218289</v>
      </c>
      <c r="C54" s="18" t="s">
        <v>2087</v>
      </c>
      <c r="D54" s="19">
        <v>45673.672222222223</v>
      </c>
      <c r="E54" s="18" t="s">
        <v>10</v>
      </c>
      <c r="F54" s="18">
        <v>5</v>
      </c>
      <c r="G54" s="19">
        <v>45708.446527777778</v>
      </c>
      <c r="H54" s="18" t="s">
        <v>2654</v>
      </c>
      <c r="I54" s="18" t="s">
        <v>10</v>
      </c>
      <c r="J54" s="18" t="s">
        <v>122</v>
      </c>
      <c r="K54" s="20"/>
    </row>
    <row r="55" spans="1:11" ht="36.75" thickBot="1">
      <c r="A55" s="18" t="s">
        <v>2088</v>
      </c>
      <c r="B55" s="18">
        <v>20019480640</v>
      </c>
      <c r="C55" s="18" t="s">
        <v>2089</v>
      </c>
      <c r="D55" s="19">
        <v>45678.51458333333</v>
      </c>
      <c r="E55" s="18" t="s">
        <v>10</v>
      </c>
      <c r="F55" s="18">
        <v>5</v>
      </c>
      <c r="G55" s="19">
        <v>45722.532638888886</v>
      </c>
      <c r="H55" s="18" t="s">
        <v>2657</v>
      </c>
      <c r="I55" s="18" t="s">
        <v>10</v>
      </c>
      <c r="J55" s="18" t="s">
        <v>122</v>
      </c>
      <c r="K55" s="20"/>
    </row>
    <row r="56" spans="1:11" ht="36.75" thickBot="1">
      <c r="A56" s="18" t="s">
        <v>2090</v>
      </c>
      <c r="B56" s="18">
        <v>20003133827</v>
      </c>
      <c r="C56" s="18" t="s">
        <v>2091</v>
      </c>
      <c r="D56" s="19">
        <v>45678.734722222223</v>
      </c>
      <c r="E56" s="18" t="s">
        <v>10</v>
      </c>
      <c r="F56" s="18">
        <v>10</v>
      </c>
      <c r="G56" s="18" t="s">
        <v>10</v>
      </c>
      <c r="H56" s="18" t="s">
        <v>178</v>
      </c>
      <c r="I56" s="18" t="s">
        <v>10</v>
      </c>
      <c r="J56" s="18" t="s">
        <v>128</v>
      </c>
      <c r="K56" s="20"/>
    </row>
    <row r="57" spans="1:11" ht="36.75" thickBot="1">
      <c r="A57" s="18" t="s">
        <v>2092</v>
      </c>
      <c r="B57" s="18">
        <v>20024695416</v>
      </c>
      <c r="C57" s="18" t="s">
        <v>2093</v>
      </c>
      <c r="D57" s="19">
        <v>45680.530555555553</v>
      </c>
      <c r="E57" s="18" t="s">
        <v>10</v>
      </c>
      <c r="F57" s="18">
        <v>20</v>
      </c>
      <c r="G57" s="18" t="s">
        <v>10</v>
      </c>
      <c r="H57" s="18" t="s">
        <v>178</v>
      </c>
      <c r="I57" s="18" t="s">
        <v>10</v>
      </c>
      <c r="J57" s="18" t="s">
        <v>125</v>
      </c>
      <c r="K57" s="20"/>
    </row>
    <row r="58" spans="1:11" ht="36.75" thickBot="1">
      <c r="A58" s="18" t="s">
        <v>2094</v>
      </c>
      <c r="B58" s="18">
        <v>20018638688</v>
      </c>
      <c r="C58" s="18" t="s">
        <v>2095</v>
      </c>
      <c r="D58" s="19">
        <v>45681.621527777781</v>
      </c>
      <c r="E58" s="18" t="s">
        <v>10</v>
      </c>
      <c r="F58" s="18">
        <v>3</v>
      </c>
      <c r="G58" s="18" t="s">
        <v>10</v>
      </c>
      <c r="H58" s="18" t="s">
        <v>178</v>
      </c>
      <c r="I58" s="18" t="s">
        <v>10</v>
      </c>
      <c r="J58" s="18" t="s">
        <v>119</v>
      </c>
      <c r="K58" s="20"/>
    </row>
    <row r="59" spans="1:11" ht="36.75" thickBot="1">
      <c r="A59" s="18" t="s">
        <v>2098</v>
      </c>
      <c r="B59" s="18">
        <v>20003133827</v>
      </c>
      <c r="C59" s="18">
        <v>3720700179265</v>
      </c>
      <c r="D59" s="19">
        <v>45687.556944444441</v>
      </c>
      <c r="E59" s="18" t="s">
        <v>10</v>
      </c>
      <c r="F59" s="18">
        <v>10</v>
      </c>
      <c r="G59" s="18" t="s">
        <v>10</v>
      </c>
      <c r="H59" s="18" t="s">
        <v>178</v>
      </c>
      <c r="I59" s="18" t="s">
        <v>10</v>
      </c>
      <c r="J59" s="18" t="s">
        <v>128</v>
      </c>
      <c r="K59" s="20"/>
    </row>
    <row r="60" spans="1:11" ht="36.75" thickBot="1">
      <c r="A60" s="18" t="s">
        <v>2099</v>
      </c>
      <c r="B60" s="18">
        <v>20003011903</v>
      </c>
      <c r="C60" s="18" t="s">
        <v>1018</v>
      </c>
      <c r="D60" s="19">
        <v>45687.563888888886</v>
      </c>
      <c r="E60" s="18" t="s">
        <v>10</v>
      </c>
      <c r="F60" s="18">
        <v>10</v>
      </c>
      <c r="G60" s="18" t="s">
        <v>10</v>
      </c>
      <c r="H60" s="18" t="s">
        <v>178</v>
      </c>
      <c r="I60" s="18" t="s">
        <v>10</v>
      </c>
      <c r="J60" s="18" t="s">
        <v>119</v>
      </c>
      <c r="K60" s="20"/>
    </row>
    <row r="61" spans="1:11" ht="36.75" thickBot="1">
      <c r="A61" s="18" t="s">
        <v>2180</v>
      </c>
      <c r="B61" s="18">
        <v>20003444463</v>
      </c>
      <c r="C61" s="18" t="s">
        <v>2181</v>
      </c>
      <c r="D61" s="19">
        <v>45688.472222222219</v>
      </c>
      <c r="E61" s="18" t="s">
        <v>10</v>
      </c>
      <c r="F61" s="18">
        <v>20</v>
      </c>
      <c r="G61" s="18" t="s">
        <v>10</v>
      </c>
      <c r="H61" s="18" t="s">
        <v>178</v>
      </c>
      <c r="I61" s="18" t="s">
        <v>10</v>
      </c>
      <c r="J61" s="18" t="s">
        <v>122</v>
      </c>
      <c r="K61" s="20"/>
    </row>
    <row r="62" spans="1:11" ht="36.75" thickBot="1">
      <c r="A62" s="18" t="s">
        <v>2096</v>
      </c>
      <c r="B62" s="18">
        <v>20017568734</v>
      </c>
      <c r="C62" s="18" t="s">
        <v>2097</v>
      </c>
      <c r="D62" s="19">
        <v>45681.377083333333</v>
      </c>
      <c r="E62" s="19">
        <v>45688.663888888892</v>
      </c>
      <c r="F62" s="18">
        <v>5</v>
      </c>
      <c r="G62" s="19">
        <v>45932.454861111109</v>
      </c>
      <c r="H62" s="18" t="s">
        <v>2657</v>
      </c>
      <c r="I62" s="18" t="s">
        <v>10</v>
      </c>
      <c r="J62" s="18" t="s">
        <v>119</v>
      </c>
      <c r="K62" s="20"/>
    </row>
    <row r="63" spans="1:11" ht="36.75" thickBot="1">
      <c r="A63" s="18" t="s">
        <v>2182</v>
      </c>
      <c r="B63" s="18">
        <v>20018638688</v>
      </c>
      <c r="C63" s="18" t="s">
        <v>2095</v>
      </c>
      <c r="D63" s="19">
        <v>45691.40625</v>
      </c>
      <c r="E63" s="18" t="s">
        <v>10</v>
      </c>
      <c r="F63" s="18">
        <v>3</v>
      </c>
      <c r="G63" s="18" t="s">
        <v>10</v>
      </c>
      <c r="H63" s="18" t="s">
        <v>178</v>
      </c>
      <c r="I63" s="18" t="s">
        <v>10</v>
      </c>
      <c r="J63" s="18" t="s">
        <v>119</v>
      </c>
      <c r="K63" s="20"/>
    </row>
    <row r="64" spans="1:11" ht="36.75" thickBot="1">
      <c r="A64" s="18" t="s">
        <v>2183</v>
      </c>
      <c r="B64" s="18">
        <v>20003133827</v>
      </c>
      <c r="C64" s="18" t="s">
        <v>2091</v>
      </c>
      <c r="D64" s="19">
        <v>45691.650694444441</v>
      </c>
      <c r="E64" s="18" t="s">
        <v>10</v>
      </c>
      <c r="F64" s="18">
        <v>10</v>
      </c>
      <c r="G64" s="18" t="s">
        <v>10</v>
      </c>
      <c r="H64" s="18" t="s">
        <v>178</v>
      </c>
      <c r="I64" s="18" t="s">
        <v>10</v>
      </c>
      <c r="J64" s="18" t="s">
        <v>128</v>
      </c>
      <c r="K64" s="20"/>
    </row>
    <row r="65" spans="1:11" ht="36.75" thickBot="1">
      <c r="A65" s="18" t="s">
        <v>2271</v>
      </c>
      <c r="B65" s="18">
        <v>20003444463</v>
      </c>
      <c r="C65" s="18" t="s">
        <v>2181</v>
      </c>
      <c r="D65" s="19">
        <v>45706.584027777775</v>
      </c>
      <c r="E65" s="18" t="s">
        <v>10</v>
      </c>
      <c r="F65" s="18">
        <v>20</v>
      </c>
      <c r="G65" s="19">
        <v>45709.502083333333</v>
      </c>
      <c r="H65" s="18" t="s">
        <v>236</v>
      </c>
      <c r="I65" s="18" t="s">
        <v>10</v>
      </c>
      <c r="J65" s="18" t="s">
        <v>122</v>
      </c>
      <c r="K65" s="20"/>
    </row>
    <row r="66" spans="1:11" ht="36.75" thickBot="1">
      <c r="A66" s="18" t="s">
        <v>2272</v>
      </c>
      <c r="B66" s="18">
        <v>20028323643</v>
      </c>
      <c r="C66" s="18" t="s">
        <v>2273</v>
      </c>
      <c r="D66" s="19">
        <v>45709.53402777778</v>
      </c>
      <c r="E66" s="18" t="s">
        <v>10</v>
      </c>
      <c r="F66" s="18">
        <v>15</v>
      </c>
      <c r="G66" s="19">
        <v>45715.568749999999</v>
      </c>
      <c r="H66" s="18" t="s">
        <v>236</v>
      </c>
      <c r="I66" s="18" t="s">
        <v>10</v>
      </c>
      <c r="J66" s="18" t="s">
        <v>122</v>
      </c>
      <c r="K66" s="20"/>
    </row>
    <row r="67" spans="1:11" ht="36.75" thickBot="1">
      <c r="A67" s="18" t="s">
        <v>2274</v>
      </c>
      <c r="B67" s="18">
        <v>20003281330</v>
      </c>
      <c r="C67" s="18" t="s">
        <v>2275</v>
      </c>
      <c r="D67" s="19">
        <v>45710.402083333334</v>
      </c>
      <c r="E67" s="18" t="s">
        <v>10</v>
      </c>
      <c r="F67" s="18">
        <v>10</v>
      </c>
      <c r="G67" s="18" t="s">
        <v>10</v>
      </c>
      <c r="H67" s="18" t="s">
        <v>178</v>
      </c>
      <c r="I67" s="18" t="s">
        <v>10</v>
      </c>
      <c r="J67" s="18" t="s">
        <v>122</v>
      </c>
      <c r="K67" s="20"/>
    </row>
    <row r="68" spans="1:11" ht="36.75" thickBot="1">
      <c r="A68" s="18" t="s">
        <v>2276</v>
      </c>
      <c r="B68" s="18">
        <v>20003011903</v>
      </c>
      <c r="C68" s="18" t="s">
        <v>1018</v>
      </c>
      <c r="D68" s="19">
        <v>45712.629166666666</v>
      </c>
      <c r="E68" s="18" t="s">
        <v>10</v>
      </c>
      <c r="F68" s="18">
        <v>10</v>
      </c>
      <c r="G68" s="19">
        <v>45910.513194444444</v>
      </c>
      <c r="H68" s="18" t="s">
        <v>2657</v>
      </c>
      <c r="I68" s="18" t="s">
        <v>10</v>
      </c>
      <c r="J68" s="18" t="s">
        <v>119</v>
      </c>
      <c r="K68" s="20"/>
    </row>
    <row r="69" spans="1:11" ht="36.75" thickBot="1">
      <c r="A69" s="18" t="s">
        <v>2184</v>
      </c>
      <c r="B69" s="18">
        <v>20003059313</v>
      </c>
      <c r="C69" s="18" t="s">
        <v>1993</v>
      </c>
      <c r="D69" s="19">
        <v>45699.683333333334</v>
      </c>
      <c r="E69" s="19">
        <v>45719.672222222223</v>
      </c>
      <c r="F69" s="18">
        <v>20</v>
      </c>
      <c r="G69" s="19">
        <v>45833.609722222223</v>
      </c>
      <c r="H69" s="18" t="s">
        <v>2657</v>
      </c>
      <c r="I69" s="18" t="s">
        <v>10</v>
      </c>
      <c r="J69" s="18" t="s">
        <v>119</v>
      </c>
      <c r="K69" s="20"/>
    </row>
    <row r="70" spans="1:11" ht="36.75" thickBot="1">
      <c r="A70" s="18" t="s">
        <v>2277</v>
      </c>
      <c r="B70" s="18">
        <v>20023769698</v>
      </c>
      <c r="C70" s="18" t="s">
        <v>1782</v>
      </c>
      <c r="D70" s="19">
        <v>45706.388888888891</v>
      </c>
      <c r="E70" s="19">
        <v>45721.535416666666</v>
      </c>
      <c r="F70" s="18">
        <v>20</v>
      </c>
      <c r="G70" s="18" t="s">
        <v>10</v>
      </c>
      <c r="H70" s="18" t="s">
        <v>178</v>
      </c>
      <c r="I70" s="18" t="s">
        <v>10</v>
      </c>
      <c r="J70" s="18" t="s">
        <v>119</v>
      </c>
      <c r="K70" s="20"/>
    </row>
    <row r="71" spans="1:11" ht="36.75" thickBot="1">
      <c r="A71" s="18" t="s">
        <v>2375</v>
      </c>
      <c r="B71" s="18">
        <v>20024576747</v>
      </c>
      <c r="C71" s="18" t="s">
        <v>2376</v>
      </c>
      <c r="D71" s="19">
        <v>45728.599305555559</v>
      </c>
      <c r="E71" s="19">
        <v>45730.51666666667</v>
      </c>
      <c r="F71" s="18">
        <v>5</v>
      </c>
      <c r="G71" s="19">
        <v>45860.643750000003</v>
      </c>
      <c r="H71" s="18" t="s">
        <v>2654</v>
      </c>
      <c r="I71" s="18" t="s">
        <v>10</v>
      </c>
      <c r="J71" s="18" t="s">
        <v>119</v>
      </c>
      <c r="K71" s="20"/>
    </row>
    <row r="72" spans="1:11" ht="36.75" thickBot="1">
      <c r="A72" s="18" t="s">
        <v>2377</v>
      </c>
      <c r="B72" s="18">
        <v>250180004665</v>
      </c>
      <c r="C72" s="18" t="s">
        <v>2378</v>
      </c>
      <c r="D72" s="19">
        <v>45730.62222222222</v>
      </c>
      <c r="E72" s="18" t="s">
        <v>10</v>
      </c>
      <c r="F72" s="18">
        <v>5</v>
      </c>
      <c r="G72" s="18" t="s">
        <v>10</v>
      </c>
      <c r="H72" s="18" t="s">
        <v>178</v>
      </c>
      <c r="I72" s="18" t="s">
        <v>10</v>
      </c>
      <c r="J72" s="18" t="s">
        <v>119</v>
      </c>
      <c r="K72" s="20"/>
    </row>
    <row r="73" spans="1:11" ht="36.75" thickBot="1">
      <c r="A73" s="18" t="s">
        <v>2454</v>
      </c>
      <c r="B73" s="18">
        <v>20003281330</v>
      </c>
      <c r="C73" s="18" t="s">
        <v>2275</v>
      </c>
      <c r="D73" s="19">
        <v>45742.494444444441</v>
      </c>
      <c r="E73" s="18" t="s">
        <v>10</v>
      </c>
      <c r="F73" s="18">
        <v>10</v>
      </c>
      <c r="G73" s="18" t="s">
        <v>10</v>
      </c>
      <c r="H73" s="18" t="s">
        <v>178</v>
      </c>
      <c r="I73" s="18" t="s">
        <v>10</v>
      </c>
      <c r="J73" s="18" t="s">
        <v>122</v>
      </c>
      <c r="K73" s="20"/>
    </row>
    <row r="74" spans="1:11" ht="36.75" thickBot="1">
      <c r="A74" s="18" t="s">
        <v>2455</v>
      </c>
      <c r="B74" s="18">
        <v>20003180358</v>
      </c>
      <c r="C74" s="18" t="s">
        <v>2378</v>
      </c>
      <c r="D74" s="19">
        <v>45736.551388888889</v>
      </c>
      <c r="E74" s="19">
        <v>45746.70416666667</v>
      </c>
      <c r="F74" s="18">
        <v>5</v>
      </c>
      <c r="G74" s="18" t="s">
        <v>10</v>
      </c>
      <c r="H74" s="18" t="s">
        <v>178</v>
      </c>
      <c r="I74" s="18" t="s">
        <v>10</v>
      </c>
      <c r="J74" s="18" t="s">
        <v>119</v>
      </c>
      <c r="K74" s="20"/>
    </row>
    <row r="75" spans="1:11" ht="36.75" thickBot="1">
      <c r="A75" s="18" t="s">
        <v>2456</v>
      </c>
      <c r="B75" s="18">
        <v>20028400025</v>
      </c>
      <c r="C75" s="18" t="s">
        <v>2275</v>
      </c>
      <c r="D75" s="19">
        <v>45747.120833333334</v>
      </c>
      <c r="E75" s="18" t="s">
        <v>10</v>
      </c>
      <c r="F75" s="18">
        <v>10</v>
      </c>
      <c r="G75" s="19">
        <v>45756.611805555556</v>
      </c>
      <c r="H75" s="18" t="s">
        <v>236</v>
      </c>
      <c r="I75" s="18" t="s">
        <v>10</v>
      </c>
      <c r="J75" s="18" t="s">
        <v>122</v>
      </c>
      <c r="K75" s="20"/>
    </row>
    <row r="76" spans="1:11" ht="36.75" thickBot="1">
      <c r="A76" s="18" t="s">
        <v>2639</v>
      </c>
      <c r="B76" s="18">
        <v>20003239490</v>
      </c>
      <c r="C76" s="18" t="s">
        <v>2640</v>
      </c>
      <c r="D76" s="19">
        <v>45747.711111111108</v>
      </c>
      <c r="E76" s="18" t="s">
        <v>10</v>
      </c>
      <c r="F76" s="18">
        <v>5</v>
      </c>
      <c r="G76" s="18" t="s">
        <v>10</v>
      </c>
      <c r="H76" s="18" t="s">
        <v>178</v>
      </c>
      <c r="I76" s="18" t="s">
        <v>10</v>
      </c>
      <c r="J76" s="18" t="s">
        <v>125</v>
      </c>
      <c r="K76" s="20"/>
    </row>
    <row r="77" spans="1:11" ht="72.75" thickBot="1">
      <c r="A77" s="18" t="s">
        <v>2379</v>
      </c>
      <c r="B77" s="18">
        <v>20021660978</v>
      </c>
      <c r="C77" s="18" t="s">
        <v>2380</v>
      </c>
      <c r="D77" s="19">
        <v>45733.356249999997</v>
      </c>
      <c r="E77" s="19">
        <v>45747.763194444444</v>
      </c>
      <c r="F77" s="18">
        <v>20</v>
      </c>
      <c r="G77" s="19">
        <v>45911.573611111111</v>
      </c>
      <c r="H77" s="18" t="s">
        <v>2654</v>
      </c>
      <c r="I77" s="18" t="s">
        <v>10</v>
      </c>
      <c r="J77" s="18" t="s">
        <v>128</v>
      </c>
      <c r="K77" s="20"/>
    </row>
    <row r="78" spans="1:11" ht="36.75" thickBot="1">
      <c r="A78" s="18" t="s">
        <v>2641</v>
      </c>
      <c r="B78" s="18">
        <v>20024108294</v>
      </c>
      <c r="C78" s="18" t="s">
        <v>2642</v>
      </c>
      <c r="D78" s="19">
        <v>45749.619444444441</v>
      </c>
      <c r="E78" s="18" t="s">
        <v>10</v>
      </c>
      <c r="F78" s="18">
        <v>5</v>
      </c>
      <c r="G78" s="19">
        <v>45869.654166666667</v>
      </c>
      <c r="H78" s="18" t="s">
        <v>2657</v>
      </c>
      <c r="I78" s="18" t="s">
        <v>10</v>
      </c>
      <c r="J78" s="18" t="s">
        <v>122</v>
      </c>
      <c r="K78" s="20"/>
    </row>
    <row r="79" spans="1:11" ht="36.75" thickBot="1">
      <c r="A79" s="18" t="s">
        <v>2643</v>
      </c>
      <c r="B79" s="18">
        <v>20028384049</v>
      </c>
      <c r="C79" s="18" t="s">
        <v>2644</v>
      </c>
      <c r="D79" s="19">
        <v>45751.754166666666</v>
      </c>
      <c r="E79" s="18" t="s">
        <v>10</v>
      </c>
      <c r="F79" s="18">
        <v>6</v>
      </c>
      <c r="G79" s="19">
        <v>45912.572916666664</v>
      </c>
      <c r="H79" s="18" t="s">
        <v>2654</v>
      </c>
      <c r="I79" s="18" t="s">
        <v>10</v>
      </c>
      <c r="J79" s="18" t="s">
        <v>122</v>
      </c>
      <c r="K79" s="20"/>
    </row>
    <row r="80" spans="1:11" ht="36.75" thickBot="1">
      <c r="A80" s="18" t="s">
        <v>2922</v>
      </c>
      <c r="B80" s="18">
        <v>20028228731</v>
      </c>
      <c r="C80" s="18" t="s">
        <v>2093</v>
      </c>
      <c r="D80" s="19">
        <v>45788.495138888888</v>
      </c>
      <c r="E80" s="18" t="s">
        <v>10</v>
      </c>
      <c r="F80" s="18">
        <v>20</v>
      </c>
      <c r="G80" s="18" t="s">
        <v>10</v>
      </c>
      <c r="H80" s="18" t="s">
        <v>2652</v>
      </c>
      <c r="I80" s="18" t="s">
        <v>2681</v>
      </c>
      <c r="J80" s="18" t="s">
        <v>125</v>
      </c>
      <c r="K80" s="20"/>
    </row>
    <row r="81" spans="1:11" ht="36.75" thickBot="1">
      <c r="A81" s="18" t="s">
        <v>2923</v>
      </c>
      <c r="B81" s="18">
        <v>20026700847</v>
      </c>
      <c r="C81" s="18" t="s">
        <v>2924</v>
      </c>
      <c r="D81" s="19">
        <v>45793.661805555559</v>
      </c>
      <c r="E81" s="18" t="s">
        <v>10</v>
      </c>
      <c r="F81" s="18">
        <v>5</v>
      </c>
      <c r="G81" s="18" t="s">
        <v>10</v>
      </c>
      <c r="H81" s="18" t="s">
        <v>178</v>
      </c>
      <c r="I81" s="18" t="s">
        <v>10</v>
      </c>
      <c r="J81" s="18" t="s">
        <v>119</v>
      </c>
      <c r="K81" s="20"/>
    </row>
    <row r="82" spans="1:11" ht="36.75" thickBot="1">
      <c r="A82" s="18" t="s">
        <v>2925</v>
      </c>
      <c r="B82" s="18">
        <v>20026700847</v>
      </c>
      <c r="C82" s="18" t="s">
        <v>2924</v>
      </c>
      <c r="D82" s="19">
        <v>45793.707638888889</v>
      </c>
      <c r="E82" s="18" t="s">
        <v>10</v>
      </c>
      <c r="F82" s="18">
        <v>5</v>
      </c>
      <c r="G82" s="18" t="s">
        <v>10</v>
      </c>
      <c r="H82" s="18" t="s">
        <v>178</v>
      </c>
      <c r="I82" s="18" t="s">
        <v>10</v>
      </c>
      <c r="J82" s="18" t="s">
        <v>119</v>
      </c>
      <c r="K82" s="20"/>
    </row>
    <row r="83" spans="1:11" ht="36.75" thickBot="1">
      <c r="A83" s="18" t="s">
        <v>2926</v>
      </c>
      <c r="B83" s="18">
        <v>20003292797</v>
      </c>
      <c r="C83" s="18" t="s">
        <v>2927</v>
      </c>
      <c r="D83" s="19">
        <v>45811.512499999997</v>
      </c>
      <c r="E83" s="18" t="s">
        <v>10</v>
      </c>
      <c r="F83" s="18">
        <v>15</v>
      </c>
      <c r="G83" s="19">
        <v>45867.57916666667</v>
      </c>
      <c r="H83" s="18" t="s">
        <v>236</v>
      </c>
      <c r="I83" s="18" t="s">
        <v>10</v>
      </c>
      <c r="J83" s="18" t="s">
        <v>122</v>
      </c>
      <c r="K83" s="20"/>
    </row>
    <row r="84" spans="1:11" ht="36.75" thickBot="1">
      <c r="A84" s="18" t="s">
        <v>2928</v>
      </c>
      <c r="B84" s="18">
        <v>20023769698</v>
      </c>
      <c r="C84" s="18" t="s">
        <v>2929</v>
      </c>
      <c r="D84" s="19">
        <v>45814.446527777778</v>
      </c>
      <c r="E84" s="18" t="s">
        <v>10</v>
      </c>
      <c r="F84" s="18">
        <v>20</v>
      </c>
      <c r="G84" s="18" t="s">
        <v>10</v>
      </c>
      <c r="H84" s="18" t="s">
        <v>178</v>
      </c>
      <c r="I84" s="18" t="s">
        <v>10</v>
      </c>
      <c r="J84" s="18" t="s">
        <v>119</v>
      </c>
      <c r="K84" s="20"/>
    </row>
    <row r="85" spans="1:11" ht="36.75" thickBot="1">
      <c r="A85" s="18" t="s">
        <v>2932</v>
      </c>
      <c r="B85" s="18">
        <v>20023042106</v>
      </c>
      <c r="C85" s="18" t="s">
        <v>2933</v>
      </c>
      <c r="D85" s="19">
        <v>45798.714583333334</v>
      </c>
      <c r="E85" s="19">
        <v>45820.670138888891</v>
      </c>
      <c r="F85" s="18">
        <v>8</v>
      </c>
      <c r="G85" s="19">
        <v>45923.65902777778</v>
      </c>
      <c r="H85" s="18" t="s">
        <v>2657</v>
      </c>
      <c r="I85" s="18" t="s">
        <v>10</v>
      </c>
      <c r="J85" s="18" t="s">
        <v>128</v>
      </c>
      <c r="K85" s="20"/>
    </row>
    <row r="86" spans="1:11" ht="36.75" thickBot="1">
      <c r="A86" s="18" t="s">
        <v>3956</v>
      </c>
      <c r="B86" s="18">
        <v>20003292753</v>
      </c>
      <c r="C86" s="18" t="s">
        <v>3957</v>
      </c>
      <c r="D86" s="19">
        <v>45846.829861111109</v>
      </c>
      <c r="E86" s="18" t="s">
        <v>10</v>
      </c>
      <c r="F86" s="18">
        <v>3</v>
      </c>
      <c r="G86" s="18" t="s">
        <v>10</v>
      </c>
      <c r="H86" s="18" t="s">
        <v>2652</v>
      </c>
      <c r="I86" s="18" t="s">
        <v>2681</v>
      </c>
      <c r="J86" s="18" t="s">
        <v>122</v>
      </c>
      <c r="K86" s="20"/>
    </row>
    <row r="87" spans="1:11" ht="36.75" thickBot="1">
      <c r="A87" s="18" t="s">
        <v>3958</v>
      </c>
      <c r="B87" s="18">
        <v>20028683845</v>
      </c>
      <c r="C87" s="18" t="s">
        <v>3959</v>
      </c>
      <c r="D87" s="19">
        <v>45852.81527777778</v>
      </c>
      <c r="E87" s="18" t="s">
        <v>10</v>
      </c>
      <c r="F87" s="18">
        <v>5</v>
      </c>
      <c r="G87" s="18" t="s">
        <v>10</v>
      </c>
      <c r="H87" s="18" t="s">
        <v>2652</v>
      </c>
      <c r="I87" s="18" t="s">
        <v>2681</v>
      </c>
      <c r="J87" s="18" t="s">
        <v>122</v>
      </c>
      <c r="K87" s="20"/>
    </row>
    <row r="88" spans="1:11" ht="36.75" thickBot="1">
      <c r="A88" s="18" t="s">
        <v>3960</v>
      </c>
      <c r="B88" s="18">
        <v>20003607391</v>
      </c>
      <c r="C88" s="18" t="s">
        <v>3961</v>
      </c>
      <c r="D88" s="19">
        <v>45854.496527777781</v>
      </c>
      <c r="E88" s="18" t="s">
        <v>10</v>
      </c>
      <c r="F88" s="18">
        <v>5</v>
      </c>
      <c r="G88" s="18" t="s">
        <v>10</v>
      </c>
      <c r="H88" s="18" t="s">
        <v>2652</v>
      </c>
      <c r="I88" s="18" t="s">
        <v>2681</v>
      </c>
      <c r="J88" s="18" t="s">
        <v>122</v>
      </c>
      <c r="K88" s="20"/>
    </row>
    <row r="89" spans="1:11" ht="36.75" thickBot="1">
      <c r="A89" s="18" t="s">
        <v>3962</v>
      </c>
      <c r="B89" s="18">
        <v>20003538537</v>
      </c>
      <c r="C89" s="18" t="s">
        <v>3963</v>
      </c>
      <c r="D89" s="19">
        <v>45860.570833333331</v>
      </c>
      <c r="E89" s="18" t="s">
        <v>10</v>
      </c>
      <c r="F89" s="18">
        <v>5</v>
      </c>
      <c r="G89" s="18" t="s">
        <v>10</v>
      </c>
      <c r="H89" s="18" t="s">
        <v>178</v>
      </c>
      <c r="I89" s="18" t="s">
        <v>10</v>
      </c>
      <c r="J89" s="18" t="s">
        <v>119</v>
      </c>
      <c r="K89" s="20"/>
    </row>
    <row r="90" spans="1:11" ht="36.75" thickBot="1">
      <c r="A90" s="18" t="s">
        <v>3964</v>
      </c>
      <c r="B90" s="18">
        <v>20026700847</v>
      </c>
      <c r="C90" s="18" t="s">
        <v>3965</v>
      </c>
      <c r="D90" s="19">
        <v>45884.675694444442</v>
      </c>
      <c r="E90" s="18" t="s">
        <v>10</v>
      </c>
      <c r="F90" s="18">
        <v>5</v>
      </c>
      <c r="G90" s="18" t="s">
        <v>10</v>
      </c>
      <c r="H90" s="18" t="s">
        <v>178</v>
      </c>
      <c r="I90" s="18" t="s">
        <v>10</v>
      </c>
      <c r="J90" s="18" t="s">
        <v>119</v>
      </c>
      <c r="K90" s="20"/>
    </row>
    <row r="91" spans="1:11" ht="36.75" thickBot="1">
      <c r="A91" s="18" t="s">
        <v>3966</v>
      </c>
      <c r="B91" s="18">
        <v>20023808245</v>
      </c>
      <c r="C91" s="18" t="s">
        <v>3967</v>
      </c>
      <c r="D91" s="19">
        <v>45888.448611111111</v>
      </c>
      <c r="E91" s="18" t="s">
        <v>10</v>
      </c>
      <c r="F91" s="18">
        <v>10</v>
      </c>
      <c r="G91" s="18" t="s">
        <v>10</v>
      </c>
      <c r="H91" s="18" t="s">
        <v>2652</v>
      </c>
      <c r="I91" s="18" t="s">
        <v>2681</v>
      </c>
      <c r="J91" s="18" t="s">
        <v>122</v>
      </c>
      <c r="K91" s="20"/>
    </row>
    <row r="92" spans="1:11" ht="36.75" thickBot="1">
      <c r="A92" s="18" t="s">
        <v>3968</v>
      </c>
      <c r="B92" s="18">
        <v>20003339646</v>
      </c>
      <c r="C92" s="18" t="s">
        <v>3969</v>
      </c>
      <c r="D92" s="19">
        <v>45908.568055555559</v>
      </c>
      <c r="E92" s="19">
        <v>45910.525000000001</v>
      </c>
      <c r="F92" s="18">
        <v>10</v>
      </c>
      <c r="G92" s="19">
        <v>45912.549305555556</v>
      </c>
      <c r="H92" s="18" t="s">
        <v>2654</v>
      </c>
      <c r="I92" s="18" t="s">
        <v>10</v>
      </c>
      <c r="J92" s="18" t="s">
        <v>119</v>
      </c>
      <c r="K92" s="20"/>
    </row>
    <row r="93" spans="1:11" ht="36.75" thickBot="1">
      <c r="A93" s="18" t="s">
        <v>3970</v>
      </c>
      <c r="B93" s="18">
        <v>20018638688</v>
      </c>
      <c r="C93" s="18" t="s">
        <v>2095</v>
      </c>
      <c r="D93" s="19">
        <v>45834.486805555556</v>
      </c>
      <c r="E93" s="19">
        <v>45910.563888888886</v>
      </c>
      <c r="F93" s="18">
        <v>3</v>
      </c>
      <c r="G93" s="19">
        <v>45932.454861111109</v>
      </c>
      <c r="H93" s="18" t="s">
        <v>2657</v>
      </c>
      <c r="I93" s="18" t="s">
        <v>10</v>
      </c>
      <c r="J93" s="18" t="s">
        <v>119</v>
      </c>
      <c r="K93" s="20"/>
    </row>
    <row r="94" spans="1:11" ht="54.75" thickBot="1">
      <c r="A94" s="18" t="s">
        <v>3971</v>
      </c>
      <c r="B94" s="18">
        <v>20022575322</v>
      </c>
      <c r="C94" s="18" t="s">
        <v>3137</v>
      </c>
      <c r="D94" s="19">
        <v>45911.373611111114</v>
      </c>
      <c r="E94" s="18" t="s">
        <v>10</v>
      </c>
      <c r="F94" s="18">
        <v>5</v>
      </c>
      <c r="G94" s="18" t="s">
        <v>10</v>
      </c>
      <c r="H94" s="18" t="s">
        <v>178</v>
      </c>
      <c r="I94" s="18" t="s">
        <v>10</v>
      </c>
      <c r="J94" s="18" t="s">
        <v>125</v>
      </c>
      <c r="K94" s="20"/>
    </row>
    <row r="95" spans="1:11" ht="36.75" thickBot="1">
      <c r="A95" s="18" t="s">
        <v>2934</v>
      </c>
      <c r="B95" s="18">
        <v>20002977598</v>
      </c>
      <c r="C95" s="18" t="s">
        <v>2935</v>
      </c>
      <c r="D95" s="19">
        <v>45780.446527777778</v>
      </c>
      <c r="E95" s="19">
        <v>45912.597222222219</v>
      </c>
      <c r="F95" s="18">
        <v>10</v>
      </c>
      <c r="G95" s="19">
        <v>45967.345833333333</v>
      </c>
      <c r="H95" s="18" t="s">
        <v>2657</v>
      </c>
      <c r="I95" s="18" t="s">
        <v>10</v>
      </c>
      <c r="J95" s="18" t="s">
        <v>119</v>
      </c>
      <c r="K95" s="20"/>
    </row>
    <row r="96" spans="1:11" ht="36.75" thickBot="1">
      <c r="A96" s="18" t="s">
        <v>2930</v>
      </c>
      <c r="B96" s="18">
        <v>20020854482</v>
      </c>
      <c r="C96" s="18" t="s">
        <v>2931</v>
      </c>
      <c r="D96" s="19">
        <v>45820.55972222222</v>
      </c>
      <c r="E96" s="19">
        <v>45918.479861111111</v>
      </c>
      <c r="F96" s="18">
        <v>5</v>
      </c>
      <c r="G96" s="18" t="s">
        <v>10</v>
      </c>
      <c r="H96" s="18" t="s">
        <v>2652</v>
      </c>
      <c r="I96" s="18" t="s">
        <v>2681</v>
      </c>
      <c r="J96" s="18" t="s">
        <v>119</v>
      </c>
      <c r="K96" s="20"/>
    </row>
    <row r="97" spans="1:11" ht="36.75" thickBot="1">
      <c r="A97" s="18" t="s">
        <v>3974</v>
      </c>
      <c r="B97" s="18">
        <v>20023769698</v>
      </c>
      <c r="C97" s="18" t="s">
        <v>1782</v>
      </c>
      <c r="D97" s="19">
        <v>45919.899305555555</v>
      </c>
      <c r="E97" s="18" t="s">
        <v>10</v>
      </c>
      <c r="F97" s="18">
        <v>20</v>
      </c>
      <c r="G97" s="18" t="s">
        <v>10</v>
      </c>
      <c r="H97" s="23" t="s">
        <v>2656</v>
      </c>
      <c r="I97" s="18" t="s">
        <v>10</v>
      </c>
      <c r="J97" s="18" t="s">
        <v>119</v>
      </c>
      <c r="K97" s="20"/>
    </row>
    <row r="98" spans="1:11" ht="54.75" thickBot="1">
      <c r="A98" s="18" t="s">
        <v>3975</v>
      </c>
      <c r="B98" s="18">
        <v>20003322802</v>
      </c>
      <c r="C98" s="18" t="s">
        <v>3976</v>
      </c>
      <c r="D98" s="19">
        <v>45927.476388888892</v>
      </c>
      <c r="E98" s="18" t="s">
        <v>10</v>
      </c>
      <c r="F98" s="18">
        <v>5</v>
      </c>
      <c r="G98" s="18" t="s">
        <v>10</v>
      </c>
      <c r="H98" s="18" t="s">
        <v>178</v>
      </c>
      <c r="I98" s="18" t="s">
        <v>10</v>
      </c>
      <c r="J98" s="18" t="s">
        <v>128</v>
      </c>
      <c r="K98" s="20"/>
    </row>
    <row r="99" spans="1:11" ht="36.75" thickBot="1">
      <c r="A99" s="18" t="s">
        <v>3977</v>
      </c>
      <c r="B99" s="18">
        <v>20017891386</v>
      </c>
      <c r="C99" s="18" t="s">
        <v>121</v>
      </c>
      <c r="D99" s="19">
        <v>45932.490277777775</v>
      </c>
      <c r="E99" s="18" t="s">
        <v>10</v>
      </c>
      <c r="F99" s="18">
        <v>20</v>
      </c>
      <c r="G99" s="18" t="s">
        <v>10</v>
      </c>
      <c r="H99" s="18" t="s">
        <v>2652</v>
      </c>
      <c r="I99" s="18" t="s">
        <v>2681</v>
      </c>
      <c r="J99" s="18" t="s">
        <v>122</v>
      </c>
      <c r="K99" s="20"/>
    </row>
    <row r="100" spans="1:11" ht="36.75" thickBot="1">
      <c r="A100" s="18" t="s">
        <v>3978</v>
      </c>
      <c r="B100" s="18">
        <v>20003538537</v>
      </c>
      <c r="C100" s="18" t="s">
        <v>3963</v>
      </c>
      <c r="D100" s="19">
        <v>45937.663888888892</v>
      </c>
      <c r="E100" s="18" t="s">
        <v>10</v>
      </c>
      <c r="F100" s="18">
        <v>5</v>
      </c>
      <c r="G100" s="18" t="s">
        <v>10</v>
      </c>
      <c r="H100" s="18" t="s">
        <v>178</v>
      </c>
      <c r="I100" s="18" t="s">
        <v>10</v>
      </c>
      <c r="J100" s="18" t="s">
        <v>119</v>
      </c>
      <c r="K100" s="20"/>
    </row>
    <row r="101" spans="1:11" ht="36.75" thickBot="1">
      <c r="A101" s="18" t="s">
        <v>3979</v>
      </c>
      <c r="B101" s="18">
        <v>20028282861</v>
      </c>
      <c r="C101" s="18" t="s">
        <v>3980</v>
      </c>
      <c r="D101" s="19">
        <v>45944.588888888888</v>
      </c>
      <c r="E101" s="18" t="s">
        <v>10</v>
      </c>
      <c r="F101" s="18">
        <v>5</v>
      </c>
      <c r="G101" s="18" t="s">
        <v>10</v>
      </c>
      <c r="H101" s="18" t="s">
        <v>2652</v>
      </c>
      <c r="I101" s="18" t="s">
        <v>2681</v>
      </c>
      <c r="J101" s="18" t="s">
        <v>122</v>
      </c>
      <c r="K101" s="20"/>
    </row>
    <row r="102" spans="1:11" ht="36.75" thickBot="1">
      <c r="A102" s="21" t="s">
        <v>3981</v>
      </c>
      <c r="B102" s="21">
        <v>20003350996</v>
      </c>
      <c r="C102" s="21" t="s">
        <v>3982</v>
      </c>
      <c r="D102" s="22">
        <v>45954.525000000001</v>
      </c>
      <c r="E102" s="21" t="s">
        <v>10</v>
      </c>
      <c r="F102" s="21">
        <v>20</v>
      </c>
      <c r="G102" s="21" t="s">
        <v>10</v>
      </c>
      <c r="H102" s="21" t="s">
        <v>178</v>
      </c>
      <c r="I102" s="21" t="s">
        <v>10</v>
      </c>
      <c r="J102" s="21" t="s">
        <v>128</v>
      </c>
      <c r="K102" s="1"/>
    </row>
    <row r="103" spans="1:11" ht="36.75" thickBot="1">
      <c r="A103" s="18" t="s">
        <v>3983</v>
      </c>
      <c r="B103" s="18">
        <v>20003538537</v>
      </c>
      <c r="C103" s="18" t="s">
        <v>3963</v>
      </c>
      <c r="D103" s="19">
        <v>45955.84097222222</v>
      </c>
      <c r="E103" s="18" t="s">
        <v>10</v>
      </c>
      <c r="F103" s="18">
        <v>5</v>
      </c>
      <c r="G103" s="18" t="s">
        <v>10</v>
      </c>
      <c r="H103" s="18" t="s">
        <v>2652</v>
      </c>
      <c r="I103" s="18" t="s">
        <v>2681</v>
      </c>
      <c r="J103" s="18" t="s">
        <v>119</v>
      </c>
      <c r="K103" s="20"/>
    </row>
    <row r="104" spans="1:11" ht="36.75" thickBot="1">
      <c r="A104" s="18" t="s">
        <v>7982</v>
      </c>
      <c r="B104" s="18">
        <v>20003333064</v>
      </c>
      <c r="C104" s="18" t="s">
        <v>3982</v>
      </c>
      <c r="D104" s="19">
        <v>45966.686805555553</v>
      </c>
      <c r="E104" s="18" t="s">
        <v>10</v>
      </c>
      <c r="F104" s="18">
        <v>10</v>
      </c>
      <c r="G104" s="18" t="s">
        <v>10</v>
      </c>
      <c r="H104" s="18" t="s">
        <v>178</v>
      </c>
      <c r="I104" s="18" t="s">
        <v>10</v>
      </c>
      <c r="J104" s="18" t="s">
        <v>128</v>
      </c>
      <c r="K104" s="20"/>
    </row>
    <row r="105" spans="1:11" ht="54.75" thickBot="1">
      <c r="A105" s="18" t="s">
        <v>7983</v>
      </c>
      <c r="B105" s="18">
        <v>20026861459</v>
      </c>
      <c r="C105" s="18" t="s">
        <v>7984</v>
      </c>
      <c r="D105" s="19">
        <v>45973.634027777778</v>
      </c>
      <c r="E105" s="18" t="s">
        <v>10</v>
      </c>
      <c r="F105" s="18">
        <v>15</v>
      </c>
      <c r="G105" s="18" t="s">
        <v>10</v>
      </c>
      <c r="H105" s="18" t="s">
        <v>2652</v>
      </c>
      <c r="I105" s="18" t="s">
        <v>2699</v>
      </c>
      <c r="J105" s="18" t="s">
        <v>122</v>
      </c>
      <c r="K105" s="20"/>
    </row>
    <row r="106" spans="1:11" ht="36.75" thickBot="1">
      <c r="A106" s="18" t="s">
        <v>7985</v>
      </c>
      <c r="B106" s="18">
        <v>20016382719</v>
      </c>
      <c r="C106" s="18" t="s">
        <v>7986</v>
      </c>
      <c r="D106" s="19">
        <v>45981.668749999997</v>
      </c>
      <c r="E106" s="18" t="s">
        <v>10</v>
      </c>
      <c r="F106" s="18">
        <v>10</v>
      </c>
      <c r="G106" s="18" t="s">
        <v>10</v>
      </c>
      <c r="H106" s="18" t="s">
        <v>178</v>
      </c>
      <c r="I106" s="18" t="s">
        <v>10</v>
      </c>
      <c r="J106" s="18" t="s">
        <v>125</v>
      </c>
      <c r="K106" s="20"/>
    </row>
    <row r="107" spans="1:11" ht="36.75" thickBot="1">
      <c r="A107" s="18" t="s">
        <v>7987</v>
      </c>
      <c r="B107" s="18">
        <v>20025004082</v>
      </c>
      <c r="C107" s="18" t="s">
        <v>7988</v>
      </c>
      <c r="D107" s="19">
        <v>45981.933333333334</v>
      </c>
      <c r="E107" s="18" t="s">
        <v>10</v>
      </c>
      <c r="F107" s="18">
        <v>10</v>
      </c>
      <c r="G107" s="18" t="s">
        <v>10</v>
      </c>
      <c r="H107" s="18" t="s">
        <v>2652</v>
      </c>
      <c r="I107" s="18" t="s">
        <v>2699</v>
      </c>
      <c r="J107" s="18" t="s">
        <v>125</v>
      </c>
      <c r="K107" s="20"/>
    </row>
    <row r="108" spans="1:11" ht="36.75" thickBot="1">
      <c r="A108" s="18" t="s">
        <v>3972</v>
      </c>
      <c r="B108" s="18">
        <v>20003011333</v>
      </c>
      <c r="C108" s="18" t="s">
        <v>3973</v>
      </c>
      <c r="D108" s="19">
        <v>45897.80972222222</v>
      </c>
      <c r="E108" s="19">
        <v>45984.477777777778</v>
      </c>
      <c r="F108" s="18">
        <v>15</v>
      </c>
      <c r="G108" s="18" t="s">
        <v>10</v>
      </c>
      <c r="H108" s="18" t="s">
        <v>2652</v>
      </c>
      <c r="I108" s="18" t="s">
        <v>2681</v>
      </c>
      <c r="J108" s="18" t="s">
        <v>119</v>
      </c>
      <c r="K108" s="20"/>
    </row>
    <row r="109" spans="1:11" ht="36.75" thickBot="1">
      <c r="A109" s="18" t="s">
        <v>7989</v>
      </c>
      <c r="B109" s="18">
        <v>20003011903</v>
      </c>
      <c r="C109" s="18" t="s">
        <v>1018</v>
      </c>
      <c r="D109" s="19">
        <v>45985.678472222222</v>
      </c>
      <c r="E109" s="18" t="s">
        <v>10</v>
      </c>
      <c r="F109" s="18">
        <v>10</v>
      </c>
      <c r="G109" s="18" t="s">
        <v>10</v>
      </c>
      <c r="H109" s="18" t="s">
        <v>2656</v>
      </c>
      <c r="I109" s="18" t="s">
        <v>10</v>
      </c>
      <c r="J109" s="18" t="s">
        <v>119</v>
      </c>
      <c r="K109" s="20"/>
    </row>
    <row r="110" spans="1:11" ht="54.75" thickBot="1">
      <c r="A110" s="18" t="s">
        <v>7990</v>
      </c>
      <c r="B110" s="18">
        <v>20003322802</v>
      </c>
      <c r="C110" s="18" t="s">
        <v>3976</v>
      </c>
      <c r="D110" s="19">
        <v>45986.635416666664</v>
      </c>
      <c r="E110" s="18" t="s">
        <v>10</v>
      </c>
      <c r="F110" s="18">
        <v>5</v>
      </c>
      <c r="G110" s="18" t="s">
        <v>10</v>
      </c>
      <c r="H110" s="18" t="s">
        <v>2656</v>
      </c>
      <c r="I110" s="18" t="s">
        <v>10</v>
      </c>
      <c r="J110" s="18" t="s">
        <v>128</v>
      </c>
      <c r="K110" s="20"/>
    </row>
    <row r="111" spans="1:11" ht="36.75" thickBot="1">
      <c r="A111" s="18" t="s">
        <v>7991</v>
      </c>
      <c r="B111" s="18">
        <v>20003350996</v>
      </c>
      <c r="C111" s="18" t="s">
        <v>3982</v>
      </c>
      <c r="D111" s="19">
        <v>45987.473611111112</v>
      </c>
      <c r="E111" s="18" t="s">
        <v>10</v>
      </c>
      <c r="F111" s="18">
        <v>20</v>
      </c>
      <c r="G111" s="18" t="s">
        <v>10</v>
      </c>
      <c r="H111" s="18" t="s">
        <v>2656</v>
      </c>
      <c r="I111" s="18" t="s">
        <v>10</v>
      </c>
      <c r="J111" s="18" t="s">
        <v>128</v>
      </c>
      <c r="K111" s="20"/>
    </row>
    <row r="112" spans="1:11" ht="36.75" thickBot="1">
      <c r="A112" s="18" t="s">
        <v>7992</v>
      </c>
      <c r="B112" s="18">
        <v>20016382719</v>
      </c>
      <c r="C112" s="18" t="s">
        <v>7986</v>
      </c>
      <c r="D112" s="19">
        <v>45987.683333333334</v>
      </c>
      <c r="E112" s="18" t="s">
        <v>10</v>
      </c>
      <c r="F112" s="18">
        <v>10</v>
      </c>
      <c r="G112" s="18" t="s">
        <v>10</v>
      </c>
      <c r="H112" s="18" t="s">
        <v>2652</v>
      </c>
      <c r="I112" s="18" t="s">
        <v>2699</v>
      </c>
      <c r="J112" s="18" t="s">
        <v>125</v>
      </c>
      <c r="K112" s="20"/>
    </row>
    <row r="113" spans="1:11" ht="36.75" thickBot="1">
      <c r="A113" s="18" t="s">
        <v>7993</v>
      </c>
      <c r="B113" s="18">
        <v>20002963029</v>
      </c>
      <c r="C113" s="18" t="s">
        <v>7994</v>
      </c>
      <c r="D113" s="19">
        <v>45988.413888888892</v>
      </c>
      <c r="E113" s="18" t="s">
        <v>10</v>
      </c>
      <c r="F113" s="18">
        <v>10</v>
      </c>
      <c r="G113" s="18" t="s">
        <v>10</v>
      </c>
      <c r="H113" s="18" t="s">
        <v>2656</v>
      </c>
      <c r="I113" s="18" t="s">
        <v>10</v>
      </c>
      <c r="J113" s="18" t="s">
        <v>122</v>
      </c>
      <c r="K113" s="20"/>
    </row>
    <row r="114" spans="1:11" ht="36.75" thickBot="1">
      <c r="A114" s="18" t="s">
        <v>7995</v>
      </c>
      <c r="B114" s="18">
        <v>20028918635</v>
      </c>
      <c r="C114" s="18" t="s">
        <v>7996</v>
      </c>
      <c r="D114" s="19">
        <v>45989.492361111108</v>
      </c>
      <c r="E114" s="18" t="s">
        <v>10</v>
      </c>
      <c r="F114" s="18">
        <v>5</v>
      </c>
      <c r="G114" s="18" t="s">
        <v>10</v>
      </c>
      <c r="H114" s="18" t="s">
        <v>2656</v>
      </c>
      <c r="I114" s="18" t="s">
        <v>10</v>
      </c>
      <c r="J114" s="18" t="s">
        <v>122</v>
      </c>
      <c r="K114" s="20"/>
    </row>
    <row r="115" spans="1:11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1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1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1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1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1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1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1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1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1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1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1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1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1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12" priority="1"/>
  </conditionalFormatting>
  <hyperlinks>
    <hyperlink ref="K3" r:id="rId1" display="https://ppim-intra.pea.co.th:4434/request/PPIM18500A17" xr:uid="{FBD81DF7-1965-4238-8EA9-0EA7D1CFAB58}"/>
    <hyperlink ref="K4" r:id="rId2" display="https://ppim-intra.pea.co.th:4434/request/PPIM18500B7A" xr:uid="{A8BE9A17-F47B-42F8-B158-B87AFB4AA7BC}"/>
    <hyperlink ref="K5" r:id="rId3" display="https://ppim-intra.pea.co.th:4434/request/PPIM18500BCC" xr:uid="{6B1C5C2F-A627-433E-A341-FF8A9016B30B}"/>
    <hyperlink ref="K6" r:id="rId4" display="https://ppim-intra.pea.co.th:4434/request/PPIM18501886" xr:uid="{C170F9B2-5A1F-48A8-BCF1-BEC1F7AC5D3A}"/>
    <hyperlink ref="K7" r:id="rId5" display="https://ppim-intra.pea.co.th:4434/request/PPIM185019B4" xr:uid="{56758C7B-2CD7-4E7C-BD2F-51337C24F934}"/>
    <hyperlink ref="K8" r:id="rId6" display="https://ppim-intra.pea.co.th:4434/request/PPIM18501B48" xr:uid="{A87DDC93-9C2A-46F1-9F35-5152D4A61449}"/>
    <hyperlink ref="K9" r:id="rId7" display="https://ppim-intra.pea.co.th:4434/request/PPIM18501D54" xr:uid="{53CC3DFC-363E-4A4E-9379-D12BCA426BA4}"/>
    <hyperlink ref="K10" r:id="rId8" display="https://ppim-intra.pea.co.th:4434/request/PPIM18501619" xr:uid="{83E650FA-5BD0-43D0-A217-0A41DCF9F35B}"/>
    <hyperlink ref="K11" r:id="rId9" display="https://ppim-intra.pea.co.th:4434/request/PPIM18502293" xr:uid="{ACD6D4BE-EC3E-47DC-B188-8012601B388F}"/>
    <hyperlink ref="K12" r:id="rId10" display="https://ppim-intra.pea.co.th:4434/request/PPIM18502018" xr:uid="{7CD0CEED-E0AC-4655-9B82-E7C4D9B615C6}"/>
    <hyperlink ref="K13" r:id="rId11" display="https://ppim-intra.pea.co.th:4434/request/PPIM18501E2B" xr:uid="{66747DC0-2928-41DC-9522-E4DB61500265}"/>
    <hyperlink ref="K14" r:id="rId12" display="https://ppim-intra.pea.co.th:4434/request/PPIM18502372" xr:uid="{B7E62B63-4CAB-4952-8214-A3BF16AD783A}"/>
    <hyperlink ref="K15" r:id="rId13" display="https://ppim-intra.pea.co.th:4434/request/PPIM18502374" xr:uid="{01071AE6-7540-46FA-9726-A85C21E12122}"/>
    <hyperlink ref="K16" r:id="rId14" display="https://ppim-intra.pea.co.th:4434/request/PPIM18502377" xr:uid="{47CA0EA0-5613-4E01-917E-1F1AEC864978}"/>
    <hyperlink ref="K17" r:id="rId15" display="https://ppim-intra.pea.co.th:4434/request/PPIM185023DC" xr:uid="{A74E96AD-5623-4A8D-8518-54B504D4DD6D}"/>
    <hyperlink ref="K18" r:id="rId16" display="https://ppim-intra.pea.co.th:4434/request/PPIM18502421" xr:uid="{BF101879-ACBC-4167-9775-D92BAABC6344}"/>
    <hyperlink ref="K19" r:id="rId17" display="https://ppim-intra.pea.co.th:4434/request/PPIM18500A08" xr:uid="{6FF34CEB-C821-445D-8378-095A8671C868}"/>
    <hyperlink ref="K20" r:id="rId18" display="https://ppim-intra.pea.co.th:4434/request/PPIM18500A51" xr:uid="{2BB6C1CF-FA04-46EE-99C7-B866CC9DEF01}"/>
    <hyperlink ref="K21" r:id="rId19" display="https://ppim-intra.pea.co.th:4434/request/PPIM18500A6C" xr:uid="{841ECC8F-5130-4B00-BE32-EB081B32869A}"/>
    <hyperlink ref="K22" r:id="rId20" display="https://ppim-intra.pea.co.th:4434/request/PPIM18500556" xr:uid="{14A6965B-0555-4B96-B3BB-E067BF517526}"/>
    <hyperlink ref="K23" r:id="rId21" display="https://ppim-intra.pea.co.th:4434/request/PPIM185028BC" xr:uid="{2018421D-686E-4841-A8C5-FA3BA4519FB6}"/>
    <hyperlink ref="K24" r:id="rId22" display="https://ppim-intra.pea.co.th:4434/request/PPIM18502947" xr:uid="{AB2FFEC3-D7CE-4231-A73D-1A95E656F932}"/>
    <hyperlink ref="K25" r:id="rId23" display="https://ppim-intra.pea.co.th:4434/request/PPIM185029CD" xr:uid="{ABBAEC25-90C2-4CBE-8D18-673777280624}"/>
    <hyperlink ref="K26" r:id="rId24" display="https://ppim-intra.pea.co.th:4434/request/PPIM185029CE" xr:uid="{A30F3C05-8483-48B9-993D-52C18CB4FA9C}"/>
    <hyperlink ref="K27" r:id="rId25" display="https://ppim-intra.pea.co.th:4434/request/PPIM18502BC9" xr:uid="{94636DC1-602D-438D-8E33-D35335FEF6C7}"/>
    <hyperlink ref="K28" r:id="rId26" display="https://ppim-intra.pea.co.th:4434/request/PPIM18502C7A" xr:uid="{46493ED9-6F13-48CA-9A2E-41579ACF9704}"/>
    <hyperlink ref="K29" r:id="rId27" display="https://ppim-intra.pea.co.th:4434/request/PPIM18502C9A" xr:uid="{8BF48641-A6E7-4884-A7B6-309B7565B46B}"/>
    <hyperlink ref="K30" r:id="rId28" display="https://ppim-intra.pea.co.th:4434/request/PPIM18502D29" xr:uid="{3632D75C-458B-4E6E-BBFD-008F2B09E552}"/>
    <hyperlink ref="K31" r:id="rId29" display="https://ppim-intra.pea.co.th:4434/request/PPIM18502D63" xr:uid="{25B9702E-4EDA-4D5B-BCD8-FA13A20548A9}"/>
    <hyperlink ref="K32" r:id="rId30" display="https://ppim-intra.pea.co.th:4434/request/PPIM18502C6F" xr:uid="{3D77CBE0-92A7-4976-A44D-E56A5B810670}"/>
    <hyperlink ref="K33" r:id="rId31" display="https://ppim-intra.pea.co.th:4434/request/PPIM18502D91" xr:uid="{D59E442F-A05C-474C-8E03-B28A42287D71}"/>
    <hyperlink ref="K34" r:id="rId32" display="https://ppim-intra.pea.co.th:4434/request/PPIM185032F0" xr:uid="{B5D98301-CE9E-4196-A7F4-8151C1B26FB6}"/>
    <hyperlink ref="K35" r:id="rId33" display="https://ppim-intra.pea.co.th:4434/request/PPIM18503422" xr:uid="{54807116-6BEB-4F92-8A5F-7BF9D8D7D62E}"/>
    <hyperlink ref="K36" r:id="rId34" display="https://ppim-intra.pea.co.th:4434/request/PPIM185035AC" xr:uid="{686680BD-CC0E-4DC4-9C9E-7F3BBFF4ABC3}"/>
    <hyperlink ref="K37" r:id="rId35" display="https://ppim-intra.pea.co.th:4434/request/PPIM18503A8D" xr:uid="{C10C98E4-14E1-48C9-AC36-26F43FC62AD8}"/>
    <hyperlink ref="K38" r:id="rId36" display="https://ppim-intra.pea.co.th:4434/request/PPIM18503C60" xr:uid="{99249863-6D44-496B-A566-FFD51540E793}"/>
    <hyperlink ref="K39" r:id="rId37" display="https://ppim-intra.pea.co.th:4434/request/PPIM18503D17" xr:uid="{925582DA-E3BA-458D-99B7-E441F52F01C2}"/>
    <hyperlink ref="K40" r:id="rId38" display="https://ppim-intra.pea.co.th:4434/request/PPIM18503E14" xr:uid="{53AFA5F7-5044-4072-B48A-4CD4582FCC41}"/>
    <hyperlink ref="K41" r:id="rId39" display="https://ppim-intra.pea.co.th:4434/request/PPIM18503E79" xr:uid="{DCB0FD9B-99E8-46A3-9ECA-927B1C238BFD}"/>
    <hyperlink ref="K42" r:id="rId40" display="https://ppim-intra.pea.co.th:4434/request/PPIM1850403A" xr:uid="{091978C8-A758-40B1-A5D7-C21B5D5B211C}"/>
    <hyperlink ref="K43" r:id="rId41" display="https://ppim-intra.pea.co.th:4434/request/PPIM1850403E" xr:uid="{D26C44EA-C42D-497C-ADF7-A9B61CDAB59A}"/>
    <hyperlink ref="K44" r:id="rId42" display="https://ppim-intra.pea.co.th:4434/request/PPIM185040F0" xr:uid="{08602E75-972C-4015-A5C8-47E9C5EE00B5}"/>
    <hyperlink ref="K45" r:id="rId43" display="https://ppim-intra.pea.co.th:4434/request/PPIM18504141" xr:uid="{1B2C389D-B983-4972-8631-2E5F82E63D2A}"/>
    <hyperlink ref="K46" r:id="rId44" display="https://ppim-intra.pea.co.th:4434/request/PPIM1850446D" xr:uid="{D05A39D4-CC0E-4879-83A7-4728603204B9}"/>
    <hyperlink ref="K47" r:id="rId45" display="https://ppim-intra.pea.co.th:4434/request/PPIM185044BC" xr:uid="{7AAC9943-7075-437A-A145-ADF66F5EF289}"/>
    <hyperlink ref="K48" r:id="rId46" display="https://ppim-intra.pea.co.th:4434/request/PPIM18503FE2" xr:uid="{36E510AB-3FED-452F-8162-3AC92417EA9C}"/>
    <hyperlink ref="K49" r:id="rId47" display="https://ppim-intra.pea.co.th:4434/request/PPIM18504517" xr:uid="{668F3F51-9C96-4419-85C3-B5D8BDF86C33}"/>
    <hyperlink ref="K50" r:id="rId48" display="https://ppim-intra.pea.co.th:4434/request/PPIM185046F3" xr:uid="{8B5ED7BA-67B3-4339-94CF-E4B0FA7702A7}"/>
    <hyperlink ref="K51" r:id="rId49" display="https://ppim-intra.pea.co.th:4434/request/PPIM1850496E" xr:uid="{E93B5D3F-8802-4809-87F4-6518006BDFCA}"/>
    <hyperlink ref="K52" r:id="rId50" display="https://ppim-intra.pea.co.th:4434/request/PPIM19500314" xr:uid="{A6D4F015-37B2-40FE-AC6F-010E5CADC1FE}"/>
    <hyperlink ref="K53" r:id="rId51" display="https://ppim-intra.pea.co.th:4434/request/PPIM19500352" xr:uid="{1F32FD15-E123-4EBC-B4FF-36578F406CB1}"/>
    <hyperlink ref="K54" r:id="rId52" display="https://ppim-intra.pea.co.th:4434/request/PPIM19500398" xr:uid="{DC480EB1-E2DC-4BFF-B635-89992F50495F}"/>
    <hyperlink ref="K55" r:id="rId53" display="https://ppim-intra.pea.co.th:4434/request/PPIM195004D6" xr:uid="{B0209243-BBC8-43F4-8C41-23DF506D408B}"/>
    <hyperlink ref="K56" r:id="rId54" display="https://ppim-intra.pea.co.th:4434/request/PPIM19500502" xr:uid="{247A9C29-B204-43DA-B9EE-E9A007859451}"/>
    <hyperlink ref="K57" r:id="rId55" display="https://ppim-intra.pea.co.th:4434/request/PPIM19500585" xr:uid="{89603A9C-87A7-4DF0-85DF-9548FC7681D1}"/>
    <hyperlink ref="K58" r:id="rId56" display="https://ppim-intra.pea.co.th:4434/request/PPIM195005EB" xr:uid="{87D34972-C551-41AB-8212-A24B7AC2E65D}"/>
    <hyperlink ref="K59" r:id="rId57" display="https://ppim-intra.pea.co.th:4434/request/PPIM19500722" xr:uid="{7F17F22B-0FB3-4631-8EF6-74F59219DB41}"/>
    <hyperlink ref="K60" r:id="rId58" display="https://ppim-intra.pea.co.th:4434/request/PPIM19500724" xr:uid="{8E9F6DAC-0BD5-4115-90BA-293B1E2ECA63}"/>
    <hyperlink ref="K61" r:id="rId59" display="https://ppim-intra.pea.co.th:4434/request/PPIM19500764" xr:uid="{B55162F2-338C-4C68-BC3E-EBBEBEA02196}"/>
    <hyperlink ref="K62" r:id="rId60" display="https://ppim-intra.pea.co.th:4434/request/PPIM195005C5" xr:uid="{0FBB1AB4-7480-46B2-9C49-94896AA3DDDB}"/>
    <hyperlink ref="K63" r:id="rId61" display="https://ppim-intra.pea.co.th:4434/request/PPIM195007C7" xr:uid="{2A39DC40-F948-48BD-9798-B0BFD970AD4F}"/>
    <hyperlink ref="K64" r:id="rId62" display="https://ppim-intra.pea.co.th:4434/request/PPIM195007F8" xr:uid="{C85CF5ED-E221-47A2-8C18-1FE8A3A6A748}"/>
    <hyperlink ref="K65" r:id="rId63" display="https://ppim-intra.pea.co.th:4434/request/PPIM19500BC1" xr:uid="{A4393941-9F1A-4F55-8CD2-A8ADEDB27D6F}"/>
    <hyperlink ref="K66" r:id="rId64" display="https://ppim-intra.pea.co.th:4434/request/PPIM19500C94" xr:uid="{80E0E7FF-6AED-4A20-B76D-6842E356A9F4}"/>
    <hyperlink ref="K67" r:id="rId65" display="https://ppim-intra.pea.co.th:4434/request/PPIM19500CCF" xr:uid="{62EBD8BF-FBE2-4EC6-9843-8331C62B23A1}"/>
    <hyperlink ref="K68" r:id="rId66" display="https://ppim-intra.pea.co.th:4434/request/PPIM19500D29" xr:uid="{56F5E461-4B8C-41B8-BCB4-245B1CFAB3A1}"/>
    <hyperlink ref="K69" r:id="rId67" display="https://ppim-intra.pea.co.th:4434/request/PPIM19500A29" xr:uid="{08DC789F-B320-4B5E-AD0D-8653CC148179}"/>
    <hyperlink ref="K70" r:id="rId68" display="https://ppim-intra.pea.co.th:4434/request/PPIM19500BA2" xr:uid="{85EF9016-BF73-4866-AF36-F342661E2A01}"/>
    <hyperlink ref="K71" r:id="rId69" display="https://ppim-intra.pea.co.th:4434/request/PPIM1950123F" xr:uid="{2365766F-B667-42AD-9CA8-0C33D262C9F8}"/>
    <hyperlink ref="K72" r:id="rId70" display="https://ppim-intra.pea.co.th:4434/request/PPIM19501301" xr:uid="{5B352F1C-E10B-4E5C-B3AD-6550A764E60C}"/>
    <hyperlink ref="K73" r:id="rId71" display="https://ppim-intra.pea.co.th:4434/request/PPIM195016FC" xr:uid="{3A96AB16-A6CD-4A6C-ABA9-9BFAA14E6298}"/>
    <hyperlink ref="K74" r:id="rId72" display="https://ppim-intra.pea.co.th:4434/request/PPIM195014CB" xr:uid="{94CA0F40-8B98-4D16-B171-42EFBF543085}"/>
    <hyperlink ref="K75" r:id="rId73" display="https://ppim-intra.pea.co.th:4434/request/PPIM1950189E" xr:uid="{EBE84C04-506B-483F-9875-170A1D658C4D}"/>
    <hyperlink ref="K76" r:id="rId74" display="https://ppim-intra.pea.co.th:4434/request/PPIM195018ED" xr:uid="{EB26B460-2D39-4525-86C2-EFAECEB35EFE}"/>
    <hyperlink ref="K77" r:id="rId75" display="https://ppim-intra.pea.co.th:4434/request/PPIM1950136D" xr:uid="{28B8152B-6703-45AC-A81A-4ECAA0B3F012}"/>
    <hyperlink ref="K78" r:id="rId76" display="https://ppim-intra.pea.co.th:4434/request/PPIM1950196E" xr:uid="{14BC208E-8060-403E-AE03-6EE1BBE94133}"/>
    <hyperlink ref="K79" r:id="rId77" display="https://ppim-intra.pea.co.th:4434/request/PPIM19501A24" xr:uid="{22091A99-5D7A-4380-BEC4-15934272FC77}"/>
    <hyperlink ref="K80" r:id="rId78" display="https://ppim-intra.pea.co.th:4434/request/PPIM195022E6" xr:uid="{0D5D32D6-5673-4DA6-99EC-CF379BA16623}"/>
    <hyperlink ref="K81" r:id="rId79" display="https://ppim-intra.pea.co.th:4434/request/PPIM195024B7" xr:uid="{BFC5EAC9-CCAB-4BE0-89B2-8538E0E887E0}"/>
    <hyperlink ref="K82" r:id="rId80" display="https://ppim-intra.pea.co.th:4434/request/PPIM195024D7" xr:uid="{75068449-348B-49B2-925D-171C5C0B4BE0}"/>
    <hyperlink ref="K83" r:id="rId81" display="https://ppim-intra.pea.co.th:4434/request/PPIM19502988" xr:uid="{AB2782B1-4D6B-4DDF-969C-ECF9F3A92548}"/>
    <hyperlink ref="K84" r:id="rId82" display="https://ppim-intra.pea.co.th:4434/request/PPIM19502A6F" xr:uid="{69CA0C0F-EF4A-4D26-A5A7-A1C539D7D3D7}"/>
    <hyperlink ref="K85" r:id="rId83" display="https://ppim-intra.pea.co.th:4434/request/PPIM1950254E" xr:uid="{7D5056BE-1831-4FD3-B031-C0D6AFE568F4}"/>
    <hyperlink ref="K86" r:id="rId84" display="https://ppim-intra.pea.co.th:4434/request/PPIM1950344A" xr:uid="{D890FC6F-7BE4-401D-8C50-A7D12FE550F5}"/>
    <hyperlink ref="K87" r:id="rId85" display="https://ppim-intra.pea.co.th:4434/request/PPIM195035B4" xr:uid="{1EC7EB2A-9BB0-4639-887C-F36442D821F8}"/>
    <hyperlink ref="K88" r:id="rId86" display="https://ppim-intra.pea.co.th:4434/request/PPIM1950363C" xr:uid="{902BB52D-4A35-4BD6-98A2-90131181018C}"/>
    <hyperlink ref="K89" r:id="rId87" display="https://ppim-intra.pea.co.th:4434/request/PPIM19503814" xr:uid="{5406929A-7FB6-405B-97B1-68B266E92B8B}"/>
    <hyperlink ref="K90" r:id="rId88" display="https://ppim-intra.pea.co.th:4434/request/PPIM19503E50" xr:uid="{1533137C-ED46-41E0-82AE-71A389800BF0}"/>
    <hyperlink ref="K91" r:id="rId89" display="https://ppim-intra.pea.co.th:4434/request/PPIM19503F57" xr:uid="{2B9EE3EA-BDF6-4E77-9FEF-9F8173078288}"/>
    <hyperlink ref="K92" r:id="rId90" display="https://ppim-intra.pea.co.th:4434/request/PPIM1950451B" xr:uid="{0FF3878B-4A85-4A8A-8275-9706B35C597E}"/>
    <hyperlink ref="K93" r:id="rId91" display="https://ppim-intra.pea.co.th:4434/request/PPIM195030AB" xr:uid="{DE0336E9-A907-4216-8CC1-71B0EBF2DD71}"/>
    <hyperlink ref="K94" r:id="rId92" display="https://ppim-intra.pea.co.th:4434/request/PPIM1950460F" xr:uid="{26DF7A2E-180D-4CEB-83C1-BEEEC5A212F2}"/>
    <hyperlink ref="K95" r:id="rId93" display="https://ppim-intra.pea.co.th:4434/request/PPIM19502091" xr:uid="{5B290264-2315-4A47-8118-EE2B768A5B23}"/>
    <hyperlink ref="K96" r:id="rId94" display="https://ppim-intra.pea.co.th:4434/request/PPIM19502C5B" xr:uid="{29C185F2-4CC0-4C3A-BF61-E891B439C68D}"/>
    <hyperlink ref="K97" r:id="rId95" display="https://ppim-intra.pea.co.th:4434/request/PPIM1950490F" xr:uid="{DE6C2B49-C892-464A-9111-007EB49CC993}"/>
    <hyperlink ref="K98" r:id="rId96" display="https://ppim-intra.pea.co.th:4434/request/PPIM19504B40" xr:uid="{D3795CD8-3CAE-4D9E-B630-6356FBF366A6}"/>
    <hyperlink ref="K99" r:id="rId97" display="https://ppim-intra.pea.co.th:4434/request/PPIM19504C8E" xr:uid="{5BC1423B-9E2E-481E-A58F-4411E749BD62}"/>
    <hyperlink ref="K100" r:id="rId98" display="https://ppim-intra.pea.co.th:4434/request/PPIM19504E34" xr:uid="{8FE03438-43D9-44FC-BEC6-C1851AF09947}"/>
    <hyperlink ref="K101" r:id="rId99" display="https://ppim-intra.pea.co.th:4434/request/PPIM19504FE8" xr:uid="{272F0456-4BB7-4AC0-8C98-A55CC8A7F855}"/>
    <hyperlink ref="K103" r:id="rId100" display="https://ppim-intra.pea.co.th:4434/request/PPIM195052E8" xr:uid="{27784B07-EBC1-466C-AC49-BE81FD13B5E3}"/>
    <hyperlink ref="K104" r:id="rId101" display="https://ppim-intra.pea.co.th:4434/request/PPIM19505614" xr:uid="{00D07334-3028-483F-8D86-C208F1C63813}"/>
    <hyperlink ref="K105" r:id="rId102" display="https://ppim-intra.pea.co.th:4434/request/PPIM1950580D" xr:uid="{96948994-8604-44BC-A50E-ED42144EDB44}"/>
    <hyperlink ref="K106" r:id="rId103" display="https://ppim-intra.pea.co.th:4434/request/PPIM19505A5E" xr:uid="{64BD1ABA-58D6-431B-942B-777ACB73253E}"/>
    <hyperlink ref="K107" r:id="rId104" display="https://ppim-intra.pea.co.th:4434/request/PPIM19505A71" xr:uid="{4B13C44B-D592-4D68-8868-000D4408AA26}"/>
    <hyperlink ref="K108" r:id="rId105" display="https://ppim-intra.pea.co.th:4434/request/PPIM195042A0" xr:uid="{AB775E64-8DAD-4FA7-9942-3139A5F052F0}"/>
    <hyperlink ref="K109" r:id="rId106" display="https://ppim-intra.pea.co.th:4434/request/PPIM19505B37" xr:uid="{7EBC21ED-C5B7-44FC-82B1-F5CC1534E056}"/>
    <hyperlink ref="K110" r:id="rId107" display="https://ppim-intra.pea.co.th:4434/request/PPIM19505B85" xr:uid="{CD35F1C7-A106-47B0-9764-301B939700E4}"/>
    <hyperlink ref="K111" r:id="rId108" display="https://ppim-intra.pea.co.th:4434/request/PPIM19505BB9" xr:uid="{C5EBF4BB-93C2-4DCF-B3E7-86B77AA1748B}"/>
    <hyperlink ref="K112" r:id="rId109" display="https://ppim-intra.pea.co.th:4434/request/PPIM19505BE1" xr:uid="{BCFCA4EE-4449-43B8-94B5-9BF92F7F6E5E}"/>
    <hyperlink ref="K113" r:id="rId110" display="https://ppim-intra.pea.co.th:4434/request/PPIM19505BF5" xr:uid="{7E6C9B33-22EA-42A7-AA68-C34324CE3874}"/>
    <hyperlink ref="K114" r:id="rId111" display="https://ppim-intra.pea.co.th:4434/request/PPIM19505C4C" xr:uid="{79BAEE21-4FE3-463F-AA79-13B649E0A6DB}"/>
  </hyperlinks>
  <pageMargins left="0.7" right="0.7" top="0.75" bottom="0.75" header="0.3" footer="0.3"/>
  <drawing r:id="rId112"/>
  <legacyDrawing r:id="rId113"/>
  <controls>
    <mc:AlternateContent xmlns:mc="http://schemas.openxmlformats.org/markup-compatibility/2006">
      <mc:Choice Requires="x14">
        <control shapeId="7169" r:id="rId114" name="Control 1">
          <controlPr defaultSize="0" r:id="rId115">
            <anchor moveWithCells="1">
              <from>
                <xdr:col>0</xdr:col>
                <xdr:colOff>0</xdr:colOff>
                <xdr:row>8</xdr:row>
                <xdr:rowOff>342900</xdr:rowOff>
              </from>
              <to>
                <xdr:col>0</xdr:col>
                <xdr:colOff>190500</xdr:colOff>
                <xdr:row>9</xdr:row>
                <xdr:rowOff>57150</xdr:rowOff>
              </to>
            </anchor>
          </controlPr>
        </control>
      </mc:Choice>
      <mc:Fallback>
        <control shapeId="7169" r:id="rId114" name="Control 1"/>
      </mc:Fallback>
    </mc:AlternateContent>
    <mc:AlternateContent xmlns:mc="http://schemas.openxmlformats.org/markup-compatibility/2006">
      <mc:Choice Requires="x14">
        <control shapeId="7170" r:id="rId116" name="Control 2">
          <controlPr defaultSize="0" r:id="rId115">
            <anchor moveWithCells="1">
              <from>
                <xdr:col>0</xdr:col>
                <xdr:colOff>0</xdr:colOff>
                <xdr:row>8</xdr:row>
                <xdr:rowOff>342900</xdr:rowOff>
              </from>
              <to>
                <xdr:col>0</xdr:col>
                <xdr:colOff>190500</xdr:colOff>
                <xdr:row>9</xdr:row>
                <xdr:rowOff>57150</xdr:rowOff>
              </to>
            </anchor>
          </controlPr>
        </control>
      </mc:Choice>
      <mc:Fallback>
        <control shapeId="7170" r:id="rId116" name="Control 2"/>
      </mc:Fallback>
    </mc:AlternateContent>
  </control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E077-71E0-426E-9D50-EE7871F0CD02}">
  <sheetPr codeName="Sheet16">
    <tabColor theme="8" tint="0.59999389629810485"/>
  </sheetPr>
  <dimension ref="A2:O168"/>
  <sheetViews>
    <sheetView tabSelected="1" topLeftCell="A21" zoomScale="70" zoomScaleNormal="70" workbookViewId="0">
      <selection activeCell="A2" sqref="A2:J2"/>
    </sheetView>
  </sheetViews>
  <sheetFormatPr defaultRowHeight="23.25"/>
  <cols>
    <col min="1" max="1" width="21.42578125" style="6" customWidth="1"/>
    <col min="2" max="2" width="20.140625" style="6" bestFit="1" customWidth="1"/>
    <col min="3" max="3" width="23.5703125" style="6" bestFit="1" customWidth="1"/>
    <col min="4" max="5" width="21.85546875" style="6" bestFit="1" customWidth="1"/>
    <col min="6" max="6" width="18.7109375" style="6"/>
    <col min="7" max="7" width="21.85546875" style="6" bestFit="1" customWidth="1"/>
    <col min="8" max="8" width="38.140625" style="6" bestFit="1" customWidth="1"/>
    <col min="9" max="10" width="18.7109375" style="6"/>
    <col min="12" max="12" width="20.140625" customWidth="1"/>
  </cols>
  <sheetData>
    <row r="2" spans="1:15" ht="24" thickBot="1">
      <c r="A2" s="110" t="s">
        <v>0</v>
      </c>
      <c r="B2" s="110" t="s">
        <v>1</v>
      </c>
      <c r="C2" s="111" t="s">
        <v>2</v>
      </c>
      <c r="D2" s="110" t="s">
        <v>3</v>
      </c>
      <c r="E2" s="110" t="s">
        <v>270</v>
      </c>
      <c r="F2" s="110" t="s">
        <v>4</v>
      </c>
      <c r="G2" s="110" t="s">
        <v>5</v>
      </c>
      <c r="H2" s="110" t="s">
        <v>6</v>
      </c>
      <c r="I2" s="112"/>
      <c r="J2" s="110" t="s">
        <v>7</v>
      </c>
      <c r="L2" s="12" t="s">
        <v>213</v>
      </c>
      <c r="M2" s="12">
        <f>COUNT(B:B)</f>
        <v>80</v>
      </c>
      <c r="N2" s="13" t="s">
        <v>214</v>
      </c>
    </row>
    <row r="3" spans="1:15" ht="37.5" thickTop="1" thickBot="1">
      <c r="A3" s="18" t="s">
        <v>2457</v>
      </c>
      <c r="B3" s="18">
        <v>20003524033</v>
      </c>
      <c r="C3" s="18" t="s">
        <v>2458</v>
      </c>
      <c r="D3" s="19">
        <v>45364.657638888886</v>
      </c>
      <c r="E3" s="18" t="s">
        <v>10</v>
      </c>
      <c r="F3" s="18">
        <v>10</v>
      </c>
      <c r="G3" s="18" t="s">
        <v>10</v>
      </c>
      <c r="H3" s="18" t="s">
        <v>178</v>
      </c>
      <c r="I3" s="18" t="s">
        <v>10</v>
      </c>
      <c r="J3" s="18" t="s">
        <v>2459</v>
      </c>
      <c r="K3" s="20"/>
      <c r="L3" s="7" t="s">
        <v>2656</v>
      </c>
      <c r="M3" s="7">
        <f>COUNTIF(H:H,"รอตรวจสอบคำขอ")</f>
        <v>0</v>
      </c>
      <c r="N3" s="11" t="s">
        <v>214</v>
      </c>
    </row>
    <row r="4" spans="1:15" ht="36.75" thickBot="1">
      <c r="A4" s="18" t="s">
        <v>2460</v>
      </c>
      <c r="B4" s="18">
        <v>20003213479</v>
      </c>
      <c r="C4" s="18" t="s">
        <v>2461</v>
      </c>
      <c r="D4" s="19">
        <v>45374.362500000003</v>
      </c>
      <c r="E4" s="18" t="s">
        <v>10</v>
      </c>
      <c r="F4" s="18">
        <v>3</v>
      </c>
      <c r="G4" s="18" t="s">
        <v>10</v>
      </c>
      <c r="H4" s="18" t="s">
        <v>178</v>
      </c>
      <c r="I4" s="18" t="s">
        <v>10</v>
      </c>
      <c r="J4" s="18" t="s">
        <v>2462</v>
      </c>
      <c r="K4" s="20"/>
      <c r="L4" s="7" t="s">
        <v>178</v>
      </c>
      <c r="M4" s="7">
        <f>COUNTIF(H:H,"ยกเลิก")</f>
        <v>38</v>
      </c>
      <c r="N4" s="11" t="s">
        <v>214</v>
      </c>
    </row>
    <row r="5" spans="1:15" ht="36.75" thickBot="1">
      <c r="A5" s="18" t="s">
        <v>2463</v>
      </c>
      <c r="B5" s="18">
        <v>20024881042</v>
      </c>
      <c r="C5" s="18" t="s">
        <v>2464</v>
      </c>
      <c r="D5" s="19">
        <v>45392.621527777781</v>
      </c>
      <c r="E5" s="19">
        <v>45413.541666666664</v>
      </c>
      <c r="F5" s="18">
        <v>15</v>
      </c>
      <c r="G5" s="19">
        <v>45481.458333333336</v>
      </c>
      <c r="H5" s="18" t="s">
        <v>236</v>
      </c>
      <c r="I5" s="18" t="s">
        <v>10</v>
      </c>
      <c r="J5" s="18" t="s">
        <v>2459</v>
      </c>
      <c r="K5" s="20"/>
      <c r="L5" s="7" t="s">
        <v>235</v>
      </c>
      <c r="M5" s="7">
        <f>COUNTIF(H:H,"รอผู้ยื่นคำขอส่งเอกสารแก้ไข")</f>
        <v>1</v>
      </c>
      <c r="N5" s="11" t="s">
        <v>214</v>
      </c>
    </row>
    <row r="6" spans="1:15" ht="36.75" thickBot="1">
      <c r="A6" s="18" t="s">
        <v>2465</v>
      </c>
      <c r="B6" s="18">
        <v>20003524033</v>
      </c>
      <c r="C6" s="18" t="s">
        <v>2466</v>
      </c>
      <c r="D6" s="19">
        <v>45425.390277777777</v>
      </c>
      <c r="E6" s="18" t="s">
        <v>10</v>
      </c>
      <c r="F6" s="18">
        <v>10</v>
      </c>
      <c r="G6" s="18" t="s">
        <v>10</v>
      </c>
      <c r="H6" s="18" t="s">
        <v>178</v>
      </c>
      <c r="I6" s="18" t="s">
        <v>10</v>
      </c>
      <c r="J6" s="18" t="s">
        <v>2459</v>
      </c>
      <c r="K6" s="20"/>
      <c r="L6" s="7" t="s">
        <v>189</v>
      </c>
      <c r="M6" s="14">
        <f>COUNTIF(H:H,"รอชำระเงิน")</f>
        <v>3</v>
      </c>
      <c r="N6" s="11" t="s">
        <v>214</v>
      </c>
      <c r="O6" s="7" t="s">
        <v>359</v>
      </c>
    </row>
    <row r="7" spans="1:15" ht="36.75" thickBot="1">
      <c r="A7" s="18" t="s">
        <v>2467</v>
      </c>
      <c r="B7" s="18">
        <v>20003524033</v>
      </c>
      <c r="C7" s="18" t="s">
        <v>2466</v>
      </c>
      <c r="D7" s="19">
        <v>45425.643055555556</v>
      </c>
      <c r="E7" s="18" t="s">
        <v>10</v>
      </c>
      <c r="F7" s="18">
        <v>10</v>
      </c>
      <c r="G7" s="19">
        <v>45456.426388888889</v>
      </c>
      <c r="H7" s="18" t="s">
        <v>236</v>
      </c>
      <c r="I7" s="18" t="s">
        <v>10</v>
      </c>
      <c r="J7" s="18" t="s">
        <v>2459</v>
      </c>
      <c r="K7" s="20"/>
      <c r="L7" s="7" t="s">
        <v>2652</v>
      </c>
      <c r="M7" s="7">
        <f>COUNTIF(H:H,"รออนุมัติเชื่อมต่อ/รับพิจารณา")+COUNTIF(H:H,"รอ หผ. อนุมัติ")+COUNTIF(H:H,"รอ ผจก./อก. อนุมัติ")</f>
        <v>1</v>
      </c>
      <c r="N7" s="11" t="s">
        <v>214</v>
      </c>
    </row>
    <row r="8" spans="1:15" ht="36.75" thickBot="1">
      <c r="A8" s="18" t="s">
        <v>2468</v>
      </c>
      <c r="B8" s="18">
        <v>20027618652</v>
      </c>
      <c r="C8" s="18" t="s">
        <v>2469</v>
      </c>
      <c r="D8" s="19">
        <v>45455.487500000003</v>
      </c>
      <c r="E8" s="18" t="s">
        <v>10</v>
      </c>
      <c r="F8" s="18">
        <v>10</v>
      </c>
      <c r="G8" s="18" t="s">
        <v>10</v>
      </c>
      <c r="H8" s="18" t="s">
        <v>178</v>
      </c>
      <c r="I8" s="18" t="s">
        <v>10</v>
      </c>
      <c r="J8" s="18" t="s">
        <v>2470</v>
      </c>
      <c r="K8" s="20"/>
      <c r="L8" s="7" t="s">
        <v>2657</v>
      </c>
      <c r="M8" s="7">
        <f>COUNTIF(H:H,"รอดำเนินการหลังอนุมัติเชื่อมต่อ / รับพิจารณา")</f>
        <v>8</v>
      </c>
      <c r="N8" s="11" t="s">
        <v>214</v>
      </c>
    </row>
    <row r="9" spans="1:15" ht="36.75" thickBot="1">
      <c r="A9" s="18" t="s">
        <v>2471</v>
      </c>
      <c r="B9" s="18">
        <v>20026311602</v>
      </c>
      <c r="C9" s="18" t="s">
        <v>2472</v>
      </c>
      <c r="D9" s="19">
        <v>45455.495833333334</v>
      </c>
      <c r="E9" s="19">
        <v>45464.809027777781</v>
      </c>
      <c r="F9" s="18">
        <v>15</v>
      </c>
      <c r="G9" s="19">
        <v>45505.451388888891</v>
      </c>
      <c r="H9" s="18" t="s">
        <v>236</v>
      </c>
      <c r="I9" s="18" t="s">
        <v>10</v>
      </c>
      <c r="J9" s="18" t="s">
        <v>2462</v>
      </c>
      <c r="K9" s="20"/>
      <c r="L9" t="s">
        <v>2688</v>
      </c>
      <c r="M9">
        <f>COUNTIF(H:H,"รอแก้ไขเอกสารหลังอนุมัติเชื่อมต่อ / รับพิจารณา")</f>
        <v>0</v>
      </c>
      <c r="N9" t="s">
        <v>214</v>
      </c>
    </row>
    <row r="10" spans="1:15" ht="54.75" thickBot="1">
      <c r="A10" s="18" t="s">
        <v>2473</v>
      </c>
      <c r="B10" s="18">
        <v>20003520708</v>
      </c>
      <c r="C10" s="18" t="s">
        <v>2474</v>
      </c>
      <c r="D10" s="19">
        <v>45469.890972222223</v>
      </c>
      <c r="E10" s="18" t="s">
        <v>10</v>
      </c>
      <c r="F10" s="18">
        <v>10</v>
      </c>
      <c r="G10" s="18" t="s">
        <v>10</v>
      </c>
      <c r="H10" s="18" t="s">
        <v>178</v>
      </c>
      <c r="I10" s="18" t="s">
        <v>10</v>
      </c>
      <c r="J10" s="18" t="s">
        <v>2462</v>
      </c>
      <c r="K10" s="20"/>
      <c r="L10" t="s">
        <v>2687</v>
      </c>
      <c r="M10">
        <f>COUNTIF(H:H,"รออนุมัติเชื่อมต่อ (200 kW ขึ้นไป)")</f>
        <v>0</v>
      </c>
      <c r="N10" t="s">
        <v>214</v>
      </c>
    </row>
    <row r="11" spans="1:15" ht="36.75" thickBot="1">
      <c r="A11" s="18" t="s">
        <v>2475</v>
      </c>
      <c r="B11" s="18">
        <v>20027779739</v>
      </c>
      <c r="C11" s="18" t="s">
        <v>2476</v>
      </c>
      <c r="D11" s="19">
        <v>45474.703472222223</v>
      </c>
      <c r="E11" s="18" t="s">
        <v>10</v>
      </c>
      <c r="F11" s="18">
        <v>5</v>
      </c>
      <c r="G11" s="18" t="s">
        <v>10</v>
      </c>
      <c r="H11" s="18" t="s">
        <v>236</v>
      </c>
      <c r="I11" s="18" t="s">
        <v>10</v>
      </c>
      <c r="J11" s="18" t="s">
        <v>2459</v>
      </c>
      <c r="K11" s="20"/>
      <c r="L11" t="s">
        <v>2654</v>
      </c>
      <c r="M11">
        <f>COUNTIF(H:H,"รอตรวจสอบระบบผลิต")</f>
        <v>0</v>
      </c>
      <c r="N11" t="s">
        <v>214</v>
      </c>
    </row>
    <row r="12" spans="1:15" ht="36.75" thickBot="1">
      <c r="A12" s="18" t="s">
        <v>2477</v>
      </c>
      <c r="B12" s="18">
        <v>20027618652</v>
      </c>
      <c r="C12" s="18" t="s">
        <v>2469</v>
      </c>
      <c r="D12" s="19">
        <v>45462.410416666666</v>
      </c>
      <c r="E12" s="19">
        <v>45484.459722222222</v>
      </c>
      <c r="F12" s="18">
        <v>10</v>
      </c>
      <c r="G12" s="18" t="s">
        <v>10</v>
      </c>
      <c r="H12" s="18" t="s">
        <v>178</v>
      </c>
      <c r="I12" s="18" t="s">
        <v>10</v>
      </c>
      <c r="J12" s="18" t="s">
        <v>2470</v>
      </c>
      <c r="K12" s="20"/>
      <c r="L12" t="s">
        <v>2651</v>
      </c>
      <c r="M12">
        <f>COUNTIF(H:H,"รอทดสอบเชื่อมต่อ")</f>
        <v>0</v>
      </c>
      <c r="N12" t="s">
        <v>214</v>
      </c>
    </row>
    <row r="13" spans="1:15" ht="36.75" thickBot="1">
      <c r="A13" s="18" t="s">
        <v>2478</v>
      </c>
      <c r="B13" s="18">
        <v>20003574982</v>
      </c>
      <c r="C13" s="18" t="s">
        <v>2479</v>
      </c>
      <c r="D13" s="19">
        <v>45489.75277777778</v>
      </c>
      <c r="E13" s="19">
        <v>45499.42291666667</v>
      </c>
      <c r="F13" s="18">
        <v>5</v>
      </c>
      <c r="G13" s="19">
        <v>45538.488888888889</v>
      </c>
      <c r="H13" s="18" t="s">
        <v>236</v>
      </c>
      <c r="I13" s="18" t="s">
        <v>10</v>
      </c>
      <c r="J13" s="18" t="s">
        <v>2459</v>
      </c>
      <c r="K13" s="20"/>
      <c r="L13" t="s">
        <v>2655</v>
      </c>
      <c r="M13">
        <f>COUNTIF(H:H,"รออนุมัติแจ้งวันเริ่มเชื่อมต่อ")</f>
        <v>1</v>
      </c>
      <c r="N13" t="s">
        <v>214</v>
      </c>
    </row>
    <row r="14" spans="1:15" ht="54.75" thickBot="1">
      <c r="A14" s="18" t="s">
        <v>2480</v>
      </c>
      <c r="B14" s="18">
        <v>20020517405</v>
      </c>
      <c r="C14" s="18" t="s">
        <v>2481</v>
      </c>
      <c r="D14" s="19">
        <v>45489.76458333333</v>
      </c>
      <c r="E14" s="19">
        <v>45499.423611111109</v>
      </c>
      <c r="F14" s="18">
        <v>5</v>
      </c>
      <c r="G14" s="19">
        <v>45538.488888888889</v>
      </c>
      <c r="H14" s="18" t="s">
        <v>236</v>
      </c>
      <c r="I14" s="18" t="s">
        <v>10</v>
      </c>
      <c r="J14" s="18" t="s">
        <v>2459</v>
      </c>
      <c r="K14" s="20"/>
      <c r="L14" t="s">
        <v>236</v>
      </c>
      <c r="M14">
        <f>COUNTIF(H:H,"เชื่อมต่อเรียบร้อยแล้ว")</f>
        <v>28</v>
      </c>
      <c r="N14" t="s">
        <v>214</v>
      </c>
    </row>
    <row r="15" spans="1:15" ht="36.75" thickBot="1">
      <c r="A15" s="18" t="s">
        <v>2482</v>
      </c>
      <c r="B15" s="18">
        <v>20027618652</v>
      </c>
      <c r="C15" s="18" t="s">
        <v>2483</v>
      </c>
      <c r="D15" s="19">
        <v>45513.45208333333</v>
      </c>
      <c r="E15" s="18" t="s">
        <v>10</v>
      </c>
      <c r="F15" s="18">
        <v>5</v>
      </c>
      <c r="G15" s="18" t="s">
        <v>10</v>
      </c>
      <c r="H15" s="18" t="s">
        <v>178</v>
      </c>
      <c r="I15" s="18" t="s">
        <v>10</v>
      </c>
      <c r="J15" s="18" t="s">
        <v>2470</v>
      </c>
      <c r="K15" s="20"/>
    </row>
    <row r="16" spans="1:15" ht="36.75" thickBot="1">
      <c r="A16" s="18" t="s">
        <v>2484</v>
      </c>
      <c r="B16" s="18">
        <v>20020308966</v>
      </c>
      <c r="C16" s="18" t="s">
        <v>2485</v>
      </c>
      <c r="D16" s="19">
        <v>45517.565972222219</v>
      </c>
      <c r="E16" s="18" t="s">
        <v>10</v>
      </c>
      <c r="F16" s="18">
        <v>15</v>
      </c>
      <c r="G16" s="18" t="s">
        <v>10</v>
      </c>
      <c r="H16" s="18" t="s">
        <v>178</v>
      </c>
      <c r="I16" s="18" t="s">
        <v>10</v>
      </c>
      <c r="J16" s="18" t="s">
        <v>2459</v>
      </c>
      <c r="K16" s="20"/>
    </row>
    <row r="17" spans="1:11" ht="54.75" thickBot="1">
      <c r="A17" s="18" t="s">
        <v>2486</v>
      </c>
      <c r="B17" s="18">
        <v>20021389960</v>
      </c>
      <c r="C17" s="18" t="s">
        <v>2487</v>
      </c>
      <c r="D17" s="19">
        <v>45531.512499999997</v>
      </c>
      <c r="E17" s="18" t="s">
        <v>10</v>
      </c>
      <c r="F17" s="18">
        <v>15</v>
      </c>
      <c r="G17" s="18" t="s">
        <v>10</v>
      </c>
      <c r="H17" s="18" t="s">
        <v>178</v>
      </c>
      <c r="I17" s="18" t="s">
        <v>10</v>
      </c>
      <c r="J17" s="18" t="s">
        <v>2470</v>
      </c>
      <c r="K17" s="20"/>
    </row>
    <row r="18" spans="1:11" ht="54.75" thickBot="1">
      <c r="A18" s="18" t="s">
        <v>2488</v>
      </c>
      <c r="B18" s="18">
        <v>20003532971</v>
      </c>
      <c r="C18" s="18" t="s">
        <v>2489</v>
      </c>
      <c r="D18" s="19">
        <v>45531.643750000003</v>
      </c>
      <c r="E18" s="18" t="s">
        <v>10</v>
      </c>
      <c r="F18" s="18">
        <v>5</v>
      </c>
      <c r="G18" s="18" t="s">
        <v>10</v>
      </c>
      <c r="H18" s="18" t="s">
        <v>178</v>
      </c>
      <c r="I18" s="18" t="s">
        <v>10</v>
      </c>
      <c r="J18" s="18" t="s">
        <v>2470</v>
      </c>
      <c r="K18" s="20"/>
    </row>
    <row r="19" spans="1:11" ht="54.75" thickBot="1">
      <c r="A19" s="18" t="s">
        <v>2490</v>
      </c>
      <c r="B19" s="18">
        <v>20003563127</v>
      </c>
      <c r="C19" s="18" t="s">
        <v>2491</v>
      </c>
      <c r="D19" s="19">
        <v>45538.68472222222</v>
      </c>
      <c r="E19" s="18" t="s">
        <v>10</v>
      </c>
      <c r="F19" s="18">
        <v>20</v>
      </c>
      <c r="G19" s="18" t="s">
        <v>10</v>
      </c>
      <c r="H19" s="18" t="s">
        <v>178</v>
      </c>
      <c r="I19" s="18" t="s">
        <v>10</v>
      </c>
      <c r="J19" s="18" t="s">
        <v>2459</v>
      </c>
      <c r="K19" s="20"/>
    </row>
    <row r="20" spans="1:11" ht="36.75" thickBot="1">
      <c r="A20" s="18" t="s">
        <v>2492</v>
      </c>
      <c r="B20" s="18">
        <v>20020308966</v>
      </c>
      <c r="C20" s="18" t="s">
        <v>2485</v>
      </c>
      <c r="D20" s="19">
        <v>45534.730555555558</v>
      </c>
      <c r="E20" s="19">
        <v>45539.702777777777</v>
      </c>
      <c r="F20" s="18">
        <v>15</v>
      </c>
      <c r="G20" s="18" t="s">
        <v>10</v>
      </c>
      <c r="H20" s="18" t="s">
        <v>178</v>
      </c>
      <c r="I20" s="18" t="s">
        <v>10</v>
      </c>
      <c r="J20" s="18" t="s">
        <v>2459</v>
      </c>
      <c r="K20" s="20"/>
    </row>
    <row r="21" spans="1:11" ht="54.75" thickBot="1">
      <c r="A21" s="18" t="s">
        <v>2493</v>
      </c>
      <c r="B21" s="18">
        <v>20003532971</v>
      </c>
      <c r="C21" s="18" t="s">
        <v>2489</v>
      </c>
      <c r="D21" s="19">
        <v>45541.411805555559</v>
      </c>
      <c r="E21" s="18" t="s">
        <v>10</v>
      </c>
      <c r="F21" s="18">
        <v>5</v>
      </c>
      <c r="G21" s="18" t="s">
        <v>10</v>
      </c>
      <c r="H21" s="18" t="s">
        <v>236</v>
      </c>
      <c r="I21" s="18" t="s">
        <v>10</v>
      </c>
      <c r="J21" s="18" t="s">
        <v>2470</v>
      </c>
      <c r="K21" s="20"/>
    </row>
    <row r="22" spans="1:11" ht="36.75" thickBot="1">
      <c r="A22" s="18" t="s">
        <v>2494</v>
      </c>
      <c r="B22" s="18">
        <v>20018628687</v>
      </c>
      <c r="C22" s="18" t="s">
        <v>2495</v>
      </c>
      <c r="D22" s="19">
        <v>45541.418055555558</v>
      </c>
      <c r="E22" s="19">
        <v>45542.587500000001</v>
      </c>
      <c r="F22" s="18">
        <v>5</v>
      </c>
      <c r="G22" s="18" t="s">
        <v>10</v>
      </c>
      <c r="H22" s="18" t="s">
        <v>178</v>
      </c>
      <c r="I22" s="18" t="s">
        <v>10</v>
      </c>
      <c r="J22" s="18" t="s">
        <v>2459</v>
      </c>
      <c r="K22" s="20"/>
    </row>
    <row r="23" spans="1:11" ht="36.75" thickBot="1">
      <c r="A23" s="18" t="s">
        <v>2496</v>
      </c>
      <c r="B23" s="18">
        <v>20027618652</v>
      </c>
      <c r="C23" s="18" t="s">
        <v>2483</v>
      </c>
      <c r="D23" s="19">
        <v>45519.429166666669</v>
      </c>
      <c r="E23" s="19">
        <v>45544.716666666667</v>
      </c>
      <c r="F23" s="18">
        <v>10</v>
      </c>
      <c r="G23" s="19">
        <v>45572.62777777778</v>
      </c>
      <c r="H23" s="18" t="s">
        <v>236</v>
      </c>
      <c r="I23" s="18" t="s">
        <v>10</v>
      </c>
      <c r="J23" s="18" t="s">
        <v>2470</v>
      </c>
      <c r="K23" s="20"/>
    </row>
    <row r="24" spans="1:11" ht="54.75" thickBot="1">
      <c r="A24" s="18" t="s">
        <v>2497</v>
      </c>
      <c r="B24" s="18">
        <v>20003532971</v>
      </c>
      <c r="C24" s="18" t="s">
        <v>2489</v>
      </c>
      <c r="D24" s="19">
        <v>45545.640972222223</v>
      </c>
      <c r="E24" s="18" t="s">
        <v>10</v>
      </c>
      <c r="F24" s="18">
        <v>5</v>
      </c>
      <c r="G24" s="18" t="s">
        <v>10</v>
      </c>
      <c r="H24" s="18" t="s">
        <v>178</v>
      </c>
      <c r="I24" s="18" t="s">
        <v>10</v>
      </c>
      <c r="J24" s="18" t="s">
        <v>2470</v>
      </c>
      <c r="K24" s="20"/>
    </row>
    <row r="25" spans="1:11" ht="54.75" thickBot="1">
      <c r="A25" s="18" t="s">
        <v>2498</v>
      </c>
      <c r="B25" s="18">
        <v>20003532971</v>
      </c>
      <c r="C25" s="18" t="s">
        <v>2489</v>
      </c>
      <c r="D25" s="19">
        <v>45546.395138888889</v>
      </c>
      <c r="E25" s="18" t="s">
        <v>10</v>
      </c>
      <c r="F25" s="18">
        <v>5</v>
      </c>
      <c r="G25" s="18" t="s">
        <v>10</v>
      </c>
      <c r="H25" s="18" t="s">
        <v>236</v>
      </c>
      <c r="I25" s="18" t="s">
        <v>10</v>
      </c>
      <c r="J25" s="18" t="s">
        <v>2470</v>
      </c>
      <c r="K25" s="20"/>
    </row>
    <row r="26" spans="1:11" ht="36.75" thickBot="1">
      <c r="A26" s="18" t="s">
        <v>2499</v>
      </c>
      <c r="B26" s="18">
        <v>20024012844</v>
      </c>
      <c r="C26" s="18" t="s">
        <v>2500</v>
      </c>
      <c r="D26" s="19">
        <v>45545.470138888886</v>
      </c>
      <c r="E26" s="19">
        <v>45546.635416666664</v>
      </c>
      <c r="F26" s="18">
        <v>20</v>
      </c>
      <c r="G26" s="19">
        <v>45561.462500000001</v>
      </c>
      <c r="H26" s="18" t="s">
        <v>236</v>
      </c>
      <c r="I26" s="18" t="s">
        <v>10</v>
      </c>
      <c r="J26" s="18" t="s">
        <v>2470</v>
      </c>
      <c r="K26" s="20"/>
    </row>
    <row r="27" spans="1:11" ht="36.75" thickBot="1">
      <c r="A27" s="18" t="s">
        <v>2501</v>
      </c>
      <c r="B27" s="18">
        <v>20018628687</v>
      </c>
      <c r="C27" s="18" t="s">
        <v>2495</v>
      </c>
      <c r="D27" s="19">
        <v>45549.582638888889</v>
      </c>
      <c r="E27" s="19">
        <v>45558.427083333336</v>
      </c>
      <c r="F27" s="18">
        <v>5</v>
      </c>
      <c r="G27" s="18" t="s">
        <v>10</v>
      </c>
      <c r="H27" s="18" t="s">
        <v>178</v>
      </c>
      <c r="I27" s="18" t="s">
        <v>10</v>
      </c>
      <c r="J27" s="18" t="s">
        <v>2459</v>
      </c>
      <c r="K27" s="20"/>
    </row>
    <row r="28" spans="1:11" ht="36.75" thickBot="1">
      <c r="A28" s="18" t="s">
        <v>2502</v>
      </c>
      <c r="B28" s="18">
        <v>20021389960</v>
      </c>
      <c r="C28" s="18" t="s">
        <v>2503</v>
      </c>
      <c r="D28" s="19">
        <v>45544.927083333336</v>
      </c>
      <c r="E28" s="19">
        <v>45558.820833333331</v>
      </c>
      <c r="F28" s="18">
        <v>15</v>
      </c>
      <c r="G28" s="18" t="s">
        <v>10</v>
      </c>
      <c r="H28" s="18" t="s">
        <v>178</v>
      </c>
      <c r="I28" s="18" t="s">
        <v>10</v>
      </c>
      <c r="J28" s="18" t="s">
        <v>2470</v>
      </c>
      <c r="K28" s="20"/>
    </row>
    <row r="29" spans="1:11" ht="36.75" thickBot="1">
      <c r="A29" s="18" t="s">
        <v>2504</v>
      </c>
      <c r="B29" s="18">
        <v>20003563127</v>
      </c>
      <c r="C29" s="18" t="s">
        <v>2505</v>
      </c>
      <c r="D29" s="19">
        <v>45544.662499999999</v>
      </c>
      <c r="E29" s="19">
        <v>45559.588194444441</v>
      </c>
      <c r="F29" s="18">
        <v>15</v>
      </c>
      <c r="G29" s="18" t="s">
        <v>10</v>
      </c>
      <c r="H29" s="18" t="s">
        <v>178</v>
      </c>
      <c r="I29" s="18" t="s">
        <v>10</v>
      </c>
      <c r="J29" s="18" t="s">
        <v>2459</v>
      </c>
      <c r="K29" s="20"/>
    </row>
    <row r="30" spans="1:11" ht="54.75" thickBot="1">
      <c r="A30" s="18" t="s">
        <v>2506</v>
      </c>
      <c r="B30" s="18">
        <v>20003590144</v>
      </c>
      <c r="C30" s="18" t="s">
        <v>2507</v>
      </c>
      <c r="D30" s="19">
        <v>45565.640972222223</v>
      </c>
      <c r="E30" s="18" t="s">
        <v>10</v>
      </c>
      <c r="F30" s="18">
        <v>20</v>
      </c>
      <c r="G30" s="18" t="s">
        <v>10</v>
      </c>
      <c r="H30" s="18" t="s">
        <v>236</v>
      </c>
      <c r="I30" s="18" t="s">
        <v>10</v>
      </c>
      <c r="J30" s="18" t="s">
        <v>2459</v>
      </c>
      <c r="K30" s="20"/>
    </row>
    <row r="31" spans="1:11" ht="36.75" thickBot="1">
      <c r="A31" s="18" t="s">
        <v>2508</v>
      </c>
      <c r="B31" s="18">
        <v>20003367961</v>
      </c>
      <c r="C31" s="18" t="s">
        <v>2509</v>
      </c>
      <c r="D31" s="19">
        <v>45566.270138888889</v>
      </c>
      <c r="E31" s="18" t="s">
        <v>10</v>
      </c>
      <c r="F31" s="18">
        <v>5</v>
      </c>
      <c r="G31" s="18" t="s">
        <v>10</v>
      </c>
      <c r="H31" s="18" t="s">
        <v>236</v>
      </c>
      <c r="I31" s="18" t="s">
        <v>10</v>
      </c>
      <c r="J31" s="18" t="s">
        <v>2470</v>
      </c>
      <c r="K31" s="20"/>
    </row>
    <row r="32" spans="1:11" ht="36.75" thickBot="1">
      <c r="A32" s="18" t="s">
        <v>2510</v>
      </c>
      <c r="B32" s="18">
        <v>20021389960</v>
      </c>
      <c r="C32" s="18" t="s">
        <v>2503</v>
      </c>
      <c r="D32" s="19">
        <v>45570.411111111112</v>
      </c>
      <c r="E32" s="18" t="s">
        <v>10</v>
      </c>
      <c r="F32" s="18">
        <v>15</v>
      </c>
      <c r="G32" s="19">
        <v>45576.519444444442</v>
      </c>
      <c r="H32" s="18" t="s">
        <v>236</v>
      </c>
      <c r="I32" s="18" t="s">
        <v>10</v>
      </c>
      <c r="J32" s="18" t="s">
        <v>2470</v>
      </c>
      <c r="K32" s="20"/>
    </row>
    <row r="33" spans="1:11" ht="36.75" thickBot="1">
      <c r="A33" s="18" t="s">
        <v>2511</v>
      </c>
      <c r="B33" s="18">
        <v>20003563127</v>
      </c>
      <c r="C33" s="18" t="s">
        <v>2505</v>
      </c>
      <c r="D33" s="19">
        <v>45570.429166666669</v>
      </c>
      <c r="E33" s="18" t="s">
        <v>10</v>
      </c>
      <c r="F33" s="18">
        <v>20</v>
      </c>
      <c r="G33" s="19">
        <v>45576.643750000003</v>
      </c>
      <c r="H33" s="18" t="s">
        <v>236</v>
      </c>
      <c r="I33" s="18" t="s">
        <v>10</v>
      </c>
      <c r="J33" s="18" t="s">
        <v>2459</v>
      </c>
      <c r="K33" s="20"/>
    </row>
    <row r="34" spans="1:11" ht="36.75" thickBot="1">
      <c r="A34" s="18" t="s">
        <v>2512</v>
      </c>
      <c r="B34" s="18">
        <v>20026416625</v>
      </c>
      <c r="C34" s="18" t="s">
        <v>2513</v>
      </c>
      <c r="D34" s="19">
        <v>45579.650694444441</v>
      </c>
      <c r="E34" s="18" t="s">
        <v>10</v>
      </c>
      <c r="F34" s="18">
        <v>10</v>
      </c>
      <c r="G34" s="18" t="s">
        <v>10</v>
      </c>
      <c r="H34" s="18" t="s">
        <v>178</v>
      </c>
      <c r="I34" s="18" t="s">
        <v>10</v>
      </c>
      <c r="J34" s="18" t="s">
        <v>2462</v>
      </c>
      <c r="K34" s="20"/>
    </row>
    <row r="35" spans="1:11" ht="36.75" thickBot="1">
      <c r="A35" s="18" t="s">
        <v>2514</v>
      </c>
      <c r="B35" s="18">
        <v>20026416625</v>
      </c>
      <c r="C35" s="18" t="s">
        <v>2515</v>
      </c>
      <c r="D35" s="19">
        <v>45581.431944444441</v>
      </c>
      <c r="E35" s="19">
        <v>45583.601388888892</v>
      </c>
      <c r="F35" s="18">
        <v>10</v>
      </c>
      <c r="G35" s="19">
        <v>45630.557638888888</v>
      </c>
      <c r="H35" s="18" t="s">
        <v>236</v>
      </c>
      <c r="I35" s="18" t="s">
        <v>10</v>
      </c>
      <c r="J35" s="18" t="s">
        <v>2462</v>
      </c>
      <c r="K35" s="20"/>
    </row>
    <row r="36" spans="1:11" ht="36.75" thickBot="1">
      <c r="A36" s="18" t="s">
        <v>2516</v>
      </c>
      <c r="B36" s="18">
        <v>20003518199</v>
      </c>
      <c r="C36" s="18" t="s">
        <v>2517</v>
      </c>
      <c r="D36" s="19">
        <v>45583.662499999999</v>
      </c>
      <c r="E36" s="18" t="s">
        <v>10</v>
      </c>
      <c r="F36" s="18">
        <v>20</v>
      </c>
      <c r="G36" s="18" t="s">
        <v>10</v>
      </c>
      <c r="H36" s="18" t="s">
        <v>178</v>
      </c>
      <c r="I36" s="18" t="s">
        <v>10</v>
      </c>
      <c r="J36" s="18" t="s">
        <v>2462</v>
      </c>
      <c r="K36" s="20"/>
    </row>
    <row r="37" spans="1:11" ht="36.75" thickBot="1">
      <c r="A37" s="18" t="s">
        <v>2518</v>
      </c>
      <c r="B37" s="18">
        <v>20003537361</v>
      </c>
      <c r="C37" s="18" t="s">
        <v>2519</v>
      </c>
      <c r="D37" s="19">
        <v>45587.679166666669</v>
      </c>
      <c r="E37" s="18" t="s">
        <v>10</v>
      </c>
      <c r="F37" s="18">
        <v>5</v>
      </c>
      <c r="G37" s="18" t="s">
        <v>10</v>
      </c>
      <c r="H37" s="18" t="s">
        <v>236</v>
      </c>
      <c r="I37" s="18" t="s">
        <v>10</v>
      </c>
      <c r="J37" s="18" t="s">
        <v>2459</v>
      </c>
      <c r="K37" s="20"/>
    </row>
    <row r="38" spans="1:11" ht="36.75" thickBot="1">
      <c r="A38" s="18" t="s">
        <v>2520</v>
      </c>
      <c r="B38" s="18">
        <v>20003518199</v>
      </c>
      <c r="C38" s="18" t="s">
        <v>2517</v>
      </c>
      <c r="D38" s="19">
        <v>45591.433333333334</v>
      </c>
      <c r="E38" s="18" t="s">
        <v>10</v>
      </c>
      <c r="F38" s="18">
        <v>20</v>
      </c>
      <c r="G38" s="18" t="s">
        <v>10</v>
      </c>
      <c r="H38" s="18" t="s">
        <v>178</v>
      </c>
      <c r="I38" s="18" t="s">
        <v>10</v>
      </c>
      <c r="J38" s="18" t="s">
        <v>2462</v>
      </c>
      <c r="K38" s="20"/>
    </row>
    <row r="39" spans="1:11" ht="36.75" thickBot="1">
      <c r="A39" s="18" t="s">
        <v>2521</v>
      </c>
      <c r="B39" s="18">
        <v>20027732469</v>
      </c>
      <c r="C39" s="18" t="s">
        <v>2522</v>
      </c>
      <c r="D39" s="19">
        <v>45593.509722222225</v>
      </c>
      <c r="E39" s="18" t="s">
        <v>10</v>
      </c>
      <c r="F39" s="18">
        <v>5</v>
      </c>
      <c r="G39" s="18" t="s">
        <v>10</v>
      </c>
      <c r="H39" s="18" t="s">
        <v>236</v>
      </c>
      <c r="I39" s="18" t="s">
        <v>10</v>
      </c>
      <c r="J39" s="18" t="s">
        <v>2459</v>
      </c>
      <c r="K39" s="20"/>
    </row>
    <row r="40" spans="1:11" ht="36.75" thickBot="1">
      <c r="A40" s="18" t="s">
        <v>2523</v>
      </c>
      <c r="B40" s="18">
        <v>20003518199</v>
      </c>
      <c r="C40" s="18" t="s">
        <v>2524</v>
      </c>
      <c r="D40" s="19">
        <v>45600.503472222219</v>
      </c>
      <c r="E40" s="18" t="s">
        <v>10</v>
      </c>
      <c r="F40" s="18">
        <v>20</v>
      </c>
      <c r="G40" s="18" t="s">
        <v>10</v>
      </c>
      <c r="H40" s="18" t="s">
        <v>178</v>
      </c>
      <c r="I40" s="18" t="s">
        <v>10</v>
      </c>
      <c r="J40" s="18" t="s">
        <v>2462</v>
      </c>
      <c r="K40" s="20"/>
    </row>
    <row r="41" spans="1:11" ht="36.75" thickBot="1">
      <c r="A41" s="18" t="s">
        <v>2525</v>
      </c>
      <c r="B41" s="18">
        <v>20003518199</v>
      </c>
      <c r="C41" s="18" t="s">
        <v>2524</v>
      </c>
      <c r="D41" s="19">
        <v>45603.38958333333</v>
      </c>
      <c r="E41" s="18" t="s">
        <v>10</v>
      </c>
      <c r="F41" s="18">
        <v>20</v>
      </c>
      <c r="G41" s="18" t="s">
        <v>10</v>
      </c>
      <c r="H41" s="18" t="s">
        <v>178</v>
      </c>
      <c r="I41" s="18" t="s">
        <v>10</v>
      </c>
      <c r="J41" s="18" t="s">
        <v>2462</v>
      </c>
      <c r="K41" s="20"/>
    </row>
    <row r="42" spans="1:11" ht="36.75" thickBot="1">
      <c r="A42" s="18" t="s">
        <v>2526</v>
      </c>
      <c r="B42" s="18">
        <v>20003518199</v>
      </c>
      <c r="C42" s="18" t="s">
        <v>2524</v>
      </c>
      <c r="D42" s="19">
        <v>45603.696527777778</v>
      </c>
      <c r="E42" s="18" t="s">
        <v>10</v>
      </c>
      <c r="F42" s="18">
        <v>20</v>
      </c>
      <c r="G42" s="19">
        <v>45609.652777777781</v>
      </c>
      <c r="H42" s="18" t="s">
        <v>236</v>
      </c>
      <c r="I42" s="18" t="s">
        <v>10</v>
      </c>
      <c r="J42" s="18" t="s">
        <v>2462</v>
      </c>
      <c r="K42" s="20"/>
    </row>
    <row r="43" spans="1:11" ht="36.75" thickBot="1">
      <c r="A43" s="18" t="s">
        <v>2527</v>
      </c>
      <c r="B43" s="18">
        <v>20018628687</v>
      </c>
      <c r="C43" s="18" t="s">
        <v>2495</v>
      </c>
      <c r="D43" s="19">
        <v>45597.489583333336</v>
      </c>
      <c r="E43" s="19">
        <v>45605.434027777781</v>
      </c>
      <c r="F43" s="18">
        <v>5</v>
      </c>
      <c r="G43" s="19">
        <v>45611.647916666669</v>
      </c>
      <c r="H43" s="18" t="s">
        <v>236</v>
      </c>
      <c r="I43" s="18" t="s">
        <v>10</v>
      </c>
      <c r="J43" s="18" t="s">
        <v>2459</v>
      </c>
      <c r="K43" s="20"/>
    </row>
    <row r="44" spans="1:11" ht="36.75" thickBot="1">
      <c r="A44" s="18" t="s">
        <v>2528</v>
      </c>
      <c r="B44" s="18">
        <v>20028062626</v>
      </c>
      <c r="C44" s="18" t="s">
        <v>2529</v>
      </c>
      <c r="D44" s="19">
        <v>45598.481249999997</v>
      </c>
      <c r="E44" s="19">
        <v>45617.77847222222</v>
      </c>
      <c r="F44" s="18">
        <v>5</v>
      </c>
      <c r="G44" s="19">
        <v>45644.619444444441</v>
      </c>
      <c r="H44" s="18" t="s">
        <v>236</v>
      </c>
      <c r="I44" s="18" t="s">
        <v>10</v>
      </c>
      <c r="J44" s="18" t="s">
        <v>2470</v>
      </c>
      <c r="K44" s="20"/>
    </row>
    <row r="45" spans="1:11" ht="36.75" thickBot="1">
      <c r="A45" s="18" t="s">
        <v>2530</v>
      </c>
      <c r="B45" s="18">
        <v>20003545348</v>
      </c>
      <c r="C45" s="18" t="s">
        <v>2531</v>
      </c>
      <c r="D45" s="19">
        <v>45598.488888888889</v>
      </c>
      <c r="E45" s="19">
        <v>45621.767361111109</v>
      </c>
      <c r="F45" s="18">
        <v>10</v>
      </c>
      <c r="G45" s="19">
        <v>45644.619444444441</v>
      </c>
      <c r="H45" s="18" t="s">
        <v>236</v>
      </c>
      <c r="I45" s="18" t="s">
        <v>10</v>
      </c>
      <c r="J45" s="18" t="s">
        <v>2462</v>
      </c>
      <c r="K45" s="20"/>
    </row>
    <row r="46" spans="1:11" ht="54.75" thickBot="1">
      <c r="A46" s="18" t="s">
        <v>2532</v>
      </c>
      <c r="B46" s="18">
        <v>20003574653</v>
      </c>
      <c r="C46" s="18" t="s">
        <v>2533</v>
      </c>
      <c r="D46" s="19">
        <v>45638.474999999999</v>
      </c>
      <c r="E46" s="18" t="s">
        <v>10</v>
      </c>
      <c r="F46" s="18">
        <v>20</v>
      </c>
      <c r="G46" s="18" t="s">
        <v>10</v>
      </c>
      <c r="H46" s="18" t="s">
        <v>178</v>
      </c>
      <c r="I46" s="18" t="s">
        <v>10</v>
      </c>
      <c r="J46" s="18" t="s">
        <v>2459</v>
      </c>
      <c r="K46" s="20"/>
    </row>
    <row r="47" spans="1:11" ht="36.75" thickBot="1">
      <c r="A47" s="18" t="s">
        <v>2534</v>
      </c>
      <c r="B47" s="18">
        <v>20020308966</v>
      </c>
      <c r="C47" s="18" t="s">
        <v>2485</v>
      </c>
      <c r="D47" s="19">
        <v>45639.5625</v>
      </c>
      <c r="E47" s="18" t="s">
        <v>10</v>
      </c>
      <c r="F47" s="18">
        <v>15</v>
      </c>
      <c r="G47" s="18" t="s">
        <v>10</v>
      </c>
      <c r="H47" s="18" t="s">
        <v>178</v>
      </c>
      <c r="I47" s="18" t="s">
        <v>10</v>
      </c>
      <c r="J47" s="18" t="s">
        <v>2459</v>
      </c>
      <c r="K47" s="20"/>
    </row>
    <row r="48" spans="1:11" ht="36.75" thickBot="1">
      <c r="A48" s="18" t="s">
        <v>2535</v>
      </c>
      <c r="B48" s="18">
        <v>20020834354</v>
      </c>
      <c r="C48" s="18" t="s">
        <v>2536</v>
      </c>
      <c r="D48" s="19">
        <v>45645.668055555558</v>
      </c>
      <c r="E48" s="19">
        <v>45647.617361111108</v>
      </c>
      <c r="F48" s="18">
        <v>5</v>
      </c>
      <c r="G48" s="19">
        <v>45672.588194444441</v>
      </c>
      <c r="H48" s="18" t="s">
        <v>236</v>
      </c>
      <c r="I48" s="18" t="s">
        <v>10</v>
      </c>
      <c r="J48" s="18" t="s">
        <v>2459</v>
      </c>
      <c r="K48" s="20"/>
    </row>
    <row r="49" spans="1:11" ht="36.75" thickBot="1">
      <c r="A49" s="18" t="s">
        <v>2537</v>
      </c>
      <c r="B49" s="18">
        <v>20020308966</v>
      </c>
      <c r="C49" s="18" t="s">
        <v>2485</v>
      </c>
      <c r="D49" s="19">
        <v>45665.738888888889</v>
      </c>
      <c r="E49" s="18" t="s">
        <v>10</v>
      </c>
      <c r="F49" s="18">
        <v>15</v>
      </c>
      <c r="G49" s="19">
        <v>45667.574305555558</v>
      </c>
      <c r="H49" s="18" t="s">
        <v>236</v>
      </c>
      <c r="I49" s="18" t="s">
        <v>10</v>
      </c>
      <c r="J49" s="18" t="s">
        <v>2459</v>
      </c>
      <c r="K49" s="20"/>
    </row>
    <row r="50" spans="1:11" ht="36.75" thickBot="1">
      <c r="A50" s="18" t="s">
        <v>2538</v>
      </c>
      <c r="B50" s="18">
        <v>20023279532</v>
      </c>
      <c r="C50" s="18" t="s">
        <v>2539</v>
      </c>
      <c r="D50" s="19">
        <v>45670.793055555558</v>
      </c>
      <c r="E50" s="19">
        <v>45672.452777777777</v>
      </c>
      <c r="F50" s="18">
        <v>10</v>
      </c>
      <c r="G50" s="18" t="s">
        <v>10</v>
      </c>
      <c r="H50" s="18" t="s">
        <v>178</v>
      </c>
      <c r="I50" s="18" t="s">
        <v>10</v>
      </c>
      <c r="J50" s="18" t="s">
        <v>2470</v>
      </c>
      <c r="K50" s="20"/>
    </row>
    <row r="51" spans="1:11" ht="36.75" thickBot="1">
      <c r="A51" s="18" t="s">
        <v>2540</v>
      </c>
      <c r="B51" s="18">
        <v>20023279532</v>
      </c>
      <c r="C51" s="18" t="s">
        <v>2539</v>
      </c>
      <c r="D51" s="19">
        <v>45672.777777777781</v>
      </c>
      <c r="E51" s="18" t="s">
        <v>10</v>
      </c>
      <c r="F51" s="18">
        <v>10</v>
      </c>
      <c r="G51" s="19">
        <v>45693.552083333336</v>
      </c>
      <c r="H51" s="18" t="s">
        <v>236</v>
      </c>
      <c r="I51" s="18" t="s">
        <v>10</v>
      </c>
      <c r="J51" s="18" t="s">
        <v>2470</v>
      </c>
      <c r="K51" s="20"/>
    </row>
    <row r="52" spans="1:11" ht="54.75" thickBot="1">
      <c r="A52" s="18" t="s">
        <v>2541</v>
      </c>
      <c r="B52" s="18">
        <v>20003574653</v>
      </c>
      <c r="C52" s="18" t="s">
        <v>2533</v>
      </c>
      <c r="D52" s="19">
        <v>45733.57916666667</v>
      </c>
      <c r="E52" s="19">
        <v>45743.63958333333</v>
      </c>
      <c r="F52" s="18">
        <v>20</v>
      </c>
      <c r="G52" s="18" t="s">
        <v>10</v>
      </c>
      <c r="H52" s="18" t="s">
        <v>189</v>
      </c>
      <c r="I52" s="18" t="s">
        <v>10</v>
      </c>
      <c r="J52" s="18" t="s">
        <v>2459</v>
      </c>
      <c r="K52" s="20"/>
    </row>
    <row r="53" spans="1:11" ht="36.75" thickBot="1">
      <c r="A53" s="18" t="s">
        <v>2645</v>
      </c>
      <c r="B53" s="18">
        <v>20024884904</v>
      </c>
      <c r="C53" s="18" t="s">
        <v>2646</v>
      </c>
      <c r="D53" s="19">
        <v>45771.611805555556</v>
      </c>
      <c r="E53" s="18" t="s">
        <v>10</v>
      </c>
      <c r="F53" s="18">
        <v>5</v>
      </c>
      <c r="G53" s="18" t="s">
        <v>10</v>
      </c>
      <c r="H53" s="18" t="s">
        <v>178</v>
      </c>
      <c r="I53" s="18" t="s">
        <v>10</v>
      </c>
      <c r="J53" s="18" t="s">
        <v>2459</v>
      </c>
      <c r="K53" s="20"/>
    </row>
    <row r="54" spans="1:11" ht="36.75" thickBot="1">
      <c r="A54" s="18" t="s">
        <v>2647</v>
      </c>
      <c r="B54" s="18">
        <v>20017320484</v>
      </c>
      <c r="C54" s="18" t="s">
        <v>2648</v>
      </c>
      <c r="D54" s="19">
        <v>45776.559027777781</v>
      </c>
      <c r="E54" s="18" t="s">
        <v>10</v>
      </c>
      <c r="F54" s="18">
        <v>5</v>
      </c>
      <c r="G54" s="18" t="s">
        <v>10</v>
      </c>
      <c r="H54" s="18" t="s">
        <v>178</v>
      </c>
      <c r="I54" s="18" t="s">
        <v>10</v>
      </c>
      <c r="J54" s="18" t="s">
        <v>2459</v>
      </c>
      <c r="K54" s="20"/>
    </row>
    <row r="55" spans="1:11" ht="36.75" thickBot="1">
      <c r="A55" s="18" t="s">
        <v>2649</v>
      </c>
      <c r="B55" s="18">
        <v>903202002305</v>
      </c>
      <c r="C55" s="18" t="s">
        <v>2650</v>
      </c>
      <c r="D55" s="19">
        <v>45776.602083333331</v>
      </c>
      <c r="E55" s="18" t="s">
        <v>10</v>
      </c>
      <c r="F55" s="18">
        <v>5</v>
      </c>
      <c r="G55" s="18" t="s">
        <v>10</v>
      </c>
      <c r="H55" s="18" t="s">
        <v>178</v>
      </c>
      <c r="I55" s="18" t="s">
        <v>10</v>
      </c>
      <c r="J55" s="18" t="s">
        <v>2462</v>
      </c>
      <c r="K55" s="20"/>
    </row>
    <row r="56" spans="1:11" ht="36.75" thickBot="1">
      <c r="A56" s="18" t="s">
        <v>2936</v>
      </c>
      <c r="B56" s="18">
        <v>20003466381</v>
      </c>
      <c r="C56" s="18" t="s">
        <v>2937</v>
      </c>
      <c r="D56" s="19">
        <v>45777.451388888891</v>
      </c>
      <c r="E56" s="18" t="s">
        <v>10</v>
      </c>
      <c r="F56" s="18">
        <v>20</v>
      </c>
      <c r="G56" s="19">
        <v>45833.646527777775</v>
      </c>
      <c r="H56" s="18" t="s">
        <v>2657</v>
      </c>
      <c r="I56" s="18" t="s">
        <v>10</v>
      </c>
      <c r="J56" s="18" t="s">
        <v>2470</v>
      </c>
      <c r="K56" s="20"/>
    </row>
    <row r="57" spans="1:11" ht="36.75" thickBot="1">
      <c r="A57" s="18" t="s">
        <v>2938</v>
      </c>
      <c r="B57" s="18">
        <v>20025827914</v>
      </c>
      <c r="C57" s="18" t="s">
        <v>2939</v>
      </c>
      <c r="D57" s="19">
        <v>45800.578472222223</v>
      </c>
      <c r="E57" s="18" t="s">
        <v>10</v>
      </c>
      <c r="F57" s="18">
        <v>5</v>
      </c>
      <c r="G57" s="19">
        <v>45971.568055555559</v>
      </c>
      <c r="H57" s="18" t="s">
        <v>2657</v>
      </c>
      <c r="I57" s="18" t="s">
        <v>10</v>
      </c>
      <c r="J57" s="18" t="s">
        <v>2462</v>
      </c>
      <c r="K57" s="20"/>
    </row>
    <row r="58" spans="1:11" ht="36.75" thickBot="1">
      <c r="A58" s="18" t="s">
        <v>2940</v>
      </c>
      <c r="B58" s="18">
        <v>20003448640</v>
      </c>
      <c r="C58" s="18" t="s">
        <v>2941</v>
      </c>
      <c r="D58" s="19">
        <v>45803.486111111109</v>
      </c>
      <c r="E58" s="19">
        <v>45807.645833333336</v>
      </c>
      <c r="F58" s="18">
        <v>5</v>
      </c>
      <c r="G58" s="18" t="s">
        <v>10</v>
      </c>
      <c r="H58" s="18" t="s">
        <v>178</v>
      </c>
      <c r="I58" s="18" t="s">
        <v>10</v>
      </c>
      <c r="J58" s="18" t="s">
        <v>2470</v>
      </c>
      <c r="K58" s="20"/>
    </row>
    <row r="59" spans="1:11" ht="36.75" thickBot="1">
      <c r="A59" s="18" t="s">
        <v>2942</v>
      </c>
      <c r="B59" s="18">
        <v>20003506911</v>
      </c>
      <c r="C59" s="18" t="s">
        <v>2943</v>
      </c>
      <c r="D59" s="19">
        <v>45822.765972222223</v>
      </c>
      <c r="E59" s="19">
        <v>45824.942361111112</v>
      </c>
      <c r="F59" s="18">
        <v>10</v>
      </c>
      <c r="G59" s="19">
        <v>45890.432638888888</v>
      </c>
      <c r="H59" s="18" t="s">
        <v>2657</v>
      </c>
      <c r="I59" s="18" t="s">
        <v>10</v>
      </c>
      <c r="J59" s="18" t="s">
        <v>2462</v>
      </c>
      <c r="K59" s="20"/>
    </row>
    <row r="60" spans="1:11" ht="36.75" thickBot="1">
      <c r="A60" s="18" t="s">
        <v>3984</v>
      </c>
      <c r="B60" s="18">
        <v>20003551619</v>
      </c>
      <c r="C60" s="18" t="s">
        <v>3985</v>
      </c>
      <c r="D60" s="19">
        <v>45828.661805555559</v>
      </c>
      <c r="E60" s="18" t="s">
        <v>10</v>
      </c>
      <c r="F60" s="18">
        <v>6</v>
      </c>
      <c r="G60" s="19">
        <v>45912.572916666664</v>
      </c>
      <c r="H60" s="18" t="s">
        <v>236</v>
      </c>
      <c r="I60" s="18" t="s">
        <v>10</v>
      </c>
      <c r="J60" s="18" t="s">
        <v>2470</v>
      </c>
      <c r="K60" s="20"/>
    </row>
    <row r="61" spans="1:11" ht="36.75" thickBot="1">
      <c r="A61" s="18" t="s">
        <v>3986</v>
      </c>
      <c r="B61" s="18">
        <v>20026158298</v>
      </c>
      <c r="C61" s="18" t="s">
        <v>3987</v>
      </c>
      <c r="D61" s="19">
        <v>45852.586111111108</v>
      </c>
      <c r="E61" s="18" t="s">
        <v>10</v>
      </c>
      <c r="F61" s="18">
        <v>10</v>
      </c>
      <c r="G61" s="18" t="s">
        <v>10</v>
      </c>
      <c r="H61" s="18" t="s">
        <v>178</v>
      </c>
      <c r="I61" s="18" t="s">
        <v>10</v>
      </c>
      <c r="J61" s="18" t="s">
        <v>2470</v>
      </c>
      <c r="K61" s="20"/>
    </row>
    <row r="62" spans="1:11" ht="36.75" thickBot="1">
      <c r="A62" s="18" t="s">
        <v>3988</v>
      </c>
      <c r="B62" s="18">
        <v>20026158298</v>
      </c>
      <c r="C62" s="18" t="s">
        <v>3987</v>
      </c>
      <c r="D62" s="19">
        <v>45854.428472222222</v>
      </c>
      <c r="E62" s="18" t="s">
        <v>10</v>
      </c>
      <c r="F62" s="18">
        <v>10</v>
      </c>
      <c r="G62" s="19">
        <v>45894.564583333333</v>
      </c>
      <c r="H62" s="18" t="s">
        <v>236</v>
      </c>
      <c r="I62" s="18" t="s">
        <v>10</v>
      </c>
      <c r="J62" s="18" t="s">
        <v>2470</v>
      </c>
      <c r="K62" s="20"/>
    </row>
    <row r="63" spans="1:11" ht="36.75" thickBot="1">
      <c r="A63" s="18" t="s">
        <v>3989</v>
      </c>
      <c r="B63" s="18">
        <v>20024749525</v>
      </c>
      <c r="C63" s="18" t="s">
        <v>3990</v>
      </c>
      <c r="D63" s="19">
        <v>45878.720138888886</v>
      </c>
      <c r="E63" s="19">
        <v>45885.489583333336</v>
      </c>
      <c r="F63" s="18">
        <v>20</v>
      </c>
      <c r="G63" s="19">
        <v>45931.395833333336</v>
      </c>
      <c r="H63" s="18" t="s">
        <v>236</v>
      </c>
      <c r="I63" s="18" t="s">
        <v>10</v>
      </c>
      <c r="J63" s="18" t="s">
        <v>2459</v>
      </c>
      <c r="K63" s="20"/>
    </row>
    <row r="64" spans="1:11" ht="36.75" thickBot="1">
      <c r="A64" s="18" t="s">
        <v>3991</v>
      </c>
      <c r="B64" s="18">
        <v>20027170797</v>
      </c>
      <c r="C64" s="18" t="s">
        <v>3992</v>
      </c>
      <c r="D64" s="19">
        <v>45880.477777777778</v>
      </c>
      <c r="E64" s="19">
        <v>45887.395833333336</v>
      </c>
      <c r="F64" s="18">
        <v>7.6</v>
      </c>
      <c r="G64" s="19">
        <v>45972.551388888889</v>
      </c>
      <c r="H64" s="18" t="s">
        <v>2657</v>
      </c>
      <c r="I64" s="18" t="s">
        <v>10</v>
      </c>
      <c r="J64" s="18" t="s">
        <v>2462</v>
      </c>
      <c r="K64" s="20"/>
    </row>
    <row r="65" spans="1:11" ht="36.75" thickBot="1">
      <c r="A65" s="18" t="s">
        <v>3993</v>
      </c>
      <c r="B65" s="18">
        <v>20003448640</v>
      </c>
      <c r="C65" s="18" t="s">
        <v>2941</v>
      </c>
      <c r="D65" s="19">
        <v>45884.716666666667</v>
      </c>
      <c r="E65" s="19">
        <v>45889.709722222222</v>
      </c>
      <c r="F65" s="18">
        <v>5</v>
      </c>
      <c r="G65" s="19">
        <v>45903.571527777778</v>
      </c>
      <c r="H65" s="18" t="s">
        <v>2657</v>
      </c>
      <c r="I65" s="18" t="s">
        <v>10</v>
      </c>
      <c r="J65" s="18" t="s">
        <v>2470</v>
      </c>
      <c r="K65" s="20"/>
    </row>
    <row r="66" spans="1:11" ht="36.75" thickBot="1">
      <c r="A66" s="18" t="s">
        <v>3994</v>
      </c>
      <c r="B66" s="18">
        <v>20003092547</v>
      </c>
      <c r="C66" s="18" t="s">
        <v>3995</v>
      </c>
      <c r="D66" s="19">
        <v>45895.76666666667</v>
      </c>
      <c r="E66" s="18" t="s">
        <v>10</v>
      </c>
      <c r="F66" s="18">
        <v>10</v>
      </c>
      <c r="G66" s="19">
        <v>45933.590277777781</v>
      </c>
      <c r="H66" s="18" t="s">
        <v>236</v>
      </c>
      <c r="I66" s="18" t="s">
        <v>10</v>
      </c>
      <c r="J66" s="18" t="s">
        <v>2459</v>
      </c>
      <c r="K66" s="20"/>
    </row>
    <row r="67" spans="1:11" ht="36.75" thickBot="1">
      <c r="A67" s="18" t="s">
        <v>3996</v>
      </c>
      <c r="B67" s="18">
        <v>20027918609</v>
      </c>
      <c r="C67" s="18" t="s">
        <v>3997</v>
      </c>
      <c r="D67" s="19">
        <v>45901.692361111112</v>
      </c>
      <c r="E67" s="18" t="s">
        <v>10</v>
      </c>
      <c r="F67" s="18">
        <v>5</v>
      </c>
      <c r="G67" s="18" t="s">
        <v>10</v>
      </c>
      <c r="H67" s="18" t="s">
        <v>178</v>
      </c>
      <c r="I67" s="18" t="s">
        <v>10</v>
      </c>
      <c r="J67" s="18" t="s">
        <v>2470</v>
      </c>
      <c r="K67" s="20"/>
    </row>
    <row r="68" spans="1:11" ht="36.75" thickBot="1">
      <c r="A68" s="18" t="s">
        <v>3998</v>
      </c>
      <c r="B68" s="18">
        <v>20024884904</v>
      </c>
      <c r="C68" s="18" t="s">
        <v>2646</v>
      </c>
      <c r="D68" s="19">
        <v>45909.412499999999</v>
      </c>
      <c r="E68" s="19">
        <v>45911.447222222225</v>
      </c>
      <c r="F68" s="18">
        <v>5</v>
      </c>
      <c r="G68" s="19">
        <v>45937.473611111112</v>
      </c>
      <c r="H68" s="18" t="s">
        <v>2657</v>
      </c>
      <c r="I68" s="18" t="s">
        <v>10</v>
      </c>
      <c r="J68" s="18" t="s">
        <v>2459</v>
      </c>
      <c r="K68" s="20"/>
    </row>
    <row r="69" spans="1:11" ht="36.75" thickBot="1">
      <c r="A69" s="18" t="s">
        <v>3999</v>
      </c>
      <c r="B69" s="18">
        <v>20003541708</v>
      </c>
      <c r="C69" s="18" t="s">
        <v>4000</v>
      </c>
      <c r="D69" s="19">
        <v>45912.791666666664</v>
      </c>
      <c r="E69" s="18" t="s">
        <v>10</v>
      </c>
      <c r="F69" s="18">
        <v>20</v>
      </c>
      <c r="G69" s="18" t="s">
        <v>10</v>
      </c>
      <c r="H69" s="18" t="s">
        <v>178</v>
      </c>
      <c r="I69" s="18" t="s">
        <v>10</v>
      </c>
      <c r="J69" s="18" t="s">
        <v>2470</v>
      </c>
      <c r="K69" s="20"/>
    </row>
    <row r="70" spans="1:11" ht="36.75" thickBot="1">
      <c r="A70" s="18" t="s">
        <v>4001</v>
      </c>
      <c r="B70" s="18">
        <v>20025172700</v>
      </c>
      <c r="C70" s="18" t="s">
        <v>4002</v>
      </c>
      <c r="D70" s="19">
        <v>45915.490277777775</v>
      </c>
      <c r="E70" s="18" t="s">
        <v>10</v>
      </c>
      <c r="F70" s="18">
        <v>6</v>
      </c>
      <c r="G70" s="18" t="s">
        <v>10</v>
      </c>
      <c r="H70" s="18" t="s">
        <v>178</v>
      </c>
      <c r="I70" s="18" t="s">
        <v>10</v>
      </c>
      <c r="J70" s="18" t="s">
        <v>2470</v>
      </c>
      <c r="K70" s="20"/>
    </row>
    <row r="71" spans="1:11" ht="36.75" thickBot="1">
      <c r="A71" s="18" t="s">
        <v>4003</v>
      </c>
      <c r="B71" s="18">
        <v>20025172700</v>
      </c>
      <c r="C71" s="18" t="s">
        <v>4002</v>
      </c>
      <c r="D71" s="19">
        <v>45938.397222222222</v>
      </c>
      <c r="E71" s="18" t="s">
        <v>10</v>
      </c>
      <c r="F71" s="18">
        <v>6</v>
      </c>
      <c r="G71" s="19">
        <v>45964.536111111112</v>
      </c>
      <c r="H71" s="18" t="s">
        <v>2657</v>
      </c>
      <c r="I71" s="18" t="s">
        <v>10</v>
      </c>
      <c r="J71" s="18" t="s">
        <v>2470</v>
      </c>
      <c r="K71" s="20"/>
    </row>
    <row r="72" spans="1:11" ht="36.75" thickBot="1">
      <c r="A72" s="18" t="s">
        <v>4004</v>
      </c>
      <c r="B72" s="18">
        <v>20018240096</v>
      </c>
      <c r="C72" s="18" t="s">
        <v>4005</v>
      </c>
      <c r="D72" s="19">
        <v>45937.730555555558</v>
      </c>
      <c r="E72" s="19">
        <v>45938.57708333333</v>
      </c>
      <c r="F72" s="18">
        <v>20</v>
      </c>
      <c r="G72" s="18" t="s">
        <v>10</v>
      </c>
      <c r="H72" s="18" t="s">
        <v>189</v>
      </c>
      <c r="I72" s="18" t="s">
        <v>10</v>
      </c>
      <c r="J72" s="18" t="s">
        <v>2462</v>
      </c>
      <c r="K72" s="20"/>
    </row>
    <row r="73" spans="1:11" ht="36.75" thickBot="1">
      <c r="A73" s="18" t="s">
        <v>4006</v>
      </c>
      <c r="B73" s="18">
        <v>20003518294</v>
      </c>
      <c r="C73" s="18" t="s">
        <v>4007</v>
      </c>
      <c r="D73" s="19">
        <v>45940.898611111108</v>
      </c>
      <c r="E73" s="18" t="s">
        <v>10</v>
      </c>
      <c r="F73" s="18">
        <v>15</v>
      </c>
      <c r="G73" s="18" t="s">
        <v>10</v>
      </c>
      <c r="H73" s="18" t="s">
        <v>178</v>
      </c>
      <c r="I73" s="18" t="s">
        <v>10</v>
      </c>
      <c r="J73" s="18" t="s">
        <v>2462</v>
      </c>
      <c r="K73" s="20"/>
    </row>
    <row r="74" spans="1:11" ht="36.75" thickBot="1">
      <c r="A74" s="18" t="s">
        <v>4008</v>
      </c>
      <c r="B74" s="18">
        <v>20003518294</v>
      </c>
      <c r="C74" s="18" t="s">
        <v>4007</v>
      </c>
      <c r="D74" s="19">
        <v>45947.645833333336</v>
      </c>
      <c r="E74" s="18" t="s">
        <v>10</v>
      </c>
      <c r="F74" s="18">
        <v>15</v>
      </c>
      <c r="G74" s="18" t="s">
        <v>10</v>
      </c>
      <c r="H74" s="18" t="s">
        <v>178</v>
      </c>
      <c r="I74" s="18" t="s">
        <v>10</v>
      </c>
      <c r="J74" s="18" t="s">
        <v>2462</v>
      </c>
      <c r="K74" s="20"/>
    </row>
    <row r="75" spans="1:11" ht="54.75" thickBot="1">
      <c r="A75" s="18" t="s">
        <v>4009</v>
      </c>
      <c r="B75" s="18">
        <v>20003518294</v>
      </c>
      <c r="C75" s="18" t="s">
        <v>4010</v>
      </c>
      <c r="D75" s="19">
        <v>45956.700694444444</v>
      </c>
      <c r="E75" s="18" t="s">
        <v>10</v>
      </c>
      <c r="F75" s="18">
        <v>15</v>
      </c>
      <c r="G75" s="18" t="s">
        <v>10</v>
      </c>
      <c r="H75" s="18" t="s">
        <v>189</v>
      </c>
      <c r="I75" s="18" t="s">
        <v>10</v>
      </c>
      <c r="J75" s="18" t="s">
        <v>2462</v>
      </c>
      <c r="K75" s="20"/>
    </row>
    <row r="76" spans="1:11" ht="36.75" thickBot="1">
      <c r="A76" s="18" t="s">
        <v>7997</v>
      </c>
      <c r="B76" s="18">
        <v>20028182347</v>
      </c>
      <c r="C76" s="18" t="s">
        <v>7998</v>
      </c>
      <c r="D76" s="19">
        <v>45969.556250000001</v>
      </c>
      <c r="E76" s="19">
        <v>45971.459722222222</v>
      </c>
      <c r="F76" s="18">
        <v>6</v>
      </c>
      <c r="G76" s="19">
        <v>45992.45</v>
      </c>
      <c r="H76" s="18" t="s">
        <v>2657</v>
      </c>
      <c r="I76" s="18" t="s">
        <v>10</v>
      </c>
      <c r="J76" s="18" t="s">
        <v>2470</v>
      </c>
      <c r="K76" s="20"/>
    </row>
    <row r="77" spans="1:11" ht="36.75" thickBot="1">
      <c r="A77" s="18" t="s">
        <v>7999</v>
      </c>
      <c r="B77" s="18">
        <v>20003612740</v>
      </c>
      <c r="C77" s="18" t="s">
        <v>8000</v>
      </c>
      <c r="D77" s="19">
        <v>45973.589583333334</v>
      </c>
      <c r="E77" s="18" t="s">
        <v>10</v>
      </c>
      <c r="F77" s="18">
        <v>5</v>
      </c>
      <c r="G77" s="18" t="s">
        <v>10</v>
      </c>
      <c r="H77" s="18" t="s">
        <v>235</v>
      </c>
      <c r="I77" s="18" t="s">
        <v>10</v>
      </c>
      <c r="J77" s="18" t="s">
        <v>2462</v>
      </c>
      <c r="K77" s="20"/>
    </row>
    <row r="78" spans="1:11" ht="36.75" thickBot="1">
      <c r="A78" s="18" t="s">
        <v>8001</v>
      </c>
      <c r="B78" s="18">
        <v>20023054410</v>
      </c>
      <c r="C78" s="18" t="s">
        <v>8002</v>
      </c>
      <c r="D78" s="19">
        <v>45973.620138888888</v>
      </c>
      <c r="E78" s="18" t="s">
        <v>10</v>
      </c>
      <c r="F78" s="18">
        <v>5</v>
      </c>
      <c r="G78" s="18" t="s">
        <v>10</v>
      </c>
      <c r="H78" s="18" t="s">
        <v>178</v>
      </c>
      <c r="I78" s="18" t="s">
        <v>10</v>
      </c>
      <c r="J78" s="18" t="s">
        <v>2462</v>
      </c>
      <c r="K78" s="20"/>
    </row>
    <row r="79" spans="1:11" ht="36.75" thickBot="1">
      <c r="A79" s="18" t="s">
        <v>8003</v>
      </c>
      <c r="B79" s="18">
        <v>20017320484</v>
      </c>
      <c r="C79" s="18" t="s">
        <v>8004</v>
      </c>
      <c r="D79" s="19">
        <v>45977.51458333333</v>
      </c>
      <c r="E79" s="18" t="s">
        <v>10</v>
      </c>
      <c r="F79" s="18">
        <v>5</v>
      </c>
      <c r="G79" s="18" t="s">
        <v>10</v>
      </c>
      <c r="H79" s="18" t="s">
        <v>178</v>
      </c>
      <c r="I79" s="18" t="s">
        <v>10</v>
      </c>
      <c r="J79" s="18" t="s">
        <v>2459</v>
      </c>
      <c r="K79" s="20"/>
    </row>
    <row r="80" spans="1:11" ht="36.75" thickBot="1">
      <c r="A80" s="18" t="s">
        <v>8005</v>
      </c>
      <c r="B80" s="18">
        <v>20021310456</v>
      </c>
      <c r="C80" s="18" t="s">
        <v>8006</v>
      </c>
      <c r="D80" s="19">
        <v>45979.556250000001</v>
      </c>
      <c r="E80" s="18" t="s">
        <v>10</v>
      </c>
      <c r="F80" s="18">
        <v>3</v>
      </c>
      <c r="G80" s="18" t="s">
        <v>10</v>
      </c>
      <c r="H80" s="18" t="s">
        <v>178</v>
      </c>
      <c r="I80" s="18" t="s">
        <v>10</v>
      </c>
      <c r="J80" s="18" t="s">
        <v>2462</v>
      </c>
      <c r="K80" s="20"/>
    </row>
    <row r="81" spans="1:11" ht="72.75" thickBot="1">
      <c r="A81" s="18" t="s">
        <v>8007</v>
      </c>
      <c r="B81" s="18">
        <v>20021310456</v>
      </c>
      <c r="C81" s="18" t="s">
        <v>8008</v>
      </c>
      <c r="D81" s="19">
        <v>45979.669444444444</v>
      </c>
      <c r="E81" s="18" t="s">
        <v>10</v>
      </c>
      <c r="F81" s="18">
        <v>3</v>
      </c>
      <c r="G81" s="19">
        <v>45982.469444444447</v>
      </c>
      <c r="H81" s="18" t="s">
        <v>2655</v>
      </c>
      <c r="I81" s="18" t="s">
        <v>2699</v>
      </c>
      <c r="J81" s="18" t="s">
        <v>2462</v>
      </c>
      <c r="K81" s="20"/>
    </row>
    <row r="82" spans="1:11" ht="54.75" thickBot="1">
      <c r="A82" s="21" t="s">
        <v>8009</v>
      </c>
      <c r="B82" s="21">
        <v>20003520395</v>
      </c>
      <c r="C82" s="21" t="s">
        <v>8010</v>
      </c>
      <c r="D82" s="22">
        <v>45981.65347222222</v>
      </c>
      <c r="E82" s="21" t="s">
        <v>10</v>
      </c>
      <c r="F82" s="21">
        <v>10</v>
      </c>
      <c r="G82" s="21" t="s">
        <v>10</v>
      </c>
      <c r="H82" s="21" t="s">
        <v>2652</v>
      </c>
      <c r="I82" s="21" t="s">
        <v>2699</v>
      </c>
      <c r="J82" s="21" t="s">
        <v>2462</v>
      </c>
      <c r="K82" s="1"/>
    </row>
    <row r="83" spans="1:11" ht="18.75" thickBot="1">
      <c r="A83" s="18"/>
      <c r="B83" s="18"/>
      <c r="C83" s="18"/>
      <c r="D83" s="19"/>
      <c r="E83" s="19"/>
      <c r="F83" s="18"/>
      <c r="G83" s="19"/>
      <c r="H83" s="18"/>
      <c r="I83" s="18"/>
      <c r="J83" s="18"/>
    </row>
    <row r="84" spans="1:11" ht="18.75" thickBot="1">
      <c r="A84" s="18"/>
      <c r="B84" s="18"/>
      <c r="C84" s="18"/>
      <c r="D84" s="19"/>
      <c r="E84" s="19"/>
      <c r="F84" s="18"/>
      <c r="G84" s="18"/>
      <c r="H84" s="18"/>
      <c r="I84" s="18"/>
      <c r="J84" s="18"/>
    </row>
    <row r="85" spans="1:11" ht="18.75" thickBot="1">
      <c r="A85" s="18"/>
      <c r="B85" s="18"/>
      <c r="C85" s="18"/>
      <c r="D85" s="19"/>
      <c r="E85" s="19"/>
      <c r="F85" s="18"/>
      <c r="G85" s="18"/>
      <c r="H85" s="18"/>
      <c r="I85" s="18"/>
      <c r="J85" s="18"/>
    </row>
    <row r="86" spans="1:11" ht="18.75" thickBot="1">
      <c r="A86" s="18"/>
      <c r="B86" s="18"/>
      <c r="C86" s="18"/>
      <c r="D86" s="19"/>
      <c r="E86" s="19"/>
      <c r="F86" s="18"/>
      <c r="G86" s="19"/>
      <c r="H86" s="18"/>
      <c r="I86" s="18"/>
      <c r="J86" s="18"/>
    </row>
    <row r="87" spans="1:11" ht="18.75" thickBot="1">
      <c r="A87" s="18"/>
      <c r="B87" s="18"/>
      <c r="C87" s="18"/>
      <c r="D87" s="19"/>
      <c r="E87" s="18"/>
      <c r="F87" s="18"/>
      <c r="G87" s="19"/>
      <c r="H87" s="18"/>
      <c r="I87" s="18"/>
      <c r="J87" s="18"/>
    </row>
    <row r="88" spans="1:11" ht="18.75" thickBot="1">
      <c r="A88" s="18"/>
      <c r="B88" s="18"/>
      <c r="C88" s="18"/>
      <c r="D88" s="19"/>
      <c r="E88" s="18"/>
      <c r="F88" s="18"/>
      <c r="G88" s="19"/>
      <c r="H88" s="18"/>
      <c r="I88" s="18"/>
      <c r="J88" s="18"/>
    </row>
    <row r="89" spans="1:11" ht="18.75" thickBot="1">
      <c r="A89" s="18"/>
      <c r="B89" s="18"/>
      <c r="C89" s="18"/>
      <c r="D89" s="19"/>
      <c r="E89" s="19"/>
      <c r="F89" s="18"/>
      <c r="G89" s="18"/>
      <c r="H89" s="18"/>
      <c r="I89" s="18"/>
      <c r="J89" s="18"/>
    </row>
    <row r="90" spans="1:11" ht="18.75" thickBot="1">
      <c r="A90" s="18"/>
      <c r="B90" s="18"/>
      <c r="C90" s="18"/>
      <c r="D90" s="19"/>
      <c r="E90" s="18"/>
      <c r="F90" s="18"/>
      <c r="G90" s="19"/>
      <c r="H90" s="18"/>
      <c r="I90" s="18"/>
      <c r="J90" s="18"/>
    </row>
    <row r="91" spans="1:11" ht="18.75" thickBot="1">
      <c r="A91" s="18"/>
      <c r="B91" s="18"/>
      <c r="C91" s="18"/>
      <c r="D91" s="19"/>
      <c r="E91" s="18"/>
      <c r="F91" s="18"/>
      <c r="G91" s="19"/>
      <c r="H91" s="18"/>
      <c r="I91" s="18"/>
      <c r="J91" s="18"/>
    </row>
    <row r="92" spans="1:11" ht="18.75" thickBot="1">
      <c r="A92" s="18"/>
      <c r="B92" s="18"/>
      <c r="C92" s="18"/>
      <c r="D92" s="19"/>
      <c r="E92" s="18"/>
      <c r="F92" s="18"/>
      <c r="G92" s="18"/>
      <c r="H92" s="18"/>
      <c r="I92" s="18"/>
      <c r="J92" s="18"/>
    </row>
    <row r="93" spans="1:11" ht="18.75" thickBot="1">
      <c r="A93" s="18"/>
      <c r="B93" s="18"/>
      <c r="C93" s="18"/>
      <c r="D93" s="19"/>
      <c r="E93" s="18"/>
      <c r="F93" s="18"/>
      <c r="G93" s="18"/>
      <c r="H93" s="18"/>
      <c r="I93" s="18"/>
      <c r="J93" s="18"/>
    </row>
    <row r="94" spans="1:11" ht="18.75" thickBot="1">
      <c r="A94" s="18"/>
      <c r="B94" s="18"/>
      <c r="C94" s="18"/>
      <c r="D94" s="19"/>
      <c r="E94" s="18"/>
      <c r="F94" s="18"/>
      <c r="G94" s="19"/>
      <c r="H94" s="18"/>
      <c r="I94" s="18"/>
      <c r="J94" s="18"/>
    </row>
    <row r="95" spans="1:11" ht="18.75" thickBot="1">
      <c r="A95" s="18"/>
      <c r="B95" s="18"/>
      <c r="C95" s="18"/>
      <c r="D95" s="19"/>
      <c r="E95" s="18"/>
      <c r="F95" s="18"/>
      <c r="G95" s="19"/>
      <c r="H95" s="18"/>
      <c r="I95" s="18"/>
      <c r="J95" s="18"/>
    </row>
    <row r="96" spans="1:11" ht="18.75" thickBot="1">
      <c r="A96" s="18"/>
      <c r="B96" s="18"/>
      <c r="C96" s="18"/>
      <c r="D96" s="19"/>
      <c r="E96" s="18"/>
      <c r="F96" s="18"/>
      <c r="G96" s="19"/>
      <c r="H96" s="18"/>
      <c r="I96" s="18"/>
      <c r="J96" s="18"/>
    </row>
    <row r="97" spans="1:10" ht="18.75" thickBot="1">
      <c r="A97" s="18"/>
      <c r="B97" s="18"/>
      <c r="C97" s="18"/>
      <c r="D97" s="19"/>
      <c r="E97" s="18"/>
      <c r="F97" s="18"/>
      <c r="G97" s="19"/>
      <c r="H97" s="18"/>
      <c r="I97" s="18"/>
      <c r="J97" s="18"/>
    </row>
    <row r="98" spans="1:10" ht="18.75" thickBot="1">
      <c r="A98" s="18"/>
      <c r="B98" s="18"/>
      <c r="C98" s="18"/>
      <c r="D98" s="19"/>
      <c r="E98" s="18"/>
      <c r="F98" s="18"/>
      <c r="G98" s="19"/>
      <c r="H98" s="18"/>
      <c r="I98" s="18"/>
      <c r="J98" s="18"/>
    </row>
    <row r="99" spans="1:10" ht="18.75" thickBot="1">
      <c r="A99" s="18"/>
      <c r="B99" s="18"/>
      <c r="C99" s="18"/>
      <c r="D99" s="19"/>
      <c r="E99" s="18"/>
      <c r="F99" s="18"/>
      <c r="G99" s="19"/>
      <c r="H99" s="18"/>
      <c r="I99" s="18"/>
      <c r="J99" s="18"/>
    </row>
    <row r="100" spans="1:10" ht="18.75" thickBot="1">
      <c r="A100" s="18"/>
      <c r="B100" s="18"/>
      <c r="C100" s="18"/>
      <c r="D100" s="19"/>
      <c r="E100" s="19"/>
      <c r="F100" s="18"/>
      <c r="G100" s="19"/>
      <c r="H100" s="18"/>
      <c r="I100" s="18"/>
      <c r="J100" s="18"/>
    </row>
    <row r="101" spans="1:10" ht="18.75" thickBot="1">
      <c r="A101" s="18"/>
      <c r="B101" s="18"/>
      <c r="C101" s="18"/>
      <c r="D101" s="19"/>
      <c r="E101" s="18"/>
      <c r="F101" s="18"/>
      <c r="G101" s="19"/>
      <c r="H101" s="18"/>
      <c r="I101" s="18"/>
      <c r="J101" s="18"/>
    </row>
    <row r="102" spans="1:10" ht="18.75" thickBot="1">
      <c r="A102" s="21"/>
      <c r="B102" s="21"/>
      <c r="C102" s="21"/>
      <c r="D102" s="22"/>
      <c r="E102" s="21"/>
      <c r="F102" s="21"/>
      <c r="G102" s="22"/>
      <c r="H102" s="21"/>
      <c r="I102" s="21"/>
      <c r="J102" s="21"/>
    </row>
    <row r="103" spans="1:10" ht="18.75" thickBot="1">
      <c r="A103" s="18"/>
      <c r="B103" s="18"/>
      <c r="C103" s="18"/>
      <c r="D103" s="19"/>
      <c r="E103" s="19"/>
      <c r="F103" s="18"/>
      <c r="G103" s="19"/>
      <c r="H103" s="18"/>
      <c r="I103" s="18"/>
      <c r="J103" s="18"/>
    </row>
    <row r="104" spans="1:10" ht="18.75" thickBot="1">
      <c r="A104" s="18"/>
      <c r="B104" s="18"/>
      <c r="C104" s="18"/>
      <c r="D104" s="19"/>
      <c r="E104" s="18"/>
      <c r="F104" s="18"/>
      <c r="G104" s="19"/>
      <c r="H104" s="18"/>
      <c r="I104" s="18"/>
      <c r="J104" s="18"/>
    </row>
    <row r="105" spans="1:10" ht="18.75" thickBot="1">
      <c r="A105" s="18"/>
      <c r="B105" s="18"/>
      <c r="C105" s="18"/>
      <c r="D105" s="19"/>
      <c r="E105" s="18"/>
      <c r="F105" s="18"/>
      <c r="G105" s="19"/>
      <c r="H105" s="18"/>
      <c r="I105" s="18"/>
      <c r="J105" s="18"/>
    </row>
    <row r="106" spans="1:10" ht="18.75" thickBot="1">
      <c r="A106" s="18"/>
      <c r="B106" s="18"/>
      <c r="C106" s="18"/>
      <c r="D106" s="19"/>
      <c r="E106" s="18"/>
      <c r="F106" s="18"/>
      <c r="G106" s="19"/>
      <c r="H106" s="18"/>
      <c r="I106" s="18"/>
      <c r="J106" s="18"/>
    </row>
    <row r="107" spans="1:10" ht="18.75" thickBot="1">
      <c r="A107" s="18"/>
      <c r="B107" s="18"/>
      <c r="C107" s="18"/>
      <c r="D107" s="19"/>
      <c r="E107" s="18"/>
      <c r="F107" s="18"/>
      <c r="G107" s="18"/>
      <c r="H107" s="18"/>
      <c r="I107" s="18"/>
      <c r="J107" s="18"/>
    </row>
    <row r="108" spans="1:10" ht="18.75" thickBot="1">
      <c r="A108" s="18"/>
      <c r="B108" s="18"/>
      <c r="C108" s="18"/>
      <c r="D108" s="19"/>
      <c r="E108" s="18"/>
      <c r="F108" s="18"/>
      <c r="G108" s="18"/>
      <c r="H108" s="18"/>
      <c r="I108" s="18"/>
      <c r="J108" s="18"/>
    </row>
    <row r="109" spans="1:10" ht="18.75" thickBot="1">
      <c r="A109" s="18"/>
      <c r="B109" s="18"/>
      <c r="C109" s="18"/>
      <c r="D109" s="19"/>
      <c r="E109" s="18"/>
      <c r="F109" s="18"/>
      <c r="G109" s="19"/>
      <c r="H109" s="18"/>
      <c r="I109" s="18"/>
      <c r="J109" s="18"/>
    </row>
    <row r="110" spans="1:10" ht="18.75" thickBot="1">
      <c r="A110" s="18"/>
      <c r="B110" s="18"/>
      <c r="C110" s="18"/>
      <c r="D110" s="19"/>
      <c r="E110" s="18"/>
      <c r="F110" s="18"/>
      <c r="G110" s="19"/>
      <c r="H110" s="18"/>
      <c r="I110" s="18"/>
      <c r="J110" s="18"/>
    </row>
    <row r="111" spans="1:10" ht="18.75" thickBot="1">
      <c r="A111" s="18"/>
      <c r="B111" s="18"/>
      <c r="C111" s="18"/>
      <c r="D111" s="19"/>
      <c r="E111" s="18"/>
      <c r="F111" s="18"/>
      <c r="G111" s="19"/>
      <c r="H111" s="18"/>
      <c r="I111" s="18"/>
      <c r="J111" s="18"/>
    </row>
    <row r="112" spans="1:10" ht="18.75" thickBot="1">
      <c r="A112" s="18"/>
      <c r="B112" s="18"/>
      <c r="C112" s="18"/>
      <c r="D112" s="19"/>
      <c r="E112" s="18"/>
      <c r="F112" s="18"/>
      <c r="G112" s="18"/>
      <c r="H112" s="18"/>
      <c r="I112" s="18"/>
      <c r="J112" s="18"/>
    </row>
    <row r="113" spans="1:10" ht="18.75" thickBot="1">
      <c r="A113" s="18"/>
      <c r="B113" s="18"/>
      <c r="C113" s="18"/>
      <c r="D113" s="19"/>
      <c r="E113" s="18"/>
      <c r="F113" s="18"/>
      <c r="G113" s="18"/>
      <c r="H113" s="18"/>
      <c r="I113" s="18"/>
      <c r="J113" s="18"/>
    </row>
    <row r="114" spans="1:10" ht="18.75" thickBot="1">
      <c r="A114" s="18"/>
      <c r="B114" s="18"/>
      <c r="C114" s="18"/>
      <c r="D114" s="19"/>
      <c r="E114" s="18"/>
      <c r="F114" s="18"/>
      <c r="G114" s="18"/>
      <c r="H114" s="18"/>
      <c r="I114" s="18"/>
      <c r="J114" s="18"/>
    </row>
    <row r="115" spans="1:10" ht="18.75" thickBot="1">
      <c r="A115" s="18"/>
      <c r="B115" s="18"/>
      <c r="C115" s="18"/>
      <c r="D115" s="19"/>
      <c r="E115" s="18"/>
      <c r="F115" s="18"/>
      <c r="G115" s="18"/>
      <c r="H115" s="18"/>
      <c r="I115" s="18"/>
      <c r="J115" s="18"/>
    </row>
    <row r="116" spans="1:10" ht="18.75" thickBot="1">
      <c r="A116" s="18"/>
      <c r="B116" s="18"/>
      <c r="C116" s="18"/>
      <c r="D116" s="19"/>
      <c r="E116" s="18"/>
      <c r="F116" s="18"/>
      <c r="G116" s="18"/>
      <c r="H116" s="18"/>
      <c r="I116" s="18"/>
      <c r="J116" s="18"/>
    </row>
    <row r="117" spans="1:10" ht="18.75" thickBot="1">
      <c r="A117" s="18"/>
      <c r="B117" s="18"/>
      <c r="C117" s="18"/>
      <c r="D117" s="19"/>
      <c r="E117" s="18"/>
      <c r="F117" s="18"/>
      <c r="G117" s="18"/>
      <c r="H117" s="18"/>
      <c r="I117" s="18"/>
      <c r="J117" s="18"/>
    </row>
    <row r="118" spans="1:10" ht="18.75" thickBot="1">
      <c r="A118" s="18"/>
      <c r="B118" s="18"/>
      <c r="C118" s="18"/>
      <c r="D118" s="19"/>
      <c r="E118" s="18"/>
      <c r="F118" s="18"/>
      <c r="G118" s="19"/>
      <c r="H118" s="18"/>
      <c r="I118" s="18"/>
      <c r="J118" s="18"/>
    </row>
    <row r="119" spans="1:10" ht="18.75" thickBot="1">
      <c r="A119" s="18"/>
      <c r="B119" s="18"/>
      <c r="C119" s="18"/>
      <c r="D119" s="19"/>
      <c r="E119" s="18"/>
      <c r="F119" s="18"/>
      <c r="G119" s="19"/>
      <c r="H119" s="18"/>
      <c r="I119" s="18"/>
      <c r="J119" s="18"/>
    </row>
    <row r="120" spans="1:10" ht="18.75" thickBot="1">
      <c r="A120" s="18"/>
      <c r="B120" s="18"/>
      <c r="C120" s="18"/>
      <c r="D120" s="19"/>
      <c r="E120" s="18"/>
      <c r="F120" s="18"/>
      <c r="G120" s="18"/>
      <c r="H120" s="18"/>
      <c r="I120" s="18"/>
      <c r="J120" s="18"/>
    </row>
    <row r="121" spans="1:10" ht="18.75" thickBot="1">
      <c r="A121" s="18"/>
      <c r="B121" s="18"/>
      <c r="C121" s="18"/>
      <c r="D121" s="19"/>
      <c r="E121" s="18"/>
      <c r="F121" s="18"/>
      <c r="G121" s="18"/>
      <c r="H121" s="18"/>
      <c r="I121" s="18"/>
      <c r="J121" s="18"/>
    </row>
    <row r="122" spans="1:10" ht="18.75" thickBot="1">
      <c r="A122" s="18"/>
      <c r="B122" s="18"/>
      <c r="C122" s="18"/>
      <c r="D122" s="19"/>
      <c r="E122" s="18"/>
      <c r="F122" s="18"/>
      <c r="G122" s="18"/>
      <c r="H122" s="18"/>
      <c r="I122" s="18"/>
      <c r="J122" s="18"/>
    </row>
    <row r="123" spans="1:10" ht="18.75" thickBot="1">
      <c r="A123" s="18"/>
      <c r="B123" s="18"/>
      <c r="C123" s="18"/>
      <c r="D123" s="19"/>
      <c r="E123" s="19"/>
      <c r="F123" s="18"/>
      <c r="G123" s="18"/>
      <c r="H123" s="18"/>
      <c r="I123" s="18"/>
      <c r="J123" s="18"/>
    </row>
    <row r="124" spans="1:10" ht="18.75" thickBot="1">
      <c r="A124" s="18"/>
      <c r="B124" s="18"/>
      <c r="C124" s="18"/>
      <c r="D124" s="19"/>
      <c r="E124" s="19"/>
      <c r="F124" s="18"/>
      <c r="G124" s="19"/>
      <c r="H124" s="18"/>
      <c r="I124" s="18"/>
      <c r="J124" s="18"/>
    </row>
    <row r="125" spans="1:10" ht="18.75" thickBot="1">
      <c r="A125" s="18"/>
      <c r="B125" s="18"/>
      <c r="C125" s="18"/>
      <c r="D125" s="19"/>
      <c r="E125" s="18"/>
      <c r="F125" s="18"/>
      <c r="G125" s="18"/>
      <c r="H125" s="18"/>
      <c r="I125" s="18"/>
      <c r="J125" s="18"/>
    </row>
    <row r="126" spans="1:10" ht="18.75" thickBot="1">
      <c r="A126" s="18"/>
      <c r="B126" s="18"/>
      <c r="C126" s="18"/>
      <c r="D126" s="19"/>
      <c r="E126" s="19"/>
      <c r="F126" s="18"/>
      <c r="G126" s="19"/>
      <c r="H126" s="18"/>
      <c r="I126" s="18"/>
      <c r="J126" s="18"/>
    </row>
    <row r="127" spans="1:10" ht="18.75" thickBot="1">
      <c r="A127" s="18"/>
      <c r="B127" s="18"/>
      <c r="C127" s="18"/>
      <c r="D127" s="19"/>
      <c r="E127" s="18"/>
      <c r="F127" s="18"/>
      <c r="G127" s="18"/>
      <c r="H127" s="18"/>
      <c r="I127" s="18"/>
      <c r="J127" s="18"/>
    </row>
    <row r="128" spans="1:10" ht="18.75" thickBot="1">
      <c r="A128" s="18"/>
      <c r="B128" s="18"/>
      <c r="C128" s="18"/>
      <c r="D128" s="19"/>
      <c r="E128" s="18"/>
      <c r="F128" s="18"/>
      <c r="G128" s="18"/>
      <c r="H128" s="18"/>
      <c r="I128" s="18"/>
      <c r="J128" s="18"/>
    </row>
    <row r="129" spans="1:10" ht="18.75" thickBot="1">
      <c r="A129" s="18"/>
      <c r="B129" s="18"/>
      <c r="C129" s="18"/>
      <c r="D129" s="19"/>
      <c r="E129" s="19"/>
      <c r="F129" s="18"/>
      <c r="G129" s="19"/>
      <c r="H129" s="18"/>
      <c r="I129" s="18"/>
      <c r="J129" s="18"/>
    </row>
    <row r="130" spans="1:10" ht="18.75" thickBot="1">
      <c r="A130" s="18"/>
      <c r="B130" s="18"/>
      <c r="C130" s="18"/>
      <c r="D130" s="19"/>
      <c r="E130" s="18"/>
      <c r="F130" s="18"/>
      <c r="G130" s="19"/>
      <c r="H130" s="18"/>
      <c r="I130" s="18"/>
      <c r="J130" s="18"/>
    </row>
    <row r="131" spans="1:10" ht="18.75" thickBot="1">
      <c r="A131" s="18"/>
      <c r="B131" s="18"/>
      <c r="C131" s="18"/>
      <c r="D131" s="19"/>
      <c r="E131" s="18"/>
      <c r="F131" s="18"/>
      <c r="G131" s="19"/>
      <c r="H131" s="18"/>
      <c r="I131" s="18"/>
      <c r="J131" s="18"/>
    </row>
    <row r="132" spans="1:10" ht="18.75" thickBot="1">
      <c r="A132" s="18"/>
      <c r="B132" s="18"/>
      <c r="C132" s="18"/>
      <c r="D132" s="19"/>
      <c r="E132" s="19"/>
      <c r="F132" s="18"/>
      <c r="G132" s="19"/>
      <c r="H132" s="18"/>
      <c r="I132" s="18"/>
      <c r="J132" s="18"/>
    </row>
    <row r="133" spans="1:10" ht="18.75" thickBot="1">
      <c r="A133" s="18"/>
      <c r="B133" s="18"/>
      <c r="C133" s="18"/>
      <c r="D133" s="19"/>
      <c r="E133" s="18"/>
      <c r="F133" s="18"/>
      <c r="G133" s="19"/>
      <c r="H133" s="18"/>
      <c r="I133" s="18"/>
      <c r="J133" s="18"/>
    </row>
    <row r="134" spans="1:10" ht="18.75" thickBot="1">
      <c r="A134" s="18"/>
      <c r="B134" s="18"/>
      <c r="C134" s="18"/>
      <c r="D134" s="19"/>
      <c r="E134" s="18"/>
      <c r="F134" s="18"/>
      <c r="G134" s="19"/>
      <c r="H134" s="18"/>
      <c r="I134" s="18"/>
      <c r="J134" s="18"/>
    </row>
    <row r="135" spans="1:10" ht="18.75" thickBot="1">
      <c r="A135" s="18"/>
      <c r="B135" s="18"/>
      <c r="C135" s="18"/>
      <c r="D135" s="19"/>
      <c r="E135" s="18"/>
      <c r="F135" s="18"/>
      <c r="G135" s="19"/>
      <c r="H135" s="18"/>
      <c r="I135" s="18"/>
      <c r="J135" s="18"/>
    </row>
    <row r="136" spans="1:10" ht="18.75" thickBot="1">
      <c r="A136" s="18"/>
      <c r="B136" s="18"/>
      <c r="C136" s="18"/>
      <c r="D136" s="19"/>
      <c r="E136" s="18"/>
      <c r="F136" s="18"/>
      <c r="G136" s="18"/>
      <c r="H136" s="18"/>
      <c r="I136" s="18"/>
      <c r="J136" s="18"/>
    </row>
    <row r="137" spans="1:10" ht="18.75" thickBot="1">
      <c r="A137" s="18"/>
      <c r="B137" s="18"/>
      <c r="C137" s="18"/>
      <c r="D137" s="19"/>
      <c r="E137" s="18"/>
      <c r="F137" s="18"/>
      <c r="G137" s="19"/>
      <c r="H137" s="18"/>
      <c r="I137" s="18"/>
      <c r="J137" s="18"/>
    </row>
    <row r="138" spans="1:10" ht="18.75" thickBot="1">
      <c r="A138" s="18"/>
      <c r="B138" s="18"/>
      <c r="C138" s="18"/>
      <c r="D138" s="19"/>
      <c r="E138" s="18"/>
      <c r="F138" s="18"/>
      <c r="G138" s="18"/>
      <c r="H138" s="18"/>
      <c r="I138" s="18"/>
      <c r="J138" s="18"/>
    </row>
    <row r="139" spans="1:10" ht="18.75" thickBot="1">
      <c r="A139" s="18"/>
      <c r="B139" s="18"/>
      <c r="C139" s="18"/>
      <c r="D139" s="19"/>
      <c r="E139" s="18"/>
      <c r="F139" s="18"/>
      <c r="G139" s="18"/>
      <c r="H139" s="18"/>
      <c r="I139" s="18"/>
      <c r="J139" s="18"/>
    </row>
    <row r="140" spans="1:10" ht="18.75" thickBot="1">
      <c r="A140" s="18"/>
      <c r="B140" s="18"/>
      <c r="C140" s="18"/>
      <c r="D140" s="19"/>
      <c r="E140" s="19"/>
      <c r="F140" s="18"/>
      <c r="G140" s="19"/>
      <c r="H140" s="18"/>
      <c r="I140" s="18"/>
      <c r="J140" s="18"/>
    </row>
    <row r="141" spans="1:10" ht="18.75" thickBot="1">
      <c r="A141" s="18"/>
      <c r="B141" s="18"/>
      <c r="C141" s="18"/>
      <c r="D141" s="19"/>
      <c r="E141" s="18"/>
      <c r="F141" s="18"/>
      <c r="G141" s="18"/>
      <c r="H141" s="18"/>
      <c r="I141" s="18"/>
      <c r="J141" s="18"/>
    </row>
    <row r="142" spans="1:10" ht="18.75" thickBot="1">
      <c r="A142" s="18"/>
      <c r="B142" s="18"/>
      <c r="C142" s="18"/>
      <c r="D142" s="19"/>
      <c r="E142" s="18"/>
      <c r="F142" s="18"/>
      <c r="G142" s="18"/>
      <c r="H142" s="18"/>
      <c r="I142" s="18"/>
      <c r="J142" s="18"/>
    </row>
    <row r="143" spans="1:10" ht="18.75" thickBot="1">
      <c r="A143" s="18"/>
      <c r="B143" s="18"/>
      <c r="C143" s="18"/>
      <c r="D143" s="19"/>
      <c r="E143" s="18"/>
      <c r="F143" s="18"/>
      <c r="G143" s="19"/>
      <c r="H143" s="18"/>
      <c r="I143" s="18"/>
      <c r="J143" s="18"/>
    </row>
    <row r="144" spans="1:10" ht="18.75" thickBot="1">
      <c r="A144" s="18"/>
      <c r="B144" s="18"/>
      <c r="C144" s="18"/>
      <c r="D144" s="19"/>
      <c r="E144" s="19"/>
      <c r="F144" s="18"/>
      <c r="G144" s="19"/>
      <c r="H144" s="18"/>
      <c r="I144" s="18"/>
      <c r="J144" s="18"/>
    </row>
    <row r="145" spans="1:10" ht="18.75" thickBot="1">
      <c r="A145" s="18"/>
      <c r="B145" s="18"/>
      <c r="C145" s="18"/>
      <c r="D145" s="19"/>
      <c r="E145" s="18"/>
      <c r="F145" s="18"/>
      <c r="G145" s="19"/>
      <c r="H145" s="18"/>
      <c r="I145" s="18"/>
      <c r="J145" s="18"/>
    </row>
    <row r="146" spans="1:10" ht="18.75" thickBot="1">
      <c r="A146" s="18"/>
      <c r="B146" s="18"/>
      <c r="C146" s="18"/>
      <c r="D146" s="19"/>
      <c r="E146" s="18"/>
      <c r="F146" s="18"/>
      <c r="G146" s="19"/>
      <c r="H146" s="18"/>
      <c r="I146" s="18"/>
      <c r="J146" s="18"/>
    </row>
    <row r="147" spans="1:10" ht="18.75" thickBot="1">
      <c r="A147" s="18"/>
      <c r="B147" s="18"/>
      <c r="C147" s="18"/>
      <c r="D147" s="19"/>
      <c r="E147" s="18"/>
      <c r="F147" s="18"/>
      <c r="G147" s="19"/>
      <c r="H147" s="18"/>
      <c r="I147" s="18"/>
      <c r="J147" s="18"/>
    </row>
    <row r="148" spans="1:10" ht="18.75" thickBot="1">
      <c r="A148" s="18"/>
      <c r="B148" s="18"/>
      <c r="C148" s="18"/>
      <c r="D148" s="19"/>
      <c r="E148" s="18"/>
      <c r="F148" s="18"/>
      <c r="G148" s="19"/>
      <c r="H148" s="18"/>
      <c r="I148" s="18"/>
      <c r="J148" s="18"/>
    </row>
    <row r="149" spans="1:10" ht="18.75" thickBot="1">
      <c r="A149" s="18"/>
      <c r="B149" s="18"/>
      <c r="C149" s="18"/>
      <c r="D149" s="19"/>
      <c r="E149" s="18"/>
      <c r="F149" s="18"/>
      <c r="G149" s="19"/>
      <c r="H149" s="18"/>
      <c r="I149" s="18"/>
      <c r="J149" s="18"/>
    </row>
    <row r="150" spans="1:10" ht="18.75" thickBot="1">
      <c r="A150" s="18"/>
      <c r="B150" s="18"/>
      <c r="C150" s="18"/>
      <c r="D150" s="19"/>
      <c r="E150" s="18"/>
      <c r="F150" s="18"/>
      <c r="G150" s="18"/>
      <c r="H150" s="18"/>
      <c r="I150" s="18"/>
      <c r="J150" s="18"/>
    </row>
    <row r="151" spans="1:10" ht="18.75" thickBot="1">
      <c r="A151" s="18"/>
      <c r="B151" s="18"/>
      <c r="C151" s="18"/>
      <c r="D151" s="19"/>
      <c r="E151" s="18"/>
      <c r="F151" s="18"/>
      <c r="G151" s="19"/>
      <c r="H151" s="18"/>
      <c r="I151" s="18"/>
      <c r="J151" s="18"/>
    </row>
    <row r="152" spans="1:10" ht="18.75" thickBot="1">
      <c r="A152" s="21"/>
      <c r="B152" s="21"/>
      <c r="C152" s="21"/>
      <c r="D152" s="22"/>
      <c r="E152" s="21"/>
      <c r="F152" s="21"/>
      <c r="G152" s="21"/>
      <c r="H152" s="21"/>
      <c r="I152" s="21"/>
      <c r="J152" s="21"/>
    </row>
    <row r="153" spans="1:10" ht="18.75" thickBot="1">
      <c r="A153" s="18"/>
      <c r="B153" s="18"/>
      <c r="C153" s="18"/>
      <c r="D153" s="19"/>
      <c r="E153" s="18"/>
      <c r="F153" s="18"/>
      <c r="G153" s="18"/>
      <c r="H153" s="18"/>
      <c r="I153" s="18"/>
      <c r="J153" s="18"/>
    </row>
    <row r="154" spans="1:10" ht="18.75" thickBot="1">
      <c r="A154" s="18"/>
      <c r="B154" s="18"/>
      <c r="C154" s="18"/>
      <c r="D154" s="19"/>
      <c r="E154" s="18"/>
      <c r="F154" s="18"/>
      <c r="G154" s="18"/>
      <c r="H154" s="18"/>
      <c r="I154" s="18"/>
      <c r="J154" s="18"/>
    </row>
    <row r="155" spans="1:10" ht="18.75" thickBot="1">
      <c r="A155" s="18"/>
      <c r="B155" s="18"/>
      <c r="C155" s="18"/>
      <c r="D155" s="19"/>
      <c r="E155" s="18"/>
      <c r="F155" s="18"/>
      <c r="G155" s="18"/>
      <c r="H155" s="18"/>
      <c r="I155" s="18"/>
      <c r="J155" s="18"/>
    </row>
    <row r="156" spans="1:10" ht="18.75" thickBot="1">
      <c r="A156" s="18"/>
      <c r="B156" s="18"/>
      <c r="C156" s="18"/>
      <c r="D156" s="19"/>
      <c r="E156" s="19"/>
      <c r="F156" s="18"/>
      <c r="G156" s="18"/>
      <c r="H156" s="18"/>
      <c r="I156" s="18"/>
      <c r="J156" s="18"/>
    </row>
    <row r="157" spans="1:10" ht="18.75" thickBot="1">
      <c r="A157" s="18"/>
      <c r="B157" s="18"/>
      <c r="C157" s="18"/>
      <c r="D157" s="19"/>
      <c r="E157" s="19"/>
      <c r="F157" s="18"/>
      <c r="G157" s="19"/>
      <c r="H157" s="18"/>
      <c r="I157" s="18"/>
      <c r="J157" s="18"/>
    </row>
    <row r="158" spans="1:10" ht="18.75" thickBot="1">
      <c r="A158" s="18"/>
      <c r="B158" s="18"/>
      <c r="C158" s="18"/>
      <c r="D158" s="19"/>
      <c r="E158" s="18"/>
      <c r="F158" s="18"/>
      <c r="G158" s="19"/>
      <c r="H158" s="18"/>
      <c r="I158" s="18"/>
      <c r="J158" s="18"/>
    </row>
    <row r="159" spans="1:10" ht="18.75" thickBot="1">
      <c r="A159" s="18"/>
      <c r="B159" s="18"/>
      <c r="C159" s="18"/>
      <c r="D159" s="19"/>
      <c r="E159" s="19"/>
      <c r="F159" s="18"/>
      <c r="G159" s="19"/>
      <c r="H159" s="18"/>
      <c r="I159" s="18"/>
      <c r="J159" s="18"/>
    </row>
    <row r="160" spans="1:10" ht="18.75" thickBot="1">
      <c r="A160" s="18"/>
      <c r="B160" s="18"/>
      <c r="C160" s="18"/>
      <c r="D160" s="19"/>
      <c r="E160" s="18"/>
      <c r="F160" s="18"/>
      <c r="G160" s="18"/>
      <c r="H160" s="18"/>
      <c r="I160" s="18"/>
      <c r="J160" s="18"/>
    </row>
    <row r="161" spans="1:10" ht="18.75" thickBot="1">
      <c r="A161" s="18"/>
      <c r="B161" s="18"/>
      <c r="C161" s="18"/>
      <c r="D161" s="19"/>
      <c r="E161" s="18"/>
      <c r="F161" s="18"/>
      <c r="G161" s="18"/>
      <c r="H161" s="18"/>
      <c r="I161" s="18"/>
      <c r="J161" s="18"/>
    </row>
    <row r="162" spans="1:10" ht="18.75" thickBot="1">
      <c r="A162" s="18"/>
      <c r="B162" s="18"/>
      <c r="C162" s="18"/>
      <c r="D162" s="19"/>
      <c r="E162" s="18"/>
      <c r="F162" s="18"/>
      <c r="G162" s="19"/>
      <c r="H162" s="18"/>
      <c r="I162" s="18"/>
      <c r="J162" s="18"/>
    </row>
    <row r="163" spans="1:10" ht="18.75" thickBot="1">
      <c r="A163" s="18"/>
      <c r="B163" s="18"/>
      <c r="C163" s="18"/>
      <c r="D163" s="19"/>
      <c r="E163" s="19"/>
      <c r="F163" s="18"/>
      <c r="G163" s="18"/>
      <c r="H163" s="18"/>
      <c r="I163" s="18"/>
      <c r="J163" s="18"/>
    </row>
    <row r="164" spans="1:10" ht="18.75" thickBot="1">
      <c r="A164" s="18"/>
      <c r="B164" s="18"/>
      <c r="C164" s="18"/>
      <c r="D164" s="19"/>
      <c r="E164" s="18"/>
      <c r="F164" s="18"/>
      <c r="G164" s="19"/>
      <c r="H164" s="18"/>
      <c r="I164" s="18"/>
      <c r="J164" s="18"/>
    </row>
    <row r="165" spans="1:10" ht="18.75" thickBot="1">
      <c r="A165" s="18"/>
      <c r="B165" s="18"/>
      <c r="C165" s="18"/>
      <c r="D165" s="19"/>
      <c r="E165" s="19"/>
      <c r="F165" s="18"/>
      <c r="G165" s="18"/>
      <c r="H165" s="18"/>
      <c r="I165" s="18"/>
      <c r="J165" s="18"/>
    </row>
    <row r="166" spans="1:10" ht="18.75" thickBot="1">
      <c r="A166" s="18"/>
      <c r="B166" s="18"/>
      <c r="C166" s="18"/>
      <c r="D166" s="19"/>
      <c r="E166" s="19"/>
      <c r="F166" s="18"/>
      <c r="G166" s="18"/>
      <c r="H166" s="18"/>
      <c r="I166" s="18"/>
      <c r="J166" s="18"/>
    </row>
    <row r="167" spans="1:10" ht="18.75" thickBot="1">
      <c r="A167" s="18"/>
      <c r="B167" s="18"/>
      <c r="C167" s="18"/>
      <c r="D167" s="19"/>
      <c r="E167" s="18"/>
      <c r="F167" s="18"/>
      <c r="G167" s="18"/>
      <c r="H167" s="18"/>
      <c r="I167" s="18"/>
      <c r="J167" s="18"/>
    </row>
    <row r="168" spans="1:10" ht="18.75" thickBot="1">
      <c r="A168" s="21"/>
      <c r="B168" s="21"/>
      <c r="C168" s="21"/>
      <c r="D168" s="22"/>
      <c r="E168" s="21"/>
      <c r="F168" s="21"/>
      <c r="G168" s="21"/>
      <c r="H168" s="21"/>
      <c r="I168" s="21"/>
      <c r="J168" s="21"/>
    </row>
  </sheetData>
  <conditionalFormatting sqref="B2">
    <cfRule type="duplicateValues" dxfId="13" priority="1"/>
  </conditionalFormatting>
  <hyperlinks>
    <hyperlink ref="K3" r:id="rId1" display="https://ppim-intra.pea.co.th:4434/request/PPIM185008FD" xr:uid="{18C9F7F4-1861-4F9C-840F-BAE89DFC1387}"/>
    <hyperlink ref="K4" r:id="rId2" display="https://ppim-intra.pea.co.th:4434/request/PPIM18500A6B" xr:uid="{DCE3A2AF-F43A-4CAD-8C92-AFC8465DC6E4}"/>
    <hyperlink ref="K5" r:id="rId3" display="https://ppim-intra.pea.co.th:4434/request/PPIM18500D0E" xr:uid="{3260CE82-9459-449D-AA05-1E7069FB7EE2}"/>
    <hyperlink ref="K6" r:id="rId4" display="https://ppim-intra.pea.co.th:4434/request/PPIM18501143" xr:uid="{931D9C18-CDEE-4103-89C7-B57AF945621F}"/>
    <hyperlink ref="K7" r:id="rId5" display="https://ppim-intra.pea.co.th:4434/request/PPIM18501165" xr:uid="{E205958A-8F80-4F08-B875-051CBBE86ADD}"/>
    <hyperlink ref="K8" r:id="rId6" display="https://ppim-intra.pea.co.th:4434/request/PPIM18501750" xr:uid="{BC62D20F-577F-41C0-A626-A418C164C7C9}"/>
    <hyperlink ref="K9" r:id="rId7" display="https://ppim-intra.pea.co.th:4434/request/PPIM18501754" xr:uid="{0DD07CBC-1D58-47DB-A343-3AC6C9A26E32}"/>
    <hyperlink ref="K10" r:id="rId8" display="https://ppim-intra.pea.co.th:4434/request/PPIM18501A99" xr:uid="{0A81E24C-A9EE-4E72-BBEE-4270EE47C7D8}"/>
    <hyperlink ref="K11" r:id="rId9" display="https://ppim-intra.pea.co.th:4434/request/PPIM18501B81" xr:uid="{DB042928-7D6F-43AB-BB5E-A088D28AD281}"/>
    <hyperlink ref="K12" r:id="rId10" display="https://ppim-intra.pea.co.th:4434/request/PPIM185018C1" xr:uid="{C7096305-9908-4488-BC09-FF37BD1F6877}"/>
    <hyperlink ref="K13" r:id="rId11" display="https://ppim-intra.pea.co.th:4434/request/PPIM18501F65" xr:uid="{8B39E6C5-9AE7-4356-B547-8E2E07E91D19}"/>
    <hyperlink ref="K14" r:id="rId12" display="https://ppim-intra.pea.co.th:4434/request/PPIM18501F66" xr:uid="{9AA33EF2-728C-49E0-AC1B-442D98B4098C}"/>
    <hyperlink ref="K15" r:id="rId13" display="https://ppim-intra.pea.co.th:4434/request/PPIM185024AB" xr:uid="{D496D43D-B74C-4BF2-ADE1-45EEE5F50B8B}"/>
    <hyperlink ref="K16" r:id="rId14" display="https://ppim-intra.pea.co.th:4434/request/PPIM18502577" xr:uid="{FBFC8A9B-99C6-494A-87DE-F30DF26313BF}"/>
    <hyperlink ref="K17" r:id="rId15" display="https://ppim-intra.pea.co.th:4434/request/PPIM1850298B" xr:uid="{0FB32D03-1045-4F1E-8B1D-6C77117738A8}"/>
    <hyperlink ref="K18" r:id="rId16" display="https://ppim-intra.pea.co.th:4434/request/PPIM185029AB" xr:uid="{CC5ED451-B3CD-459E-8601-FF93295B0F64}"/>
    <hyperlink ref="K19" r:id="rId17" display="https://ppim-intra.pea.co.th:4434/request/PPIM18502BC7" xr:uid="{38F22D94-603F-4271-AF86-CC761320D3E5}"/>
    <hyperlink ref="K20" r:id="rId18" display="https://ppim-intra.pea.co.th:4434/request/PPIM18502AD3" xr:uid="{D571E801-9873-44DD-9851-C717E2F90BBA}"/>
    <hyperlink ref="K21" r:id="rId19" display="https://ppim-intra.pea.co.th:4434/request/PPIM18502C81" xr:uid="{0DFDA342-1B81-49EF-A342-C69A19317AE8}"/>
    <hyperlink ref="K22" r:id="rId20" display="https://ppim-intra.pea.co.th:4434/request/PPIM18502C85" xr:uid="{026ABCA2-45B5-404C-94E9-C3AE5FF41255}"/>
    <hyperlink ref="K23" r:id="rId21" display="https://ppim-intra.pea.co.th:4434/request/PPIM1850261F" xr:uid="{81C4FD53-4D76-434D-B3C9-1E2F6D1F8529}"/>
    <hyperlink ref="K24" r:id="rId22" display="https://ppim-intra.pea.co.th:4434/request/PPIM18502D8C" xr:uid="{E44F1822-59CB-4E2F-A716-19944A14594C}"/>
    <hyperlink ref="K25" r:id="rId23" display="https://ppim-intra.pea.co.th:4434/request/PPIM18502DBC" xr:uid="{44CED70D-D961-4FE6-B681-7DB2289DD394}"/>
    <hyperlink ref="K26" r:id="rId24" display="https://ppim-intra.pea.co.th:4434/request/PPIM18502D73" xr:uid="{69EB17C3-2FB3-414B-A069-FF622D89A6C5}"/>
    <hyperlink ref="K27" r:id="rId25" display="https://ppim-intra.pea.co.th:4434/request/PPIM18502EEE" xr:uid="{1B0E3140-D38B-4034-88F2-F4DAECE157D8}"/>
    <hyperlink ref="K28" r:id="rId26" display="https://ppim-intra.pea.co.th:4434/request/PPIM18502D59" xr:uid="{1BC15B59-EDD2-4E5E-803F-FCECBA7F22E7}"/>
    <hyperlink ref="K29" r:id="rId27" display="https://ppim-intra.pea.co.th:4434/request/PPIM18502D3A" xr:uid="{CBD89EC4-2AF7-4982-BC72-45E4E5B0EB60}"/>
    <hyperlink ref="K30" r:id="rId28" display="https://ppim-intra.pea.co.th:4434/request/PPIM18503388" xr:uid="{8E5EC081-DB91-4D57-858E-78B60EE82FD5}"/>
    <hyperlink ref="K31" r:id="rId29" display="https://ppim-intra.pea.co.th:4434/request/PPIM185033B8" xr:uid="{7A110B6A-29AE-4D88-AC79-4FE2ECC00DB1}"/>
    <hyperlink ref="K32" r:id="rId30" display="https://ppim-intra.pea.co.th:4434/request/PPIM18503525" xr:uid="{82F2AA14-D0C9-48C3-9FD3-92D49E2DC85C}"/>
    <hyperlink ref="K33" r:id="rId31" display="https://ppim-intra.pea.co.th:4434/request/PPIM18503526" xr:uid="{9FC858BB-7E08-4880-90A5-34D925662A46}"/>
    <hyperlink ref="K34" r:id="rId32" display="https://ppim-intra.pea.co.th:4434/request/PPIM185037CA" xr:uid="{EE3833C7-71C4-49C6-96C3-BBFB7F2CE7FC}"/>
    <hyperlink ref="K35" r:id="rId33" display="https://ppim-intra.pea.co.th:4434/request/PPIM18503842" xr:uid="{F3829220-863F-4A65-9C18-7B4DC0F89DE3}"/>
    <hyperlink ref="K36" r:id="rId34" display="https://ppim-intra.pea.co.th:4434/request/PPIM185038FD" xr:uid="{F55393C6-D0E3-4BF2-BCAC-4CF504E0E149}"/>
    <hyperlink ref="K37" r:id="rId35" display="https://ppim-intra.pea.co.th:4434/request/PPIM18503A25" xr:uid="{61D2557E-1806-45F0-9F7D-F272ECDF8634}"/>
    <hyperlink ref="K38" r:id="rId36" display="https://ppim-intra.pea.co.th:4434/request/PPIM18503ADF" xr:uid="{56B9ECB8-23B2-488D-BF60-6735FCDE0128}"/>
    <hyperlink ref="K39" r:id="rId37" display="https://ppim-intra.pea.co.th:4434/request/PPIM18503B3C" xr:uid="{0BAE5A00-8E7F-4A6D-A3DF-4FDFBBDB971B}"/>
    <hyperlink ref="K40" r:id="rId38" display="https://ppim-intra.pea.co.th:4434/request/PPIM18503CEE" xr:uid="{6CC84779-42BB-47C5-9C74-895866B0A61A}"/>
    <hyperlink ref="K41" r:id="rId39" display="https://ppim-intra.pea.co.th:4434/request/PPIM18503E05" xr:uid="{E2A799A4-94C6-4504-BF2D-FACDFB98A94B}"/>
    <hyperlink ref="K42" r:id="rId40" display="https://ppim-intra.pea.co.th:4434/request/PPIM18503E48" xr:uid="{C00C4B55-1417-4FF1-9830-6628287A9934}"/>
    <hyperlink ref="K43" r:id="rId41" display="https://ppim-intra.pea.co.th:4434/request/PPIM18503C62" xr:uid="{2EB7D96E-25AE-4BF9-8727-34C3D60E794D}"/>
    <hyperlink ref="K44" r:id="rId42" display="https://ppim-intra.pea.co.th:4434/request/PPIM18503CAA" xr:uid="{294F9C3A-816E-4361-B164-C8865CAC8040}"/>
    <hyperlink ref="K45" r:id="rId43" display="https://ppim-intra.pea.co.th:4434/request/PPIM18503CAE" xr:uid="{18A5F29E-1696-41B2-B4A9-F3E54AF868B0}"/>
    <hyperlink ref="K46" r:id="rId44" display="https://ppim-intra.pea.co.th:4434/request/PPIM185046D5" xr:uid="{42AD8358-ACDF-41DA-9A23-7018BBB9E97F}"/>
    <hyperlink ref="K47" r:id="rId45" display="https://ppim-intra.pea.co.th:4434/request/PPIM18504736" xr:uid="{26FFE2F3-9C2D-48F2-B0A9-689FFE8F105E}"/>
    <hyperlink ref="K48" r:id="rId46" display="https://ppim-intra.pea.co.th:4434/request/PPIM185048CA" xr:uid="{BF6C0487-1950-4866-8E2D-76F5C758DB39}"/>
    <hyperlink ref="K49" r:id="rId47" display="https://ppim-intra.pea.co.th:4434/request/PPIM1950017F" xr:uid="{8BCC649E-2CFB-4C80-B0CE-88D038260667}"/>
    <hyperlink ref="K50" r:id="rId48" display="https://ppim-intra.pea.co.th:4434/request/PPIM195002A4" xr:uid="{5560C062-1DB5-460F-B5DE-C5A31F0866A5}"/>
    <hyperlink ref="K51" r:id="rId49" display="https://ppim-intra.pea.co.th:4434/request/PPIM1950035B" xr:uid="{63353A71-253D-4199-BF24-B58D4F79CB59}"/>
    <hyperlink ref="K52" r:id="rId50" display="https://ppim-intra.pea.co.th:4434/request/PPIM19501385" xr:uid="{0B60EA7A-E398-4B7B-A12B-67CC9621DE38}"/>
    <hyperlink ref="K53" r:id="rId51" display="https://ppim-intra.pea.co.th:4434/request/PPIM19501E69" xr:uid="{98993744-1468-4AAD-A865-FF2A1FF07AF0}"/>
    <hyperlink ref="K54" r:id="rId52" display="https://ppim-intra.pea.co.th:4434/request/PPIM19501FA2" xr:uid="{F3623CBD-FE00-4060-A9B8-A317286FCAD5}"/>
    <hyperlink ref="K55" r:id="rId53" display="https://ppim-intra.pea.co.th:4434/request/PPIM19501FAF" xr:uid="{21BC4F03-38BF-4600-BF8D-6DDF488B90A1}"/>
    <hyperlink ref="K56" r:id="rId54" display="https://ppim-intra.pea.co.th:4434/request/PPIM19501FEA" xr:uid="{806A1A5B-1F51-4E9F-A328-8EB41704299B}"/>
    <hyperlink ref="K57" r:id="rId55" display="https://ppim-intra.pea.co.th:4434/request/PPIM1950263A" xr:uid="{6AC944CF-096F-438D-B793-88497118CDED}"/>
    <hyperlink ref="K58" r:id="rId56" display="https://ppim-intra.pea.co.th:4434/request/PPIM195026C8" xr:uid="{784F2804-701A-458B-A2CE-9730D7630503}"/>
    <hyperlink ref="K59" r:id="rId57" display="https://ppim-intra.pea.co.th:4434/request/PPIM19502D24" xr:uid="{5B575304-CD69-4A52-8F6D-CA5FC952634A}"/>
    <hyperlink ref="K60" r:id="rId58" display="https://ppim-intra.pea.co.th:4434/request/PPIM19502EE8" xr:uid="{63BCDD04-4805-4299-92C3-6EF6EB473425}"/>
    <hyperlink ref="K61" r:id="rId59" display="https://ppim-intra.pea.co.th:4434/request/PPIM19503576" xr:uid="{C6A0C994-7F08-477A-8567-6608D416F823}"/>
    <hyperlink ref="K62" r:id="rId60" display="https://ppim-intra.pea.co.th:4434/request/PPIM1950362F" xr:uid="{0DC85D50-E691-4575-A1A6-FC1982DCD062}"/>
    <hyperlink ref="K63" r:id="rId61" display="https://ppim-intra.pea.co.th:4434/request/PPIM19503CF2" xr:uid="{016884F0-24C5-4D9C-9C74-65820FB8737A}"/>
    <hyperlink ref="K64" r:id="rId62" display="https://ppim-intra.pea.co.th:4434/request/PPIM19503D14" xr:uid="{DB0E9A31-DA4F-4A85-905D-2D96BD78A158}"/>
    <hyperlink ref="K65" r:id="rId63" display="https://ppim-intra.pea.co.th:4434/request/PPIM19503E61" xr:uid="{90BD7FD1-9295-40DC-A2EE-6D492BC27A98}"/>
    <hyperlink ref="K66" r:id="rId64" display="https://ppim-intra.pea.co.th:4434/request/PPIM195041E3" xr:uid="{DD89F2A4-0B48-4E52-84C8-91CD039A28A8}"/>
    <hyperlink ref="K67" r:id="rId65" display="https://ppim-intra.pea.co.th:4434/request/PPIM1950434B" xr:uid="{FE646795-110B-4545-9D4C-2656D9BB82D5}"/>
    <hyperlink ref="K68" r:id="rId66" display="https://ppim-intra.pea.co.th:4434/request/PPIM19504558" xr:uid="{2940FACE-137B-4DA5-887E-9A11FEBB9479}"/>
    <hyperlink ref="K69" r:id="rId67" display="https://ppim-intra.pea.co.th:4434/request/PPIM195046C2" xr:uid="{0DE46038-4865-4BA1-88AF-29816A31C900}"/>
    <hyperlink ref="K70" r:id="rId68" display="https://ppim-intra.pea.co.th:4434/request/PPIM19504755" xr:uid="{BD27A041-7B4D-4F11-A8D9-833CC7DC05FD}"/>
    <hyperlink ref="K71" r:id="rId69" display="https://ppim-intra.pea.co.th:4434/request/PPIM19504E52" xr:uid="{FE32AF20-886C-4A46-BD0B-97AA3B77D529}"/>
    <hyperlink ref="K72" r:id="rId70" display="https://ppim-intra.pea.co.th:4434/request/PPIM19504E48" xr:uid="{A5831DCB-C051-4B1C-BE45-7FA02E811EA7}"/>
    <hyperlink ref="K73" r:id="rId71" display="https://ppim-intra.pea.co.th:4434/request/PPIM19504F76" xr:uid="{F1F398F4-F26C-4479-A813-7461110A285C}"/>
    <hyperlink ref="K74" r:id="rId72" display="https://ppim-intra.pea.co.th:4434/request/PPIM195050EB" xr:uid="{AA922021-578C-4607-8D2B-BAE1758E106C}"/>
    <hyperlink ref="K75" r:id="rId73" display="https://ppim-intra.pea.co.th:4434/request/PPIM195052FE" xr:uid="{8E1CFC8E-A8CD-479E-BBBF-37E1C54066F0}"/>
    <hyperlink ref="K76" r:id="rId74" display="https://ppim-intra.pea.co.th:4434/request/PPIM195056FE" xr:uid="{D7E982F8-5BB9-4B29-90CF-C4A7F7E0F889}"/>
    <hyperlink ref="K77" r:id="rId75" display="https://ppim-intra.pea.co.th:4434/request/PPIM19505806" xr:uid="{7BBE087D-000B-454A-B3B9-BFC5F273512F}"/>
    <hyperlink ref="K78" r:id="rId76" display="https://ppim-intra.pea.co.th:4434/request/PPIM19505809" xr:uid="{19FFAE6D-9E8B-4F1E-AA00-9A8D8CBCA0AE}"/>
    <hyperlink ref="K79" r:id="rId77" display="https://ppim-intra.pea.co.th:4434/request/PPIM1950590E" xr:uid="{C52D6561-F188-4B24-A5F1-E0E575F3B828}"/>
    <hyperlink ref="K80" r:id="rId78" display="https://ppim-intra.pea.co.th:4434/request/PPIM1950599D" xr:uid="{A1F34975-55A7-45FD-90FB-34DC4A5EA897}"/>
    <hyperlink ref="K81" r:id="rId79" display="https://ppim-intra.pea.co.th:4434/request/PPIM195059BB" xr:uid="{42784636-40E0-467B-BDBE-571402ACD6A9}"/>
  </hyperlinks>
  <pageMargins left="0.7" right="0.7" top="0.75" bottom="0.75" header="0.3" footer="0.3"/>
  <drawing r:id="rId80"/>
  <legacyDrawing r:id="rId81"/>
  <controls>
    <mc:AlternateContent xmlns:mc="http://schemas.openxmlformats.org/markup-compatibility/2006">
      <mc:Choice Requires="x14">
        <control shapeId="22529" r:id="rId82" name="Control 1">
          <controlPr defaultSize="0" autoPict="0" r:id="rId83">
            <anchor moveWithCells="1">
              <from>
                <xdr:col>0</xdr:col>
                <xdr:colOff>0</xdr:colOff>
                <xdr:row>7</xdr:row>
                <xdr:rowOff>438150</xdr:rowOff>
              </from>
              <to>
                <xdr:col>0</xdr:col>
                <xdr:colOff>228600</xdr:colOff>
                <xdr:row>8</xdr:row>
                <xdr:rowOff>200025</xdr:rowOff>
              </to>
            </anchor>
          </controlPr>
        </control>
      </mc:Choice>
      <mc:Fallback>
        <control shapeId="22529" r:id="rId8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สรุป 1 ธค 68</vt:lpstr>
      <vt:lpstr>กวว.</vt:lpstr>
      <vt:lpstr>กฟจ นฐ</vt:lpstr>
      <vt:lpstr>กฟส นครชัยศรี</vt:lpstr>
      <vt:lpstr>กฟส กำแพงแสน</vt:lpstr>
      <vt:lpstr>กฟส สามพราน</vt:lpstr>
      <vt:lpstr>กฟส บางเลน</vt:lpstr>
      <vt:lpstr>กฟส พุทธมณฑล</vt:lpstr>
      <vt:lpstr>กฟจ สค</vt:lpstr>
      <vt:lpstr>กฟส อ้อมน้อย</vt:lpstr>
      <vt:lpstr>กฟส กระทุ่มแบน</vt:lpstr>
      <vt:lpstr>กฟส สมุทรสาคร 2</vt:lpstr>
      <vt:lpstr>กฟส โคกขาม</vt:lpstr>
      <vt:lpstr>กฟจ กจ</vt:lpstr>
      <vt:lpstr>กฟส บ่อพลอย</vt:lpstr>
      <vt:lpstr>กฟส ท่ามะกา</vt:lpstr>
      <vt:lpstr>กฟจ สพ</vt:lpstr>
      <vt:lpstr>กฟอ อู่ทอง</vt:lpstr>
      <vt:lpstr>กฟส เดิมบาง</vt:lpstr>
      <vt:lpstr>'สรุป 1 ธค 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Ekasit Srithananan</dc:creator>
  <cp:lastModifiedBy>Woradech Jatanasane</cp:lastModifiedBy>
  <cp:lastPrinted>2025-06-16T04:56:57Z</cp:lastPrinted>
  <dcterms:created xsi:type="dcterms:W3CDTF">2024-04-09T03:35:04Z</dcterms:created>
  <dcterms:modified xsi:type="dcterms:W3CDTF">2025-12-19T07:04:29Z</dcterms:modified>
</cp:coreProperties>
</file>